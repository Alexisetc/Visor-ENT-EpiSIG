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ciambato-my.sharepoint.com/personal/secretario_jciambato_org/Documents/INSPI/18.3 HTML/Visor ENT EpiSIG/inputs/"/>
    </mc:Choice>
  </mc:AlternateContent>
  <xr:revisionPtr revIDLastSave="1" documentId="13_ncr:1_{57CD1E18-12B7-4421-B25B-115107B9954E}" xr6:coauthVersionLast="47" xr6:coauthVersionMax="47" xr10:uidLastSave="{97A8A895-154B-4810-907F-BEB52786D3C4}"/>
  <bookViews>
    <workbookView xWindow="-120" yWindow="-120" windowWidth="29040" windowHeight="15720" firstSheet="1" activeTab="1" xr2:uid="{694A91ED-D0EC-49B1-9AD4-8AE521CCC399}"/>
  </bookViews>
  <sheets>
    <sheet name="Edad2" sheetId="12" state="hidden" r:id="rId1"/>
    <sheet name="TDEDAD" sheetId="13" r:id="rId2"/>
    <sheet name="provincia" sheetId="3" state="hidden" r:id="rId3"/>
    <sheet name="TDPRVINCIAS" sheetId="10" r:id="rId4"/>
    <sheet name="Nivel de intrucción" sheetId="4" state="hidden" r:id="rId5"/>
    <sheet name="TDNIVEL_INSTRUCCIÓN" sheetId="9" r:id="rId6"/>
    <sheet name="Hoja1" sheetId="14" r:id="rId7"/>
    <sheet name="etnia" sheetId="5" state="hidden" r:id="rId8"/>
    <sheet name="TDETNIA" sheetId="8" r:id="rId9"/>
    <sheet name="BDENFERMEDAD" sheetId="7" r:id="rId10"/>
    <sheet name="SEXO" sheetId="15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4" l="1"/>
  <c r="Q8" i="14"/>
  <c r="Q7" i="14"/>
  <c r="Q6" i="14"/>
  <c r="Q5" i="14"/>
  <c r="Q4" i="14"/>
  <c r="Q3" i="14"/>
  <c r="O3" i="15"/>
  <c r="O2" i="15"/>
  <c r="K3" i="15"/>
  <c r="L3" i="15"/>
  <c r="M3" i="15"/>
  <c r="N3" i="15"/>
  <c r="J3" i="15"/>
  <c r="I3" i="15"/>
  <c r="K2" i="15"/>
  <c r="L2" i="15"/>
  <c r="M2" i="15"/>
  <c r="N2" i="15"/>
  <c r="J2" i="15"/>
  <c r="I2" i="15"/>
  <c r="D9" i="14" l="1"/>
  <c r="D8" i="14"/>
  <c r="D7" i="14"/>
  <c r="D5" i="14"/>
  <c r="D6" i="14"/>
  <c r="D4" i="14"/>
  <c r="C9" i="14"/>
  <c r="C8" i="14"/>
  <c r="AE2" i="7"/>
  <c r="B3" i="10"/>
  <c r="B4" i="10"/>
  <c r="B5" i="10"/>
  <c r="B6" i="10"/>
  <c r="B7" i="10"/>
  <c r="B8" i="10"/>
  <c r="B10" i="10"/>
  <c r="B11" i="10"/>
  <c r="B9" i="10"/>
  <c r="B12" i="10"/>
  <c r="B13" i="10"/>
  <c r="B14" i="10"/>
  <c r="B15" i="10"/>
  <c r="B16" i="10"/>
  <c r="B17" i="10"/>
  <c r="B18" i="10"/>
  <c r="B19" i="10"/>
  <c r="B20" i="10"/>
  <c r="B22" i="10"/>
  <c r="B21" i="10"/>
  <c r="B24" i="10"/>
  <c r="B23" i="10"/>
  <c r="B25" i="10"/>
  <c r="B26" i="10"/>
  <c r="B27" i="10"/>
  <c r="B2" i="10"/>
  <c r="J27" i="10"/>
  <c r="J3" i="10"/>
  <c r="J4" i="10"/>
  <c r="J5" i="10"/>
  <c r="J6" i="10"/>
  <c r="J7" i="10"/>
  <c r="J8" i="10"/>
  <c r="J10" i="10"/>
  <c r="J11" i="10"/>
  <c r="J9" i="10"/>
  <c r="J12" i="10"/>
  <c r="J13" i="10"/>
  <c r="J15" i="10"/>
  <c r="J14" i="10"/>
  <c r="J16" i="10"/>
  <c r="J17" i="10"/>
  <c r="J18" i="10"/>
  <c r="J20" i="10"/>
  <c r="J22" i="10"/>
  <c r="J19" i="10"/>
  <c r="J23" i="10"/>
  <c r="J24" i="10"/>
  <c r="J21" i="10"/>
  <c r="J26" i="10"/>
  <c r="J25" i="10"/>
  <c r="J2" i="10"/>
  <c r="E20" i="14"/>
  <c r="E21" i="14"/>
  <c r="E22" i="14"/>
  <c r="E23" i="14"/>
  <c r="E24" i="14"/>
  <c r="E25" i="14"/>
  <c r="E26" i="14"/>
  <c r="E27" i="14"/>
  <c r="E28" i="14"/>
  <c r="E29" i="14"/>
  <c r="E30" i="14"/>
  <c r="E19" i="14"/>
  <c r="F21" i="14"/>
  <c r="F22" i="14"/>
  <c r="F23" i="14"/>
  <c r="F24" i="14"/>
  <c r="F25" i="14"/>
  <c r="F26" i="14"/>
  <c r="F27" i="14"/>
  <c r="F28" i="14"/>
  <c r="F29" i="14"/>
  <c r="F30" i="14"/>
  <c r="F31" i="14"/>
  <c r="F20" i="14"/>
  <c r="E5" i="14"/>
  <c r="E6" i="14"/>
  <c r="E7" i="14"/>
  <c r="E8" i="14"/>
  <c r="E9" i="14"/>
  <c r="E4" i="14"/>
  <c r="C5" i="14"/>
  <c r="C6" i="14"/>
  <c r="C7" i="14"/>
  <c r="C4" i="14"/>
  <c r="C124" i="13"/>
  <c r="D124" i="13"/>
  <c r="E124" i="13"/>
  <c r="F124" i="13"/>
  <c r="G124" i="13"/>
  <c r="H124" i="13"/>
  <c r="B124" i="13"/>
  <c r="D28" i="10"/>
  <c r="E28" i="10"/>
  <c r="F28" i="10"/>
  <c r="G28" i="10"/>
  <c r="H28" i="10"/>
  <c r="I28" i="10"/>
  <c r="C28" i="10"/>
  <c r="C12" i="8"/>
  <c r="D12" i="8"/>
  <c r="E12" i="8"/>
  <c r="F12" i="8"/>
  <c r="G12" i="8"/>
  <c r="H12" i="8"/>
  <c r="B12" i="8"/>
  <c r="C622" i="7"/>
  <c r="D622" i="7"/>
  <c r="E622" i="7"/>
  <c r="F622" i="7"/>
  <c r="G622" i="7"/>
  <c r="H622" i="7"/>
  <c r="B622" i="7"/>
  <c r="C13" i="9"/>
  <c r="D13" i="9"/>
  <c r="E13" i="9"/>
  <c r="F13" i="9"/>
  <c r="G13" i="9"/>
  <c r="H13" i="9"/>
  <c r="B13" i="9"/>
  <c r="W619" i="7"/>
  <c r="X619" i="7"/>
  <c r="Y619" i="7"/>
  <c r="Z619" i="7"/>
  <c r="AA619" i="7"/>
  <c r="AB619" i="7"/>
  <c r="AC619" i="7"/>
  <c r="AD619" i="7"/>
  <c r="AE619" i="7"/>
  <c r="AF619" i="7"/>
  <c r="AG619" i="7"/>
  <c r="AH619" i="7"/>
  <c r="AI619" i="7"/>
  <c r="AJ619" i="7"/>
  <c r="AK619" i="7"/>
  <c r="AL619" i="7"/>
  <c r="AM619" i="7"/>
  <c r="AN619" i="7"/>
  <c r="AO619" i="7"/>
  <c r="AP619" i="7"/>
  <c r="AQ619" i="7"/>
  <c r="AR619" i="7"/>
  <c r="AS619" i="7"/>
  <c r="AT619" i="7"/>
  <c r="AU619" i="7"/>
  <c r="AV619" i="7"/>
  <c r="AW619" i="7"/>
  <c r="AX619" i="7"/>
  <c r="AY619" i="7"/>
  <c r="AZ619" i="7"/>
  <c r="BA619" i="7"/>
  <c r="BB619" i="7"/>
  <c r="BC619" i="7"/>
  <c r="BD619" i="7"/>
  <c r="BE619" i="7"/>
  <c r="BF619" i="7"/>
  <c r="BG619" i="7"/>
  <c r="BH619" i="7"/>
  <c r="BI619" i="7"/>
  <c r="BJ619" i="7"/>
  <c r="BK619" i="7"/>
  <c r="BL619" i="7"/>
  <c r="BM619" i="7"/>
  <c r="BN619" i="7"/>
  <c r="BO619" i="7"/>
  <c r="BP619" i="7"/>
  <c r="BQ619" i="7"/>
  <c r="BR619" i="7"/>
  <c r="W617" i="7"/>
  <c r="X617" i="7"/>
  <c r="Y617" i="7"/>
  <c r="Z617" i="7"/>
  <c r="AA617" i="7"/>
  <c r="AB617" i="7"/>
  <c r="AC617" i="7"/>
  <c r="AD617" i="7"/>
  <c r="AE617" i="7"/>
  <c r="AF617" i="7"/>
  <c r="AG617" i="7"/>
  <c r="AH617" i="7"/>
  <c r="AI617" i="7"/>
  <c r="AJ617" i="7"/>
  <c r="AK617" i="7"/>
  <c r="AL617" i="7"/>
  <c r="AM617" i="7"/>
  <c r="AN617" i="7"/>
  <c r="AO617" i="7"/>
  <c r="AP617" i="7"/>
  <c r="AQ617" i="7"/>
  <c r="AR617" i="7"/>
  <c r="AT617" i="7"/>
  <c r="AU617" i="7"/>
  <c r="AV617" i="7"/>
  <c r="AW617" i="7"/>
  <c r="AX617" i="7"/>
  <c r="AY617" i="7"/>
  <c r="AZ617" i="7"/>
  <c r="BA617" i="7"/>
  <c r="BB617" i="7"/>
  <c r="BC617" i="7"/>
  <c r="BD617" i="7"/>
  <c r="BE617" i="7"/>
  <c r="BF617" i="7"/>
  <c r="BG617" i="7"/>
  <c r="BH617" i="7"/>
  <c r="BI617" i="7"/>
  <c r="BJ617" i="7"/>
  <c r="BK617" i="7"/>
  <c r="BL617" i="7"/>
  <c r="BM617" i="7"/>
  <c r="BN617" i="7"/>
  <c r="BO617" i="7"/>
  <c r="BP617" i="7"/>
  <c r="BQ617" i="7"/>
  <c r="BR617" i="7"/>
  <c r="W621" i="7"/>
  <c r="X621" i="7"/>
  <c r="Y621" i="7"/>
  <c r="Z621" i="7"/>
  <c r="AA621" i="7"/>
  <c r="AB621" i="7"/>
  <c r="AC621" i="7"/>
  <c r="AD621" i="7"/>
  <c r="AE621" i="7"/>
  <c r="AF621" i="7"/>
  <c r="AG621" i="7"/>
  <c r="AH621" i="7"/>
  <c r="AI621" i="7"/>
  <c r="AJ621" i="7"/>
  <c r="AK621" i="7"/>
  <c r="AL621" i="7"/>
  <c r="AM621" i="7"/>
  <c r="AN621" i="7"/>
  <c r="AO621" i="7"/>
  <c r="AP621" i="7"/>
  <c r="AQ621" i="7"/>
  <c r="AR621" i="7"/>
  <c r="AS621" i="7"/>
  <c r="AT621" i="7"/>
  <c r="AU621" i="7"/>
  <c r="AV621" i="7"/>
  <c r="AW621" i="7"/>
  <c r="AX621" i="7"/>
  <c r="AY621" i="7"/>
  <c r="AZ621" i="7"/>
  <c r="BA621" i="7"/>
  <c r="BB621" i="7"/>
  <c r="BC621" i="7"/>
  <c r="BD621" i="7"/>
  <c r="BE621" i="7"/>
  <c r="BF621" i="7"/>
  <c r="BG621" i="7"/>
  <c r="BH621" i="7"/>
  <c r="BI621" i="7"/>
  <c r="BJ621" i="7"/>
  <c r="BK621" i="7"/>
  <c r="BL621" i="7"/>
  <c r="BM621" i="7"/>
  <c r="BN621" i="7"/>
  <c r="BO621" i="7"/>
  <c r="BP621" i="7"/>
  <c r="BQ621" i="7"/>
  <c r="BR621" i="7"/>
  <c r="W34" i="7"/>
  <c r="X34" i="7"/>
  <c r="Y34" i="7"/>
  <c r="Z34" i="7"/>
  <c r="AA34" i="7"/>
  <c r="AB34" i="7"/>
  <c r="AC34" i="7" s="1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W15" i="7"/>
  <c r="X15" i="7"/>
  <c r="Y15" i="7"/>
  <c r="Z15" i="7"/>
  <c r="AA15" i="7"/>
  <c r="AB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 s="1"/>
  <c r="BB15" i="7"/>
  <c r="BC15" i="7"/>
  <c r="BD15" i="7"/>
  <c r="BE15" i="7"/>
  <c r="BF15" i="7"/>
  <c r="BG15" i="7"/>
  <c r="BH15" i="7"/>
  <c r="BJ15" i="7"/>
  <c r="BK15" i="7"/>
  <c r="BL15" i="7"/>
  <c r="BM15" i="7"/>
  <c r="BN15" i="7"/>
  <c r="BO15" i="7"/>
  <c r="BP15" i="7"/>
  <c r="BQ15" i="7"/>
  <c r="BR15" i="7"/>
  <c r="W620" i="7"/>
  <c r="X620" i="7"/>
  <c r="Y620" i="7"/>
  <c r="Z620" i="7"/>
  <c r="AA620" i="7"/>
  <c r="AB620" i="7"/>
  <c r="AC620" i="7"/>
  <c r="AD620" i="7"/>
  <c r="AE620" i="7"/>
  <c r="AF620" i="7"/>
  <c r="AG620" i="7"/>
  <c r="AH620" i="7"/>
  <c r="AI620" i="7"/>
  <c r="AJ620" i="7"/>
  <c r="AK620" i="7"/>
  <c r="AL620" i="7"/>
  <c r="AM620" i="7"/>
  <c r="AN620" i="7"/>
  <c r="AO620" i="7"/>
  <c r="AP620" i="7"/>
  <c r="AQ620" i="7"/>
  <c r="AR620" i="7"/>
  <c r="AS620" i="7"/>
  <c r="AT620" i="7"/>
  <c r="AU620" i="7"/>
  <c r="AV620" i="7"/>
  <c r="AW620" i="7"/>
  <c r="AX620" i="7"/>
  <c r="AY620" i="7"/>
  <c r="AZ620" i="7"/>
  <c r="BA620" i="7"/>
  <c r="BB620" i="7"/>
  <c r="BC620" i="7"/>
  <c r="BD620" i="7"/>
  <c r="BE620" i="7"/>
  <c r="BF620" i="7"/>
  <c r="BG620" i="7"/>
  <c r="BH620" i="7"/>
  <c r="BI620" i="7"/>
  <c r="BJ620" i="7"/>
  <c r="BK620" i="7"/>
  <c r="BL620" i="7"/>
  <c r="BM620" i="7"/>
  <c r="BN620" i="7"/>
  <c r="BO620" i="7"/>
  <c r="BP620" i="7"/>
  <c r="BQ620" i="7"/>
  <c r="BR620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 s="1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 s="1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 s="1"/>
  <c r="BR3" i="7"/>
  <c r="W556" i="7"/>
  <c r="X556" i="7"/>
  <c r="Y556" i="7"/>
  <c r="Z556" i="7"/>
  <c r="AA556" i="7"/>
  <c r="AB556" i="7"/>
  <c r="AC556" i="7" s="1"/>
  <c r="AD556" i="7"/>
  <c r="AE556" i="7"/>
  <c r="AF556" i="7"/>
  <c r="AG556" i="7"/>
  <c r="AH556" i="7"/>
  <c r="AI556" i="7"/>
  <c r="AJ556" i="7"/>
  <c r="AK556" i="7"/>
  <c r="AL556" i="7"/>
  <c r="AM556" i="7"/>
  <c r="AN556" i="7"/>
  <c r="AO556" i="7"/>
  <c r="AP556" i="7"/>
  <c r="AQ556" i="7"/>
  <c r="AR556" i="7"/>
  <c r="AS556" i="7"/>
  <c r="AT556" i="7"/>
  <c r="AU556" i="7"/>
  <c r="AV556" i="7"/>
  <c r="AW556" i="7"/>
  <c r="AX556" i="7"/>
  <c r="AY556" i="7"/>
  <c r="AZ556" i="7"/>
  <c r="BA556" i="7"/>
  <c r="BB556" i="7"/>
  <c r="BC556" i="7"/>
  <c r="BD556" i="7"/>
  <c r="BE556" i="7"/>
  <c r="BF556" i="7"/>
  <c r="BG556" i="7"/>
  <c r="BH556" i="7"/>
  <c r="BI556" i="7"/>
  <c r="BJ556" i="7"/>
  <c r="BK556" i="7"/>
  <c r="BL556" i="7"/>
  <c r="BM556" i="7"/>
  <c r="BN556" i="7"/>
  <c r="BO556" i="7"/>
  <c r="BP556" i="7"/>
  <c r="BQ556" i="7"/>
  <c r="BR556" i="7"/>
  <c r="W618" i="7"/>
  <c r="X618" i="7"/>
  <c r="Y618" i="7"/>
  <c r="Z618" i="7"/>
  <c r="AA618" i="7"/>
  <c r="AB618" i="7"/>
  <c r="AC618" i="7" s="1"/>
  <c r="AD618" i="7"/>
  <c r="AE618" i="7"/>
  <c r="AF618" i="7"/>
  <c r="AG618" i="7"/>
  <c r="AH618" i="7"/>
  <c r="AI618" i="7"/>
  <c r="AJ618" i="7"/>
  <c r="AK618" i="7"/>
  <c r="AL618" i="7"/>
  <c r="AM618" i="7"/>
  <c r="AN618" i="7"/>
  <c r="AO618" i="7"/>
  <c r="AP618" i="7"/>
  <c r="AQ618" i="7"/>
  <c r="AR618" i="7"/>
  <c r="AS618" i="7"/>
  <c r="AT618" i="7"/>
  <c r="AU618" i="7"/>
  <c r="AV618" i="7"/>
  <c r="AW618" i="7"/>
  <c r="AX618" i="7"/>
  <c r="AY618" i="7"/>
  <c r="AZ618" i="7"/>
  <c r="BA618" i="7"/>
  <c r="BB618" i="7"/>
  <c r="BC618" i="7"/>
  <c r="BD618" i="7"/>
  <c r="BE618" i="7"/>
  <c r="BF618" i="7"/>
  <c r="BG618" i="7"/>
  <c r="BH618" i="7"/>
  <c r="BJ618" i="7"/>
  <c r="BK618" i="7"/>
  <c r="BL618" i="7"/>
  <c r="BM618" i="7"/>
  <c r="BN618" i="7"/>
  <c r="BO618" i="7"/>
  <c r="BP618" i="7"/>
  <c r="BQ618" i="7"/>
  <c r="BR618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 s="1"/>
  <c r="AL14" i="7"/>
  <c r="AM14" i="7"/>
  <c r="AN14" i="7"/>
  <c r="AO14" i="7"/>
  <c r="AP14" i="7"/>
  <c r="AQ14" i="7"/>
  <c r="AR14" i="7"/>
  <c r="AS14" i="7" s="1"/>
  <c r="AT14" i="7"/>
  <c r="AU14" i="7"/>
  <c r="AV14" i="7"/>
  <c r="AW14" i="7"/>
  <c r="AX14" i="7"/>
  <c r="AY14" i="7"/>
  <c r="AZ14" i="7"/>
  <c r="BA14" i="7" s="1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 s="1"/>
  <c r="BR14" i="7"/>
  <c r="W596" i="7"/>
  <c r="X596" i="7"/>
  <c r="Y596" i="7"/>
  <c r="Z596" i="7"/>
  <c r="AA596" i="7"/>
  <c r="AB596" i="7"/>
  <c r="AC596" i="7"/>
  <c r="AD596" i="7"/>
  <c r="AE596" i="7"/>
  <c r="AF596" i="7"/>
  <c r="AG596" i="7"/>
  <c r="AH596" i="7"/>
  <c r="AI596" i="7"/>
  <c r="AJ596" i="7"/>
  <c r="AK596" i="7" s="1"/>
  <c r="AL596" i="7"/>
  <c r="AM596" i="7"/>
  <c r="AN596" i="7"/>
  <c r="AO596" i="7"/>
  <c r="AP596" i="7"/>
  <c r="AQ596" i="7"/>
  <c r="AR596" i="7"/>
  <c r="AS596" i="7"/>
  <c r="AT596" i="7"/>
  <c r="AU596" i="7"/>
  <c r="AV596" i="7"/>
  <c r="AW596" i="7"/>
  <c r="AX596" i="7"/>
  <c r="AY596" i="7"/>
  <c r="AZ596" i="7"/>
  <c r="BA596" i="7"/>
  <c r="BB596" i="7"/>
  <c r="BC596" i="7"/>
  <c r="BD596" i="7"/>
  <c r="BE596" i="7"/>
  <c r="BF596" i="7"/>
  <c r="BG596" i="7"/>
  <c r="BH596" i="7"/>
  <c r="BI596" i="7" s="1"/>
  <c r="BJ596" i="7"/>
  <c r="BK596" i="7"/>
  <c r="BL596" i="7"/>
  <c r="BM596" i="7"/>
  <c r="BN596" i="7"/>
  <c r="BO596" i="7"/>
  <c r="BP596" i="7"/>
  <c r="BQ596" i="7"/>
  <c r="BR596" i="7"/>
  <c r="W615" i="7"/>
  <c r="X615" i="7"/>
  <c r="Y615" i="7"/>
  <c r="Z615" i="7"/>
  <c r="AA615" i="7"/>
  <c r="AB615" i="7"/>
  <c r="AC615" i="7"/>
  <c r="AD615" i="7"/>
  <c r="AE615" i="7"/>
  <c r="AF615" i="7"/>
  <c r="AG615" i="7"/>
  <c r="AH615" i="7"/>
  <c r="AI615" i="7"/>
  <c r="AJ615" i="7"/>
  <c r="AK615" i="7"/>
  <c r="AL615" i="7"/>
  <c r="AM615" i="7"/>
  <c r="AN615" i="7"/>
  <c r="AO615" i="7"/>
  <c r="AP615" i="7"/>
  <c r="AQ615" i="7"/>
  <c r="AR615" i="7"/>
  <c r="AS615" i="7"/>
  <c r="AT615" i="7"/>
  <c r="AU615" i="7"/>
  <c r="AV615" i="7"/>
  <c r="AW615" i="7"/>
  <c r="AX615" i="7"/>
  <c r="AY615" i="7"/>
  <c r="AZ615" i="7"/>
  <c r="BA615" i="7"/>
  <c r="BB615" i="7"/>
  <c r="BC615" i="7"/>
  <c r="BD615" i="7"/>
  <c r="BE615" i="7"/>
  <c r="BF615" i="7"/>
  <c r="BG615" i="7"/>
  <c r="BH615" i="7"/>
  <c r="BI615" i="7"/>
  <c r="BJ615" i="7"/>
  <c r="BK615" i="7"/>
  <c r="BL615" i="7"/>
  <c r="BM615" i="7"/>
  <c r="BN615" i="7"/>
  <c r="BO615" i="7"/>
  <c r="BP615" i="7"/>
  <c r="BQ615" i="7" s="1"/>
  <c r="BR615" i="7"/>
  <c r="W67" i="7"/>
  <c r="X67" i="7"/>
  <c r="Y67" i="7"/>
  <c r="Z67" i="7"/>
  <c r="AA67" i="7"/>
  <c r="AC67" i="7" s="1"/>
  <c r="AB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W12" i="7"/>
  <c r="X12" i="7"/>
  <c r="Y12" i="7"/>
  <c r="Z12" i="7"/>
  <c r="AA12" i="7"/>
  <c r="AB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J12" i="7"/>
  <c r="BK12" i="7"/>
  <c r="BL12" i="7"/>
  <c r="BM12" i="7"/>
  <c r="BN12" i="7"/>
  <c r="BO12" i="7"/>
  <c r="BP12" i="7"/>
  <c r="BQ12" i="7"/>
  <c r="BR12" i="7"/>
  <c r="W20" i="7"/>
  <c r="X20" i="7"/>
  <c r="Y20" i="7"/>
  <c r="Z20" i="7"/>
  <c r="AA20" i="7"/>
  <c r="AB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 s="1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W10" i="7"/>
  <c r="X10" i="7"/>
  <c r="Y10" i="7"/>
  <c r="Z10" i="7"/>
  <c r="AA10" i="7"/>
  <c r="AC10" i="7" s="1"/>
  <c r="AB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W13" i="7"/>
  <c r="X13" i="7"/>
  <c r="Y13" i="7"/>
  <c r="Z13" i="7"/>
  <c r="AA13" i="7"/>
  <c r="AB13" i="7"/>
  <c r="AD13" i="7"/>
  <c r="AE13" i="7"/>
  <c r="AF13" i="7"/>
  <c r="AG13" i="7"/>
  <c r="AH13" i="7"/>
  <c r="AI13" i="7"/>
  <c r="AJ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W19" i="7"/>
  <c r="X19" i="7"/>
  <c r="Y19" i="7"/>
  <c r="Z19" i="7"/>
  <c r="AA19" i="7"/>
  <c r="AB19" i="7"/>
  <c r="AC19" i="7" s="1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 s="1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W16" i="7"/>
  <c r="X16" i="7"/>
  <c r="Y16" i="7"/>
  <c r="Z16" i="7"/>
  <c r="AA16" i="7"/>
  <c r="AB16" i="7"/>
  <c r="AC16" i="7" s="1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W613" i="7"/>
  <c r="X613" i="7"/>
  <c r="Y613" i="7"/>
  <c r="Z613" i="7"/>
  <c r="AA613" i="7"/>
  <c r="AB613" i="7"/>
  <c r="AC613" i="7"/>
  <c r="AD613" i="7"/>
  <c r="AE613" i="7"/>
  <c r="AF613" i="7"/>
  <c r="AG613" i="7"/>
  <c r="AH613" i="7"/>
  <c r="AI613" i="7"/>
  <c r="AJ613" i="7"/>
  <c r="AK613" i="7"/>
  <c r="AL613" i="7"/>
  <c r="AM613" i="7"/>
  <c r="AN613" i="7"/>
  <c r="AO613" i="7"/>
  <c r="AP613" i="7"/>
  <c r="AQ613" i="7"/>
  <c r="AR613" i="7"/>
  <c r="AS613" i="7" s="1"/>
  <c r="AT613" i="7"/>
  <c r="AU613" i="7"/>
  <c r="AV613" i="7"/>
  <c r="AW613" i="7"/>
  <c r="AX613" i="7"/>
  <c r="AY613" i="7"/>
  <c r="AZ613" i="7"/>
  <c r="BA613" i="7"/>
  <c r="BB613" i="7"/>
  <c r="BC613" i="7"/>
  <c r="BD613" i="7"/>
  <c r="BE613" i="7"/>
  <c r="BF613" i="7"/>
  <c r="BG613" i="7"/>
  <c r="BH613" i="7"/>
  <c r="BI613" i="7"/>
  <c r="BJ613" i="7"/>
  <c r="BK613" i="7"/>
  <c r="BL613" i="7"/>
  <c r="BM613" i="7"/>
  <c r="BN613" i="7"/>
  <c r="BO613" i="7"/>
  <c r="BP613" i="7"/>
  <c r="BQ613" i="7" s="1"/>
  <c r="BR613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 s="1"/>
  <c r="AL41" i="7"/>
  <c r="AM41" i="7"/>
  <c r="AN41" i="7"/>
  <c r="AO41" i="7"/>
  <c r="AP41" i="7"/>
  <c r="AQ41" i="7"/>
  <c r="AR41" i="7"/>
  <c r="AS41" i="7" s="1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 s="1"/>
  <c r="BJ41" i="7"/>
  <c r="BK41" i="7"/>
  <c r="BL41" i="7"/>
  <c r="BM41" i="7"/>
  <c r="BN41" i="7"/>
  <c r="BO41" i="7"/>
  <c r="BP41" i="7"/>
  <c r="BQ41" i="7"/>
  <c r="BR41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 s="1"/>
  <c r="BJ59" i="7"/>
  <c r="BK59" i="7"/>
  <c r="BL59" i="7"/>
  <c r="BM59" i="7"/>
  <c r="BN59" i="7"/>
  <c r="BO59" i="7"/>
  <c r="BP59" i="7"/>
  <c r="BQ59" i="7"/>
  <c r="BR59" i="7"/>
  <c r="W8" i="7"/>
  <c r="X8" i="7"/>
  <c r="Y8" i="7"/>
  <c r="Z8" i="7"/>
  <c r="AA8" i="7"/>
  <c r="AB8" i="7"/>
  <c r="AC8" i="7" s="1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 s="1"/>
  <c r="BJ8" i="7"/>
  <c r="BK8" i="7"/>
  <c r="BL8" i="7"/>
  <c r="BM8" i="7"/>
  <c r="BN8" i="7"/>
  <c r="BO8" i="7"/>
  <c r="BP8" i="7"/>
  <c r="BQ8" i="7"/>
  <c r="BR8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 s="1"/>
  <c r="BJ22" i="7"/>
  <c r="BK22" i="7"/>
  <c r="BL22" i="7"/>
  <c r="BM22" i="7"/>
  <c r="BN22" i="7"/>
  <c r="BO22" i="7"/>
  <c r="BP22" i="7"/>
  <c r="BQ22" i="7"/>
  <c r="BR22" i="7"/>
  <c r="W31" i="7"/>
  <c r="X31" i="7"/>
  <c r="Y31" i="7"/>
  <c r="Z31" i="7"/>
  <c r="AA31" i="7"/>
  <c r="AB31" i="7"/>
  <c r="AC31" i="7" s="1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S31" i="7" s="1"/>
  <c r="AR31" i="7"/>
  <c r="AT31" i="7"/>
  <c r="AU31" i="7"/>
  <c r="AV31" i="7"/>
  <c r="AW31" i="7"/>
  <c r="AX31" i="7"/>
  <c r="AY31" i="7"/>
  <c r="AZ31" i="7"/>
  <c r="BA31" i="7" s="1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 s="1"/>
  <c r="BK9" i="7"/>
  <c r="BL9" i="7"/>
  <c r="BM9" i="7"/>
  <c r="BN9" i="7"/>
  <c r="BO9" i="7"/>
  <c r="BP9" i="7"/>
  <c r="BQ9" i="7"/>
  <c r="BR9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T21" i="7"/>
  <c r="AU21" i="7"/>
  <c r="AV21" i="7"/>
  <c r="AW21" i="7"/>
  <c r="AX21" i="7"/>
  <c r="AY21" i="7"/>
  <c r="AZ21" i="7"/>
  <c r="BB21" i="7"/>
  <c r="BC21" i="7"/>
  <c r="BD21" i="7"/>
  <c r="BE21" i="7"/>
  <c r="BF21" i="7"/>
  <c r="BG21" i="7"/>
  <c r="BH21" i="7"/>
  <c r="BJ21" i="7"/>
  <c r="BK21" i="7"/>
  <c r="BL21" i="7"/>
  <c r="BM21" i="7"/>
  <c r="BN21" i="7"/>
  <c r="BO21" i="7"/>
  <c r="BP21" i="7"/>
  <c r="BQ21" i="7"/>
  <c r="BR21" i="7"/>
  <c r="W6" i="7"/>
  <c r="X6" i="7"/>
  <c r="Y6" i="7"/>
  <c r="Z6" i="7"/>
  <c r="AA6" i="7"/>
  <c r="AB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 s="1"/>
  <c r="BJ6" i="7"/>
  <c r="BK6" i="7"/>
  <c r="BL6" i="7"/>
  <c r="BM6" i="7"/>
  <c r="BN6" i="7"/>
  <c r="BO6" i="7"/>
  <c r="BP6" i="7"/>
  <c r="BQ6" i="7"/>
  <c r="BR6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W588" i="7"/>
  <c r="X588" i="7"/>
  <c r="Y588" i="7"/>
  <c r="Z588" i="7"/>
  <c r="AA588" i="7"/>
  <c r="AB588" i="7"/>
  <c r="AC588" i="7"/>
  <c r="AD588" i="7"/>
  <c r="AE588" i="7"/>
  <c r="AF588" i="7"/>
  <c r="AG588" i="7"/>
  <c r="AH588" i="7"/>
  <c r="AI588" i="7"/>
  <c r="AJ588" i="7"/>
  <c r="AL588" i="7"/>
  <c r="AM588" i="7"/>
  <c r="AN588" i="7"/>
  <c r="AO588" i="7"/>
  <c r="AP588" i="7"/>
  <c r="AQ588" i="7"/>
  <c r="AR588" i="7"/>
  <c r="AS588" i="7"/>
  <c r="AT588" i="7"/>
  <c r="AU588" i="7"/>
  <c r="AV588" i="7"/>
  <c r="AW588" i="7"/>
  <c r="AX588" i="7"/>
  <c r="AY588" i="7"/>
  <c r="AZ588" i="7"/>
  <c r="BA588" i="7"/>
  <c r="BB588" i="7"/>
  <c r="BC588" i="7"/>
  <c r="BD588" i="7"/>
  <c r="BE588" i="7"/>
  <c r="BF588" i="7"/>
  <c r="BG588" i="7"/>
  <c r="BH588" i="7"/>
  <c r="BI588" i="7"/>
  <c r="BJ588" i="7"/>
  <c r="BK588" i="7"/>
  <c r="BL588" i="7"/>
  <c r="BM588" i="7"/>
  <c r="BN588" i="7"/>
  <c r="BO588" i="7"/>
  <c r="BP588" i="7"/>
  <c r="BQ588" i="7"/>
  <c r="BR588" i="7"/>
  <c r="W105" i="7"/>
  <c r="X105" i="7"/>
  <c r="Y105" i="7"/>
  <c r="Z105" i="7"/>
  <c r="AA105" i="7"/>
  <c r="AB105" i="7"/>
  <c r="AC105" i="7" s="1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J105" i="7"/>
  <c r="BK105" i="7"/>
  <c r="BL105" i="7"/>
  <c r="BM105" i="7"/>
  <c r="BN105" i="7"/>
  <c r="BO105" i="7"/>
  <c r="BP105" i="7"/>
  <c r="BQ105" i="7"/>
  <c r="BR105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W17" i="7"/>
  <c r="X17" i="7"/>
  <c r="Y17" i="7"/>
  <c r="Z17" i="7"/>
  <c r="AA17" i="7"/>
  <c r="AB17" i="7"/>
  <c r="AC17" i="7" s="1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 s="1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 s="1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W11" i="7"/>
  <c r="X11" i="7"/>
  <c r="Y11" i="7"/>
  <c r="Z11" i="7"/>
  <c r="AA11" i="7"/>
  <c r="AB11" i="7"/>
  <c r="AE11" i="7"/>
  <c r="AF11" i="7"/>
  <c r="AG11" i="7"/>
  <c r="AH11" i="7"/>
  <c r="AI11" i="7"/>
  <c r="AJ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K83" i="7"/>
  <c r="BL83" i="7"/>
  <c r="BM83" i="7"/>
  <c r="BN83" i="7"/>
  <c r="BO83" i="7"/>
  <c r="BP83" i="7"/>
  <c r="BQ83" i="7"/>
  <c r="BR83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W589" i="7"/>
  <c r="X589" i="7"/>
  <c r="Y589" i="7"/>
  <c r="Z589" i="7"/>
  <c r="AA589" i="7"/>
  <c r="AB589" i="7"/>
  <c r="AC589" i="7"/>
  <c r="AD589" i="7"/>
  <c r="AE589" i="7"/>
  <c r="AF589" i="7"/>
  <c r="AG589" i="7"/>
  <c r="AH589" i="7"/>
  <c r="AI589" i="7"/>
  <c r="AJ589" i="7"/>
  <c r="AK589" i="7"/>
  <c r="AL589" i="7"/>
  <c r="AM589" i="7"/>
  <c r="AN589" i="7"/>
  <c r="AO589" i="7"/>
  <c r="AP589" i="7"/>
  <c r="AQ589" i="7"/>
  <c r="AR589" i="7"/>
  <c r="AS589" i="7"/>
  <c r="AT589" i="7"/>
  <c r="AU589" i="7"/>
  <c r="AV589" i="7"/>
  <c r="AW589" i="7"/>
  <c r="AX589" i="7"/>
  <c r="AY589" i="7"/>
  <c r="AZ589" i="7"/>
  <c r="BA589" i="7"/>
  <c r="BB589" i="7"/>
  <c r="BC589" i="7"/>
  <c r="BD589" i="7"/>
  <c r="BE589" i="7"/>
  <c r="BF589" i="7"/>
  <c r="BG589" i="7"/>
  <c r="BH589" i="7"/>
  <c r="BI589" i="7"/>
  <c r="BJ589" i="7"/>
  <c r="BK589" i="7"/>
  <c r="BL589" i="7"/>
  <c r="BM589" i="7"/>
  <c r="BN589" i="7"/>
  <c r="BO589" i="7"/>
  <c r="BP589" i="7"/>
  <c r="BQ589" i="7"/>
  <c r="BR589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W614" i="7"/>
  <c r="X614" i="7"/>
  <c r="Y614" i="7"/>
  <c r="Z614" i="7"/>
  <c r="AA614" i="7"/>
  <c r="AB614" i="7"/>
  <c r="AC614" i="7"/>
  <c r="AD614" i="7"/>
  <c r="AE614" i="7"/>
  <c r="AF614" i="7"/>
  <c r="AG614" i="7"/>
  <c r="AH614" i="7"/>
  <c r="AI614" i="7"/>
  <c r="AJ614" i="7"/>
  <c r="AK614" i="7"/>
  <c r="AL614" i="7"/>
  <c r="AM614" i="7"/>
  <c r="AN614" i="7"/>
  <c r="AO614" i="7"/>
  <c r="AP614" i="7"/>
  <c r="AQ614" i="7"/>
  <c r="AR614" i="7"/>
  <c r="AS614" i="7"/>
  <c r="AT614" i="7"/>
  <c r="AU614" i="7"/>
  <c r="AV614" i="7"/>
  <c r="AW614" i="7"/>
  <c r="AX614" i="7"/>
  <c r="AY614" i="7"/>
  <c r="AZ614" i="7"/>
  <c r="BA614" i="7"/>
  <c r="BB614" i="7"/>
  <c r="BC614" i="7"/>
  <c r="BD614" i="7"/>
  <c r="BE614" i="7"/>
  <c r="BF614" i="7"/>
  <c r="BG614" i="7"/>
  <c r="BH614" i="7"/>
  <c r="BI614" i="7"/>
  <c r="BJ614" i="7"/>
  <c r="BK614" i="7"/>
  <c r="BL614" i="7"/>
  <c r="BM614" i="7"/>
  <c r="BN614" i="7"/>
  <c r="BO614" i="7"/>
  <c r="BP614" i="7"/>
  <c r="BQ614" i="7"/>
  <c r="BR614" i="7"/>
  <c r="W616" i="7"/>
  <c r="X616" i="7"/>
  <c r="Y616" i="7"/>
  <c r="Z616" i="7"/>
  <c r="AA616" i="7"/>
  <c r="AB616" i="7"/>
  <c r="AC616" i="7"/>
  <c r="AD616" i="7"/>
  <c r="AE616" i="7"/>
  <c r="AF616" i="7"/>
  <c r="AG616" i="7"/>
  <c r="AH616" i="7"/>
  <c r="AI616" i="7"/>
  <c r="AJ616" i="7"/>
  <c r="AK616" i="7"/>
  <c r="AL616" i="7"/>
  <c r="AM616" i="7"/>
  <c r="AN616" i="7"/>
  <c r="AO616" i="7"/>
  <c r="AP616" i="7"/>
  <c r="AQ616" i="7"/>
  <c r="AR616" i="7"/>
  <c r="AS616" i="7"/>
  <c r="AT616" i="7"/>
  <c r="AU616" i="7"/>
  <c r="AV616" i="7"/>
  <c r="AW616" i="7"/>
  <c r="AX616" i="7"/>
  <c r="AY616" i="7"/>
  <c r="AZ616" i="7"/>
  <c r="BA616" i="7"/>
  <c r="BB616" i="7"/>
  <c r="BC616" i="7"/>
  <c r="BD616" i="7"/>
  <c r="BE616" i="7"/>
  <c r="BF616" i="7"/>
  <c r="BG616" i="7"/>
  <c r="BH616" i="7"/>
  <c r="BJ616" i="7"/>
  <c r="BK616" i="7"/>
  <c r="BL616" i="7"/>
  <c r="BM616" i="7"/>
  <c r="BN616" i="7"/>
  <c r="BO616" i="7"/>
  <c r="BP616" i="7"/>
  <c r="BQ616" i="7"/>
  <c r="BR616" i="7"/>
  <c r="W611" i="7"/>
  <c r="X611" i="7"/>
  <c r="Y611" i="7"/>
  <c r="Z611" i="7"/>
  <c r="AA611" i="7"/>
  <c r="AB611" i="7"/>
  <c r="AC611" i="7"/>
  <c r="AD611" i="7"/>
  <c r="AE611" i="7"/>
  <c r="AF611" i="7"/>
  <c r="AG611" i="7"/>
  <c r="AH611" i="7"/>
  <c r="AI611" i="7"/>
  <c r="AJ611" i="7"/>
  <c r="AK611" i="7"/>
  <c r="AL611" i="7"/>
  <c r="AM611" i="7"/>
  <c r="AN611" i="7"/>
  <c r="AO611" i="7"/>
  <c r="AP611" i="7"/>
  <c r="AQ611" i="7"/>
  <c r="AR611" i="7"/>
  <c r="AS611" i="7"/>
  <c r="AT611" i="7"/>
  <c r="AU611" i="7"/>
  <c r="AV611" i="7"/>
  <c r="AW611" i="7"/>
  <c r="AX611" i="7"/>
  <c r="AY611" i="7"/>
  <c r="AZ611" i="7"/>
  <c r="BA611" i="7"/>
  <c r="BB611" i="7"/>
  <c r="BC611" i="7"/>
  <c r="BD611" i="7"/>
  <c r="BE611" i="7"/>
  <c r="BF611" i="7"/>
  <c r="BG611" i="7"/>
  <c r="BH611" i="7"/>
  <c r="BI611" i="7"/>
  <c r="BJ611" i="7"/>
  <c r="BK611" i="7"/>
  <c r="BL611" i="7"/>
  <c r="BM611" i="7"/>
  <c r="BN611" i="7"/>
  <c r="BO611" i="7"/>
  <c r="BP611" i="7"/>
  <c r="BQ611" i="7"/>
  <c r="BR611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W87" i="7"/>
  <c r="X87" i="7"/>
  <c r="Y87" i="7"/>
  <c r="Z87" i="7"/>
  <c r="AA87" i="7"/>
  <c r="AB87" i="7"/>
  <c r="AC87" i="7" s="1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 s="1"/>
  <c r="AT87" i="7"/>
  <c r="AU87" i="7"/>
  <c r="AV87" i="7"/>
  <c r="AW87" i="7"/>
  <c r="AX87" i="7"/>
  <c r="AY87" i="7"/>
  <c r="AZ87" i="7"/>
  <c r="BA87" i="7" s="1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W593" i="7"/>
  <c r="X593" i="7"/>
  <c r="Y593" i="7"/>
  <c r="Z593" i="7"/>
  <c r="AA593" i="7"/>
  <c r="AB593" i="7"/>
  <c r="AC593" i="7" s="1"/>
  <c r="AD593" i="7"/>
  <c r="AE593" i="7"/>
  <c r="AF593" i="7"/>
  <c r="AG593" i="7"/>
  <c r="AH593" i="7"/>
  <c r="AI593" i="7"/>
  <c r="AJ593" i="7"/>
  <c r="AK593" i="7"/>
  <c r="AL593" i="7"/>
  <c r="AM593" i="7"/>
  <c r="AN593" i="7"/>
  <c r="AO593" i="7"/>
  <c r="AP593" i="7"/>
  <c r="AQ593" i="7"/>
  <c r="AR593" i="7"/>
  <c r="AS593" i="7"/>
  <c r="AT593" i="7"/>
  <c r="AU593" i="7"/>
  <c r="AV593" i="7"/>
  <c r="AW593" i="7"/>
  <c r="AX593" i="7"/>
  <c r="AY593" i="7"/>
  <c r="AZ593" i="7"/>
  <c r="BA593" i="7"/>
  <c r="BB593" i="7"/>
  <c r="BC593" i="7"/>
  <c r="BD593" i="7"/>
  <c r="BE593" i="7"/>
  <c r="BF593" i="7"/>
  <c r="BG593" i="7"/>
  <c r="BH593" i="7"/>
  <c r="BI593" i="7"/>
  <c r="BJ593" i="7"/>
  <c r="BK593" i="7"/>
  <c r="BL593" i="7"/>
  <c r="BM593" i="7"/>
  <c r="BN593" i="7"/>
  <c r="BO593" i="7"/>
  <c r="BP593" i="7"/>
  <c r="BQ593" i="7"/>
  <c r="BR593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 s="1"/>
  <c r="BR56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 s="1"/>
  <c r="BJ18" i="7"/>
  <c r="BK18" i="7"/>
  <c r="BL18" i="7"/>
  <c r="BM18" i="7"/>
  <c r="BN18" i="7"/>
  <c r="BO18" i="7"/>
  <c r="BP18" i="7"/>
  <c r="BQ18" i="7"/>
  <c r="BR18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 s="1"/>
  <c r="AL91" i="7"/>
  <c r="AM91" i="7"/>
  <c r="AN91" i="7"/>
  <c r="AO91" i="7"/>
  <c r="AP91" i="7"/>
  <c r="AQ91" i="7"/>
  <c r="AR91" i="7"/>
  <c r="AS91" i="7" s="1"/>
  <c r="AT91" i="7"/>
  <c r="AU91" i="7"/>
  <c r="AV91" i="7"/>
  <c r="AW91" i="7"/>
  <c r="AX91" i="7"/>
  <c r="AY91" i="7"/>
  <c r="AZ91" i="7"/>
  <c r="BA91" i="7" s="1"/>
  <c r="BB91" i="7"/>
  <c r="BC91" i="7"/>
  <c r="BD91" i="7"/>
  <c r="BE91" i="7"/>
  <c r="BF91" i="7"/>
  <c r="BG91" i="7"/>
  <c r="BH91" i="7"/>
  <c r="BJ91" i="7"/>
  <c r="BK91" i="7"/>
  <c r="BL91" i="7"/>
  <c r="BM91" i="7"/>
  <c r="BN91" i="7"/>
  <c r="BO91" i="7"/>
  <c r="BP91" i="7"/>
  <c r="BQ91" i="7"/>
  <c r="BR91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 s="1"/>
  <c r="BJ45" i="7"/>
  <c r="BK45" i="7"/>
  <c r="BL45" i="7"/>
  <c r="BM45" i="7"/>
  <c r="BN45" i="7"/>
  <c r="BO45" i="7"/>
  <c r="BP45" i="7"/>
  <c r="BQ45" i="7"/>
  <c r="BR45" i="7"/>
  <c r="W43" i="7"/>
  <c r="X43" i="7"/>
  <c r="Y43" i="7"/>
  <c r="Z43" i="7"/>
  <c r="AA43" i="7"/>
  <c r="AB43" i="7"/>
  <c r="AC43" i="7" s="1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W84" i="7"/>
  <c r="X84" i="7"/>
  <c r="Y84" i="7"/>
  <c r="Z84" i="7"/>
  <c r="AA84" i="7"/>
  <c r="AB84" i="7"/>
  <c r="AC84" i="7" s="1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 s="1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W37" i="7"/>
  <c r="X37" i="7"/>
  <c r="Y37" i="7"/>
  <c r="Z37" i="7"/>
  <c r="AA37" i="7"/>
  <c r="AB37" i="7"/>
  <c r="AC37" i="7" s="1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 s="1"/>
  <c r="BJ37" i="7"/>
  <c r="BK37" i="7"/>
  <c r="BL37" i="7"/>
  <c r="BM37" i="7"/>
  <c r="BN37" i="7"/>
  <c r="BO37" i="7"/>
  <c r="BP37" i="7"/>
  <c r="BQ37" i="7"/>
  <c r="BR37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W610" i="7"/>
  <c r="X610" i="7"/>
  <c r="Y610" i="7"/>
  <c r="Z610" i="7"/>
  <c r="AA610" i="7"/>
  <c r="AB610" i="7"/>
  <c r="AC610" i="7"/>
  <c r="AD610" i="7"/>
  <c r="AE610" i="7"/>
  <c r="AF610" i="7"/>
  <c r="AG610" i="7"/>
  <c r="AH610" i="7"/>
  <c r="AI610" i="7"/>
  <c r="AJ610" i="7"/>
  <c r="AK610" i="7" s="1"/>
  <c r="AL610" i="7"/>
  <c r="AM610" i="7"/>
  <c r="AN610" i="7"/>
  <c r="AO610" i="7"/>
  <c r="AP610" i="7"/>
  <c r="AQ610" i="7"/>
  <c r="AR610" i="7"/>
  <c r="AS610" i="7"/>
  <c r="AT610" i="7"/>
  <c r="AU610" i="7"/>
  <c r="AV610" i="7"/>
  <c r="AW610" i="7"/>
  <c r="AX610" i="7"/>
  <c r="AY610" i="7"/>
  <c r="AZ610" i="7"/>
  <c r="BA610" i="7"/>
  <c r="BB610" i="7"/>
  <c r="BC610" i="7"/>
  <c r="BD610" i="7"/>
  <c r="BE610" i="7"/>
  <c r="BF610" i="7"/>
  <c r="BG610" i="7"/>
  <c r="BH610" i="7"/>
  <c r="BI610" i="7" s="1"/>
  <c r="BJ610" i="7"/>
  <c r="BK610" i="7"/>
  <c r="BL610" i="7"/>
  <c r="BM610" i="7"/>
  <c r="BN610" i="7"/>
  <c r="BO610" i="7"/>
  <c r="BP610" i="7"/>
  <c r="BQ610" i="7"/>
  <c r="BR610" i="7"/>
  <c r="W96" i="7"/>
  <c r="X96" i="7"/>
  <c r="Y96" i="7"/>
  <c r="Z96" i="7"/>
  <c r="AA96" i="7"/>
  <c r="AB96" i="7"/>
  <c r="AC96" i="7" s="1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U96" i="7"/>
  <c r="AV96" i="7"/>
  <c r="AW96" i="7"/>
  <c r="AX96" i="7"/>
  <c r="AY96" i="7"/>
  <c r="AZ96" i="7"/>
  <c r="BA96" i="7" s="1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W586" i="7"/>
  <c r="X586" i="7"/>
  <c r="Y586" i="7"/>
  <c r="Z586" i="7"/>
  <c r="AA586" i="7"/>
  <c r="AB586" i="7"/>
  <c r="AC586" i="7"/>
  <c r="AD586" i="7"/>
  <c r="AE586" i="7"/>
  <c r="AF586" i="7"/>
  <c r="AG586" i="7"/>
  <c r="AH586" i="7"/>
  <c r="AI586" i="7"/>
  <c r="AJ586" i="7"/>
  <c r="AK586" i="7"/>
  <c r="AL586" i="7"/>
  <c r="AM586" i="7"/>
  <c r="AN586" i="7"/>
  <c r="AO586" i="7"/>
  <c r="AP586" i="7"/>
  <c r="AQ586" i="7"/>
  <c r="AR586" i="7"/>
  <c r="AS586" i="7" s="1"/>
  <c r="AT586" i="7"/>
  <c r="AU586" i="7"/>
  <c r="AV586" i="7"/>
  <c r="AW586" i="7"/>
  <c r="AX586" i="7"/>
  <c r="AY586" i="7"/>
  <c r="AZ586" i="7"/>
  <c r="BA586" i="7"/>
  <c r="BB586" i="7"/>
  <c r="BC586" i="7"/>
  <c r="BD586" i="7"/>
  <c r="BE586" i="7"/>
  <c r="BF586" i="7"/>
  <c r="BG586" i="7"/>
  <c r="BH586" i="7"/>
  <c r="BK586" i="7"/>
  <c r="BL586" i="7"/>
  <c r="BM586" i="7"/>
  <c r="BN586" i="7"/>
  <c r="BO586" i="7"/>
  <c r="BP586" i="7"/>
  <c r="BQ586" i="7"/>
  <c r="BR58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 s="1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 s="1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K48" i="7"/>
  <c r="BL48" i="7"/>
  <c r="BM48" i="7"/>
  <c r="BN48" i="7"/>
  <c r="BO48" i="7"/>
  <c r="BP48" i="7"/>
  <c r="BQ48" i="7"/>
  <c r="BR48" i="7"/>
  <c r="W126" i="7"/>
  <c r="X126" i="7"/>
  <c r="Y126" i="7"/>
  <c r="Z126" i="7"/>
  <c r="AA126" i="7"/>
  <c r="AB126" i="7"/>
  <c r="AC126" i="7" s="1"/>
  <c r="AD126" i="7"/>
  <c r="AE126" i="7"/>
  <c r="AF126" i="7"/>
  <c r="AG126" i="7"/>
  <c r="AH126" i="7"/>
  <c r="AI126" i="7"/>
  <c r="AJ126" i="7"/>
  <c r="AK126" i="7" s="1"/>
  <c r="AL126" i="7"/>
  <c r="AM126" i="7"/>
  <c r="AN126" i="7"/>
  <c r="AO126" i="7"/>
  <c r="AP126" i="7"/>
  <c r="AQ126" i="7"/>
  <c r="AR126" i="7"/>
  <c r="AS126" i="7" s="1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 s="1"/>
  <c r="BJ126" i="7"/>
  <c r="BK126" i="7"/>
  <c r="BL126" i="7"/>
  <c r="BM126" i="7"/>
  <c r="BN126" i="7"/>
  <c r="BO126" i="7"/>
  <c r="BP126" i="7"/>
  <c r="BQ126" i="7"/>
  <c r="BR12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M36" i="7"/>
  <c r="AN36" i="7"/>
  <c r="AO36" i="7"/>
  <c r="AP36" i="7"/>
  <c r="AQ36" i="7"/>
  <c r="AR36" i="7"/>
  <c r="AS36" i="7" s="1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W603" i="7"/>
  <c r="X603" i="7"/>
  <c r="Y603" i="7"/>
  <c r="Z603" i="7"/>
  <c r="AA603" i="7"/>
  <c r="AB603" i="7"/>
  <c r="AC603" i="7" s="1"/>
  <c r="AD603" i="7"/>
  <c r="AE603" i="7"/>
  <c r="AF603" i="7"/>
  <c r="AG603" i="7"/>
  <c r="AH603" i="7"/>
  <c r="AI603" i="7"/>
  <c r="AJ603" i="7"/>
  <c r="AK603" i="7"/>
  <c r="AL603" i="7"/>
  <c r="AM603" i="7"/>
  <c r="AN603" i="7"/>
  <c r="AO603" i="7"/>
  <c r="AP603" i="7"/>
  <c r="AQ603" i="7"/>
  <c r="AR603" i="7"/>
  <c r="AS603" i="7"/>
  <c r="AT603" i="7"/>
  <c r="AU603" i="7"/>
  <c r="AV603" i="7"/>
  <c r="AW603" i="7"/>
  <c r="AX603" i="7"/>
  <c r="AY603" i="7"/>
  <c r="AZ603" i="7"/>
  <c r="BA603" i="7"/>
  <c r="BB603" i="7"/>
  <c r="BC603" i="7"/>
  <c r="BD603" i="7"/>
  <c r="BE603" i="7"/>
  <c r="BF603" i="7"/>
  <c r="BG603" i="7"/>
  <c r="BH603" i="7"/>
  <c r="BI603" i="7" s="1"/>
  <c r="BJ603" i="7"/>
  <c r="BK603" i="7"/>
  <c r="BL603" i="7"/>
  <c r="BM603" i="7"/>
  <c r="BN603" i="7"/>
  <c r="BO603" i="7"/>
  <c r="BP603" i="7"/>
  <c r="BQ603" i="7"/>
  <c r="BR603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 s="1"/>
  <c r="AL101" i="7"/>
  <c r="AM101" i="7"/>
  <c r="AN101" i="7"/>
  <c r="AO101" i="7"/>
  <c r="AP101" i="7"/>
  <c r="AQ101" i="7"/>
  <c r="AR101" i="7"/>
  <c r="AS101" i="7" s="1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 s="1"/>
  <c r="BJ101" i="7"/>
  <c r="BK101" i="7"/>
  <c r="BL101" i="7"/>
  <c r="BM101" i="7"/>
  <c r="BN101" i="7"/>
  <c r="BO101" i="7"/>
  <c r="BP101" i="7"/>
  <c r="BQ101" i="7"/>
  <c r="BR101" i="7"/>
  <c r="W24" i="7"/>
  <c r="X24" i="7"/>
  <c r="Y24" i="7"/>
  <c r="Z24" i="7"/>
  <c r="AA24" i="7"/>
  <c r="AB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W601" i="7"/>
  <c r="X601" i="7"/>
  <c r="Y601" i="7"/>
  <c r="Z601" i="7"/>
  <c r="AA601" i="7"/>
  <c r="AB601" i="7"/>
  <c r="AD601" i="7"/>
  <c r="AE601" i="7"/>
  <c r="AF601" i="7"/>
  <c r="AG601" i="7"/>
  <c r="AH601" i="7"/>
  <c r="AI601" i="7"/>
  <c r="AJ601" i="7"/>
  <c r="AK601" i="7" s="1"/>
  <c r="AL601" i="7"/>
  <c r="AM601" i="7"/>
  <c r="AN601" i="7"/>
  <c r="AO601" i="7"/>
  <c r="AP601" i="7"/>
  <c r="AQ601" i="7"/>
  <c r="AR601" i="7"/>
  <c r="AS601" i="7"/>
  <c r="AT601" i="7"/>
  <c r="AU601" i="7"/>
  <c r="AV601" i="7"/>
  <c r="AW601" i="7"/>
  <c r="AX601" i="7"/>
  <c r="AY601" i="7"/>
  <c r="AZ601" i="7"/>
  <c r="BA601" i="7"/>
  <c r="BB601" i="7"/>
  <c r="BC601" i="7"/>
  <c r="BD601" i="7"/>
  <c r="BE601" i="7"/>
  <c r="BF601" i="7"/>
  <c r="BG601" i="7"/>
  <c r="BH601" i="7"/>
  <c r="BI601" i="7"/>
  <c r="BJ601" i="7"/>
  <c r="BK601" i="7"/>
  <c r="BL601" i="7"/>
  <c r="BM601" i="7"/>
  <c r="BN601" i="7"/>
  <c r="BO601" i="7"/>
  <c r="BP601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 s="1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 s="1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J28" i="7"/>
  <c r="BK28" i="7"/>
  <c r="BL28" i="7"/>
  <c r="BM28" i="7"/>
  <c r="BN28" i="7"/>
  <c r="BO28" i="7"/>
  <c r="BP28" i="7"/>
  <c r="W606" i="7"/>
  <c r="X606" i="7"/>
  <c r="Y606" i="7"/>
  <c r="Z606" i="7"/>
  <c r="AA606" i="7"/>
  <c r="AB606" i="7"/>
  <c r="AE606" i="7"/>
  <c r="AF606" i="7"/>
  <c r="AG606" i="7"/>
  <c r="AH606" i="7"/>
  <c r="AI606" i="7"/>
  <c r="AJ606" i="7"/>
  <c r="AK606" i="7"/>
  <c r="AL606" i="7"/>
  <c r="AM606" i="7"/>
  <c r="AN606" i="7"/>
  <c r="AO606" i="7"/>
  <c r="AP606" i="7"/>
  <c r="AQ606" i="7"/>
  <c r="AR606" i="7"/>
  <c r="AS606" i="7"/>
  <c r="AT606" i="7"/>
  <c r="AU606" i="7"/>
  <c r="AV606" i="7"/>
  <c r="AW606" i="7"/>
  <c r="AX606" i="7"/>
  <c r="AY606" i="7"/>
  <c r="AZ606" i="7"/>
  <c r="BA606" i="7"/>
  <c r="BB606" i="7"/>
  <c r="BC606" i="7"/>
  <c r="BD606" i="7"/>
  <c r="BE606" i="7"/>
  <c r="BF606" i="7"/>
  <c r="BG606" i="7"/>
  <c r="BH606" i="7"/>
  <c r="BI606" i="7"/>
  <c r="BJ606" i="7"/>
  <c r="BK606" i="7"/>
  <c r="BL606" i="7"/>
  <c r="BM606" i="7"/>
  <c r="BN606" i="7"/>
  <c r="BO606" i="7"/>
  <c r="BP606" i="7"/>
  <c r="BQ606" i="7"/>
  <c r="BR606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 s="1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W571" i="7"/>
  <c r="X571" i="7"/>
  <c r="Y571" i="7"/>
  <c r="Z571" i="7"/>
  <c r="AA571" i="7"/>
  <c r="AB571" i="7"/>
  <c r="AC571" i="7"/>
  <c r="AD571" i="7"/>
  <c r="AE571" i="7"/>
  <c r="AF571" i="7"/>
  <c r="AG571" i="7"/>
  <c r="AH571" i="7"/>
  <c r="AI571" i="7"/>
  <c r="AJ571" i="7"/>
  <c r="AK571" i="7"/>
  <c r="AL571" i="7"/>
  <c r="AM571" i="7"/>
  <c r="AN571" i="7"/>
  <c r="AO571" i="7"/>
  <c r="AP571" i="7"/>
  <c r="AQ571" i="7"/>
  <c r="AR571" i="7"/>
  <c r="AS571" i="7"/>
  <c r="AT571" i="7"/>
  <c r="AU571" i="7"/>
  <c r="AV571" i="7"/>
  <c r="AW571" i="7"/>
  <c r="AX571" i="7"/>
  <c r="AY571" i="7"/>
  <c r="AZ571" i="7"/>
  <c r="BA571" i="7"/>
  <c r="BB571" i="7"/>
  <c r="BC571" i="7"/>
  <c r="BD571" i="7"/>
  <c r="BE571" i="7"/>
  <c r="BF571" i="7"/>
  <c r="BG571" i="7"/>
  <c r="BH571" i="7"/>
  <c r="BI571" i="7"/>
  <c r="BJ571" i="7"/>
  <c r="BK571" i="7"/>
  <c r="BL571" i="7"/>
  <c r="BM571" i="7"/>
  <c r="BN571" i="7"/>
  <c r="BO571" i="7"/>
  <c r="BP571" i="7"/>
  <c r="BQ571" i="7"/>
  <c r="BR571" i="7"/>
  <c r="W605" i="7"/>
  <c r="X605" i="7"/>
  <c r="Y605" i="7"/>
  <c r="Z605" i="7"/>
  <c r="AA605" i="7"/>
  <c r="AB605" i="7"/>
  <c r="AC605" i="7"/>
  <c r="AD605" i="7"/>
  <c r="AE605" i="7"/>
  <c r="AF605" i="7"/>
  <c r="AG605" i="7"/>
  <c r="AH605" i="7"/>
  <c r="AI605" i="7"/>
  <c r="AJ605" i="7"/>
  <c r="AK605" i="7"/>
  <c r="AL605" i="7"/>
  <c r="AM605" i="7"/>
  <c r="AN605" i="7"/>
  <c r="AO605" i="7"/>
  <c r="AP605" i="7"/>
  <c r="AQ605" i="7"/>
  <c r="AR605" i="7"/>
  <c r="AS605" i="7"/>
  <c r="AT605" i="7"/>
  <c r="AU605" i="7"/>
  <c r="AV605" i="7"/>
  <c r="AW605" i="7"/>
  <c r="AX605" i="7"/>
  <c r="AY605" i="7"/>
  <c r="AZ605" i="7"/>
  <c r="BA605" i="7"/>
  <c r="BB605" i="7"/>
  <c r="BC605" i="7"/>
  <c r="BD605" i="7"/>
  <c r="BE605" i="7"/>
  <c r="BF605" i="7"/>
  <c r="BG605" i="7"/>
  <c r="BH605" i="7"/>
  <c r="BI605" i="7"/>
  <c r="BJ605" i="7"/>
  <c r="BK605" i="7"/>
  <c r="BL605" i="7"/>
  <c r="BM605" i="7"/>
  <c r="BN605" i="7"/>
  <c r="BO605" i="7"/>
  <c r="BP605" i="7"/>
  <c r="BQ605" i="7"/>
  <c r="BR605" i="7"/>
  <c r="W599" i="7"/>
  <c r="X599" i="7"/>
  <c r="Y599" i="7"/>
  <c r="Z599" i="7"/>
  <c r="AA599" i="7"/>
  <c r="AB599" i="7"/>
  <c r="AC599" i="7"/>
  <c r="AD599" i="7"/>
  <c r="AE599" i="7"/>
  <c r="AF599" i="7"/>
  <c r="AG599" i="7"/>
  <c r="AH599" i="7"/>
  <c r="AI599" i="7"/>
  <c r="AJ599" i="7"/>
  <c r="AK599" i="7"/>
  <c r="AL599" i="7"/>
  <c r="AM599" i="7"/>
  <c r="AN599" i="7"/>
  <c r="AO599" i="7"/>
  <c r="AP599" i="7"/>
  <c r="AQ599" i="7"/>
  <c r="AR599" i="7"/>
  <c r="AS599" i="7"/>
  <c r="AT599" i="7"/>
  <c r="AU599" i="7"/>
  <c r="AV599" i="7"/>
  <c r="AW599" i="7"/>
  <c r="AX599" i="7"/>
  <c r="AY599" i="7"/>
  <c r="AZ599" i="7"/>
  <c r="BA599" i="7"/>
  <c r="BB599" i="7"/>
  <c r="BC599" i="7"/>
  <c r="BD599" i="7"/>
  <c r="BE599" i="7"/>
  <c r="BF599" i="7"/>
  <c r="BG599" i="7"/>
  <c r="BH599" i="7"/>
  <c r="BI599" i="7"/>
  <c r="BJ599" i="7"/>
  <c r="BK599" i="7"/>
  <c r="BL599" i="7"/>
  <c r="BM599" i="7"/>
  <c r="BN599" i="7"/>
  <c r="BO599" i="7"/>
  <c r="BP599" i="7"/>
  <c r="BQ599" i="7"/>
  <c r="BR599" i="7"/>
  <c r="W607" i="7"/>
  <c r="X607" i="7"/>
  <c r="Y607" i="7"/>
  <c r="Z607" i="7"/>
  <c r="AA607" i="7"/>
  <c r="AB607" i="7"/>
  <c r="AC607" i="7"/>
  <c r="AD607" i="7"/>
  <c r="AE607" i="7"/>
  <c r="AF607" i="7"/>
  <c r="AG607" i="7"/>
  <c r="AH607" i="7"/>
  <c r="AI607" i="7"/>
  <c r="AJ607" i="7"/>
  <c r="AK607" i="7"/>
  <c r="AL607" i="7"/>
  <c r="AM607" i="7"/>
  <c r="AN607" i="7"/>
  <c r="AO607" i="7"/>
  <c r="AP607" i="7"/>
  <c r="AQ607" i="7"/>
  <c r="AR607" i="7"/>
  <c r="AS607" i="7"/>
  <c r="AT607" i="7"/>
  <c r="AU607" i="7"/>
  <c r="AV607" i="7"/>
  <c r="AW607" i="7"/>
  <c r="AX607" i="7"/>
  <c r="AY607" i="7"/>
  <c r="AZ607" i="7"/>
  <c r="BA607" i="7"/>
  <c r="BB607" i="7"/>
  <c r="BC607" i="7"/>
  <c r="BD607" i="7"/>
  <c r="BE607" i="7"/>
  <c r="BF607" i="7"/>
  <c r="BG607" i="7"/>
  <c r="BH607" i="7"/>
  <c r="BI607" i="7"/>
  <c r="BJ607" i="7"/>
  <c r="BK607" i="7"/>
  <c r="BL607" i="7"/>
  <c r="BM607" i="7"/>
  <c r="BN607" i="7"/>
  <c r="BO607" i="7"/>
  <c r="BP607" i="7"/>
  <c r="BQ607" i="7"/>
  <c r="BR607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W612" i="7"/>
  <c r="X612" i="7"/>
  <c r="Y612" i="7"/>
  <c r="Z612" i="7"/>
  <c r="AA612" i="7"/>
  <c r="AB612" i="7"/>
  <c r="AC612" i="7"/>
  <c r="AD612" i="7"/>
  <c r="AE612" i="7"/>
  <c r="AF612" i="7"/>
  <c r="AG612" i="7"/>
  <c r="AH612" i="7"/>
  <c r="AI612" i="7"/>
  <c r="AJ612" i="7"/>
  <c r="AK612" i="7"/>
  <c r="AL612" i="7"/>
  <c r="AM612" i="7"/>
  <c r="AN612" i="7"/>
  <c r="AO612" i="7"/>
  <c r="AP612" i="7"/>
  <c r="AQ612" i="7"/>
  <c r="AR612" i="7"/>
  <c r="AS612" i="7"/>
  <c r="AT612" i="7"/>
  <c r="AU612" i="7"/>
  <c r="AV612" i="7"/>
  <c r="AW612" i="7"/>
  <c r="AX612" i="7"/>
  <c r="AY612" i="7"/>
  <c r="AZ612" i="7"/>
  <c r="BA612" i="7"/>
  <c r="BB612" i="7"/>
  <c r="BC612" i="7"/>
  <c r="BD612" i="7"/>
  <c r="BE612" i="7"/>
  <c r="BF612" i="7"/>
  <c r="BG612" i="7"/>
  <c r="BH612" i="7"/>
  <c r="BI612" i="7"/>
  <c r="BJ612" i="7"/>
  <c r="BK612" i="7"/>
  <c r="BL612" i="7"/>
  <c r="BM612" i="7"/>
  <c r="BN612" i="7"/>
  <c r="BO612" i="7"/>
  <c r="BP612" i="7"/>
  <c r="BQ612" i="7"/>
  <c r="BR612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W604" i="7"/>
  <c r="X604" i="7"/>
  <c r="Y604" i="7"/>
  <c r="Z604" i="7"/>
  <c r="AA604" i="7"/>
  <c r="AB604" i="7"/>
  <c r="AC604" i="7"/>
  <c r="AD604" i="7"/>
  <c r="AE604" i="7"/>
  <c r="AF604" i="7"/>
  <c r="AG604" i="7"/>
  <c r="AH604" i="7"/>
  <c r="AI604" i="7"/>
  <c r="AJ604" i="7"/>
  <c r="AK604" i="7"/>
  <c r="AL604" i="7"/>
  <c r="AM604" i="7"/>
  <c r="AN604" i="7"/>
  <c r="AO604" i="7"/>
  <c r="AP604" i="7"/>
  <c r="AQ604" i="7"/>
  <c r="AR604" i="7"/>
  <c r="AS604" i="7"/>
  <c r="AT604" i="7"/>
  <c r="AU604" i="7"/>
  <c r="AV604" i="7"/>
  <c r="AW604" i="7"/>
  <c r="AX604" i="7"/>
  <c r="AY604" i="7"/>
  <c r="AZ604" i="7"/>
  <c r="BA604" i="7"/>
  <c r="BB604" i="7"/>
  <c r="BC604" i="7"/>
  <c r="BD604" i="7"/>
  <c r="BE604" i="7"/>
  <c r="BF604" i="7"/>
  <c r="BG604" i="7"/>
  <c r="BH604" i="7"/>
  <c r="BI604" i="7"/>
  <c r="BJ604" i="7"/>
  <c r="BK604" i="7"/>
  <c r="BL604" i="7"/>
  <c r="BM604" i="7"/>
  <c r="BN604" i="7"/>
  <c r="BO604" i="7"/>
  <c r="BP604" i="7"/>
  <c r="BQ604" i="7"/>
  <c r="BR604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AK394" i="7"/>
  <c r="AL394" i="7"/>
  <c r="AM394" i="7"/>
  <c r="AN394" i="7"/>
  <c r="AO394" i="7"/>
  <c r="AP394" i="7"/>
  <c r="AQ394" i="7"/>
  <c r="AR394" i="7"/>
  <c r="AS394" i="7"/>
  <c r="AT394" i="7"/>
  <c r="AU394" i="7"/>
  <c r="AV394" i="7"/>
  <c r="AW394" i="7"/>
  <c r="AX394" i="7"/>
  <c r="AY394" i="7"/>
  <c r="AZ394" i="7"/>
  <c r="BA394" i="7"/>
  <c r="BB394" i="7"/>
  <c r="BC394" i="7"/>
  <c r="BD394" i="7"/>
  <c r="BE394" i="7"/>
  <c r="BF394" i="7"/>
  <c r="BG394" i="7"/>
  <c r="BH394" i="7"/>
  <c r="BI394" i="7" s="1"/>
  <c r="BJ394" i="7"/>
  <c r="BK394" i="7"/>
  <c r="BL394" i="7"/>
  <c r="BM394" i="7"/>
  <c r="BN394" i="7"/>
  <c r="BO394" i="7"/>
  <c r="BP394" i="7"/>
  <c r="BQ394" i="7"/>
  <c r="BR394" i="7"/>
  <c r="W580" i="7"/>
  <c r="X580" i="7"/>
  <c r="Y580" i="7"/>
  <c r="Z580" i="7"/>
  <c r="AA580" i="7"/>
  <c r="AB580" i="7"/>
  <c r="AC580" i="7"/>
  <c r="AD580" i="7"/>
  <c r="AE580" i="7"/>
  <c r="AF580" i="7"/>
  <c r="AG580" i="7"/>
  <c r="AH580" i="7"/>
  <c r="AI580" i="7"/>
  <c r="AJ580" i="7"/>
  <c r="AK580" i="7"/>
  <c r="AL580" i="7"/>
  <c r="AM580" i="7"/>
  <c r="AN580" i="7"/>
  <c r="AO580" i="7"/>
  <c r="AP580" i="7"/>
  <c r="AQ580" i="7"/>
  <c r="AR580" i="7"/>
  <c r="AS580" i="7" s="1"/>
  <c r="AT580" i="7"/>
  <c r="AU580" i="7"/>
  <c r="AV580" i="7"/>
  <c r="AW580" i="7"/>
  <c r="AX580" i="7"/>
  <c r="AY580" i="7"/>
  <c r="AZ580" i="7"/>
  <c r="BA580" i="7"/>
  <c r="BB580" i="7"/>
  <c r="BC580" i="7"/>
  <c r="BD580" i="7"/>
  <c r="BE580" i="7"/>
  <c r="BF580" i="7"/>
  <c r="BG580" i="7"/>
  <c r="BH580" i="7"/>
  <c r="BI580" i="7"/>
  <c r="BJ580" i="7"/>
  <c r="BK580" i="7"/>
  <c r="BL580" i="7"/>
  <c r="BM580" i="7"/>
  <c r="BN580" i="7"/>
  <c r="BO580" i="7"/>
  <c r="BP580" i="7"/>
  <c r="BQ580" i="7"/>
  <c r="BR580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W32" i="7"/>
  <c r="X32" i="7"/>
  <c r="Y32" i="7"/>
  <c r="Z32" i="7"/>
  <c r="AA32" i="7"/>
  <c r="AB32" i="7"/>
  <c r="AC32" i="7" s="1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 s="1"/>
  <c r="BJ32" i="7"/>
  <c r="BK32" i="7"/>
  <c r="BL32" i="7"/>
  <c r="BM32" i="7"/>
  <c r="BN32" i="7"/>
  <c r="BO32" i="7"/>
  <c r="BP32" i="7"/>
  <c r="BQ32" i="7" s="1"/>
  <c r="BR32" i="7"/>
  <c r="W578" i="7"/>
  <c r="X578" i="7"/>
  <c r="Y578" i="7"/>
  <c r="Z578" i="7"/>
  <c r="AA578" i="7"/>
  <c r="AB578" i="7"/>
  <c r="AC578" i="7" s="1"/>
  <c r="AD578" i="7"/>
  <c r="AE578" i="7"/>
  <c r="AF578" i="7"/>
  <c r="AG578" i="7"/>
  <c r="AH578" i="7"/>
  <c r="AI578" i="7"/>
  <c r="AJ578" i="7"/>
  <c r="AK578" i="7"/>
  <c r="AL578" i="7"/>
  <c r="AM578" i="7"/>
  <c r="AN578" i="7"/>
  <c r="AO578" i="7"/>
  <c r="AP578" i="7"/>
  <c r="AQ578" i="7"/>
  <c r="AR578" i="7"/>
  <c r="AS578" i="7"/>
  <c r="AT578" i="7"/>
  <c r="AU578" i="7"/>
  <c r="AV578" i="7"/>
  <c r="AW578" i="7"/>
  <c r="AX578" i="7"/>
  <c r="AY578" i="7"/>
  <c r="AZ578" i="7"/>
  <c r="BA578" i="7"/>
  <c r="BB578" i="7"/>
  <c r="BC578" i="7"/>
  <c r="BD578" i="7"/>
  <c r="BE578" i="7"/>
  <c r="BF578" i="7"/>
  <c r="BG578" i="7"/>
  <c r="BH578" i="7"/>
  <c r="BI578" i="7"/>
  <c r="BJ578" i="7"/>
  <c r="BK578" i="7"/>
  <c r="BL578" i="7"/>
  <c r="BM578" i="7"/>
  <c r="BN578" i="7"/>
  <c r="BO578" i="7"/>
  <c r="BP578" i="7"/>
  <c r="BQ578" i="7"/>
  <c r="BR578" i="7"/>
  <c r="W133" i="7"/>
  <c r="X133" i="7"/>
  <c r="Y133" i="7"/>
  <c r="Z133" i="7"/>
  <c r="AA133" i="7"/>
  <c r="AB133" i="7"/>
  <c r="AC133" i="7" s="1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 s="1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W608" i="7"/>
  <c r="X608" i="7"/>
  <c r="Y608" i="7"/>
  <c r="Z608" i="7"/>
  <c r="AA608" i="7"/>
  <c r="AB608" i="7"/>
  <c r="AC608" i="7"/>
  <c r="AD608" i="7"/>
  <c r="AE608" i="7"/>
  <c r="AF608" i="7"/>
  <c r="AG608" i="7"/>
  <c r="AH608" i="7"/>
  <c r="AI608" i="7"/>
  <c r="AJ608" i="7"/>
  <c r="AK608" i="7"/>
  <c r="AL608" i="7"/>
  <c r="AM608" i="7"/>
  <c r="AN608" i="7"/>
  <c r="AO608" i="7"/>
  <c r="AP608" i="7"/>
  <c r="AQ608" i="7"/>
  <c r="AR608" i="7"/>
  <c r="AU608" i="7"/>
  <c r="AV608" i="7"/>
  <c r="AW608" i="7"/>
  <c r="AX608" i="7"/>
  <c r="AY608" i="7"/>
  <c r="AZ608" i="7"/>
  <c r="BA608" i="7"/>
  <c r="BB608" i="7"/>
  <c r="BC608" i="7"/>
  <c r="BD608" i="7"/>
  <c r="BE608" i="7"/>
  <c r="BF608" i="7"/>
  <c r="BG608" i="7"/>
  <c r="BH608" i="7"/>
  <c r="BI608" i="7"/>
  <c r="BJ608" i="7"/>
  <c r="BK608" i="7"/>
  <c r="BL608" i="7"/>
  <c r="BM608" i="7"/>
  <c r="BN608" i="7"/>
  <c r="BO608" i="7"/>
  <c r="BP608" i="7"/>
  <c r="BQ608" i="7"/>
  <c r="BR608" i="7"/>
  <c r="W609" i="7"/>
  <c r="X609" i="7"/>
  <c r="Y609" i="7"/>
  <c r="Z609" i="7"/>
  <c r="AA609" i="7"/>
  <c r="AB609" i="7"/>
  <c r="AC609" i="7"/>
  <c r="AD609" i="7"/>
  <c r="AE609" i="7"/>
  <c r="AF609" i="7"/>
  <c r="AG609" i="7"/>
  <c r="AH609" i="7"/>
  <c r="AI609" i="7"/>
  <c r="AJ609" i="7"/>
  <c r="AK609" i="7"/>
  <c r="AL609" i="7"/>
  <c r="AM609" i="7"/>
  <c r="AN609" i="7"/>
  <c r="AO609" i="7"/>
  <c r="AP609" i="7"/>
  <c r="AQ609" i="7"/>
  <c r="AR609" i="7"/>
  <c r="AS609" i="7"/>
  <c r="AT609" i="7"/>
  <c r="AU609" i="7"/>
  <c r="AV609" i="7"/>
  <c r="AW609" i="7"/>
  <c r="AX609" i="7"/>
  <c r="AY609" i="7"/>
  <c r="AZ609" i="7"/>
  <c r="BA609" i="7"/>
  <c r="BB609" i="7"/>
  <c r="BC609" i="7"/>
  <c r="BD609" i="7"/>
  <c r="BE609" i="7"/>
  <c r="BF609" i="7"/>
  <c r="BG609" i="7"/>
  <c r="BH609" i="7"/>
  <c r="BI609" i="7"/>
  <c r="BJ609" i="7"/>
  <c r="BK609" i="7"/>
  <c r="BL609" i="7"/>
  <c r="BM609" i="7"/>
  <c r="BN609" i="7"/>
  <c r="BO609" i="7"/>
  <c r="BP609" i="7"/>
  <c r="BR609" i="7"/>
  <c r="W602" i="7"/>
  <c r="X602" i="7"/>
  <c r="Y602" i="7"/>
  <c r="Z602" i="7"/>
  <c r="AA602" i="7"/>
  <c r="AB602" i="7"/>
  <c r="AC602" i="7"/>
  <c r="AD602" i="7"/>
  <c r="AE602" i="7"/>
  <c r="AF602" i="7"/>
  <c r="AG602" i="7"/>
  <c r="AH602" i="7"/>
  <c r="AI602" i="7"/>
  <c r="AJ602" i="7"/>
  <c r="AK602" i="7"/>
  <c r="AL602" i="7"/>
  <c r="AM602" i="7"/>
  <c r="AN602" i="7"/>
  <c r="AO602" i="7"/>
  <c r="AP602" i="7"/>
  <c r="AQ602" i="7"/>
  <c r="AR602" i="7"/>
  <c r="AS602" i="7"/>
  <c r="AT602" i="7"/>
  <c r="AU602" i="7"/>
  <c r="AV602" i="7"/>
  <c r="AW602" i="7"/>
  <c r="AX602" i="7"/>
  <c r="AY602" i="7"/>
  <c r="AZ602" i="7"/>
  <c r="BA602" i="7"/>
  <c r="BB602" i="7"/>
  <c r="BC602" i="7"/>
  <c r="BD602" i="7"/>
  <c r="BE602" i="7"/>
  <c r="BF602" i="7"/>
  <c r="BG602" i="7"/>
  <c r="BH602" i="7"/>
  <c r="BI602" i="7"/>
  <c r="BJ602" i="7"/>
  <c r="BK602" i="7"/>
  <c r="BL602" i="7"/>
  <c r="BM602" i="7"/>
  <c r="BN602" i="7"/>
  <c r="BO602" i="7"/>
  <c r="BP602" i="7"/>
  <c r="BQ602" i="7"/>
  <c r="BR602" i="7"/>
  <c r="W591" i="7"/>
  <c r="X591" i="7"/>
  <c r="Y591" i="7"/>
  <c r="Z591" i="7"/>
  <c r="AA591" i="7"/>
  <c r="AB591" i="7"/>
  <c r="AC591" i="7"/>
  <c r="AD591" i="7"/>
  <c r="AE591" i="7"/>
  <c r="AF591" i="7"/>
  <c r="AG591" i="7"/>
  <c r="AH591" i="7"/>
  <c r="AI591" i="7"/>
  <c r="AJ591" i="7"/>
  <c r="AK591" i="7"/>
  <c r="AL591" i="7"/>
  <c r="AM591" i="7"/>
  <c r="AN591" i="7"/>
  <c r="AO591" i="7"/>
  <c r="AP591" i="7"/>
  <c r="AQ591" i="7"/>
  <c r="AR591" i="7"/>
  <c r="AS591" i="7"/>
  <c r="AT591" i="7"/>
  <c r="AU591" i="7"/>
  <c r="AV591" i="7"/>
  <c r="AW591" i="7"/>
  <c r="AX591" i="7"/>
  <c r="AY591" i="7"/>
  <c r="AZ591" i="7"/>
  <c r="BA591" i="7"/>
  <c r="BB591" i="7"/>
  <c r="BC591" i="7"/>
  <c r="BD591" i="7"/>
  <c r="BE591" i="7"/>
  <c r="BF591" i="7"/>
  <c r="BG591" i="7"/>
  <c r="BH591" i="7"/>
  <c r="BI591" i="7"/>
  <c r="BJ591" i="7"/>
  <c r="BK591" i="7"/>
  <c r="BL591" i="7"/>
  <c r="BM591" i="7"/>
  <c r="BN591" i="7"/>
  <c r="BO591" i="7"/>
  <c r="BP591" i="7"/>
  <c r="BQ591" i="7"/>
  <c r="BR591" i="7"/>
  <c r="W539" i="7"/>
  <c r="X539" i="7"/>
  <c r="Y539" i="7"/>
  <c r="Z539" i="7"/>
  <c r="AA539" i="7"/>
  <c r="AB539" i="7"/>
  <c r="AC539" i="7"/>
  <c r="AD539" i="7"/>
  <c r="AE539" i="7"/>
  <c r="AF539" i="7"/>
  <c r="AG539" i="7"/>
  <c r="AH539" i="7"/>
  <c r="AI539" i="7"/>
  <c r="AJ539" i="7"/>
  <c r="AK539" i="7"/>
  <c r="AL539" i="7"/>
  <c r="AM539" i="7"/>
  <c r="AN539" i="7"/>
  <c r="AO539" i="7"/>
  <c r="AP539" i="7"/>
  <c r="AQ539" i="7"/>
  <c r="AR539" i="7"/>
  <c r="AS539" i="7" s="1"/>
  <c r="AT539" i="7"/>
  <c r="AU539" i="7"/>
  <c r="AV539" i="7"/>
  <c r="AW539" i="7"/>
  <c r="AX539" i="7"/>
  <c r="AY539" i="7"/>
  <c r="AZ539" i="7"/>
  <c r="BA539" i="7"/>
  <c r="BB539" i="7"/>
  <c r="BC539" i="7"/>
  <c r="BD539" i="7"/>
  <c r="BE539" i="7"/>
  <c r="BF539" i="7"/>
  <c r="BG539" i="7"/>
  <c r="BH539" i="7"/>
  <c r="BI539" i="7"/>
  <c r="BJ539" i="7"/>
  <c r="BK539" i="7"/>
  <c r="BL539" i="7"/>
  <c r="BM539" i="7"/>
  <c r="BN539" i="7"/>
  <c r="BO539" i="7"/>
  <c r="BP539" i="7"/>
  <c r="BQ539" i="7"/>
  <c r="BR539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 s="1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W584" i="7"/>
  <c r="X584" i="7"/>
  <c r="Y584" i="7"/>
  <c r="Z584" i="7"/>
  <c r="AA584" i="7"/>
  <c r="AB584" i="7"/>
  <c r="AC584" i="7"/>
  <c r="AD584" i="7"/>
  <c r="AE584" i="7"/>
  <c r="AF584" i="7"/>
  <c r="AG584" i="7"/>
  <c r="AH584" i="7"/>
  <c r="AI584" i="7"/>
  <c r="AJ584" i="7"/>
  <c r="AK584" i="7"/>
  <c r="AL584" i="7"/>
  <c r="AM584" i="7"/>
  <c r="AN584" i="7"/>
  <c r="AO584" i="7"/>
  <c r="AP584" i="7"/>
  <c r="AQ584" i="7"/>
  <c r="AR584" i="7"/>
  <c r="AS584" i="7"/>
  <c r="AT584" i="7"/>
  <c r="AU584" i="7"/>
  <c r="AV584" i="7"/>
  <c r="AW584" i="7"/>
  <c r="AX584" i="7"/>
  <c r="AY584" i="7"/>
  <c r="AZ584" i="7"/>
  <c r="BA584" i="7"/>
  <c r="BB584" i="7"/>
  <c r="BC584" i="7"/>
  <c r="BD584" i="7"/>
  <c r="BE584" i="7"/>
  <c r="BF584" i="7"/>
  <c r="BG584" i="7"/>
  <c r="BH584" i="7"/>
  <c r="BI584" i="7" s="1"/>
  <c r="BJ584" i="7"/>
  <c r="BK584" i="7"/>
  <c r="BL584" i="7"/>
  <c r="BM584" i="7"/>
  <c r="BN584" i="7"/>
  <c r="BO584" i="7"/>
  <c r="BP584" i="7"/>
  <c r="W595" i="7"/>
  <c r="X595" i="7"/>
  <c r="Y595" i="7"/>
  <c r="Z595" i="7"/>
  <c r="AA595" i="7"/>
  <c r="AB595" i="7"/>
  <c r="AC595" i="7"/>
  <c r="AD595" i="7"/>
  <c r="AE595" i="7"/>
  <c r="AF595" i="7"/>
  <c r="AG595" i="7"/>
  <c r="AH595" i="7"/>
  <c r="AI595" i="7"/>
  <c r="AJ595" i="7"/>
  <c r="AK595" i="7"/>
  <c r="AL595" i="7"/>
  <c r="AM595" i="7"/>
  <c r="AN595" i="7"/>
  <c r="AO595" i="7"/>
  <c r="AP595" i="7"/>
  <c r="AQ595" i="7"/>
  <c r="AR595" i="7"/>
  <c r="AS595" i="7"/>
  <c r="AT595" i="7"/>
  <c r="AU595" i="7"/>
  <c r="AV595" i="7"/>
  <c r="AW595" i="7"/>
  <c r="AX595" i="7"/>
  <c r="AY595" i="7"/>
  <c r="AZ595" i="7"/>
  <c r="BA595" i="7" s="1"/>
  <c r="BB595" i="7"/>
  <c r="BC595" i="7"/>
  <c r="BD595" i="7"/>
  <c r="BE595" i="7"/>
  <c r="BF595" i="7"/>
  <c r="BG595" i="7"/>
  <c r="BH595" i="7"/>
  <c r="BK595" i="7"/>
  <c r="BL595" i="7"/>
  <c r="BM595" i="7"/>
  <c r="BN595" i="7"/>
  <c r="BO595" i="7"/>
  <c r="BP595" i="7"/>
  <c r="BQ595" i="7"/>
  <c r="BR595" i="7"/>
  <c r="W597" i="7"/>
  <c r="X597" i="7"/>
  <c r="Y597" i="7"/>
  <c r="Z597" i="7"/>
  <c r="AA597" i="7"/>
  <c r="AB597" i="7"/>
  <c r="AC597" i="7" s="1"/>
  <c r="AD597" i="7"/>
  <c r="AE597" i="7"/>
  <c r="AF597" i="7"/>
  <c r="AG597" i="7"/>
  <c r="AH597" i="7"/>
  <c r="AI597" i="7"/>
  <c r="AJ597" i="7"/>
  <c r="AK597" i="7"/>
  <c r="AL597" i="7"/>
  <c r="AM597" i="7"/>
  <c r="AN597" i="7"/>
  <c r="AO597" i="7"/>
  <c r="AP597" i="7"/>
  <c r="AQ597" i="7"/>
  <c r="AR597" i="7"/>
  <c r="AS597" i="7"/>
  <c r="AT597" i="7"/>
  <c r="AU597" i="7"/>
  <c r="AV597" i="7"/>
  <c r="AW597" i="7"/>
  <c r="AX597" i="7"/>
  <c r="AY597" i="7"/>
  <c r="AZ597" i="7"/>
  <c r="BA597" i="7"/>
  <c r="BB597" i="7"/>
  <c r="BC597" i="7"/>
  <c r="BD597" i="7"/>
  <c r="BE597" i="7"/>
  <c r="BF597" i="7"/>
  <c r="BG597" i="7"/>
  <c r="BH597" i="7"/>
  <c r="BI597" i="7"/>
  <c r="BJ597" i="7"/>
  <c r="BK597" i="7"/>
  <c r="BL597" i="7"/>
  <c r="BM597" i="7"/>
  <c r="BN597" i="7"/>
  <c r="BO597" i="7"/>
  <c r="BP597" i="7"/>
  <c r="BQ597" i="7"/>
  <c r="BR597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W166" i="7"/>
  <c r="X166" i="7"/>
  <c r="Y166" i="7"/>
  <c r="Z166" i="7"/>
  <c r="AA166" i="7"/>
  <c r="AB166" i="7"/>
  <c r="AC166" i="7" s="1"/>
  <c r="AD166" i="7"/>
  <c r="AE166" i="7"/>
  <c r="AF166" i="7"/>
  <c r="AG166" i="7"/>
  <c r="AH166" i="7"/>
  <c r="AI166" i="7"/>
  <c r="AJ166" i="7"/>
  <c r="AK166" i="7"/>
  <c r="AL166" i="7"/>
  <c r="AM166" i="7"/>
  <c r="AN166" i="7"/>
  <c r="AO166" i="7"/>
  <c r="AP166" i="7"/>
  <c r="AQ166" i="7"/>
  <c r="AR166" i="7"/>
  <c r="AU166" i="7"/>
  <c r="AV166" i="7"/>
  <c r="AW166" i="7"/>
  <c r="AX166" i="7"/>
  <c r="AY166" i="7"/>
  <c r="AZ166" i="7"/>
  <c r="BA166" i="7"/>
  <c r="BB166" i="7"/>
  <c r="BC166" i="7"/>
  <c r="BD166" i="7"/>
  <c r="BE166" i="7"/>
  <c r="BF166" i="7"/>
  <c r="BG166" i="7"/>
  <c r="BH166" i="7"/>
  <c r="BI166" i="7"/>
  <c r="BJ166" i="7"/>
  <c r="BK166" i="7"/>
  <c r="BL166" i="7"/>
  <c r="BM166" i="7"/>
  <c r="BN166" i="7"/>
  <c r="BO166" i="7"/>
  <c r="BP166" i="7"/>
  <c r="BQ166" i="7"/>
  <c r="BR166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W590" i="7"/>
  <c r="X590" i="7"/>
  <c r="Y590" i="7"/>
  <c r="Z590" i="7"/>
  <c r="AA590" i="7"/>
  <c r="AB590" i="7"/>
  <c r="AC590" i="7"/>
  <c r="AD590" i="7"/>
  <c r="AE590" i="7"/>
  <c r="AF590" i="7"/>
  <c r="AG590" i="7"/>
  <c r="AH590" i="7"/>
  <c r="AI590" i="7"/>
  <c r="AJ590" i="7"/>
  <c r="AK590" i="7"/>
  <c r="AL590" i="7"/>
  <c r="AM590" i="7"/>
  <c r="AN590" i="7"/>
  <c r="AO590" i="7"/>
  <c r="AP590" i="7"/>
  <c r="AQ590" i="7"/>
  <c r="AR590" i="7"/>
  <c r="AS590" i="7"/>
  <c r="AT590" i="7"/>
  <c r="AU590" i="7"/>
  <c r="AV590" i="7"/>
  <c r="AW590" i="7"/>
  <c r="AX590" i="7"/>
  <c r="AY590" i="7"/>
  <c r="AZ590" i="7"/>
  <c r="BA590" i="7"/>
  <c r="BB590" i="7"/>
  <c r="BC590" i="7"/>
  <c r="BD590" i="7"/>
  <c r="BE590" i="7"/>
  <c r="BF590" i="7"/>
  <c r="BG590" i="7"/>
  <c r="BH590" i="7"/>
  <c r="BI590" i="7"/>
  <c r="BJ590" i="7"/>
  <c r="BK590" i="7"/>
  <c r="BL590" i="7"/>
  <c r="BM590" i="7"/>
  <c r="BN590" i="7"/>
  <c r="BO590" i="7"/>
  <c r="BP590" i="7"/>
  <c r="BQ590" i="7"/>
  <c r="BR590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W600" i="7"/>
  <c r="X600" i="7"/>
  <c r="Y600" i="7"/>
  <c r="Z600" i="7"/>
  <c r="AA600" i="7"/>
  <c r="AB600" i="7"/>
  <c r="AC600" i="7"/>
  <c r="AD600" i="7"/>
  <c r="AE600" i="7"/>
  <c r="AF600" i="7"/>
  <c r="AG600" i="7"/>
  <c r="AH600" i="7"/>
  <c r="AI600" i="7"/>
  <c r="AJ600" i="7"/>
  <c r="AK600" i="7"/>
  <c r="AL600" i="7"/>
  <c r="AM600" i="7"/>
  <c r="AN600" i="7"/>
  <c r="AO600" i="7"/>
  <c r="AP600" i="7"/>
  <c r="AQ600" i="7"/>
  <c r="AR600" i="7"/>
  <c r="AS600" i="7"/>
  <c r="AT600" i="7"/>
  <c r="AU600" i="7"/>
  <c r="AV600" i="7"/>
  <c r="AW600" i="7"/>
  <c r="AX600" i="7"/>
  <c r="AY600" i="7"/>
  <c r="AZ600" i="7"/>
  <c r="BA600" i="7"/>
  <c r="BB600" i="7"/>
  <c r="BC600" i="7"/>
  <c r="BD600" i="7"/>
  <c r="BE600" i="7"/>
  <c r="BF600" i="7"/>
  <c r="BG600" i="7"/>
  <c r="BH600" i="7"/>
  <c r="BI600" i="7"/>
  <c r="BJ600" i="7"/>
  <c r="BK600" i="7"/>
  <c r="BL600" i="7"/>
  <c r="BM600" i="7"/>
  <c r="BN600" i="7"/>
  <c r="BO600" i="7"/>
  <c r="BP600" i="7"/>
  <c r="BQ600" i="7"/>
  <c r="BR600" i="7"/>
  <c r="W557" i="7"/>
  <c r="X557" i="7"/>
  <c r="Y557" i="7"/>
  <c r="Z557" i="7"/>
  <c r="AA557" i="7"/>
  <c r="AB557" i="7"/>
  <c r="AC557" i="7"/>
  <c r="AD557" i="7"/>
  <c r="AE557" i="7"/>
  <c r="AF557" i="7"/>
  <c r="AG557" i="7"/>
  <c r="AH557" i="7"/>
  <c r="AI557" i="7"/>
  <c r="AJ557" i="7"/>
  <c r="AK557" i="7"/>
  <c r="AL557" i="7"/>
  <c r="AM557" i="7"/>
  <c r="AN557" i="7"/>
  <c r="AO557" i="7"/>
  <c r="AP557" i="7"/>
  <c r="AQ557" i="7"/>
  <c r="AR557" i="7"/>
  <c r="AS557" i="7"/>
  <c r="AT557" i="7"/>
  <c r="AU557" i="7"/>
  <c r="AV557" i="7"/>
  <c r="AW557" i="7"/>
  <c r="AX557" i="7"/>
  <c r="AY557" i="7"/>
  <c r="AZ557" i="7"/>
  <c r="BA557" i="7"/>
  <c r="BB557" i="7"/>
  <c r="BC557" i="7"/>
  <c r="BD557" i="7"/>
  <c r="BE557" i="7"/>
  <c r="BF557" i="7"/>
  <c r="BG557" i="7"/>
  <c r="BH557" i="7"/>
  <c r="BI557" i="7"/>
  <c r="BJ557" i="7"/>
  <c r="BK557" i="7"/>
  <c r="BL557" i="7"/>
  <c r="BM557" i="7"/>
  <c r="BN557" i="7"/>
  <c r="BO557" i="7"/>
  <c r="BP557" i="7"/>
  <c r="BQ557" i="7"/>
  <c r="BR557" i="7"/>
  <c r="W567" i="7"/>
  <c r="X567" i="7"/>
  <c r="Y567" i="7"/>
  <c r="Z567" i="7"/>
  <c r="AA567" i="7"/>
  <c r="AB567" i="7"/>
  <c r="AC567" i="7"/>
  <c r="AD567" i="7"/>
  <c r="AE567" i="7"/>
  <c r="AF567" i="7"/>
  <c r="AG567" i="7"/>
  <c r="AH567" i="7"/>
  <c r="AI567" i="7"/>
  <c r="AJ567" i="7"/>
  <c r="AK567" i="7"/>
  <c r="AL567" i="7"/>
  <c r="AM567" i="7"/>
  <c r="AN567" i="7"/>
  <c r="AO567" i="7"/>
  <c r="AP567" i="7"/>
  <c r="AQ567" i="7"/>
  <c r="AR567" i="7"/>
  <c r="AS567" i="7"/>
  <c r="AT567" i="7"/>
  <c r="AU567" i="7"/>
  <c r="AV567" i="7"/>
  <c r="AW567" i="7"/>
  <c r="AX567" i="7"/>
  <c r="AY567" i="7"/>
  <c r="AZ567" i="7"/>
  <c r="BA567" i="7"/>
  <c r="BB567" i="7"/>
  <c r="BC567" i="7"/>
  <c r="BD567" i="7"/>
  <c r="BE567" i="7"/>
  <c r="BF567" i="7"/>
  <c r="BG567" i="7"/>
  <c r="BH567" i="7"/>
  <c r="BI567" i="7"/>
  <c r="BJ567" i="7"/>
  <c r="BK567" i="7"/>
  <c r="BL567" i="7"/>
  <c r="BM567" i="7"/>
  <c r="BN567" i="7"/>
  <c r="BO567" i="7"/>
  <c r="BP567" i="7"/>
  <c r="BQ567" i="7"/>
  <c r="BR567" i="7"/>
  <c r="W473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AK473" i="7"/>
  <c r="AL473" i="7"/>
  <c r="AM473" i="7"/>
  <c r="AN473" i="7"/>
  <c r="AO473" i="7"/>
  <c r="AP473" i="7"/>
  <c r="AQ473" i="7"/>
  <c r="AR473" i="7"/>
  <c r="AS473" i="7"/>
  <c r="AT473" i="7"/>
  <c r="AU473" i="7"/>
  <c r="AV473" i="7"/>
  <c r="AW473" i="7"/>
  <c r="AX473" i="7"/>
  <c r="AY473" i="7"/>
  <c r="AZ473" i="7"/>
  <c r="BA473" i="7"/>
  <c r="BB473" i="7"/>
  <c r="BC473" i="7"/>
  <c r="BD473" i="7"/>
  <c r="BE473" i="7"/>
  <c r="BF473" i="7"/>
  <c r="BG473" i="7"/>
  <c r="BH473" i="7"/>
  <c r="BI473" i="7"/>
  <c r="BJ473" i="7"/>
  <c r="BK473" i="7"/>
  <c r="BL473" i="7"/>
  <c r="BM473" i="7"/>
  <c r="BN473" i="7"/>
  <c r="BO473" i="7"/>
  <c r="BP473" i="7"/>
  <c r="BQ473" i="7"/>
  <c r="BR473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L185" i="7"/>
  <c r="BM185" i="7"/>
  <c r="BN185" i="7"/>
  <c r="BO185" i="7"/>
  <c r="BP185" i="7"/>
  <c r="BQ185" i="7"/>
  <c r="BR185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K287" i="7"/>
  <c r="AL287" i="7"/>
  <c r="AM287" i="7"/>
  <c r="AN287" i="7"/>
  <c r="AO287" i="7"/>
  <c r="AP287" i="7"/>
  <c r="AQ287" i="7"/>
  <c r="AR287" i="7"/>
  <c r="AS287" i="7"/>
  <c r="AT287" i="7"/>
  <c r="AU287" i="7"/>
  <c r="AV287" i="7"/>
  <c r="AW287" i="7"/>
  <c r="AX287" i="7"/>
  <c r="AY287" i="7"/>
  <c r="AZ287" i="7"/>
  <c r="BA287" i="7"/>
  <c r="BB287" i="7"/>
  <c r="BC287" i="7"/>
  <c r="BD287" i="7"/>
  <c r="BE287" i="7"/>
  <c r="BF287" i="7"/>
  <c r="BG287" i="7"/>
  <c r="BH287" i="7"/>
  <c r="BI287" i="7"/>
  <c r="BJ287" i="7"/>
  <c r="BK287" i="7"/>
  <c r="BL287" i="7"/>
  <c r="BM287" i="7"/>
  <c r="BN287" i="7"/>
  <c r="BO287" i="7"/>
  <c r="BP287" i="7"/>
  <c r="BQ287" i="7"/>
  <c r="BR28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W594" i="7"/>
  <c r="X594" i="7"/>
  <c r="Y594" i="7"/>
  <c r="Z594" i="7"/>
  <c r="AA594" i="7"/>
  <c r="AB594" i="7"/>
  <c r="AC594" i="7"/>
  <c r="AD594" i="7"/>
  <c r="AE594" i="7"/>
  <c r="AF594" i="7"/>
  <c r="AG594" i="7"/>
  <c r="AH594" i="7"/>
  <c r="AI594" i="7"/>
  <c r="AJ594" i="7"/>
  <c r="AK594" i="7"/>
  <c r="AL594" i="7"/>
  <c r="AM594" i="7"/>
  <c r="AN594" i="7"/>
  <c r="AO594" i="7"/>
  <c r="AP594" i="7"/>
  <c r="AQ594" i="7"/>
  <c r="AR594" i="7"/>
  <c r="AS594" i="7"/>
  <c r="AT594" i="7"/>
  <c r="AU594" i="7"/>
  <c r="AV594" i="7"/>
  <c r="AW594" i="7"/>
  <c r="AX594" i="7"/>
  <c r="AY594" i="7"/>
  <c r="AZ594" i="7"/>
  <c r="BA594" i="7"/>
  <c r="BB594" i="7"/>
  <c r="BC594" i="7"/>
  <c r="BD594" i="7"/>
  <c r="BE594" i="7"/>
  <c r="BF594" i="7"/>
  <c r="BG594" i="7"/>
  <c r="BH594" i="7"/>
  <c r="BI594" i="7"/>
  <c r="BJ594" i="7"/>
  <c r="BK594" i="7"/>
  <c r="BL594" i="7"/>
  <c r="BM594" i="7"/>
  <c r="BN594" i="7"/>
  <c r="BO594" i="7"/>
  <c r="BP594" i="7"/>
  <c r="BQ594" i="7"/>
  <c r="BR594" i="7"/>
  <c r="W581" i="7"/>
  <c r="X581" i="7"/>
  <c r="Y581" i="7"/>
  <c r="Z581" i="7"/>
  <c r="AA581" i="7"/>
  <c r="AB581" i="7"/>
  <c r="AC581" i="7"/>
  <c r="AD581" i="7"/>
  <c r="AE581" i="7"/>
  <c r="AF581" i="7"/>
  <c r="AG581" i="7"/>
  <c r="AH581" i="7"/>
  <c r="AI581" i="7"/>
  <c r="AJ581" i="7"/>
  <c r="AK581" i="7"/>
  <c r="AL581" i="7"/>
  <c r="AM581" i="7"/>
  <c r="AN581" i="7"/>
  <c r="AO581" i="7"/>
  <c r="AP581" i="7"/>
  <c r="AQ581" i="7"/>
  <c r="AR581" i="7"/>
  <c r="AS581" i="7"/>
  <c r="AT581" i="7"/>
  <c r="AU581" i="7"/>
  <c r="AV581" i="7"/>
  <c r="AW581" i="7"/>
  <c r="AX581" i="7"/>
  <c r="AY581" i="7"/>
  <c r="AZ581" i="7"/>
  <c r="BA581" i="7"/>
  <c r="BB581" i="7"/>
  <c r="BC581" i="7"/>
  <c r="BD581" i="7"/>
  <c r="BE581" i="7"/>
  <c r="BF581" i="7"/>
  <c r="BG581" i="7"/>
  <c r="BH581" i="7"/>
  <c r="BI581" i="7"/>
  <c r="BJ581" i="7"/>
  <c r="BK581" i="7"/>
  <c r="BL581" i="7"/>
  <c r="BM581" i="7"/>
  <c r="BN581" i="7"/>
  <c r="BO581" i="7"/>
  <c r="BP581" i="7"/>
  <c r="BQ581" i="7"/>
  <c r="BR581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W582" i="7"/>
  <c r="X582" i="7"/>
  <c r="Y582" i="7"/>
  <c r="Z582" i="7"/>
  <c r="AA582" i="7"/>
  <c r="AB582" i="7"/>
  <c r="AC582" i="7"/>
  <c r="AD582" i="7"/>
  <c r="AE582" i="7"/>
  <c r="AF582" i="7"/>
  <c r="AG582" i="7"/>
  <c r="AH582" i="7"/>
  <c r="AI582" i="7"/>
  <c r="AJ582" i="7"/>
  <c r="AK582" i="7"/>
  <c r="AL582" i="7"/>
  <c r="AM582" i="7"/>
  <c r="AN582" i="7"/>
  <c r="AO582" i="7"/>
  <c r="AP582" i="7"/>
  <c r="AQ582" i="7"/>
  <c r="AR582" i="7"/>
  <c r="AS582" i="7" s="1"/>
  <c r="AT582" i="7"/>
  <c r="AU582" i="7"/>
  <c r="AV582" i="7"/>
  <c r="AW582" i="7"/>
  <c r="AX582" i="7"/>
  <c r="AY582" i="7"/>
  <c r="AZ582" i="7"/>
  <c r="BA582" i="7"/>
  <c r="BB582" i="7"/>
  <c r="BC582" i="7"/>
  <c r="BD582" i="7"/>
  <c r="BE582" i="7"/>
  <c r="BF582" i="7"/>
  <c r="BG582" i="7"/>
  <c r="BH582" i="7"/>
  <c r="BI582" i="7"/>
  <c r="BJ582" i="7"/>
  <c r="BK582" i="7"/>
  <c r="BL582" i="7"/>
  <c r="BM582" i="7"/>
  <c r="BN582" i="7"/>
  <c r="BO582" i="7"/>
  <c r="BP582" i="7"/>
  <c r="BQ582" i="7"/>
  <c r="BR582" i="7"/>
  <c r="W585" i="7"/>
  <c r="X585" i="7"/>
  <c r="Y585" i="7"/>
  <c r="Z585" i="7"/>
  <c r="AA585" i="7"/>
  <c r="AB585" i="7"/>
  <c r="AC585" i="7"/>
  <c r="AD585" i="7"/>
  <c r="AE585" i="7"/>
  <c r="AF585" i="7"/>
  <c r="AG585" i="7"/>
  <c r="AH585" i="7"/>
  <c r="AI585" i="7"/>
  <c r="AJ585" i="7"/>
  <c r="AK585" i="7"/>
  <c r="AL585" i="7"/>
  <c r="AM585" i="7"/>
  <c r="AN585" i="7"/>
  <c r="AO585" i="7"/>
  <c r="AP585" i="7"/>
  <c r="AQ585" i="7"/>
  <c r="AR585" i="7"/>
  <c r="AS585" i="7"/>
  <c r="AT585" i="7"/>
  <c r="AU585" i="7"/>
  <c r="AV585" i="7"/>
  <c r="AW585" i="7"/>
  <c r="AX585" i="7"/>
  <c r="AY585" i="7"/>
  <c r="AZ585" i="7"/>
  <c r="BA585" i="7"/>
  <c r="BB585" i="7"/>
  <c r="BC585" i="7"/>
  <c r="BD585" i="7"/>
  <c r="BE585" i="7"/>
  <c r="BF585" i="7"/>
  <c r="BG585" i="7"/>
  <c r="BH585" i="7"/>
  <c r="BI585" i="7"/>
  <c r="BJ585" i="7"/>
  <c r="BK585" i="7"/>
  <c r="BL585" i="7"/>
  <c r="BM585" i="7"/>
  <c r="BN585" i="7"/>
  <c r="BO585" i="7"/>
  <c r="BP585" i="7"/>
  <c r="BQ585" i="7"/>
  <c r="BR585" i="7"/>
  <c r="W140" i="7"/>
  <c r="X140" i="7"/>
  <c r="Y140" i="7"/>
  <c r="Z140" i="7"/>
  <c r="AA140" i="7"/>
  <c r="AB140" i="7"/>
  <c r="AC140" i="7" s="1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W92" i="7"/>
  <c r="X92" i="7"/>
  <c r="Y92" i="7"/>
  <c r="Z92" i="7"/>
  <c r="AA92" i="7"/>
  <c r="AB92" i="7"/>
  <c r="AC92" i="7" s="1"/>
  <c r="AD92" i="7"/>
  <c r="AE92" i="7"/>
  <c r="AF92" i="7"/>
  <c r="AG92" i="7"/>
  <c r="AH92" i="7"/>
  <c r="AI92" i="7"/>
  <c r="AJ92" i="7"/>
  <c r="AK92" i="7" s="1"/>
  <c r="AL92" i="7"/>
  <c r="AM92" i="7"/>
  <c r="AN92" i="7"/>
  <c r="AO92" i="7"/>
  <c r="AP92" i="7"/>
  <c r="AQ92" i="7"/>
  <c r="AR92" i="7"/>
  <c r="AS92" i="7" s="1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W592" i="7"/>
  <c r="X592" i="7"/>
  <c r="Y592" i="7"/>
  <c r="Z592" i="7"/>
  <c r="AA592" i="7"/>
  <c r="AB592" i="7"/>
  <c r="AC592" i="7"/>
  <c r="AD592" i="7"/>
  <c r="AE592" i="7"/>
  <c r="AF592" i="7"/>
  <c r="AG592" i="7"/>
  <c r="AH592" i="7"/>
  <c r="AI592" i="7"/>
  <c r="AJ592" i="7"/>
  <c r="AK592" i="7"/>
  <c r="AL592" i="7"/>
  <c r="AM592" i="7"/>
  <c r="AN592" i="7"/>
  <c r="AO592" i="7"/>
  <c r="AP592" i="7"/>
  <c r="AQ592" i="7"/>
  <c r="AR592" i="7"/>
  <c r="AS592" i="7" s="1"/>
  <c r="AT592" i="7"/>
  <c r="AU592" i="7"/>
  <c r="AV592" i="7"/>
  <c r="AW592" i="7"/>
  <c r="AX592" i="7"/>
  <c r="AY592" i="7"/>
  <c r="AZ592" i="7"/>
  <c r="BA592" i="7"/>
  <c r="BB592" i="7"/>
  <c r="BC592" i="7"/>
  <c r="BD592" i="7"/>
  <c r="BE592" i="7"/>
  <c r="BF592" i="7"/>
  <c r="BG592" i="7"/>
  <c r="BH592" i="7"/>
  <c r="BI592" i="7"/>
  <c r="BJ592" i="7"/>
  <c r="BK592" i="7"/>
  <c r="BL592" i="7"/>
  <c r="BM592" i="7"/>
  <c r="BN592" i="7"/>
  <c r="BO592" i="7"/>
  <c r="BP592" i="7"/>
  <c r="BQ592" i="7"/>
  <c r="BR592" i="7"/>
  <c r="W548" i="7"/>
  <c r="X548" i="7"/>
  <c r="Y548" i="7"/>
  <c r="Z548" i="7"/>
  <c r="AA548" i="7"/>
  <c r="AB548" i="7"/>
  <c r="AC548" i="7"/>
  <c r="AD548" i="7"/>
  <c r="AE548" i="7"/>
  <c r="AF548" i="7"/>
  <c r="AG548" i="7"/>
  <c r="AH548" i="7"/>
  <c r="AI548" i="7"/>
  <c r="AJ548" i="7"/>
  <c r="AK548" i="7"/>
  <c r="AL548" i="7"/>
  <c r="AM548" i="7"/>
  <c r="AN548" i="7"/>
  <c r="AO548" i="7"/>
  <c r="AP548" i="7"/>
  <c r="AQ548" i="7"/>
  <c r="AR548" i="7"/>
  <c r="AS548" i="7" s="1"/>
  <c r="AT548" i="7"/>
  <c r="AU548" i="7"/>
  <c r="AV548" i="7"/>
  <c r="AW548" i="7"/>
  <c r="AX548" i="7"/>
  <c r="AY548" i="7"/>
  <c r="AZ548" i="7"/>
  <c r="BA548" i="7"/>
  <c r="BB548" i="7"/>
  <c r="BC548" i="7"/>
  <c r="BD548" i="7"/>
  <c r="BE548" i="7"/>
  <c r="BF548" i="7"/>
  <c r="BG548" i="7"/>
  <c r="BH548" i="7"/>
  <c r="BI548" i="7"/>
  <c r="BJ548" i="7"/>
  <c r="BK548" i="7"/>
  <c r="BL548" i="7"/>
  <c r="BM548" i="7"/>
  <c r="BN548" i="7"/>
  <c r="BO548" i="7"/>
  <c r="BP548" i="7"/>
  <c r="BQ548" i="7" s="1"/>
  <c r="BR548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W574" i="7"/>
  <c r="X574" i="7"/>
  <c r="Y574" i="7"/>
  <c r="Z574" i="7"/>
  <c r="AA574" i="7"/>
  <c r="AB574" i="7"/>
  <c r="AC574" i="7"/>
  <c r="AD574" i="7"/>
  <c r="AE574" i="7"/>
  <c r="AF574" i="7"/>
  <c r="AG574" i="7"/>
  <c r="AH574" i="7"/>
  <c r="AI574" i="7"/>
  <c r="AJ574" i="7"/>
  <c r="AK574" i="7" s="1"/>
  <c r="AL574" i="7"/>
  <c r="AM574" i="7"/>
  <c r="AN574" i="7"/>
  <c r="AO574" i="7"/>
  <c r="AP574" i="7"/>
  <c r="AQ574" i="7"/>
  <c r="AR574" i="7"/>
  <c r="AS574" i="7"/>
  <c r="AT574" i="7"/>
  <c r="AU574" i="7"/>
  <c r="AV574" i="7"/>
  <c r="AW574" i="7"/>
  <c r="AX574" i="7"/>
  <c r="AY574" i="7"/>
  <c r="AZ574" i="7"/>
  <c r="BA574" i="7"/>
  <c r="BB574" i="7"/>
  <c r="BC574" i="7"/>
  <c r="BD574" i="7"/>
  <c r="BE574" i="7"/>
  <c r="BF574" i="7"/>
  <c r="BG574" i="7"/>
  <c r="BH574" i="7"/>
  <c r="BI574" i="7"/>
  <c r="BJ574" i="7"/>
  <c r="BK574" i="7"/>
  <c r="BL574" i="7"/>
  <c r="BM574" i="7"/>
  <c r="BN574" i="7"/>
  <c r="BO574" i="7"/>
  <c r="BP574" i="7"/>
  <c r="BQ574" i="7"/>
  <c r="BR574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W153" i="7"/>
  <c r="X153" i="7"/>
  <c r="Y153" i="7"/>
  <c r="Z153" i="7"/>
  <c r="AA153" i="7"/>
  <c r="AB153" i="7"/>
  <c r="AC153" i="7" s="1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 s="1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 s="1"/>
  <c r="BR153" i="7"/>
  <c r="W206" i="7"/>
  <c r="X206" i="7"/>
  <c r="Y206" i="7"/>
  <c r="Z206" i="7"/>
  <c r="AA206" i="7"/>
  <c r="AB206" i="7"/>
  <c r="AC206" i="7" s="1"/>
  <c r="AD206" i="7"/>
  <c r="AE206" i="7"/>
  <c r="AF206" i="7"/>
  <c r="AG206" i="7"/>
  <c r="AH206" i="7"/>
  <c r="AI206" i="7"/>
  <c r="AJ206" i="7"/>
  <c r="AK206" i="7"/>
  <c r="AL206" i="7"/>
  <c r="AM206" i="7"/>
  <c r="AN206" i="7"/>
  <c r="AO206" i="7"/>
  <c r="AP206" i="7"/>
  <c r="AQ206" i="7"/>
  <c r="AR206" i="7"/>
  <c r="AT206" i="7"/>
  <c r="AU206" i="7"/>
  <c r="AV206" i="7"/>
  <c r="AW206" i="7"/>
  <c r="AX206" i="7"/>
  <c r="AY206" i="7"/>
  <c r="AZ206" i="7"/>
  <c r="BA206" i="7"/>
  <c r="BB206" i="7"/>
  <c r="BC206" i="7"/>
  <c r="BD206" i="7"/>
  <c r="BE206" i="7"/>
  <c r="BF206" i="7"/>
  <c r="BG206" i="7"/>
  <c r="BH206" i="7"/>
  <c r="BI206" i="7"/>
  <c r="BJ206" i="7"/>
  <c r="BK206" i="7"/>
  <c r="BL206" i="7"/>
  <c r="BM206" i="7"/>
  <c r="BN206" i="7"/>
  <c r="BO206" i="7"/>
  <c r="BP206" i="7"/>
  <c r="BQ206" i="7"/>
  <c r="BR206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 s="1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W127" i="7"/>
  <c r="X127" i="7"/>
  <c r="Y127" i="7"/>
  <c r="Z127" i="7"/>
  <c r="AA127" i="7"/>
  <c r="AB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 s="1"/>
  <c r="BJ127" i="7"/>
  <c r="BK127" i="7"/>
  <c r="BL127" i="7"/>
  <c r="BM127" i="7"/>
  <c r="BN127" i="7"/>
  <c r="BO127" i="7"/>
  <c r="BP127" i="7"/>
  <c r="BQ127" i="7"/>
  <c r="BR127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 s="1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 s="1"/>
  <c r="BJ114" i="7"/>
  <c r="BK114" i="7"/>
  <c r="BL114" i="7"/>
  <c r="BM114" i="7"/>
  <c r="BN114" i="7"/>
  <c r="BO114" i="7"/>
  <c r="BP114" i="7"/>
  <c r="BQ114" i="7" s="1"/>
  <c r="BR114" i="7"/>
  <c r="W395" i="7"/>
  <c r="X395" i="7"/>
  <c r="Y395" i="7"/>
  <c r="Z395" i="7"/>
  <c r="AA395" i="7"/>
  <c r="AB395" i="7"/>
  <c r="AE395" i="7"/>
  <c r="AF395" i="7"/>
  <c r="AG395" i="7"/>
  <c r="AH395" i="7"/>
  <c r="AI395" i="7"/>
  <c r="AJ395" i="7"/>
  <c r="AK395" i="7"/>
  <c r="AL395" i="7"/>
  <c r="AM395" i="7"/>
  <c r="AN395" i="7"/>
  <c r="AO395" i="7"/>
  <c r="AP395" i="7"/>
  <c r="AQ395" i="7"/>
  <c r="AR395" i="7"/>
  <c r="AS395" i="7"/>
  <c r="AT395" i="7"/>
  <c r="AU395" i="7"/>
  <c r="AV395" i="7"/>
  <c r="AW395" i="7"/>
  <c r="AX395" i="7"/>
  <c r="AY395" i="7"/>
  <c r="AZ395" i="7"/>
  <c r="BA395" i="7"/>
  <c r="BB395" i="7"/>
  <c r="BC395" i="7"/>
  <c r="BD395" i="7"/>
  <c r="BE395" i="7"/>
  <c r="BF395" i="7"/>
  <c r="BG395" i="7"/>
  <c r="BH395" i="7"/>
  <c r="BI395" i="7"/>
  <c r="BJ395" i="7"/>
  <c r="BK395" i="7"/>
  <c r="BL395" i="7"/>
  <c r="BM395" i="7"/>
  <c r="BN395" i="7"/>
  <c r="BO395" i="7"/>
  <c r="BP395" i="7"/>
  <c r="BQ395" i="7" s="1"/>
  <c r="BR395" i="7"/>
  <c r="W154" i="7"/>
  <c r="X154" i="7"/>
  <c r="Y154" i="7"/>
  <c r="Z154" i="7"/>
  <c r="AA154" i="7"/>
  <c r="AB154" i="7"/>
  <c r="AC154" i="7" s="1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W598" i="7"/>
  <c r="X598" i="7"/>
  <c r="Y598" i="7"/>
  <c r="Z598" i="7"/>
  <c r="AA598" i="7"/>
  <c r="AB598" i="7"/>
  <c r="AC598" i="7" s="1"/>
  <c r="AD598" i="7"/>
  <c r="AE598" i="7"/>
  <c r="AF598" i="7"/>
  <c r="AG598" i="7"/>
  <c r="AH598" i="7"/>
  <c r="AI598" i="7"/>
  <c r="AJ598" i="7"/>
  <c r="AK598" i="7"/>
  <c r="AL598" i="7"/>
  <c r="AM598" i="7"/>
  <c r="AN598" i="7"/>
  <c r="AO598" i="7"/>
  <c r="AP598" i="7"/>
  <c r="AQ598" i="7"/>
  <c r="AR598" i="7"/>
  <c r="AS598" i="7" s="1"/>
  <c r="AT598" i="7"/>
  <c r="AU598" i="7"/>
  <c r="AV598" i="7"/>
  <c r="AW598" i="7"/>
  <c r="AX598" i="7"/>
  <c r="AY598" i="7"/>
  <c r="AZ598" i="7"/>
  <c r="BC598" i="7"/>
  <c r="BD598" i="7"/>
  <c r="BE598" i="7"/>
  <c r="BF598" i="7"/>
  <c r="BG598" i="7"/>
  <c r="BH598" i="7"/>
  <c r="BI598" i="7"/>
  <c r="BJ598" i="7"/>
  <c r="BK598" i="7"/>
  <c r="BL598" i="7"/>
  <c r="BM598" i="7"/>
  <c r="BN598" i="7"/>
  <c r="BO598" i="7"/>
  <c r="BP598" i="7"/>
  <c r="BQ598" i="7"/>
  <c r="BR598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W568" i="7"/>
  <c r="X568" i="7"/>
  <c r="Y568" i="7"/>
  <c r="Z568" i="7"/>
  <c r="AA568" i="7"/>
  <c r="AB568" i="7"/>
  <c r="AC568" i="7"/>
  <c r="AD568" i="7"/>
  <c r="AE568" i="7"/>
  <c r="AF568" i="7"/>
  <c r="AG568" i="7"/>
  <c r="AH568" i="7"/>
  <c r="AI568" i="7"/>
  <c r="AJ568" i="7"/>
  <c r="AK568" i="7"/>
  <c r="AL568" i="7"/>
  <c r="AM568" i="7"/>
  <c r="AN568" i="7"/>
  <c r="AO568" i="7"/>
  <c r="AP568" i="7"/>
  <c r="AQ568" i="7"/>
  <c r="AR568" i="7"/>
  <c r="AS568" i="7"/>
  <c r="AT568" i="7"/>
  <c r="AU568" i="7"/>
  <c r="AV568" i="7"/>
  <c r="AW568" i="7"/>
  <c r="AX568" i="7"/>
  <c r="AY568" i="7"/>
  <c r="AZ568" i="7"/>
  <c r="BA568" i="7"/>
  <c r="BB568" i="7"/>
  <c r="BC568" i="7"/>
  <c r="BD568" i="7"/>
  <c r="BE568" i="7"/>
  <c r="BF568" i="7"/>
  <c r="BG568" i="7"/>
  <c r="BH568" i="7"/>
  <c r="BI568" i="7"/>
  <c r="BJ568" i="7"/>
  <c r="BK568" i="7"/>
  <c r="BL568" i="7"/>
  <c r="BM568" i="7"/>
  <c r="BN568" i="7"/>
  <c r="BO568" i="7"/>
  <c r="BP568" i="7"/>
  <c r="BQ568" i="7"/>
  <c r="BR568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BI167" i="7"/>
  <c r="BJ167" i="7"/>
  <c r="BK167" i="7"/>
  <c r="BL167" i="7"/>
  <c r="BM167" i="7"/>
  <c r="BN167" i="7"/>
  <c r="BO167" i="7"/>
  <c r="BP167" i="7"/>
  <c r="BQ167" i="7"/>
  <c r="BR167" i="7"/>
  <c r="W583" i="7"/>
  <c r="X583" i="7"/>
  <c r="Y583" i="7"/>
  <c r="Z583" i="7"/>
  <c r="AA583" i="7"/>
  <c r="AB583" i="7"/>
  <c r="AC583" i="7"/>
  <c r="AD583" i="7"/>
  <c r="AE583" i="7"/>
  <c r="AF583" i="7"/>
  <c r="AG583" i="7"/>
  <c r="AH583" i="7"/>
  <c r="AI583" i="7"/>
  <c r="AJ583" i="7"/>
  <c r="AK583" i="7"/>
  <c r="AL583" i="7"/>
  <c r="AM583" i="7"/>
  <c r="AN583" i="7"/>
  <c r="AO583" i="7"/>
  <c r="AP583" i="7"/>
  <c r="AQ583" i="7"/>
  <c r="AR583" i="7"/>
  <c r="AS583" i="7"/>
  <c r="AT583" i="7"/>
  <c r="AU583" i="7"/>
  <c r="AV583" i="7"/>
  <c r="AW583" i="7"/>
  <c r="AX583" i="7"/>
  <c r="AY583" i="7"/>
  <c r="AZ583" i="7"/>
  <c r="BA583" i="7"/>
  <c r="BB583" i="7"/>
  <c r="BC583" i="7"/>
  <c r="BD583" i="7"/>
  <c r="BE583" i="7"/>
  <c r="BF583" i="7"/>
  <c r="BG583" i="7"/>
  <c r="BH583" i="7"/>
  <c r="BI583" i="7"/>
  <c r="BJ583" i="7"/>
  <c r="BK583" i="7"/>
  <c r="BL583" i="7"/>
  <c r="BM583" i="7"/>
  <c r="BN583" i="7"/>
  <c r="BO583" i="7"/>
  <c r="BP583" i="7"/>
  <c r="BQ583" i="7"/>
  <c r="BR583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W500" i="7"/>
  <c r="X500" i="7"/>
  <c r="Y500" i="7"/>
  <c r="Z500" i="7"/>
  <c r="AA500" i="7"/>
  <c r="AB500" i="7"/>
  <c r="AC500" i="7"/>
  <c r="AD500" i="7"/>
  <c r="AE500" i="7"/>
  <c r="AF500" i="7"/>
  <c r="AG500" i="7"/>
  <c r="AH500" i="7"/>
  <c r="AI500" i="7"/>
  <c r="AJ500" i="7"/>
  <c r="AK500" i="7"/>
  <c r="AL500" i="7"/>
  <c r="AM500" i="7"/>
  <c r="AN500" i="7"/>
  <c r="AO500" i="7"/>
  <c r="AP500" i="7"/>
  <c r="AQ500" i="7"/>
  <c r="AR500" i="7"/>
  <c r="AS500" i="7"/>
  <c r="AT500" i="7"/>
  <c r="AU500" i="7"/>
  <c r="AV500" i="7"/>
  <c r="AW500" i="7"/>
  <c r="AX500" i="7"/>
  <c r="AY500" i="7"/>
  <c r="AZ500" i="7"/>
  <c r="BA500" i="7"/>
  <c r="BB500" i="7"/>
  <c r="BC500" i="7"/>
  <c r="BD500" i="7"/>
  <c r="BE500" i="7"/>
  <c r="BF500" i="7"/>
  <c r="BG500" i="7"/>
  <c r="BH500" i="7"/>
  <c r="BI500" i="7"/>
  <c r="BJ500" i="7"/>
  <c r="BK500" i="7"/>
  <c r="BL500" i="7"/>
  <c r="BM500" i="7"/>
  <c r="BN500" i="7"/>
  <c r="BO500" i="7"/>
  <c r="BP500" i="7"/>
  <c r="BQ500" i="7"/>
  <c r="BR500" i="7"/>
  <c r="W575" i="7"/>
  <c r="X575" i="7"/>
  <c r="Y575" i="7"/>
  <c r="Z575" i="7"/>
  <c r="AA575" i="7"/>
  <c r="AB575" i="7"/>
  <c r="AC575" i="7"/>
  <c r="AD575" i="7"/>
  <c r="AE575" i="7"/>
  <c r="AF575" i="7"/>
  <c r="AG575" i="7"/>
  <c r="AH575" i="7"/>
  <c r="AI575" i="7"/>
  <c r="AJ575" i="7"/>
  <c r="AK575" i="7"/>
  <c r="AL575" i="7"/>
  <c r="AM575" i="7"/>
  <c r="AN575" i="7"/>
  <c r="AO575" i="7"/>
  <c r="AP575" i="7"/>
  <c r="AQ575" i="7"/>
  <c r="AR575" i="7"/>
  <c r="AS575" i="7"/>
  <c r="AT575" i="7"/>
  <c r="AU575" i="7"/>
  <c r="AV575" i="7"/>
  <c r="AW575" i="7"/>
  <c r="AX575" i="7"/>
  <c r="AY575" i="7"/>
  <c r="AZ575" i="7"/>
  <c r="BA575" i="7"/>
  <c r="BB575" i="7"/>
  <c r="BC575" i="7"/>
  <c r="BD575" i="7"/>
  <c r="BE575" i="7"/>
  <c r="BF575" i="7"/>
  <c r="BG575" i="7"/>
  <c r="BH575" i="7"/>
  <c r="BI575" i="7"/>
  <c r="BJ575" i="7"/>
  <c r="BK575" i="7"/>
  <c r="BL575" i="7"/>
  <c r="BM575" i="7"/>
  <c r="BN575" i="7"/>
  <c r="BO575" i="7"/>
  <c r="BP575" i="7"/>
  <c r="BQ575" i="7"/>
  <c r="BR575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K186" i="7"/>
  <c r="AL186" i="7"/>
  <c r="AM186" i="7"/>
  <c r="AN186" i="7"/>
  <c r="AO186" i="7"/>
  <c r="AP186" i="7"/>
  <c r="AQ186" i="7"/>
  <c r="AR186" i="7"/>
  <c r="AS186" i="7"/>
  <c r="AT186" i="7"/>
  <c r="AU186" i="7"/>
  <c r="AV186" i="7"/>
  <c r="AW186" i="7"/>
  <c r="AX186" i="7"/>
  <c r="AY186" i="7"/>
  <c r="AZ186" i="7"/>
  <c r="BA186" i="7"/>
  <c r="BB186" i="7"/>
  <c r="BC186" i="7"/>
  <c r="BD186" i="7"/>
  <c r="BE186" i="7"/>
  <c r="BF186" i="7"/>
  <c r="BG186" i="7"/>
  <c r="BH186" i="7"/>
  <c r="BI186" i="7"/>
  <c r="BJ186" i="7"/>
  <c r="BK186" i="7"/>
  <c r="BL186" i="7"/>
  <c r="BM186" i="7"/>
  <c r="BN186" i="7"/>
  <c r="BO186" i="7"/>
  <c r="BP186" i="7"/>
  <c r="BQ186" i="7"/>
  <c r="BR186" i="7"/>
  <c r="W540" i="7"/>
  <c r="X540" i="7"/>
  <c r="Y540" i="7"/>
  <c r="Z540" i="7"/>
  <c r="AA540" i="7"/>
  <c r="AB540" i="7"/>
  <c r="AC540" i="7"/>
  <c r="AD540" i="7"/>
  <c r="AE540" i="7"/>
  <c r="AF540" i="7"/>
  <c r="AG540" i="7"/>
  <c r="AH540" i="7"/>
  <c r="AI540" i="7"/>
  <c r="AJ540" i="7"/>
  <c r="AK540" i="7"/>
  <c r="AL540" i="7"/>
  <c r="AM540" i="7"/>
  <c r="AN540" i="7"/>
  <c r="AO540" i="7"/>
  <c r="AP540" i="7"/>
  <c r="AQ540" i="7"/>
  <c r="AR540" i="7"/>
  <c r="AS540" i="7"/>
  <c r="AT540" i="7"/>
  <c r="AU540" i="7"/>
  <c r="AV540" i="7"/>
  <c r="AW540" i="7"/>
  <c r="AX540" i="7"/>
  <c r="AY540" i="7"/>
  <c r="AZ540" i="7"/>
  <c r="BA540" i="7"/>
  <c r="BB540" i="7"/>
  <c r="BC540" i="7"/>
  <c r="BD540" i="7"/>
  <c r="BE540" i="7"/>
  <c r="BF540" i="7"/>
  <c r="BG540" i="7"/>
  <c r="BH540" i="7"/>
  <c r="BI540" i="7"/>
  <c r="BJ540" i="7"/>
  <c r="BK540" i="7"/>
  <c r="BL540" i="7"/>
  <c r="BM540" i="7"/>
  <c r="BN540" i="7"/>
  <c r="BO540" i="7"/>
  <c r="BP540" i="7"/>
  <c r="BQ540" i="7"/>
  <c r="BR540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W558" i="7"/>
  <c r="X558" i="7"/>
  <c r="Y558" i="7"/>
  <c r="Z558" i="7"/>
  <c r="AA558" i="7"/>
  <c r="AB558" i="7"/>
  <c r="AC558" i="7"/>
  <c r="AD558" i="7"/>
  <c r="AE558" i="7"/>
  <c r="AF558" i="7"/>
  <c r="AG558" i="7"/>
  <c r="AH558" i="7"/>
  <c r="AI558" i="7"/>
  <c r="AJ558" i="7"/>
  <c r="AK558" i="7"/>
  <c r="AL558" i="7"/>
  <c r="AM558" i="7"/>
  <c r="AN558" i="7"/>
  <c r="AO558" i="7"/>
  <c r="AP558" i="7"/>
  <c r="AQ558" i="7"/>
  <c r="AR558" i="7"/>
  <c r="AS558" i="7"/>
  <c r="AT558" i="7"/>
  <c r="AU558" i="7"/>
  <c r="AV558" i="7"/>
  <c r="AW558" i="7"/>
  <c r="AX558" i="7"/>
  <c r="AY558" i="7"/>
  <c r="AZ558" i="7"/>
  <c r="BA558" i="7"/>
  <c r="BB558" i="7"/>
  <c r="BC558" i="7"/>
  <c r="BD558" i="7"/>
  <c r="BE558" i="7"/>
  <c r="BF558" i="7"/>
  <c r="BG558" i="7"/>
  <c r="BH558" i="7"/>
  <c r="BI558" i="7"/>
  <c r="BJ558" i="7"/>
  <c r="BK558" i="7"/>
  <c r="BL558" i="7"/>
  <c r="BM558" i="7"/>
  <c r="BN558" i="7"/>
  <c r="BO558" i="7"/>
  <c r="BP558" i="7"/>
  <c r="BQ558" i="7"/>
  <c r="BR558" i="7"/>
  <c r="W587" i="7"/>
  <c r="X587" i="7"/>
  <c r="Y587" i="7"/>
  <c r="Z587" i="7"/>
  <c r="AA587" i="7"/>
  <c r="AB587" i="7"/>
  <c r="AC587" i="7"/>
  <c r="AD587" i="7"/>
  <c r="AE587" i="7"/>
  <c r="AF587" i="7"/>
  <c r="AG587" i="7"/>
  <c r="AH587" i="7"/>
  <c r="AI587" i="7"/>
  <c r="AJ587" i="7"/>
  <c r="AK587" i="7"/>
  <c r="AL587" i="7"/>
  <c r="AM587" i="7"/>
  <c r="AN587" i="7"/>
  <c r="AO587" i="7"/>
  <c r="AP587" i="7"/>
  <c r="AQ587" i="7"/>
  <c r="AR587" i="7"/>
  <c r="AS587" i="7"/>
  <c r="AT587" i="7"/>
  <c r="AU587" i="7"/>
  <c r="AV587" i="7"/>
  <c r="AW587" i="7"/>
  <c r="AX587" i="7"/>
  <c r="AY587" i="7"/>
  <c r="AZ587" i="7"/>
  <c r="BA587" i="7"/>
  <c r="BB587" i="7"/>
  <c r="BC587" i="7"/>
  <c r="BD587" i="7"/>
  <c r="BE587" i="7"/>
  <c r="BF587" i="7"/>
  <c r="BG587" i="7"/>
  <c r="BH587" i="7"/>
  <c r="BI587" i="7"/>
  <c r="BJ587" i="7"/>
  <c r="BK587" i="7"/>
  <c r="BL587" i="7"/>
  <c r="BM587" i="7"/>
  <c r="BN587" i="7"/>
  <c r="BO587" i="7"/>
  <c r="BP587" i="7"/>
  <c r="BQ587" i="7"/>
  <c r="BR587" i="7"/>
  <c r="W474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AK474" i="7"/>
  <c r="AL474" i="7"/>
  <c r="AM474" i="7"/>
  <c r="AN474" i="7"/>
  <c r="AO474" i="7"/>
  <c r="AP474" i="7"/>
  <c r="AQ474" i="7"/>
  <c r="AR474" i="7"/>
  <c r="AS474" i="7"/>
  <c r="AT474" i="7"/>
  <c r="AU474" i="7"/>
  <c r="AV474" i="7"/>
  <c r="AW474" i="7"/>
  <c r="AX474" i="7"/>
  <c r="AY474" i="7"/>
  <c r="AZ474" i="7"/>
  <c r="BA474" i="7"/>
  <c r="BB474" i="7"/>
  <c r="BC474" i="7"/>
  <c r="BD474" i="7"/>
  <c r="BE474" i="7"/>
  <c r="BF474" i="7"/>
  <c r="BG474" i="7"/>
  <c r="BH474" i="7"/>
  <c r="BI474" i="7"/>
  <c r="BJ474" i="7"/>
  <c r="BK474" i="7"/>
  <c r="BL474" i="7"/>
  <c r="BM474" i="7"/>
  <c r="BN474" i="7"/>
  <c r="BO474" i="7"/>
  <c r="BP474" i="7"/>
  <c r="BQ474" i="7"/>
  <c r="BR474" i="7"/>
  <c r="W569" i="7"/>
  <c r="X569" i="7"/>
  <c r="Y569" i="7"/>
  <c r="Z569" i="7"/>
  <c r="AA569" i="7"/>
  <c r="AB569" i="7"/>
  <c r="AC569" i="7"/>
  <c r="AD569" i="7"/>
  <c r="AE569" i="7"/>
  <c r="AF569" i="7"/>
  <c r="AG569" i="7"/>
  <c r="AH569" i="7"/>
  <c r="AI569" i="7"/>
  <c r="AJ569" i="7"/>
  <c r="AK569" i="7"/>
  <c r="AL569" i="7"/>
  <c r="AM569" i="7"/>
  <c r="AN569" i="7"/>
  <c r="AO569" i="7"/>
  <c r="AP569" i="7"/>
  <c r="AQ569" i="7"/>
  <c r="AR569" i="7"/>
  <c r="AS569" i="7"/>
  <c r="AT569" i="7"/>
  <c r="AU569" i="7"/>
  <c r="AV569" i="7"/>
  <c r="AW569" i="7"/>
  <c r="AX569" i="7"/>
  <c r="AY569" i="7"/>
  <c r="AZ569" i="7"/>
  <c r="BA569" i="7"/>
  <c r="BB569" i="7"/>
  <c r="BC569" i="7"/>
  <c r="BD569" i="7"/>
  <c r="BE569" i="7"/>
  <c r="BF569" i="7"/>
  <c r="BG569" i="7"/>
  <c r="BH569" i="7"/>
  <c r="BI569" i="7"/>
  <c r="BJ569" i="7"/>
  <c r="BK569" i="7"/>
  <c r="BL569" i="7"/>
  <c r="BM569" i="7"/>
  <c r="BN569" i="7"/>
  <c r="BO569" i="7"/>
  <c r="BP569" i="7"/>
  <c r="BQ569" i="7"/>
  <c r="BR569" i="7"/>
  <c r="W572" i="7"/>
  <c r="X572" i="7"/>
  <c r="Y572" i="7"/>
  <c r="Z572" i="7"/>
  <c r="AA572" i="7"/>
  <c r="AB572" i="7"/>
  <c r="AC572" i="7"/>
  <c r="AD572" i="7"/>
  <c r="AE572" i="7"/>
  <c r="AF572" i="7"/>
  <c r="AG572" i="7"/>
  <c r="AH572" i="7"/>
  <c r="AI572" i="7"/>
  <c r="AJ572" i="7"/>
  <c r="AK572" i="7"/>
  <c r="AL572" i="7"/>
  <c r="AM572" i="7"/>
  <c r="AN572" i="7"/>
  <c r="AO572" i="7"/>
  <c r="AP572" i="7"/>
  <c r="AQ572" i="7"/>
  <c r="AR572" i="7"/>
  <c r="AS572" i="7"/>
  <c r="AT572" i="7"/>
  <c r="AU572" i="7"/>
  <c r="AV572" i="7"/>
  <c r="AW572" i="7"/>
  <c r="AX572" i="7"/>
  <c r="AY572" i="7"/>
  <c r="AZ572" i="7"/>
  <c r="BA572" i="7"/>
  <c r="BB572" i="7"/>
  <c r="BC572" i="7"/>
  <c r="BD572" i="7"/>
  <c r="BE572" i="7"/>
  <c r="BF572" i="7"/>
  <c r="BG572" i="7"/>
  <c r="BH572" i="7"/>
  <c r="BI572" i="7"/>
  <c r="BJ572" i="7"/>
  <c r="BK572" i="7"/>
  <c r="BL572" i="7"/>
  <c r="BM572" i="7"/>
  <c r="BN572" i="7"/>
  <c r="BO572" i="7"/>
  <c r="BP572" i="7"/>
  <c r="BQ572" i="7"/>
  <c r="BR572" i="7"/>
  <c r="W549" i="7"/>
  <c r="X549" i="7"/>
  <c r="Y549" i="7"/>
  <c r="Z549" i="7"/>
  <c r="AA549" i="7"/>
  <c r="AB549" i="7"/>
  <c r="AC549" i="7"/>
  <c r="AD549" i="7"/>
  <c r="AE549" i="7"/>
  <c r="AF549" i="7"/>
  <c r="AG549" i="7"/>
  <c r="AH549" i="7"/>
  <c r="AI549" i="7"/>
  <c r="AJ549" i="7"/>
  <c r="AK549" i="7"/>
  <c r="AL549" i="7"/>
  <c r="AM549" i="7"/>
  <c r="AN549" i="7"/>
  <c r="AO549" i="7"/>
  <c r="AP549" i="7"/>
  <c r="AQ549" i="7"/>
  <c r="AR549" i="7"/>
  <c r="AS549" i="7"/>
  <c r="AT549" i="7"/>
  <c r="AU549" i="7"/>
  <c r="AV549" i="7"/>
  <c r="AW549" i="7"/>
  <c r="AX549" i="7"/>
  <c r="AY549" i="7"/>
  <c r="AZ549" i="7"/>
  <c r="BA549" i="7"/>
  <c r="BB549" i="7"/>
  <c r="BC549" i="7"/>
  <c r="BD549" i="7"/>
  <c r="BE549" i="7"/>
  <c r="BF549" i="7"/>
  <c r="BG549" i="7"/>
  <c r="BH549" i="7"/>
  <c r="BI549" i="7"/>
  <c r="BJ549" i="7"/>
  <c r="BK549" i="7"/>
  <c r="BL549" i="7"/>
  <c r="BM549" i="7"/>
  <c r="BN549" i="7"/>
  <c r="BO549" i="7"/>
  <c r="BP549" i="7"/>
  <c r="BQ549" i="7"/>
  <c r="BR549" i="7"/>
  <c r="W559" i="7"/>
  <c r="X559" i="7"/>
  <c r="Y559" i="7"/>
  <c r="Z559" i="7"/>
  <c r="AA559" i="7"/>
  <c r="AB559" i="7"/>
  <c r="AC559" i="7"/>
  <c r="AD559" i="7"/>
  <c r="AE559" i="7"/>
  <c r="AF559" i="7"/>
  <c r="AG559" i="7"/>
  <c r="AH559" i="7"/>
  <c r="AI559" i="7"/>
  <c r="AJ559" i="7"/>
  <c r="AK559" i="7"/>
  <c r="AL559" i="7"/>
  <c r="AM559" i="7"/>
  <c r="AN559" i="7"/>
  <c r="AO559" i="7"/>
  <c r="AP559" i="7"/>
  <c r="AQ559" i="7"/>
  <c r="AR559" i="7"/>
  <c r="AS559" i="7"/>
  <c r="AT559" i="7"/>
  <c r="AU559" i="7"/>
  <c r="AV559" i="7"/>
  <c r="AW559" i="7"/>
  <c r="AX559" i="7"/>
  <c r="AY559" i="7"/>
  <c r="AZ559" i="7"/>
  <c r="BA559" i="7"/>
  <c r="BB559" i="7"/>
  <c r="BC559" i="7"/>
  <c r="BD559" i="7"/>
  <c r="BE559" i="7"/>
  <c r="BF559" i="7"/>
  <c r="BG559" i="7"/>
  <c r="BH559" i="7"/>
  <c r="BI559" i="7"/>
  <c r="BJ559" i="7"/>
  <c r="BK559" i="7"/>
  <c r="BL559" i="7"/>
  <c r="BM559" i="7"/>
  <c r="BN559" i="7"/>
  <c r="BO559" i="7"/>
  <c r="BP559" i="7"/>
  <c r="BQ559" i="7"/>
  <c r="BR559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W501" i="7"/>
  <c r="X501" i="7"/>
  <c r="Y501" i="7"/>
  <c r="Z501" i="7"/>
  <c r="AA501" i="7"/>
  <c r="AB501" i="7"/>
  <c r="AC501" i="7"/>
  <c r="AD501" i="7"/>
  <c r="AE501" i="7"/>
  <c r="AF501" i="7"/>
  <c r="AG501" i="7"/>
  <c r="AH501" i="7"/>
  <c r="AI501" i="7"/>
  <c r="AJ501" i="7"/>
  <c r="AK501" i="7"/>
  <c r="AL501" i="7"/>
  <c r="AM501" i="7"/>
  <c r="AN501" i="7"/>
  <c r="AO501" i="7"/>
  <c r="AP501" i="7"/>
  <c r="AQ501" i="7"/>
  <c r="AR501" i="7"/>
  <c r="AS501" i="7"/>
  <c r="AT501" i="7"/>
  <c r="AU501" i="7"/>
  <c r="AV501" i="7"/>
  <c r="AW501" i="7"/>
  <c r="AX501" i="7"/>
  <c r="AY501" i="7"/>
  <c r="AZ501" i="7"/>
  <c r="BA501" i="7"/>
  <c r="BB501" i="7"/>
  <c r="BC501" i="7"/>
  <c r="BD501" i="7"/>
  <c r="BE501" i="7"/>
  <c r="BF501" i="7"/>
  <c r="BG501" i="7"/>
  <c r="BH501" i="7"/>
  <c r="BI501" i="7"/>
  <c r="BJ501" i="7"/>
  <c r="BK501" i="7"/>
  <c r="BL501" i="7"/>
  <c r="BM501" i="7"/>
  <c r="BN501" i="7"/>
  <c r="BO501" i="7"/>
  <c r="BP501" i="7"/>
  <c r="BQ501" i="7"/>
  <c r="BR501" i="7"/>
  <c r="W523" i="7"/>
  <c r="X523" i="7"/>
  <c r="Y523" i="7"/>
  <c r="Z523" i="7"/>
  <c r="AA523" i="7"/>
  <c r="AB523" i="7"/>
  <c r="AC523" i="7"/>
  <c r="AD523" i="7"/>
  <c r="AE523" i="7"/>
  <c r="AF523" i="7"/>
  <c r="AG523" i="7"/>
  <c r="AH523" i="7"/>
  <c r="AI523" i="7"/>
  <c r="AJ523" i="7"/>
  <c r="AK523" i="7"/>
  <c r="AL523" i="7"/>
  <c r="AM523" i="7"/>
  <c r="AN523" i="7"/>
  <c r="AO523" i="7"/>
  <c r="AP523" i="7"/>
  <c r="AQ523" i="7"/>
  <c r="AR523" i="7"/>
  <c r="AS523" i="7"/>
  <c r="AT523" i="7"/>
  <c r="AU523" i="7"/>
  <c r="AV523" i="7"/>
  <c r="AW523" i="7"/>
  <c r="AX523" i="7"/>
  <c r="AY523" i="7"/>
  <c r="AZ523" i="7"/>
  <c r="BA523" i="7"/>
  <c r="BB523" i="7"/>
  <c r="BC523" i="7"/>
  <c r="BD523" i="7"/>
  <c r="BE523" i="7"/>
  <c r="BF523" i="7"/>
  <c r="BG523" i="7"/>
  <c r="BH523" i="7"/>
  <c r="BI523" i="7"/>
  <c r="BJ523" i="7"/>
  <c r="BK523" i="7"/>
  <c r="BL523" i="7"/>
  <c r="BM523" i="7"/>
  <c r="BN523" i="7"/>
  <c r="BO523" i="7"/>
  <c r="BP523" i="7"/>
  <c r="BQ523" i="7"/>
  <c r="BR523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K238" i="7"/>
  <c r="AL238" i="7"/>
  <c r="AM238" i="7"/>
  <c r="AN238" i="7"/>
  <c r="AO238" i="7"/>
  <c r="AP238" i="7"/>
  <c r="AQ238" i="7"/>
  <c r="AR238" i="7"/>
  <c r="AS238" i="7"/>
  <c r="AT238" i="7"/>
  <c r="AU238" i="7"/>
  <c r="AV238" i="7"/>
  <c r="AW238" i="7"/>
  <c r="AX238" i="7"/>
  <c r="AY238" i="7"/>
  <c r="AZ238" i="7"/>
  <c r="BA238" i="7"/>
  <c r="BB238" i="7"/>
  <c r="BC238" i="7"/>
  <c r="BD238" i="7"/>
  <c r="BE238" i="7"/>
  <c r="BF238" i="7"/>
  <c r="BG238" i="7"/>
  <c r="BH238" i="7"/>
  <c r="BI238" i="7"/>
  <c r="BJ238" i="7"/>
  <c r="BK238" i="7"/>
  <c r="BL238" i="7"/>
  <c r="BM238" i="7"/>
  <c r="BN238" i="7"/>
  <c r="BO238" i="7"/>
  <c r="BP238" i="7"/>
  <c r="BQ238" i="7"/>
  <c r="BR238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AK396" i="7"/>
  <c r="AL396" i="7"/>
  <c r="AM396" i="7"/>
  <c r="AN396" i="7"/>
  <c r="AO396" i="7"/>
  <c r="AP396" i="7"/>
  <c r="AQ396" i="7"/>
  <c r="AR396" i="7"/>
  <c r="AS396" i="7"/>
  <c r="AT396" i="7"/>
  <c r="AU396" i="7"/>
  <c r="AV396" i="7"/>
  <c r="AW396" i="7"/>
  <c r="AX396" i="7"/>
  <c r="AY396" i="7"/>
  <c r="AZ396" i="7"/>
  <c r="BA396" i="7"/>
  <c r="BB396" i="7"/>
  <c r="BC396" i="7"/>
  <c r="BD396" i="7"/>
  <c r="BE396" i="7"/>
  <c r="BF396" i="7"/>
  <c r="BG396" i="7"/>
  <c r="BH396" i="7"/>
  <c r="BI396" i="7"/>
  <c r="BJ396" i="7"/>
  <c r="BK396" i="7"/>
  <c r="BL396" i="7"/>
  <c r="BM396" i="7"/>
  <c r="BN396" i="7"/>
  <c r="BO396" i="7"/>
  <c r="BP396" i="7"/>
  <c r="BQ396" i="7"/>
  <c r="BR396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 s="1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W573" i="7"/>
  <c r="X573" i="7"/>
  <c r="Y573" i="7"/>
  <c r="Z573" i="7"/>
  <c r="AA573" i="7"/>
  <c r="AB573" i="7"/>
  <c r="AC573" i="7" s="1"/>
  <c r="AD573" i="7"/>
  <c r="AE573" i="7"/>
  <c r="AF573" i="7"/>
  <c r="AG573" i="7"/>
  <c r="AH573" i="7"/>
  <c r="AI573" i="7"/>
  <c r="AJ573" i="7"/>
  <c r="AK573" i="7"/>
  <c r="AL573" i="7"/>
  <c r="AM573" i="7"/>
  <c r="AN573" i="7"/>
  <c r="AO573" i="7"/>
  <c r="AP573" i="7"/>
  <c r="AQ573" i="7"/>
  <c r="AR573" i="7"/>
  <c r="AS573" i="7"/>
  <c r="AT573" i="7"/>
  <c r="AU573" i="7"/>
  <c r="AV573" i="7"/>
  <c r="AW573" i="7"/>
  <c r="AX573" i="7"/>
  <c r="AY573" i="7"/>
  <c r="AZ573" i="7"/>
  <c r="BA573" i="7"/>
  <c r="BB573" i="7"/>
  <c r="BC573" i="7"/>
  <c r="BD573" i="7"/>
  <c r="BE573" i="7"/>
  <c r="BF573" i="7"/>
  <c r="BG573" i="7"/>
  <c r="BH573" i="7"/>
  <c r="BI573" i="7"/>
  <c r="BJ573" i="7"/>
  <c r="BK573" i="7"/>
  <c r="BL573" i="7"/>
  <c r="BM573" i="7"/>
  <c r="BN573" i="7"/>
  <c r="BO573" i="7"/>
  <c r="BP573" i="7"/>
  <c r="BQ573" i="7" s="1"/>
  <c r="BR573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W524" i="7"/>
  <c r="X524" i="7"/>
  <c r="Y524" i="7"/>
  <c r="Z524" i="7"/>
  <c r="AA524" i="7"/>
  <c r="AB524" i="7"/>
  <c r="AD524" i="7"/>
  <c r="AE524" i="7"/>
  <c r="AF524" i="7"/>
  <c r="AG524" i="7"/>
  <c r="AH524" i="7"/>
  <c r="AI524" i="7"/>
  <c r="AJ524" i="7"/>
  <c r="AK524" i="7"/>
  <c r="AL524" i="7"/>
  <c r="AM524" i="7"/>
  <c r="AN524" i="7"/>
  <c r="AO524" i="7"/>
  <c r="AP524" i="7"/>
  <c r="AQ524" i="7"/>
  <c r="AR524" i="7"/>
  <c r="AS524" i="7"/>
  <c r="AT524" i="7"/>
  <c r="AU524" i="7"/>
  <c r="AV524" i="7"/>
  <c r="AW524" i="7"/>
  <c r="AX524" i="7"/>
  <c r="AY524" i="7"/>
  <c r="AZ524" i="7"/>
  <c r="BA524" i="7"/>
  <c r="BB524" i="7"/>
  <c r="BC524" i="7"/>
  <c r="BD524" i="7"/>
  <c r="BE524" i="7"/>
  <c r="BF524" i="7"/>
  <c r="BG524" i="7"/>
  <c r="BH524" i="7"/>
  <c r="BI524" i="7"/>
  <c r="BJ524" i="7"/>
  <c r="BK524" i="7"/>
  <c r="BL524" i="7"/>
  <c r="BM524" i="7"/>
  <c r="BN524" i="7"/>
  <c r="BO524" i="7"/>
  <c r="BP524" i="7"/>
  <c r="BQ524" i="7"/>
  <c r="BR524" i="7"/>
  <c r="W541" i="7"/>
  <c r="X541" i="7"/>
  <c r="Y541" i="7"/>
  <c r="Z541" i="7"/>
  <c r="AA541" i="7"/>
  <c r="AB541" i="7"/>
  <c r="AC541" i="7"/>
  <c r="AD541" i="7"/>
  <c r="AE541" i="7"/>
  <c r="AF541" i="7"/>
  <c r="AG541" i="7"/>
  <c r="AH541" i="7"/>
  <c r="AI541" i="7"/>
  <c r="AJ541" i="7"/>
  <c r="AK541" i="7"/>
  <c r="AL541" i="7"/>
  <c r="AM541" i="7"/>
  <c r="AN541" i="7"/>
  <c r="AO541" i="7"/>
  <c r="AP541" i="7"/>
  <c r="AQ541" i="7"/>
  <c r="AR541" i="7"/>
  <c r="AS541" i="7"/>
  <c r="AT541" i="7"/>
  <c r="AU541" i="7"/>
  <c r="AV541" i="7"/>
  <c r="AW541" i="7"/>
  <c r="AX541" i="7"/>
  <c r="AY541" i="7"/>
  <c r="AZ541" i="7"/>
  <c r="BA541" i="7"/>
  <c r="BB541" i="7"/>
  <c r="BC541" i="7"/>
  <c r="BD541" i="7"/>
  <c r="BE541" i="7"/>
  <c r="BF541" i="7"/>
  <c r="BG541" i="7"/>
  <c r="BH541" i="7"/>
  <c r="BI541" i="7"/>
  <c r="BJ541" i="7"/>
  <c r="BK541" i="7"/>
  <c r="BL541" i="7"/>
  <c r="BM541" i="7"/>
  <c r="BN541" i="7"/>
  <c r="BO541" i="7"/>
  <c r="BP541" i="7"/>
  <c r="BQ541" i="7"/>
  <c r="BR541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 s="1"/>
  <c r="AT113" i="7"/>
  <c r="AU113" i="7"/>
  <c r="AV113" i="7"/>
  <c r="AW113" i="7"/>
  <c r="AX113" i="7"/>
  <c r="AY113" i="7"/>
  <c r="AZ113" i="7"/>
  <c r="BA113" i="7" s="1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W119" i="7"/>
  <c r="X119" i="7"/>
  <c r="Y119" i="7"/>
  <c r="Z119" i="7"/>
  <c r="AA119" i="7"/>
  <c r="AB119" i="7"/>
  <c r="AC119" i="7" s="1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W288" i="7"/>
  <c r="X288" i="7"/>
  <c r="Y288" i="7"/>
  <c r="Z288" i="7"/>
  <c r="AA288" i="7"/>
  <c r="AB288" i="7"/>
  <c r="AD288" i="7"/>
  <c r="AE288" i="7"/>
  <c r="AF288" i="7"/>
  <c r="AG288" i="7"/>
  <c r="AH288" i="7"/>
  <c r="AI288" i="7"/>
  <c r="AJ288" i="7"/>
  <c r="AK288" i="7"/>
  <c r="AL288" i="7"/>
  <c r="AM288" i="7"/>
  <c r="AN288" i="7"/>
  <c r="AO288" i="7"/>
  <c r="AP288" i="7"/>
  <c r="AQ288" i="7"/>
  <c r="AR288" i="7"/>
  <c r="AS288" i="7"/>
  <c r="AT288" i="7"/>
  <c r="AU288" i="7"/>
  <c r="AV288" i="7"/>
  <c r="AW288" i="7"/>
  <c r="AX288" i="7"/>
  <c r="AY288" i="7"/>
  <c r="AZ288" i="7"/>
  <c r="BA288" i="7"/>
  <c r="BB288" i="7"/>
  <c r="BC288" i="7"/>
  <c r="BD288" i="7"/>
  <c r="BE288" i="7"/>
  <c r="BF288" i="7"/>
  <c r="BG288" i="7"/>
  <c r="BH288" i="7"/>
  <c r="BJ288" i="7"/>
  <c r="BK288" i="7"/>
  <c r="BL288" i="7"/>
  <c r="BM288" i="7"/>
  <c r="BN288" i="7"/>
  <c r="BO288" i="7"/>
  <c r="BP288" i="7"/>
  <c r="BQ288" i="7"/>
  <c r="BR288" i="7"/>
  <c r="W188" i="7"/>
  <c r="X188" i="7"/>
  <c r="Y188" i="7"/>
  <c r="Z188" i="7"/>
  <c r="AA188" i="7"/>
  <c r="AB188" i="7"/>
  <c r="AD188" i="7"/>
  <c r="AE188" i="7"/>
  <c r="AF188" i="7"/>
  <c r="AG188" i="7"/>
  <c r="AH188" i="7"/>
  <c r="AI188" i="7"/>
  <c r="AJ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BI188" i="7" s="1"/>
  <c r="BJ188" i="7"/>
  <c r="BK188" i="7"/>
  <c r="BL188" i="7"/>
  <c r="BM188" i="7"/>
  <c r="BN188" i="7"/>
  <c r="BO188" i="7"/>
  <c r="BP188" i="7"/>
  <c r="BQ188" i="7"/>
  <c r="BR188" i="7"/>
  <c r="W542" i="7"/>
  <c r="X542" i="7"/>
  <c r="Y542" i="7"/>
  <c r="Z542" i="7"/>
  <c r="AA542" i="7"/>
  <c r="AB542" i="7"/>
  <c r="AD542" i="7"/>
  <c r="AE542" i="7"/>
  <c r="AF542" i="7"/>
  <c r="AG542" i="7"/>
  <c r="AH542" i="7"/>
  <c r="AI542" i="7"/>
  <c r="AJ542" i="7"/>
  <c r="AK542" i="7" s="1"/>
  <c r="AL542" i="7"/>
  <c r="AM542" i="7"/>
  <c r="AN542" i="7"/>
  <c r="AO542" i="7"/>
  <c r="AP542" i="7"/>
  <c r="AQ542" i="7"/>
  <c r="AR542" i="7"/>
  <c r="AS542" i="7"/>
  <c r="AT542" i="7"/>
  <c r="AU542" i="7"/>
  <c r="AV542" i="7"/>
  <c r="AW542" i="7"/>
  <c r="AX542" i="7"/>
  <c r="AY542" i="7"/>
  <c r="AZ542" i="7"/>
  <c r="BA542" i="7"/>
  <c r="BB542" i="7"/>
  <c r="BC542" i="7"/>
  <c r="BD542" i="7"/>
  <c r="BE542" i="7"/>
  <c r="BF542" i="7"/>
  <c r="BG542" i="7"/>
  <c r="BH542" i="7"/>
  <c r="BJ542" i="7"/>
  <c r="BK542" i="7"/>
  <c r="BL542" i="7"/>
  <c r="BM542" i="7"/>
  <c r="BN542" i="7"/>
  <c r="BO542" i="7"/>
  <c r="BP542" i="7"/>
  <c r="BQ542" i="7"/>
  <c r="BR542" i="7"/>
  <c r="W560" i="7"/>
  <c r="X560" i="7"/>
  <c r="Y560" i="7"/>
  <c r="Z560" i="7"/>
  <c r="AA560" i="7"/>
  <c r="AB560" i="7"/>
  <c r="AC560" i="7" s="1"/>
  <c r="AD560" i="7"/>
  <c r="AE560" i="7"/>
  <c r="AF560" i="7"/>
  <c r="AG560" i="7"/>
  <c r="AH560" i="7"/>
  <c r="AI560" i="7"/>
  <c r="AJ560" i="7"/>
  <c r="AK560" i="7"/>
  <c r="AL560" i="7"/>
  <c r="AM560" i="7"/>
  <c r="AN560" i="7"/>
  <c r="AO560" i="7"/>
  <c r="AP560" i="7"/>
  <c r="AQ560" i="7"/>
  <c r="AR560" i="7"/>
  <c r="AU560" i="7"/>
  <c r="AV560" i="7"/>
  <c r="AW560" i="7"/>
  <c r="AX560" i="7"/>
  <c r="AY560" i="7"/>
  <c r="AZ560" i="7"/>
  <c r="BA560" i="7" s="1"/>
  <c r="BB560" i="7"/>
  <c r="BC560" i="7"/>
  <c r="BD560" i="7"/>
  <c r="BE560" i="7"/>
  <c r="BF560" i="7"/>
  <c r="BG560" i="7"/>
  <c r="BH560" i="7"/>
  <c r="BI560" i="7"/>
  <c r="BJ560" i="7"/>
  <c r="BK560" i="7"/>
  <c r="BL560" i="7"/>
  <c r="BM560" i="7"/>
  <c r="BN560" i="7"/>
  <c r="BO560" i="7"/>
  <c r="BP560" i="7"/>
  <c r="BQ560" i="7"/>
  <c r="BR560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W525" i="7"/>
  <c r="X525" i="7"/>
  <c r="Y525" i="7"/>
  <c r="Z525" i="7"/>
  <c r="AA525" i="7"/>
  <c r="AB525" i="7"/>
  <c r="AD525" i="7"/>
  <c r="AE525" i="7"/>
  <c r="AF525" i="7"/>
  <c r="AG525" i="7"/>
  <c r="AH525" i="7"/>
  <c r="AI525" i="7"/>
  <c r="AJ525" i="7"/>
  <c r="AK525" i="7"/>
  <c r="AL525" i="7"/>
  <c r="AM525" i="7"/>
  <c r="AN525" i="7"/>
  <c r="AO525" i="7"/>
  <c r="AP525" i="7"/>
  <c r="AS525" i="7" s="1"/>
  <c r="AQ525" i="7"/>
  <c r="AR525" i="7"/>
  <c r="AT525" i="7"/>
  <c r="AU525" i="7"/>
  <c r="AV525" i="7"/>
  <c r="AW525" i="7"/>
  <c r="AX525" i="7"/>
  <c r="AY525" i="7"/>
  <c r="AZ525" i="7"/>
  <c r="BA525" i="7"/>
  <c r="BB525" i="7"/>
  <c r="BC525" i="7"/>
  <c r="BD525" i="7"/>
  <c r="BE525" i="7"/>
  <c r="BF525" i="7"/>
  <c r="BG525" i="7"/>
  <c r="BH525" i="7"/>
  <c r="BI525" i="7"/>
  <c r="BJ525" i="7"/>
  <c r="BK525" i="7"/>
  <c r="BL525" i="7"/>
  <c r="BM525" i="7"/>
  <c r="BN525" i="7"/>
  <c r="BO525" i="7"/>
  <c r="BP525" i="7"/>
  <c r="BQ525" i="7"/>
  <c r="BR525" i="7"/>
  <c r="W53" i="7"/>
  <c r="X53" i="7"/>
  <c r="Y53" i="7"/>
  <c r="Z53" i="7"/>
  <c r="AA53" i="7"/>
  <c r="AB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W526" i="7"/>
  <c r="X526" i="7"/>
  <c r="Y526" i="7"/>
  <c r="Z526" i="7"/>
  <c r="AA526" i="7"/>
  <c r="AB526" i="7"/>
  <c r="AC526" i="7"/>
  <c r="AD526" i="7"/>
  <c r="AE526" i="7"/>
  <c r="AF526" i="7"/>
  <c r="AG526" i="7"/>
  <c r="AH526" i="7"/>
  <c r="AI526" i="7"/>
  <c r="AJ526" i="7"/>
  <c r="AK526" i="7"/>
  <c r="AL526" i="7"/>
  <c r="AM526" i="7"/>
  <c r="AN526" i="7"/>
  <c r="AO526" i="7"/>
  <c r="AP526" i="7"/>
  <c r="AQ526" i="7"/>
  <c r="AR526" i="7"/>
  <c r="AS526" i="7"/>
  <c r="AT526" i="7"/>
  <c r="AU526" i="7"/>
  <c r="AV526" i="7"/>
  <c r="AW526" i="7"/>
  <c r="AX526" i="7"/>
  <c r="AY526" i="7"/>
  <c r="AZ526" i="7"/>
  <c r="BA526" i="7"/>
  <c r="BB526" i="7"/>
  <c r="BC526" i="7"/>
  <c r="BD526" i="7"/>
  <c r="BE526" i="7"/>
  <c r="BF526" i="7"/>
  <c r="BG526" i="7"/>
  <c r="BH526" i="7"/>
  <c r="BI526" i="7"/>
  <c r="BJ526" i="7"/>
  <c r="BK526" i="7"/>
  <c r="BL526" i="7"/>
  <c r="BM526" i="7"/>
  <c r="BN526" i="7"/>
  <c r="BO526" i="7"/>
  <c r="BP526" i="7"/>
  <c r="BQ526" i="7"/>
  <c r="BR526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K289" i="7"/>
  <c r="AL289" i="7"/>
  <c r="AM289" i="7"/>
  <c r="AN289" i="7"/>
  <c r="AO289" i="7"/>
  <c r="AP289" i="7"/>
  <c r="AQ289" i="7"/>
  <c r="AR289" i="7"/>
  <c r="AS289" i="7"/>
  <c r="AT289" i="7"/>
  <c r="AU289" i="7"/>
  <c r="AV289" i="7"/>
  <c r="AW289" i="7"/>
  <c r="AX289" i="7"/>
  <c r="AY289" i="7"/>
  <c r="AZ289" i="7"/>
  <c r="BA289" i="7"/>
  <c r="BB289" i="7"/>
  <c r="BC289" i="7"/>
  <c r="BD289" i="7"/>
  <c r="BE289" i="7"/>
  <c r="BF289" i="7"/>
  <c r="BG289" i="7"/>
  <c r="BH289" i="7"/>
  <c r="BI289" i="7"/>
  <c r="BJ289" i="7"/>
  <c r="BK289" i="7"/>
  <c r="BL289" i="7"/>
  <c r="BM289" i="7"/>
  <c r="BN289" i="7"/>
  <c r="BO289" i="7"/>
  <c r="BP289" i="7"/>
  <c r="BQ289" i="7"/>
  <c r="BR289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W561" i="7"/>
  <c r="X561" i="7"/>
  <c r="Y561" i="7"/>
  <c r="Z561" i="7"/>
  <c r="AA561" i="7"/>
  <c r="AB561" i="7"/>
  <c r="AC561" i="7" s="1"/>
  <c r="AD561" i="7"/>
  <c r="AE561" i="7"/>
  <c r="AF561" i="7"/>
  <c r="AG561" i="7"/>
  <c r="AH561" i="7"/>
  <c r="AI561" i="7"/>
  <c r="AJ561" i="7"/>
  <c r="AK561" i="7"/>
  <c r="AL561" i="7"/>
  <c r="AM561" i="7"/>
  <c r="AN561" i="7"/>
  <c r="AO561" i="7"/>
  <c r="AP561" i="7"/>
  <c r="AQ561" i="7"/>
  <c r="AR561" i="7"/>
  <c r="AS561" i="7"/>
  <c r="AT561" i="7"/>
  <c r="AU561" i="7"/>
  <c r="AV561" i="7"/>
  <c r="AW561" i="7"/>
  <c r="AX561" i="7"/>
  <c r="AY561" i="7"/>
  <c r="AZ561" i="7"/>
  <c r="BA561" i="7"/>
  <c r="BB561" i="7"/>
  <c r="BC561" i="7"/>
  <c r="BD561" i="7"/>
  <c r="BE561" i="7"/>
  <c r="BF561" i="7"/>
  <c r="BG561" i="7"/>
  <c r="BH561" i="7"/>
  <c r="BI561" i="7"/>
  <c r="BJ561" i="7"/>
  <c r="BK561" i="7"/>
  <c r="BL561" i="7"/>
  <c r="BM561" i="7"/>
  <c r="BN561" i="7"/>
  <c r="BO561" i="7"/>
  <c r="BP561" i="7"/>
  <c r="BQ561" i="7"/>
  <c r="BR561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BI189" i="7"/>
  <c r="BJ189" i="7"/>
  <c r="BK189" i="7"/>
  <c r="BL189" i="7"/>
  <c r="BM189" i="7"/>
  <c r="BN189" i="7"/>
  <c r="BO189" i="7"/>
  <c r="BP189" i="7"/>
  <c r="BQ189" i="7"/>
  <c r="BR189" i="7"/>
  <c r="W576" i="7"/>
  <c r="X576" i="7"/>
  <c r="Y576" i="7"/>
  <c r="Z576" i="7"/>
  <c r="AA576" i="7"/>
  <c r="AB576" i="7"/>
  <c r="AC576" i="7"/>
  <c r="AD576" i="7"/>
  <c r="AE576" i="7"/>
  <c r="AF576" i="7"/>
  <c r="AG576" i="7"/>
  <c r="AH576" i="7"/>
  <c r="AI576" i="7"/>
  <c r="AJ576" i="7"/>
  <c r="AK576" i="7"/>
  <c r="AL576" i="7"/>
  <c r="AM576" i="7"/>
  <c r="AN576" i="7"/>
  <c r="AO576" i="7"/>
  <c r="AP576" i="7"/>
  <c r="AQ576" i="7"/>
  <c r="AR576" i="7"/>
  <c r="AS576" i="7"/>
  <c r="AT576" i="7"/>
  <c r="AU576" i="7"/>
  <c r="AV576" i="7"/>
  <c r="AW576" i="7"/>
  <c r="AX576" i="7"/>
  <c r="AY576" i="7"/>
  <c r="AZ576" i="7"/>
  <c r="BA576" i="7"/>
  <c r="BB576" i="7"/>
  <c r="BC576" i="7"/>
  <c r="BD576" i="7"/>
  <c r="BE576" i="7"/>
  <c r="BF576" i="7"/>
  <c r="BG576" i="7"/>
  <c r="BH576" i="7"/>
  <c r="BI576" i="7"/>
  <c r="BJ576" i="7"/>
  <c r="BK576" i="7"/>
  <c r="BL576" i="7"/>
  <c r="BM576" i="7"/>
  <c r="BN576" i="7"/>
  <c r="BO576" i="7"/>
  <c r="BP576" i="7"/>
  <c r="BQ576" i="7"/>
  <c r="BR576" i="7"/>
  <c r="W543" i="7"/>
  <c r="X543" i="7"/>
  <c r="Y543" i="7"/>
  <c r="Z543" i="7"/>
  <c r="AA543" i="7"/>
  <c r="AB543" i="7"/>
  <c r="AC543" i="7"/>
  <c r="AD543" i="7"/>
  <c r="AE543" i="7"/>
  <c r="AF543" i="7"/>
  <c r="AG543" i="7"/>
  <c r="AH543" i="7"/>
  <c r="AI543" i="7"/>
  <c r="AJ543" i="7"/>
  <c r="AK543" i="7"/>
  <c r="AL543" i="7"/>
  <c r="AM543" i="7"/>
  <c r="AN543" i="7"/>
  <c r="AO543" i="7"/>
  <c r="AP543" i="7"/>
  <c r="AQ543" i="7"/>
  <c r="AR543" i="7"/>
  <c r="AS543" i="7"/>
  <c r="AT543" i="7"/>
  <c r="AU543" i="7"/>
  <c r="AV543" i="7"/>
  <c r="AW543" i="7"/>
  <c r="AX543" i="7"/>
  <c r="AY543" i="7"/>
  <c r="AZ543" i="7"/>
  <c r="BA543" i="7"/>
  <c r="BB543" i="7"/>
  <c r="BC543" i="7"/>
  <c r="BD543" i="7"/>
  <c r="BE543" i="7"/>
  <c r="BF543" i="7"/>
  <c r="BG543" i="7"/>
  <c r="BH543" i="7"/>
  <c r="BI543" i="7"/>
  <c r="BJ543" i="7"/>
  <c r="BK543" i="7"/>
  <c r="BL543" i="7"/>
  <c r="BM543" i="7"/>
  <c r="BN543" i="7"/>
  <c r="BO543" i="7"/>
  <c r="BP543" i="7"/>
  <c r="BQ543" i="7"/>
  <c r="BR543" i="7"/>
  <c r="W577" i="7"/>
  <c r="X577" i="7"/>
  <c r="Y577" i="7"/>
  <c r="Z577" i="7"/>
  <c r="AA577" i="7"/>
  <c r="AB577" i="7"/>
  <c r="AC577" i="7"/>
  <c r="AD577" i="7"/>
  <c r="AE577" i="7"/>
  <c r="AF577" i="7"/>
  <c r="AG577" i="7"/>
  <c r="AH577" i="7"/>
  <c r="AI577" i="7"/>
  <c r="AJ577" i="7"/>
  <c r="AK577" i="7"/>
  <c r="AL577" i="7"/>
  <c r="AM577" i="7"/>
  <c r="AN577" i="7"/>
  <c r="AO577" i="7"/>
  <c r="AP577" i="7"/>
  <c r="AQ577" i="7"/>
  <c r="AR577" i="7"/>
  <c r="AS577" i="7"/>
  <c r="AT577" i="7"/>
  <c r="AU577" i="7"/>
  <c r="AV577" i="7"/>
  <c r="AW577" i="7"/>
  <c r="AX577" i="7"/>
  <c r="AY577" i="7"/>
  <c r="AZ577" i="7"/>
  <c r="BA577" i="7"/>
  <c r="BB577" i="7"/>
  <c r="BC577" i="7"/>
  <c r="BD577" i="7"/>
  <c r="BE577" i="7"/>
  <c r="BF577" i="7"/>
  <c r="BG577" i="7"/>
  <c r="BH577" i="7"/>
  <c r="BI577" i="7"/>
  <c r="BJ577" i="7"/>
  <c r="BK577" i="7"/>
  <c r="BL577" i="7"/>
  <c r="BM577" i="7"/>
  <c r="BN577" i="7"/>
  <c r="BO577" i="7"/>
  <c r="BP577" i="7"/>
  <c r="BQ577" i="7"/>
  <c r="BR577" i="7"/>
  <c r="W527" i="7"/>
  <c r="X527" i="7"/>
  <c r="Y527" i="7"/>
  <c r="Z527" i="7"/>
  <c r="AA527" i="7"/>
  <c r="AB527" i="7"/>
  <c r="AC527" i="7"/>
  <c r="AD527" i="7"/>
  <c r="AE527" i="7"/>
  <c r="AF527" i="7"/>
  <c r="AG527" i="7"/>
  <c r="AH527" i="7"/>
  <c r="AI527" i="7"/>
  <c r="AJ527" i="7"/>
  <c r="AK527" i="7"/>
  <c r="AL527" i="7"/>
  <c r="AM527" i="7"/>
  <c r="AN527" i="7"/>
  <c r="AO527" i="7"/>
  <c r="AP527" i="7"/>
  <c r="AQ527" i="7"/>
  <c r="AR527" i="7"/>
  <c r="AS527" i="7"/>
  <c r="AT527" i="7"/>
  <c r="AU527" i="7"/>
  <c r="AV527" i="7"/>
  <c r="AW527" i="7"/>
  <c r="AX527" i="7"/>
  <c r="AY527" i="7"/>
  <c r="AZ527" i="7"/>
  <c r="BA527" i="7"/>
  <c r="BB527" i="7"/>
  <c r="BC527" i="7"/>
  <c r="BD527" i="7"/>
  <c r="BE527" i="7"/>
  <c r="BF527" i="7"/>
  <c r="BG527" i="7"/>
  <c r="BH527" i="7"/>
  <c r="BI527" i="7"/>
  <c r="BJ527" i="7"/>
  <c r="BK527" i="7"/>
  <c r="BL527" i="7"/>
  <c r="BM527" i="7"/>
  <c r="BN527" i="7"/>
  <c r="BO527" i="7"/>
  <c r="BP527" i="7"/>
  <c r="BQ527" i="7"/>
  <c r="BR527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K290" i="7"/>
  <c r="AL290" i="7"/>
  <c r="AM290" i="7"/>
  <c r="AN290" i="7"/>
  <c r="AO290" i="7"/>
  <c r="AP290" i="7"/>
  <c r="AQ290" i="7"/>
  <c r="AR290" i="7"/>
  <c r="AS290" i="7"/>
  <c r="AT290" i="7"/>
  <c r="AU290" i="7"/>
  <c r="AV290" i="7"/>
  <c r="AW290" i="7"/>
  <c r="AX290" i="7"/>
  <c r="AY290" i="7"/>
  <c r="AZ290" i="7"/>
  <c r="BA290" i="7"/>
  <c r="BB290" i="7"/>
  <c r="BC290" i="7"/>
  <c r="BD290" i="7"/>
  <c r="BE290" i="7"/>
  <c r="BF290" i="7"/>
  <c r="BG290" i="7"/>
  <c r="BH290" i="7"/>
  <c r="BI290" i="7"/>
  <c r="BJ290" i="7"/>
  <c r="BK290" i="7"/>
  <c r="BL290" i="7"/>
  <c r="BM290" i="7"/>
  <c r="BN290" i="7"/>
  <c r="BO290" i="7"/>
  <c r="BP290" i="7"/>
  <c r="BQ290" i="7"/>
  <c r="BR290" i="7"/>
  <c r="W579" i="7"/>
  <c r="X579" i="7"/>
  <c r="Y579" i="7"/>
  <c r="Z579" i="7"/>
  <c r="AA579" i="7"/>
  <c r="AB579" i="7"/>
  <c r="AC579" i="7"/>
  <c r="AD579" i="7"/>
  <c r="AE579" i="7"/>
  <c r="AF579" i="7"/>
  <c r="AG579" i="7"/>
  <c r="AH579" i="7"/>
  <c r="AI579" i="7"/>
  <c r="AJ579" i="7"/>
  <c r="AK579" i="7"/>
  <c r="AL579" i="7"/>
  <c r="AM579" i="7"/>
  <c r="AN579" i="7"/>
  <c r="AO579" i="7"/>
  <c r="AP579" i="7"/>
  <c r="AQ579" i="7"/>
  <c r="AR579" i="7"/>
  <c r="AS579" i="7"/>
  <c r="AT579" i="7"/>
  <c r="AU579" i="7"/>
  <c r="AV579" i="7"/>
  <c r="AW579" i="7"/>
  <c r="AX579" i="7"/>
  <c r="AY579" i="7"/>
  <c r="AZ579" i="7"/>
  <c r="BA579" i="7"/>
  <c r="BB579" i="7"/>
  <c r="BC579" i="7"/>
  <c r="BD579" i="7"/>
  <c r="BE579" i="7"/>
  <c r="BF579" i="7"/>
  <c r="BG579" i="7"/>
  <c r="BH579" i="7"/>
  <c r="BI579" i="7"/>
  <c r="BJ579" i="7"/>
  <c r="BK579" i="7"/>
  <c r="BL579" i="7"/>
  <c r="BM579" i="7"/>
  <c r="BN579" i="7"/>
  <c r="BO579" i="7"/>
  <c r="BP579" i="7"/>
  <c r="BQ579" i="7"/>
  <c r="BR579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W528" i="7"/>
  <c r="X528" i="7"/>
  <c r="Y528" i="7"/>
  <c r="Z528" i="7"/>
  <c r="AA528" i="7"/>
  <c r="AB528" i="7"/>
  <c r="AC528" i="7"/>
  <c r="AD528" i="7"/>
  <c r="AE528" i="7"/>
  <c r="AF528" i="7"/>
  <c r="AG528" i="7"/>
  <c r="AH528" i="7"/>
  <c r="AI528" i="7"/>
  <c r="AJ528" i="7"/>
  <c r="AK528" i="7"/>
  <c r="AL528" i="7"/>
  <c r="AM528" i="7"/>
  <c r="AN528" i="7"/>
  <c r="AO528" i="7"/>
  <c r="AP528" i="7"/>
  <c r="AQ528" i="7"/>
  <c r="AR528" i="7"/>
  <c r="AS528" i="7"/>
  <c r="AT528" i="7"/>
  <c r="AU528" i="7"/>
  <c r="AV528" i="7"/>
  <c r="AW528" i="7"/>
  <c r="AX528" i="7"/>
  <c r="AY528" i="7"/>
  <c r="AZ528" i="7"/>
  <c r="BA528" i="7"/>
  <c r="BB528" i="7"/>
  <c r="BC528" i="7"/>
  <c r="BD528" i="7"/>
  <c r="BE528" i="7"/>
  <c r="BF528" i="7"/>
  <c r="BG528" i="7"/>
  <c r="BH528" i="7"/>
  <c r="BI528" i="7"/>
  <c r="BJ528" i="7"/>
  <c r="BK528" i="7"/>
  <c r="BL528" i="7"/>
  <c r="BM528" i="7"/>
  <c r="BN528" i="7"/>
  <c r="BO528" i="7"/>
  <c r="BP528" i="7"/>
  <c r="BQ528" i="7"/>
  <c r="BR528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AK397" i="7"/>
  <c r="AL397" i="7"/>
  <c r="AM397" i="7"/>
  <c r="AN397" i="7"/>
  <c r="AO397" i="7"/>
  <c r="AP397" i="7"/>
  <c r="AQ397" i="7"/>
  <c r="AR397" i="7"/>
  <c r="AS397" i="7"/>
  <c r="AT397" i="7"/>
  <c r="AU397" i="7"/>
  <c r="AV397" i="7"/>
  <c r="AW397" i="7"/>
  <c r="AX397" i="7"/>
  <c r="AY397" i="7"/>
  <c r="AZ397" i="7"/>
  <c r="BA397" i="7"/>
  <c r="BB397" i="7"/>
  <c r="BC397" i="7"/>
  <c r="BD397" i="7"/>
  <c r="BE397" i="7"/>
  <c r="BF397" i="7"/>
  <c r="BG397" i="7"/>
  <c r="BH397" i="7"/>
  <c r="BI397" i="7"/>
  <c r="BJ397" i="7"/>
  <c r="BK397" i="7"/>
  <c r="BL397" i="7"/>
  <c r="BM397" i="7"/>
  <c r="BN397" i="7"/>
  <c r="BO397" i="7"/>
  <c r="BP397" i="7"/>
  <c r="BQ397" i="7"/>
  <c r="BR397" i="7"/>
  <c r="W550" i="7"/>
  <c r="X550" i="7"/>
  <c r="Y550" i="7"/>
  <c r="Z550" i="7"/>
  <c r="AA550" i="7"/>
  <c r="AB550" i="7"/>
  <c r="AC550" i="7" s="1"/>
  <c r="AD550" i="7"/>
  <c r="AE550" i="7"/>
  <c r="AF550" i="7"/>
  <c r="AG550" i="7"/>
  <c r="AH550" i="7"/>
  <c r="AI550" i="7"/>
  <c r="AJ550" i="7"/>
  <c r="AK550" i="7"/>
  <c r="AL550" i="7"/>
  <c r="AM550" i="7"/>
  <c r="AN550" i="7"/>
  <c r="AO550" i="7"/>
  <c r="AP550" i="7"/>
  <c r="AQ550" i="7"/>
  <c r="AR550" i="7"/>
  <c r="AS550" i="7"/>
  <c r="AT550" i="7"/>
  <c r="AU550" i="7"/>
  <c r="AV550" i="7"/>
  <c r="AW550" i="7"/>
  <c r="AX550" i="7"/>
  <c r="AY550" i="7"/>
  <c r="AZ550" i="7"/>
  <c r="BA550" i="7"/>
  <c r="BB550" i="7"/>
  <c r="BC550" i="7"/>
  <c r="BD550" i="7"/>
  <c r="BE550" i="7"/>
  <c r="BF550" i="7"/>
  <c r="BG550" i="7"/>
  <c r="BH550" i="7"/>
  <c r="BI550" i="7"/>
  <c r="BJ550" i="7"/>
  <c r="BK550" i="7"/>
  <c r="BL550" i="7"/>
  <c r="BM550" i="7"/>
  <c r="BN550" i="7"/>
  <c r="BO550" i="7"/>
  <c r="BP550" i="7"/>
  <c r="BR550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 s="1"/>
  <c r="BJ77" i="7"/>
  <c r="BK77" i="7"/>
  <c r="BL77" i="7"/>
  <c r="BM77" i="7"/>
  <c r="BN77" i="7"/>
  <c r="BO77" i="7"/>
  <c r="BP77" i="7"/>
  <c r="BQ77" i="7"/>
  <c r="BR77" i="7"/>
  <c r="W562" i="7"/>
  <c r="X562" i="7"/>
  <c r="Y562" i="7"/>
  <c r="Z562" i="7"/>
  <c r="AA562" i="7"/>
  <c r="AB562" i="7"/>
  <c r="AC562" i="7"/>
  <c r="AD562" i="7"/>
  <c r="AE562" i="7"/>
  <c r="AF562" i="7"/>
  <c r="AG562" i="7"/>
  <c r="AH562" i="7"/>
  <c r="AI562" i="7"/>
  <c r="AJ562" i="7"/>
  <c r="AK562" i="7"/>
  <c r="AL562" i="7"/>
  <c r="AM562" i="7"/>
  <c r="AN562" i="7"/>
  <c r="AO562" i="7"/>
  <c r="AP562" i="7"/>
  <c r="AQ562" i="7"/>
  <c r="AR562" i="7"/>
  <c r="AS562" i="7"/>
  <c r="AT562" i="7"/>
  <c r="AU562" i="7"/>
  <c r="AV562" i="7"/>
  <c r="AW562" i="7"/>
  <c r="AX562" i="7"/>
  <c r="AY562" i="7"/>
  <c r="AZ562" i="7"/>
  <c r="BA562" i="7" s="1"/>
  <c r="BB562" i="7"/>
  <c r="BC562" i="7"/>
  <c r="BD562" i="7"/>
  <c r="BE562" i="7"/>
  <c r="BF562" i="7"/>
  <c r="BG562" i="7"/>
  <c r="BH562" i="7"/>
  <c r="BI562" i="7"/>
  <c r="BJ562" i="7"/>
  <c r="BK562" i="7"/>
  <c r="BL562" i="7"/>
  <c r="BM562" i="7"/>
  <c r="BN562" i="7"/>
  <c r="BO562" i="7"/>
  <c r="BP562" i="7"/>
  <c r="BQ562" i="7"/>
  <c r="BR562" i="7"/>
  <c r="W529" i="7"/>
  <c r="X529" i="7"/>
  <c r="Y529" i="7"/>
  <c r="Z529" i="7"/>
  <c r="AA529" i="7"/>
  <c r="AB529" i="7"/>
  <c r="AC529" i="7"/>
  <c r="AD529" i="7"/>
  <c r="AE529" i="7"/>
  <c r="AF529" i="7"/>
  <c r="AG529" i="7"/>
  <c r="AH529" i="7"/>
  <c r="AI529" i="7"/>
  <c r="AJ529" i="7"/>
  <c r="AK529" i="7"/>
  <c r="AL529" i="7"/>
  <c r="AM529" i="7"/>
  <c r="AN529" i="7"/>
  <c r="AO529" i="7"/>
  <c r="AP529" i="7"/>
  <c r="AQ529" i="7"/>
  <c r="AR529" i="7"/>
  <c r="AT529" i="7"/>
  <c r="AU529" i="7"/>
  <c r="AV529" i="7"/>
  <c r="AW529" i="7"/>
  <c r="AX529" i="7"/>
  <c r="AY529" i="7"/>
  <c r="AZ529" i="7"/>
  <c r="BA529" i="7"/>
  <c r="BB529" i="7"/>
  <c r="BC529" i="7"/>
  <c r="BD529" i="7"/>
  <c r="BE529" i="7"/>
  <c r="BF529" i="7"/>
  <c r="BG529" i="7"/>
  <c r="BH529" i="7"/>
  <c r="BJ529" i="7"/>
  <c r="BK529" i="7"/>
  <c r="BL529" i="7"/>
  <c r="BM529" i="7"/>
  <c r="BN529" i="7"/>
  <c r="BO529" i="7"/>
  <c r="BP529" i="7"/>
  <c r="BQ529" i="7"/>
  <c r="BR529" i="7"/>
  <c r="W100" i="7"/>
  <c r="X100" i="7"/>
  <c r="Y100" i="7"/>
  <c r="Z100" i="7"/>
  <c r="AA100" i="7"/>
  <c r="AB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 s="1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W156" i="7"/>
  <c r="X156" i="7"/>
  <c r="Y156" i="7"/>
  <c r="Z156" i="7"/>
  <c r="AA156" i="7"/>
  <c r="AB156" i="7"/>
  <c r="AD156" i="7" s="1"/>
  <c r="AC156" i="7"/>
  <c r="AE156" i="7"/>
  <c r="AF156" i="7"/>
  <c r="AG156" i="7"/>
  <c r="AH156" i="7"/>
  <c r="AI156" i="7"/>
  <c r="AJ156" i="7"/>
  <c r="AK156" i="7" s="1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I156" i="7" s="1"/>
  <c r="BG156" i="7"/>
  <c r="BH156" i="7"/>
  <c r="BJ156" i="7"/>
  <c r="BK156" i="7"/>
  <c r="BL156" i="7"/>
  <c r="BM156" i="7"/>
  <c r="BN156" i="7"/>
  <c r="BO156" i="7"/>
  <c r="BP156" i="7"/>
  <c r="BQ156" i="7"/>
  <c r="BR156" i="7"/>
  <c r="W570" i="7"/>
  <c r="X570" i="7"/>
  <c r="Y570" i="7"/>
  <c r="Z570" i="7"/>
  <c r="AA570" i="7"/>
  <c r="AB570" i="7"/>
  <c r="AC570" i="7"/>
  <c r="AD570" i="7"/>
  <c r="AE570" i="7"/>
  <c r="AF570" i="7"/>
  <c r="AG570" i="7"/>
  <c r="AH570" i="7"/>
  <c r="AI570" i="7"/>
  <c r="AJ570" i="7"/>
  <c r="AM570" i="7"/>
  <c r="AN570" i="7"/>
  <c r="AO570" i="7"/>
  <c r="AP570" i="7"/>
  <c r="AQ570" i="7"/>
  <c r="AR570" i="7"/>
  <c r="AS570" i="7"/>
  <c r="AT570" i="7"/>
  <c r="AU570" i="7"/>
  <c r="AV570" i="7"/>
  <c r="AW570" i="7"/>
  <c r="AX570" i="7"/>
  <c r="AY570" i="7"/>
  <c r="AZ570" i="7"/>
  <c r="BA570" i="7"/>
  <c r="BB570" i="7"/>
  <c r="BC570" i="7"/>
  <c r="BD570" i="7"/>
  <c r="BE570" i="7"/>
  <c r="BF570" i="7"/>
  <c r="BG570" i="7"/>
  <c r="BH570" i="7"/>
  <c r="BI570" i="7" s="1"/>
  <c r="BJ570" i="7"/>
  <c r="BK570" i="7"/>
  <c r="BL570" i="7"/>
  <c r="BM570" i="7"/>
  <c r="BN570" i="7"/>
  <c r="BO570" i="7"/>
  <c r="BP570" i="7"/>
  <c r="BR570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K108" i="7"/>
  <c r="BL108" i="7"/>
  <c r="BM108" i="7"/>
  <c r="BN108" i="7"/>
  <c r="BO108" i="7"/>
  <c r="BP108" i="7"/>
  <c r="BQ108" i="7"/>
  <c r="BR108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 s="1"/>
  <c r="BB93" i="7"/>
  <c r="BC93" i="7"/>
  <c r="BD93" i="7"/>
  <c r="BE93" i="7"/>
  <c r="BF93" i="7"/>
  <c r="BG93" i="7"/>
  <c r="BH93" i="7"/>
  <c r="BJ93" i="7"/>
  <c r="BK93" i="7"/>
  <c r="BL93" i="7"/>
  <c r="BM93" i="7"/>
  <c r="BN93" i="7"/>
  <c r="BO93" i="7"/>
  <c r="BP93" i="7"/>
  <c r="BQ93" i="7"/>
  <c r="BR93" i="7"/>
  <c r="W208" i="7"/>
  <c r="X208" i="7"/>
  <c r="Y208" i="7"/>
  <c r="Z208" i="7"/>
  <c r="AA208" i="7"/>
  <c r="AB208" i="7"/>
  <c r="AD208" i="7"/>
  <c r="AE208" i="7"/>
  <c r="AF208" i="7"/>
  <c r="AG208" i="7"/>
  <c r="AH208" i="7"/>
  <c r="AI208" i="7"/>
  <c r="AJ208" i="7"/>
  <c r="AK208" i="7" s="1"/>
  <c r="AL208" i="7"/>
  <c r="AM208" i="7"/>
  <c r="AN208" i="7"/>
  <c r="AO208" i="7"/>
  <c r="AP208" i="7"/>
  <c r="AQ208" i="7"/>
  <c r="AR208" i="7"/>
  <c r="AU208" i="7"/>
  <c r="AV208" i="7"/>
  <c r="AW208" i="7"/>
  <c r="AX208" i="7"/>
  <c r="AY208" i="7"/>
  <c r="AZ208" i="7"/>
  <c r="BA208" i="7" s="1"/>
  <c r="BB208" i="7"/>
  <c r="BC208" i="7"/>
  <c r="BD208" i="7"/>
  <c r="BE208" i="7"/>
  <c r="BF208" i="7"/>
  <c r="BG208" i="7"/>
  <c r="BH208" i="7"/>
  <c r="BJ208" i="7"/>
  <c r="BK208" i="7"/>
  <c r="BL208" i="7"/>
  <c r="BM208" i="7"/>
  <c r="BN208" i="7"/>
  <c r="BO208" i="7"/>
  <c r="BP208" i="7"/>
  <c r="BQ208" i="7"/>
  <c r="BR208" i="7"/>
  <c r="W563" i="7"/>
  <c r="X563" i="7"/>
  <c r="Y563" i="7"/>
  <c r="Z563" i="7"/>
  <c r="AA563" i="7"/>
  <c r="AB563" i="7"/>
  <c r="AC563" i="7" s="1"/>
  <c r="AD563" i="7"/>
  <c r="AE563" i="7"/>
  <c r="AF563" i="7"/>
  <c r="AG563" i="7"/>
  <c r="AH563" i="7"/>
  <c r="AI563" i="7"/>
  <c r="AJ563" i="7"/>
  <c r="AK563" i="7"/>
  <c r="AL563" i="7"/>
  <c r="AM563" i="7"/>
  <c r="AN563" i="7"/>
  <c r="AO563" i="7"/>
  <c r="AP563" i="7"/>
  <c r="AQ563" i="7"/>
  <c r="AR563" i="7"/>
  <c r="AS563" i="7"/>
  <c r="AT563" i="7"/>
  <c r="AU563" i="7"/>
  <c r="AV563" i="7"/>
  <c r="AW563" i="7"/>
  <c r="AX563" i="7"/>
  <c r="AY563" i="7"/>
  <c r="AZ563" i="7"/>
  <c r="BA563" i="7"/>
  <c r="BB563" i="7"/>
  <c r="BC563" i="7"/>
  <c r="BD563" i="7"/>
  <c r="BE563" i="7"/>
  <c r="BF563" i="7"/>
  <c r="BG563" i="7"/>
  <c r="BH563" i="7"/>
  <c r="BK563" i="7"/>
  <c r="BL563" i="7"/>
  <c r="BM563" i="7"/>
  <c r="BN563" i="7"/>
  <c r="BO563" i="7"/>
  <c r="BP563" i="7"/>
  <c r="BQ563" i="7"/>
  <c r="BR563" i="7"/>
  <c r="W530" i="7"/>
  <c r="X530" i="7"/>
  <c r="Y530" i="7"/>
  <c r="Z530" i="7"/>
  <c r="AA530" i="7"/>
  <c r="AB530" i="7"/>
  <c r="AC530" i="7" s="1"/>
  <c r="AD530" i="7"/>
  <c r="AE530" i="7"/>
  <c r="AF530" i="7"/>
  <c r="AG530" i="7"/>
  <c r="AH530" i="7"/>
  <c r="AI530" i="7"/>
  <c r="AJ530" i="7"/>
  <c r="AK530" i="7"/>
  <c r="AL530" i="7"/>
  <c r="AM530" i="7"/>
  <c r="AN530" i="7"/>
  <c r="AO530" i="7"/>
  <c r="AP530" i="7"/>
  <c r="AQ530" i="7"/>
  <c r="AR530" i="7"/>
  <c r="AS530" i="7" s="1"/>
  <c r="AT530" i="7"/>
  <c r="AU530" i="7"/>
  <c r="AV530" i="7"/>
  <c r="AW530" i="7"/>
  <c r="AX530" i="7"/>
  <c r="AY530" i="7"/>
  <c r="AZ530" i="7"/>
  <c r="BA530" i="7" s="1"/>
  <c r="BB530" i="7"/>
  <c r="BC530" i="7"/>
  <c r="BD530" i="7"/>
  <c r="BE530" i="7"/>
  <c r="BF530" i="7"/>
  <c r="BG530" i="7"/>
  <c r="BH530" i="7"/>
  <c r="BI530" i="7"/>
  <c r="BJ530" i="7"/>
  <c r="BK530" i="7"/>
  <c r="BL530" i="7"/>
  <c r="BM530" i="7"/>
  <c r="BN530" i="7"/>
  <c r="BO530" i="7"/>
  <c r="BP530" i="7"/>
  <c r="BQ530" i="7" s="1"/>
  <c r="BR530" i="7"/>
  <c r="W124" i="7"/>
  <c r="X124" i="7"/>
  <c r="Y124" i="7"/>
  <c r="Z124" i="7"/>
  <c r="AA124" i="7"/>
  <c r="AB124" i="7"/>
  <c r="AC124" i="7" s="1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J124" i="7"/>
  <c r="BK124" i="7"/>
  <c r="BL124" i="7"/>
  <c r="BM124" i="7"/>
  <c r="BN124" i="7"/>
  <c r="BO124" i="7"/>
  <c r="BP124" i="7"/>
  <c r="BQ124" i="7" s="1"/>
  <c r="BR124" i="7"/>
  <c r="W398" i="7"/>
  <c r="X398" i="7"/>
  <c r="Y398" i="7"/>
  <c r="Z398" i="7"/>
  <c r="AA398" i="7"/>
  <c r="AB398" i="7"/>
  <c r="AD398" i="7"/>
  <c r="AE398" i="7"/>
  <c r="AF398" i="7"/>
  <c r="AG398" i="7"/>
  <c r="AH398" i="7"/>
  <c r="AI398" i="7"/>
  <c r="AJ398" i="7"/>
  <c r="AL398" i="7"/>
  <c r="AM398" i="7"/>
  <c r="AN398" i="7"/>
  <c r="AO398" i="7"/>
  <c r="AP398" i="7"/>
  <c r="AQ398" i="7"/>
  <c r="AR398" i="7"/>
  <c r="AS398" i="7"/>
  <c r="AT398" i="7"/>
  <c r="AU398" i="7"/>
  <c r="AV398" i="7"/>
  <c r="AW398" i="7"/>
  <c r="AX398" i="7"/>
  <c r="AY398" i="7"/>
  <c r="AZ398" i="7"/>
  <c r="BA398" i="7"/>
  <c r="BB398" i="7"/>
  <c r="BC398" i="7"/>
  <c r="BD398" i="7"/>
  <c r="BE398" i="7"/>
  <c r="BF398" i="7"/>
  <c r="BG398" i="7"/>
  <c r="BH398" i="7"/>
  <c r="BI398" i="7" s="1"/>
  <c r="BJ398" i="7"/>
  <c r="BK398" i="7"/>
  <c r="BL398" i="7"/>
  <c r="BM398" i="7"/>
  <c r="BN398" i="7"/>
  <c r="BO398" i="7"/>
  <c r="BP398" i="7"/>
  <c r="BQ398" i="7"/>
  <c r="BR398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AJ291" i="7"/>
  <c r="AK291" i="7"/>
  <c r="AL291" i="7"/>
  <c r="AM291" i="7"/>
  <c r="AN291" i="7"/>
  <c r="AO291" i="7"/>
  <c r="AP291" i="7"/>
  <c r="AQ291" i="7"/>
  <c r="AR291" i="7"/>
  <c r="AS291" i="7"/>
  <c r="AT291" i="7"/>
  <c r="AU291" i="7"/>
  <c r="AV291" i="7"/>
  <c r="AW291" i="7"/>
  <c r="AX291" i="7"/>
  <c r="AY291" i="7"/>
  <c r="AZ291" i="7"/>
  <c r="BA291" i="7"/>
  <c r="BB291" i="7"/>
  <c r="BC291" i="7"/>
  <c r="BD291" i="7"/>
  <c r="BE291" i="7"/>
  <c r="BF291" i="7"/>
  <c r="BG291" i="7"/>
  <c r="BH291" i="7"/>
  <c r="BI291" i="7"/>
  <c r="BJ291" i="7"/>
  <c r="BK291" i="7"/>
  <c r="BL291" i="7"/>
  <c r="BM291" i="7"/>
  <c r="BN291" i="7"/>
  <c r="BO291" i="7"/>
  <c r="BP291" i="7"/>
  <c r="BQ291" i="7" s="1"/>
  <c r="BR291" i="7"/>
  <c r="W128" i="7"/>
  <c r="X128" i="7"/>
  <c r="Y128" i="7"/>
  <c r="Z128" i="7"/>
  <c r="AA128" i="7"/>
  <c r="AB128" i="7"/>
  <c r="AE128" i="7"/>
  <c r="AF128" i="7"/>
  <c r="AG128" i="7"/>
  <c r="AH128" i="7"/>
  <c r="AI128" i="7"/>
  <c r="AJ128" i="7"/>
  <c r="AK128" i="7" s="1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K128" i="7"/>
  <c r="BL128" i="7"/>
  <c r="BM128" i="7"/>
  <c r="BN128" i="7"/>
  <c r="BO128" i="7"/>
  <c r="BP128" i="7"/>
  <c r="BQ128" i="7" s="1"/>
  <c r="BR128" i="7"/>
  <c r="W292" i="7"/>
  <c r="X292" i="7"/>
  <c r="Y292" i="7"/>
  <c r="Z292" i="7"/>
  <c r="AA292" i="7"/>
  <c r="AB292" i="7"/>
  <c r="AC292" i="7" s="1"/>
  <c r="AD292" i="7"/>
  <c r="AE292" i="7"/>
  <c r="AF292" i="7"/>
  <c r="AG292" i="7"/>
  <c r="AH292" i="7"/>
  <c r="AI292" i="7"/>
  <c r="AJ292" i="7"/>
  <c r="AK292" i="7"/>
  <c r="AL292" i="7"/>
  <c r="AM292" i="7"/>
  <c r="AN292" i="7"/>
  <c r="AO292" i="7"/>
  <c r="AP292" i="7"/>
  <c r="AQ292" i="7"/>
  <c r="AR292" i="7"/>
  <c r="AS292" i="7" s="1"/>
  <c r="AT292" i="7"/>
  <c r="AU292" i="7"/>
  <c r="AV292" i="7"/>
  <c r="AW292" i="7"/>
  <c r="AX292" i="7"/>
  <c r="AY292" i="7"/>
  <c r="AZ292" i="7"/>
  <c r="BA292" i="7"/>
  <c r="BB292" i="7"/>
  <c r="BC292" i="7"/>
  <c r="BD292" i="7"/>
  <c r="BE292" i="7"/>
  <c r="BF292" i="7"/>
  <c r="BG292" i="7"/>
  <c r="BH292" i="7"/>
  <c r="BI292" i="7"/>
  <c r="BJ292" i="7"/>
  <c r="BK292" i="7"/>
  <c r="BL292" i="7"/>
  <c r="BM292" i="7"/>
  <c r="BN292" i="7"/>
  <c r="BO292" i="7"/>
  <c r="BP292" i="7"/>
  <c r="BQ292" i="7"/>
  <c r="BR292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M239" i="7"/>
  <c r="AN239" i="7"/>
  <c r="AO239" i="7"/>
  <c r="AP239" i="7"/>
  <c r="AQ239" i="7"/>
  <c r="AR239" i="7"/>
  <c r="AU239" i="7"/>
  <c r="AV239" i="7"/>
  <c r="AW239" i="7"/>
  <c r="AX239" i="7"/>
  <c r="AY239" i="7"/>
  <c r="AZ239" i="7"/>
  <c r="BC239" i="7"/>
  <c r="BD239" i="7"/>
  <c r="BE239" i="7"/>
  <c r="BF239" i="7"/>
  <c r="BG239" i="7"/>
  <c r="BH239" i="7"/>
  <c r="BI239" i="7"/>
  <c r="BJ239" i="7"/>
  <c r="BK239" i="7"/>
  <c r="BL239" i="7"/>
  <c r="BM239" i="7"/>
  <c r="BN239" i="7"/>
  <c r="BO239" i="7"/>
  <c r="BP239" i="7"/>
  <c r="BQ239" i="7"/>
  <c r="BR239" i="7"/>
  <c r="W168" i="7"/>
  <c r="X168" i="7"/>
  <c r="Y168" i="7"/>
  <c r="Z168" i="7"/>
  <c r="AA168" i="7"/>
  <c r="AB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 s="1"/>
  <c r="AT168" i="7"/>
  <c r="AU168" i="7"/>
  <c r="AV168" i="7"/>
  <c r="AW168" i="7"/>
  <c r="AX168" i="7"/>
  <c r="AY168" i="7"/>
  <c r="AZ168" i="7"/>
  <c r="BA168" i="7" s="1"/>
  <c r="BB168" i="7"/>
  <c r="BC168" i="7"/>
  <c r="BD168" i="7"/>
  <c r="BE168" i="7"/>
  <c r="BF168" i="7"/>
  <c r="BG168" i="7"/>
  <c r="BH168" i="7"/>
  <c r="BI168" i="7"/>
  <c r="BJ168" i="7"/>
  <c r="BK168" i="7"/>
  <c r="BL168" i="7"/>
  <c r="BM168" i="7"/>
  <c r="BN168" i="7"/>
  <c r="BO168" i="7"/>
  <c r="BP168" i="7"/>
  <c r="BQ168" i="7"/>
  <c r="BR168" i="7"/>
  <c r="W502" i="7"/>
  <c r="X502" i="7"/>
  <c r="Y502" i="7"/>
  <c r="Z502" i="7"/>
  <c r="AA502" i="7"/>
  <c r="AB502" i="7"/>
  <c r="AC502" i="7"/>
  <c r="AD502" i="7"/>
  <c r="AE502" i="7"/>
  <c r="AF502" i="7"/>
  <c r="AG502" i="7"/>
  <c r="AH502" i="7"/>
  <c r="AI502" i="7"/>
  <c r="AJ502" i="7"/>
  <c r="AL502" i="7"/>
  <c r="AM502" i="7"/>
  <c r="AN502" i="7"/>
  <c r="AO502" i="7"/>
  <c r="AP502" i="7"/>
  <c r="AQ502" i="7"/>
  <c r="AR502" i="7"/>
  <c r="AS502" i="7"/>
  <c r="AT502" i="7"/>
  <c r="AU502" i="7"/>
  <c r="AV502" i="7"/>
  <c r="AW502" i="7"/>
  <c r="AX502" i="7"/>
  <c r="AY502" i="7"/>
  <c r="AZ502" i="7"/>
  <c r="BA502" i="7"/>
  <c r="BB502" i="7"/>
  <c r="BC502" i="7"/>
  <c r="BD502" i="7"/>
  <c r="BE502" i="7"/>
  <c r="BF502" i="7"/>
  <c r="BG502" i="7"/>
  <c r="BH502" i="7"/>
  <c r="BI502" i="7"/>
  <c r="BJ502" i="7"/>
  <c r="BK502" i="7"/>
  <c r="BL502" i="7"/>
  <c r="BM502" i="7"/>
  <c r="BN502" i="7"/>
  <c r="BO502" i="7"/>
  <c r="BP502" i="7"/>
  <c r="W399" i="7"/>
  <c r="X399" i="7"/>
  <c r="Y399" i="7"/>
  <c r="Z399" i="7"/>
  <c r="AA399" i="7"/>
  <c r="AB399" i="7"/>
  <c r="AC399" i="7"/>
  <c r="AD399" i="7"/>
  <c r="AE399" i="7"/>
  <c r="AF399" i="7"/>
  <c r="AG399" i="7"/>
  <c r="AH399" i="7"/>
  <c r="AI399" i="7"/>
  <c r="AJ399" i="7"/>
  <c r="AK399" i="7"/>
  <c r="AL399" i="7"/>
  <c r="AM399" i="7"/>
  <c r="AN399" i="7"/>
  <c r="AO399" i="7"/>
  <c r="AP399" i="7"/>
  <c r="AQ399" i="7"/>
  <c r="AR399" i="7"/>
  <c r="AS399" i="7"/>
  <c r="AT399" i="7"/>
  <c r="AU399" i="7"/>
  <c r="AV399" i="7"/>
  <c r="AW399" i="7"/>
  <c r="AX399" i="7"/>
  <c r="AY399" i="7"/>
  <c r="AZ399" i="7"/>
  <c r="BA399" i="7"/>
  <c r="BB399" i="7"/>
  <c r="BC399" i="7"/>
  <c r="BD399" i="7"/>
  <c r="BE399" i="7"/>
  <c r="BF399" i="7"/>
  <c r="BG399" i="7"/>
  <c r="BH399" i="7"/>
  <c r="BI399" i="7"/>
  <c r="BJ399" i="7"/>
  <c r="BK399" i="7"/>
  <c r="BL399" i="7"/>
  <c r="BM399" i="7"/>
  <c r="BN399" i="7"/>
  <c r="BO399" i="7"/>
  <c r="BP399" i="7"/>
  <c r="BQ399" i="7"/>
  <c r="BR399" i="7"/>
  <c r="W564" i="7"/>
  <c r="X564" i="7"/>
  <c r="Y564" i="7"/>
  <c r="Z564" i="7"/>
  <c r="AA564" i="7"/>
  <c r="AB564" i="7"/>
  <c r="AC564" i="7"/>
  <c r="AD564" i="7"/>
  <c r="AE564" i="7"/>
  <c r="AF564" i="7"/>
  <c r="AG564" i="7"/>
  <c r="AH564" i="7"/>
  <c r="AI564" i="7"/>
  <c r="AJ564" i="7"/>
  <c r="AK564" i="7"/>
  <c r="AL564" i="7"/>
  <c r="AM564" i="7"/>
  <c r="AN564" i="7"/>
  <c r="AO564" i="7"/>
  <c r="AP564" i="7"/>
  <c r="AQ564" i="7"/>
  <c r="AR564" i="7"/>
  <c r="AS564" i="7"/>
  <c r="AT564" i="7"/>
  <c r="AU564" i="7"/>
  <c r="AV564" i="7"/>
  <c r="AW564" i="7"/>
  <c r="AX564" i="7"/>
  <c r="AY564" i="7"/>
  <c r="AZ564" i="7"/>
  <c r="BA564" i="7"/>
  <c r="BB564" i="7"/>
  <c r="BC564" i="7"/>
  <c r="BD564" i="7"/>
  <c r="BE564" i="7"/>
  <c r="BF564" i="7"/>
  <c r="BG564" i="7"/>
  <c r="BH564" i="7"/>
  <c r="BI564" i="7"/>
  <c r="BJ564" i="7"/>
  <c r="BK564" i="7"/>
  <c r="BL564" i="7"/>
  <c r="BM564" i="7"/>
  <c r="BN564" i="7"/>
  <c r="BO564" i="7"/>
  <c r="BP564" i="7"/>
  <c r="BQ564" i="7"/>
  <c r="BR564" i="7"/>
  <c r="W475" i="7"/>
  <c r="X475" i="7"/>
  <c r="Y475" i="7"/>
  <c r="Z475" i="7"/>
  <c r="AA475" i="7"/>
  <c r="AB475" i="7"/>
  <c r="AC475" i="7"/>
  <c r="AD475" i="7"/>
  <c r="AE475" i="7"/>
  <c r="AF475" i="7"/>
  <c r="AG475" i="7"/>
  <c r="AH475" i="7"/>
  <c r="AI475" i="7"/>
  <c r="AJ475" i="7"/>
  <c r="AK475" i="7"/>
  <c r="AL475" i="7"/>
  <c r="AM475" i="7"/>
  <c r="AN475" i="7"/>
  <c r="AO475" i="7"/>
  <c r="AP475" i="7"/>
  <c r="AQ475" i="7"/>
  <c r="AR475" i="7"/>
  <c r="AS475" i="7"/>
  <c r="AT475" i="7"/>
  <c r="AU475" i="7"/>
  <c r="AV475" i="7"/>
  <c r="AW475" i="7"/>
  <c r="AX475" i="7"/>
  <c r="AY475" i="7"/>
  <c r="AZ475" i="7"/>
  <c r="BA475" i="7"/>
  <c r="BB475" i="7"/>
  <c r="BC475" i="7"/>
  <c r="BD475" i="7"/>
  <c r="BE475" i="7"/>
  <c r="BF475" i="7"/>
  <c r="BG475" i="7"/>
  <c r="BH475" i="7"/>
  <c r="BI475" i="7"/>
  <c r="BJ475" i="7"/>
  <c r="BK475" i="7"/>
  <c r="BL475" i="7"/>
  <c r="BM475" i="7"/>
  <c r="BN475" i="7"/>
  <c r="BO475" i="7"/>
  <c r="BP475" i="7"/>
  <c r="BQ475" i="7"/>
  <c r="BR475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K240" i="7"/>
  <c r="AL240" i="7"/>
  <c r="AM240" i="7"/>
  <c r="AN240" i="7"/>
  <c r="AO240" i="7"/>
  <c r="AP240" i="7"/>
  <c r="AQ240" i="7"/>
  <c r="AR240" i="7"/>
  <c r="AS240" i="7"/>
  <c r="AT240" i="7"/>
  <c r="AU240" i="7"/>
  <c r="AV240" i="7"/>
  <c r="AW240" i="7"/>
  <c r="AX240" i="7"/>
  <c r="AY240" i="7"/>
  <c r="AZ240" i="7"/>
  <c r="BA240" i="7"/>
  <c r="BB240" i="7"/>
  <c r="BC240" i="7"/>
  <c r="BD240" i="7"/>
  <c r="BE240" i="7"/>
  <c r="BF240" i="7"/>
  <c r="BG240" i="7"/>
  <c r="BH240" i="7"/>
  <c r="BI240" i="7"/>
  <c r="BJ240" i="7"/>
  <c r="BK240" i="7"/>
  <c r="BL240" i="7"/>
  <c r="BM240" i="7"/>
  <c r="BN240" i="7"/>
  <c r="BO240" i="7"/>
  <c r="BP240" i="7"/>
  <c r="BQ240" i="7"/>
  <c r="BR240" i="7"/>
  <c r="W503" i="7"/>
  <c r="X503" i="7"/>
  <c r="Y503" i="7"/>
  <c r="Z503" i="7"/>
  <c r="AA503" i="7"/>
  <c r="AB503" i="7"/>
  <c r="AC503" i="7"/>
  <c r="AD503" i="7"/>
  <c r="AE503" i="7"/>
  <c r="AF503" i="7"/>
  <c r="AG503" i="7"/>
  <c r="AH503" i="7"/>
  <c r="AI503" i="7"/>
  <c r="AJ503" i="7"/>
  <c r="AK503" i="7"/>
  <c r="AL503" i="7"/>
  <c r="AM503" i="7"/>
  <c r="AN503" i="7"/>
  <c r="AO503" i="7"/>
  <c r="AP503" i="7"/>
  <c r="AQ503" i="7"/>
  <c r="AR503" i="7"/>
  <c r="AS503" i="7"/>
  <c r="AT503" i="7"/>
  <c r="AU503" i="7"/>
  <c r="AV503" i="7"/>
  <c r="AW503" i="7"/>
  <c r="AX503" i="7"/>
  <c r="AY503" i="7"/>
  <c r="AZ503" i="7"/>
  <c r="BA503" i="7"/>
  <c r="BB503" i="7"/>
  <c r="BC503" i="7"/>
  <c r="BD503" i="7"/>
  <c r="BE503" i="7"/>
  <c r="BF503" i="7"/>
  <c r="BG503" i="7"/>
  <c r="BH503" i="7"/>
  <c r="BI503" i="7"/>
  <c r="BJ503" i="7"/>
  <c r="BK503" i="7"/>
  <c r="BL503" i="7"/>
  <c r="BM503" i="7"/>
  <c r="BN503" i="7"/>
  <c r="BO503" i="7"/>
  <c r="BP503" i="7"/>
  <c r="BQ503" i="7"/>
  <c r="BR503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K241" i="7"/>
  <c r="AL241" i="7"/>
  <c r="AM241" i="7"/>
  <c r="AN24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BA241" i="7"/>
  <c r="BB241" i="7"/>
  <c r="BC241" i="7"/>
  <c r="BD241" i="7"/>
  <c r="BE241" i="7"/>
  <c r="BF241" i="7"/>
  <c r="BG241" i="7"/>
  <c r="BH241" i="7"/>
  <c r="BI241" i="7"/>
  <c r="BJ241" i="7"/>
  <c r="BK241" i="7"/>
  <c r="BL241" i="7"/>
  <c r="BM241" i="7"/>
  <c r="BN241" i="7"/>
  <c r="BO241" i="7"/>
  <c r="BP241" i="7"/>
  <c r="BQ241" i="7"/>
  <c r="BR241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AK400" i="7"/>
  <c r="AL400" i="7"/>
  <c r="AM400" i="7"/>
  <c r="AN400" i="7"/>
  <c r="AO400" i="7"/>
  <c r="AP400" i="7"/>
  <c r="AQ400" i="7"/>
  <c r="AR400" i="7"/>
  <c r="AS400" i="7"/>
  <c r="AT400" i="7"/>
  <c r="AU400" i="7"/>
  <c r="AV400" i="7"/>
  <c r="AW400" i="7"/>
  <c r="AX400" i="7"/>
  <c r="AY400" i="7"/>
  <c r="AZ400" i="7"/>
  <c r="BA400" i="7"/>
  <c r="BB400" i="7"/>
  <c r="BC400" i="7"/>
  <c r="BD400" i="7"/>
  <c r="BE400" i="7"/>
  <c r="BF400" i="7"/>
  <c r="BG400" i="7"/>
  <c r="BH400" i="7"/>
  <c r="BI400" i="7"/>
  <c r="BJ400" i="7"/>
  <c r="BK400" i="7"/>
  <c r="BL400" i="7"/>
  <c r="BM400" i="7"/>
  <c r="BN400" i="7"/>
  <c r="BO400" i="7"/>
  <c r="BP400" i="7"/>
  <c r="BQ400" i="7"/>
  <c r="BR400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AJ293" i="7"/>
  <c r="AK293" i="7"/>
  <c r="AL293" i="7"/>
  <c r="AM293" i="7"/>
  <c r="AN293" i="7"/>
  <c r="AO293" i="7"/>
  <c r="AP293" i="7"/>
  <c r="AQ293" i="7"/>
  <c r="AR293" i="7"/>
  <c r="AS293" i="7"/>
  <c r="AT293" i="7"/>
  <c r="AU293" i="7"/>
  <c r="AV293" i="7"/>
  <c r="AW293" i="7"/>
  <c r="AX293" i="7"/>
  <c r="AY293" i="7"/>
  <c r="AZ293" i="7"/>
  <c r="BA293" i="7"/>
  <c r="BB293" i="7"/>
  <c r="BC293" i="7"/>
  <c r="BD293" i="7"/>
  <c r="BE293" i="7"/>
  <c r="BF293" i="7"/>
  <c r="BG293" i="7"/>
  <c r="BH293" i="7"/>
  <c r="BI293" i="7"/>
  <c r="BJ293" i="7"/>
  <c r="BK293" i="7"/>
  <c r="BL293" i="7"/>
  <c r="BM293" i="7"/>
  <c r="BN293" i="7"/>
  <c r="BO293" i="7"/>
  <c r="BP293" i="7"/>
  <c r="BQ293" i="7"/>
  <c r="BR293" i="7"/>
  <c r="W531" i="7"/>
  <c r="X531" i="7"/>
  <c r="Y531" i="7"/>
  <c r="Z531" i="7"/>
  <c r="AA531" i="7"/>
  <c r="AB531" i="7"/>
  <c r="AC531" i="7"/>
  <c r="AD531" i="7"/>
  <c r="AE531" i="7"/>
  <c r="AF531" i="7"/>
  <c r="AG531" i="7"/>
  <c r="AH531" i="7"/>
  <c r="AI531" i="7"/>
  <c r="AJ531" i="7"/>
  <c r="AK531" i="7"/>
  <c r="AL531" i="7"/>
  <c r="AM531" i="7"/>
  <c r="AN531" i="7"/>
  <c r="AO531" i="7"/>
  <c r="AP531" i="7"/>
  <c r="AQ531" i="7"/>
  <c r="AR531" i="7"/>
  <c r="AS531" i="7"/>
  <c r="AT531" i="7"/>
  <c r="AU531" i="7"/>
  <c r="AV531" i="7"/>
  <c r="AW531" i="7"/>
  <c r="AX531" i="7"/>
  <c r="AY531" i="7"/>
  <c r="AZ531" i="7"/>
  <c r="BA531" i="7"/>
  <c r="BB531" i="7"/>
  <c r="BC531" i="7"/>
  <c r="BD531" i="7"/>
  <c r="BE531" i="7"/>
  <c r="BF531" i="7"/>
  <c r="BG531" i="7"/>
  <c r="BH531" i="7"/>
  <c r="BI531" i="7"/>
  <c r="BJ531" i="7"/>
  <c r="BK531" i="7"/>
  <c r="BL531" i="7"/>
  <c r="BM531" i="7"/>
  <c r="BN531" i="7"/>
  <c r="BO531" i="7"/>
  <c r="BP531" i="7"/>
  <c r="BQ531" i="7"/>
  <c r="BR531" i="7"/>
  <c r="W551" i="7"/>
  <c r="X551" i="7"/>
  <c r="Y551" i="7"/>
  <c r="Z551" i="7"/>
  <c r="AA551" i="7"/>
  <c r="AB551" i="7"/>
  <c r="AC551" i="7"/>
  <c r="AD551" i="7"/>
  <c r="AE551" i="7"/>
  <c r="AF551" i="7"/>
  <c r="AG551" i="7"/>
  <c r="AH551" i="7"/>
  <c r="AI551" i="7"/>
  <c r="AJ551" i="7"/>
  <c r="AK551" i="7"/>
  <c r="AL551" i="7"/>
  <c r="AM551" i="7"/>
  <c r="AN551" i="7"/>
  <c r="AO551" i="7"/>
  <c r="AP551" i="7"/>
  <c r="AQ551" i="7"/>
  <c r="AR551" i="7"/>
  <c r="AS551" i="7"/>
  <c r="AT551" i="7"/>
  <c r="AU551" i="7"/>
  <c r="AV551" i="7"/>
  <c r="AW551" i="7"/>
  <c r="AX551" i="7"/>
  <c r="AY551" i="7"/>
  <c r="AZ551" i="7"/>
  <c r="BA551" i="7"/>
  <c r="BB551" i="7"/>
  <c r="BC551" i="7"/>
  <c r="BD551" i="7"/>
  <c r="BE551" i="7"/>
  <c r="BF551" i="7"/>
  <c r="BG551" i="7"/>
  <c r="BH551" i="7"/>
  <c r="BI551" i="7"/>
  <c r="BJ551" i="7"/>
  <c r="BK551" i="7"/>
  <c r="BL551" i="7"/>
  <c r="BM551" i="7"/>
  <c r="BN551" i="7"/>
  <c r="BO551" i="7"/>
  <c r="BP551" i="7"/>
  <c r="BQ551" i="7"/>
  <c r="BR551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L169" i="7"/>
  <c r="BM169" i="7"/>
  <c r="BN169" i="7"/>
  <c r="BO169" i="7"/>
  <c r="BP169" i="7"/>
  <c r="BQ169" i="7"/>
  <c r="BR169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AJ294" i="7"/>
  <c r="AK294" i="7"/>
  <c r="AL294" i="7"/>
  <c r="AM294" i="7"/>
  <c r="AN294" i="7"/>
  <c r="AO294" i="7"/>
  <c r="AP294" i="7"/>
  <c r="AQ294" i="7"/>
  <c r="AR294" i="7"/>
  <c r="AT294" i="7"/>
  <c r="AU294" i="7"/>
  <c r="AV294" i="7"/>
  <c r="AW294" i="7"/>
  <c r="AX294" i="7"/>
  <c r="AY294" i="7"/>
  <c r="AZ294" i="7"/>
  <c r="BB294" i="7"/>
  <c r="BC294" i="7"/>
  <c r="BD294" i="7"/>
  <c r="BE294" i="7"/>
  <c r="BF294" i="7"/>
  <c r="BG294" i="7"/>
  <c r="BH294" i="7"/>
  <c r="BI294" i="7"/>
  <c r="BJ294" i="7"/>
  <c r="BK294" i="7"/>
  <c r="BL294" i="7"/>
  <c r="BM294" i="7"/>
  <c r="BN294" i="7"/>
  <c r="BO294" i="7"/>
  <c r="BP294" i="7"/>
  <c r="BQ294" i="7"/>
  <c r="BR294" i="7"/>
  <c r="W532" i="7"/>
  <c r="X532" i="7"/>
  <c r="Y532" i="7"/>
  <c r="Z532" i="7"/>
  <c r="AA532" i="7"/>
  <c r="AB532" i="7"/>
  <c r="AC532" i="7"/>
  <c r="AD532" i="7"/>
  <c r="AE532" i="7"/>
  <c r="AF532" i="7"/>
  <c r="AG532" i="7"/>
  <c r="AH532" i="7"/>
  <c r="AI532" i="7"/>
  <c r="AJ532" i="7"/>
  <c r="AK532" i="7"/>
  <c r="AL532" i="7"/>
  <c r="AM532" i="7"/>
  <c r="AN532" i="7"/>
  <c r="AO532" i="7"/>
  <c r="AP532" i="7"/>
  <c r="AQ532" i="7"/>
  <c r="AR532" i="7"/>
  <c r="AS532" i="7"/>
  <c r="AT532" i="7"/>
  <c r="AU532" i="7"/>
  <c r="AV532" i="7"/>
  <c r="AW532" i="7"/>
  <c r="AX532" i="7"/>
  <c r="AY532" i="7"/>
  <c r="AZ532" i="7"/>
  <c r="BA532" i="7"/>
  <c r="BB532" i="7"/>
  <c r="BC532" i="7"/>
  <c r="BD532" i="7"/>
  <c r="BE532" i="7"/>
  <c r="BF532" i="7"/>
  <c r="BG532" i="7"/>
  <c r="BH532" i="7"/>
  <c r="BI532" i="7"/>
  <c r="BJ532" i="7"/>
  <c r="BK532" i="7"/>
  <c r="BL532" i="7"/>
  <c r="BM532" i="7"/>
  <c r="BN532" i="7"/>
  <c r="BO532" i="7"/>
  <c r="BP532" i="7"/>
  <c r="BQ532" i="7"/>
  <c r="BR532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K242" i="7"/>
  <c r="AL242" i="7"/>
  <c r="AM242" i="7"/>
  <c r="AN242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BA242" i="7"/>
  <c r="BB242" i="7"/>
  <c r="BC242" i="7"/>
  <c r="BD242" i="7"/>
  <c r="BE242" i="7"/>
  <c r="BF242" i="7"/>
  <c r="BG242" i="7"/>
  <c r="BH242" i="7"/>
  <c r="BI242" i="7"/>
  <c r="BJ242" i="7"/>
  <c r="BK242" i="7"/>
  <c r="BL242" i="7"/>
  <c r="BM242" i="7"/>
  <c r="BN242" i="7"/>
  <c r="BO242" i="7"/>
  <c r="BP242" i="7"/>
  <c r="BQ242" i="7"/>
  <c r="BR242" i="7"/>
  <c r="W401" i="7"/>
  <c r="X401" i="7"/>
  <c r="Y401" i="7"/>
  <c r="Z401" i="7"/>
  <c r="AA401" i="7"/>
  <c r="AB401" i="7"/>
  <c r="AC401" i="7"/>
  <c r="AD401" i="7"/>
  <c r="AE401" i="7"/>
  <c r="AF401" i="7"/>
  <c r="AG401" i="7"/>
  <c r="AH401" i="7"/>
  <c r="AI401" i="7"/>
  <c r="AJ401" i="7"/>
  <c r="AK401" i="7"/>
  <c r="AL401" i="7"/>
  <c r="AM401" i="7"/>
  <c r="AN401" i="7"/>
  <c r="AO401" i="7"/>
  <c r="AP401" i="7"/>
  <c r="AQ401" i="7"/>
  <c r="AR401" i="7"/>
  <c r="AT401" i="7"/>
  <c r="AU401" i="7"/>
  <c r="AV401" i="7"/>
  <c r="AW401" i="7"/>
  <c r="AX401" i="7"/>
  <c r="AY401" i="7"/>
  <c r="AZ401" i="7"/>
  <c r="BA401" i="7"/>
  <c r="BB401" i="7"/>
  <c r="BC401" i="7"/>
  <c r="BD401" i="7"/>
  <c r="BE401" i="7"/>
  <c r="BF401" i="7"/>
  <c r="BG401" i="7"/>
  <c r="BH401" i="7"/>
  <c r="BI401" i="7"/>
  <c r="BJ401" i="7"/>
  <c r="BK401" i="7"/>
  <c r="BL401" i="7"/>
  <c r="BM401" i="7"/>
  <c r="BN401" i="7"/>
  <c r="BO401" i="7"/>
  <c r="BP401" i="7"/>
  <c r="BQ401" i="7"/>
  <c r="BR401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W565" i="7"/>
  <c r="X565" i="7"/>
  <c r="Y565" i="7"/>
  <c r="Z565" i="7"/>
  <c r="AA565" i="7"/>
  <c r="AB565" i="7"/>
  <c r="AC565" i="7"/>
  <c r="AD565" i="7"/>
  <c r="AE565" i="7"/>
  <c r="AF565" i="7"/>
  <c r="AG565" i="7"/>
  <c r="AH565" i="7"/>
  <c r="AI565" i="7"/>
  <c r="AJ565" i="7"/>
  <c r="AK565" i="7"/>
  <c r="AL565" i="7"/>
  <c r="AM565" i="7"/>
  <c r="AN565" i="7"/>
  <c r="AO565" i="7"/>
  <c r="AP565" i="7"/>
  <c r="AQ565" i="7"/>
  <c r="AR565" i="7"/>
  <c r="AS565" i="7"/>
  <c r="AT565" i="7"/>
  <c r="AU565" i="7"/>
  <c r="AV565" i="7"/>
  <c r="AW565" i="7"/>
  <c r="AX565" i="7"/>
  <c r="AY565" i="7"/>
  <c r="AZ565" i="7"/>
  <c r="BA565" i="7"/>
  <c r="BB565" i="7"/>
  <c r="BC565" i="7"/>
  <c r="BD565" i="7"/>
  <c r="BE565" i="7"/>
  <c r="BF565" i="7"/>
  <c r="BG565" i="7"/>
  <c r="BH565" i="7"/>
  <c r="BI565" i="7"/>
  <c r="BJ565" i="7"/>
  <c r="BK565" i="7"/>
  <c r="BL565" i="7"/>
  <c r="BM565" i="7"/>
  <c r="BN565" i="7"/>
  <c r="BO565" i="7"/>
  <c r="BP565" i="7"/>
  <c r="BR565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L170" i="7"/>
  <c r="BM170" i="7"/>
  <c r="BN170" i="7"/>
  <c r="BO170" i="7"/>
  <c r="BP170" i="7"/>
  <c r="BQ170" i="7"/>
  <c r="BR170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 s="1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 s="1"/>
  <c r="BR158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K171" i="7"/>
  <c r="AL171" i="7"/>
  <c r="AM171" i="7"/>
  <c r="AN171" i="7"/>
  <c r="AO171" i="7"/>
  <c r="AP171" i="7"/>
  <c r="AQ171" i="7"/>
  <c r="AR171" i="7"/>
  <c r="AS171" i="7"/>
  <c r="AT171" i="7"/>
  <c r="AU171" i="7"/>
  <c r="AV171" i="7"/>
  <c r="AW171" i="7"/>
  <c r="AX171" i="7"/>
  <c r="AY171" i="7"/>
  <c r="AZ171" i="7"/>
  <c r="BA171" i="7"/>
  <c r="BB171" i="7"/>
  <c r="BC171" i="7"/>
  <c r="BD171" i="7"/>
  <c r="BE171" i="7"/>
  <c r="BF171" i="7"/>
  <c r="BG171" i="7"/>
  <c r="BH171" i="7"/>
  <c r="BI171" i="7"/>
  <c r="BJ171" i="7"/>
  <c r="BK171" i="7"/>
  <c r="BL171" i="7"/>
  <c r="BM171" i="7"/>
  <c r="BN171" i="7"/>
  <c r="BO171" i="7"/>
  <c r="BP171" i="7"/>
  <c r="BQ171" i="7"/>
  <c r="BR171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AJ295" i="7"/>
  <c r="AK295" i="7"/>
  <c r="AL295" i="7"/>
  <c r="AM295" i="7"/>
  <c r="AN295" i="7"/>
  <c r="AO295" i="7"/>
  <c r="AP295" i="7"/>
  <c r="AQ295" i="7"/>
  <c r="AR295" i="7"/>
  <c r="AS295" i="7"/>
  <c r="AT295" i="7"/>
  <c r="AU295" i="7"/>
  <c r="AV295" i="7"/>
  <c r="AW295" i="7"/>
  <c r="AX295" i="7"/>
  <c r="AY295" i="7"/>
  <c r="AZ295" i="7"/>
  <c r="BA295" i="7" s="1"/>
  <c r="BB295" i="7"/>
  <c r="BC295" i="7"/>
  <c r="BD295" i="7"/>
  <c r="BE295" i="7"/>
  <c r="BF295" i="7"/>
  <c r="BG295" i="7"/>
  <c r="BH295" i="7"/>
  <c r="BI295" i="7"/>
  <c r="BJ295" i="7"/>
  <c r="BK295" i="7"/>
  <c r="BL295" i="7"/>
  <c r="BM295" i="7"/>
  <c r="BN295" i="7"/>
  <c r="BO295" i="7"/>
  <c r="BP295" i="7"/>
  <c r="BQ295" i="7"/>
  <c r="BR295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B190" i="7"/>
  <c r="BC190" i="7"/>
  <c r="BD190" i="7"/>
  <c r="BE190" i="7"/>
  <c r="BF190" i="7"/>
  <c r="BG190" i="7"/>
  <c r="BH190" i="7"/>
  <c r="BI190" i="7" s="1"/>
  <c r="BJ190" i="7"/>
  <c r="BK190" i="7"/>
  <c r="BL190" i="7"/>
  <c r="BM190" i="7"/>
  <c r="BN190" i="7"/>
  <c r="BO190" i="7"/>
  <c r="BP190" i="7"/>
  <c r="BQ190" i="7"/>
  <c r="BR190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 s="1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W476" i="7"/>
  <c r="X476" i="7"/>
  <c r="Y476" i="7"/>
  <c r="Z476" i="7"/>
  <c r="AA476" i="7"/>
  <c r="AB476" i="7"/>
  <c r="AC476" i="7" s="1"/>
  <c r="AD476" i="7"/>
  <c r="AE476" i="7"/>
  <c r="AF476" i="7"/>
  <c r="AG476" i="7"/>
  <c r="AH476" i="7"/>
  <c r="AI476" i="7"/>
  <c r="AJ476" i="7"/>
  <c r="AK476" i="7"/>
  <c r="AL476" i="7"/>
  <c r="AM476" i="7"/>
  <c r="AN476" i="7"/>
  <c r="AO476" i="7"/>
  <c r="AP476" i="7"/>
  <c r="AQ476" i="7"/>
  <c r="AR476" i="7"/>
  <c r="AS476" i="7"/>
  <c r="AT476" i="7"/>
  <c r="AU476" i="7"/>
  <c r="AV476" i="7"/>
  <c r="AW476" i="7"/>
  <c r="AX476" i="7"/>
  <c r="AY476" i="7"/>
  <c r="AZ476" i="7"/>
  <c r="BA476" i="7"/>
  <c r="BB476" i="7"/>
  <c r="BC476" i="7"/>
  <c r="BD476" i="7"/>
  <c r="BE476" i="7"/>
  <c r="BF476" i="7"/>
  <c r="BG476" i="7"/>
  <c r="BH476" i="7"/>
  <c r="BI476" i="7"/>
  <c r="BJ476" i="7"/>
  <c r="BK476" i="7"/>
  <c r="BL476" i="7"/>
  <c r="BM476" i="7"/>
  <c r="BN476" i="7"/>
  <c r="BO476" i="7"/>
  <c r="BP476" i="7"/>
  <c r="BQ476" i="7"/>
  <c r="BR476" i="7"/>
  <c r="W544" i="7"/>
  <c r="X544" i="7"/>
  <c r="Y544" i="7"/>
  <c r="Z544" i="7"/>
  <c r="AA544" i="7"/>
  <c r="AB544" i="7"/>
  <c r="AC544" i="7"/>
  <c r="AD544" i="7"/>
  <c r="AE544" i="7"/>
  <c r="AF544" i="7"/>
  <c r="AG544" i="7"/>
  <c r="AH544" i="7"/>
  <c r="AI544" i="7"/>
  <c r="AJ544" i="7"/>
  <c r="AK544" i="7"/>
  <c r="AL544" i="7"/>
  <c r="AM544" i="7"/>
  <c r="AN544" i="7"/>
  <c r="AO544" i="7"/>
  <c r="AP544" i="7"/>
  <c r="AQ544" i="7"/>
  <c r="AR544" i="7"/>
  <c r="AS544" i="7"/>
  <c r="AT544" i="7"/>
  <c r="AU544" i="7"/>
  <c r="AV544" i="7"/>
  <c r="AW544" i="7"/>
  <c r="AX544" i="7"/>
  <c r="AY544" i="7"/>
  <c r="AZ544" i="7"/>
  <c r="BA544" i="7"/>
  <c r="BB544" i="7"/>
  <c r="BC544" i="7"/>
  <c r="BD544" i="7"/>
  <c r="BE544" i="7"/>
  <c r="BF544" i="7"/>
  <c r="BG544" i="7"/>
  <c r="BH544" i="7"/>
  <c r="BI544" i="7" s="1"/>
  <c r="BJ544" i="7"/>
  <c r="BK544" i="7"/>
  <c r="BL544" i="7"/>
  <c r="BM544" i="7"/>
  <c r="BN544" i="7"/>
  <c r="BO544" i="7"/>
  <c r="BP544" i="7"/>
  <c r="BQ544" i="7"/>
  <c r="BR544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AS243" i="7" s="1"/>
  <c r="AT243" i="7"/>
  <c r="AU243" i="7"/>
  <c r="AV243" i="7"/>
  <c r="AW243" i="7"/>
  <c r="AX243" i="7"/>
  <c r="AY243" i="7"/>
  <c r="AZ243" i="7"/>
  <c r="BA243" i="7" s="1"/>
  <c r="BB243" i="7"/>
  <c r="BC243" i="7"/>
  <c r="BD243" i="7"/>
  <c r="BE243" i="7"/>
  <c r="BF243" i="7"/>
  <c r="BG243" i="7"/>
  <c r="BH243" i="7"/>
  <c r="BI243" i="7"/>
  <c r="BJ243" i="7"/>
  <c r="BK243" i="7"/>
  <c r="BL243" i="7"/>
  <c r="BM243" i="7"/>
  <c r="BN243" i="7"/>
  <c r="BO243" i="7"/>
  <c r="BP243" i="7"/>
  <c r="BQ243" i="7"/>
  <c r="BR243" i="7"/>
  <c r="W143" i="7"/>
  <c r="X143" i="7"/>
  <c r="Y143" i="7"/>
  <c r="Z143" i="7"/>
  <c r="AA143" i="7"/>
  <c r="AB143" i="7"/>
  <c r="AC143" i="7" s="1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K244" i="7"/>
  <c r="AL244" i="7"/>
  <c r="AM244" i="7"/>
  <c r="AN244" i="7"/>
  <c r="AO244" i="7"/>
  <c r="AP244" i="7"/>
  <c r="AQ244" i="7"/>
  <c r="AR244" i="7"/>
  <c r="AS244" i="7"/>
  <c r="AT244" i="7"/>
  <c r="AU244" i="7"/>
  <c r="AV244" i="7"/>
  <c r="AW244" i="7"/>
  <c r="AX244" i="7"/>
  <c r="AY244" i="7"/>
  <c r="AZ244" i="7"/>
  <c r="BA244" i="7"/>
  <c r="BB244" i="7"/>
  <c r="BC244" i="7"/>
  <c r="BD244" i="7"/>
  <c r="BE244" i="7"/>
  <c r="BF244" i="7"/>
  <c r="BG244" i="7"/>
  <c r="BH244" i="7"/>
  <c r="BI244" i="7"/>
  <c r="BJ244" i="7"/>
  <c r="BK244" i="7"/>
  <c r="BL244" i="7"/>
  <c r="BM244" i="7"/>
  <c r="BN244" i="7"/>
  <c r="BO244" i="7"/>
  <c r="BP244" i="7"/>
  <c r="BQ244" i="7"/>
  <c r="BR244" i="7"/>
  <c r="W144" i="7"/>
  <c r="X144" i="7"/>
  <c r="Y144" i="7"/>
  <c r="Z144" i="7"/>
  <c r="AA144" i="7"/>
  <c r="AB144" i="7"/>
  <c r="AC144" i="7" s="1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 s="1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 s="1"/>
  <c r="BR144" i="7"/>
  <c r="W533" i="7"/>
  <c r="X533" i="7"/>
  <c r="Y533" i="7"/>
  <c r="Z533" i="7"/>
  <c r="AA533" i="7"/>
  <c r="AB533" i="7"/>
  <c r="AE533" i="7"/>
  <c r="AF533" i="7"/>
  <c r="AG533" i="7"/>
  <c r="AH533" i="7"/>
  <c r="AI533" i="7"/>
  <c r="AJ533" i="7"/>
  <c r="AM533" i="7"/>
  <c r="AN533" i="7"/>
  <c r="AO533" i="7"/>
  <c r="AP533" i="7"/>
  <c r="AQ533" i="7"/>
  <c r="AR533" i="7"/>
  <c r="AS533" i="7"/>
  <c r="AT533" i="7"/>
  <c r="AU533" i="7"/>
  <c r="AV533" i="7"/>
  <c r="AW533" i="7"/>
  <c r="AX533" i="7"/>
  <c r="AY533" i="7"/>
  <c r="AZ533" i="7"/>
  <c r="BA533" i="7"/>
  <c r="BB533" i="7"/>
  <c r="BC533" i="7"/>
  <c r="BD533" i="7"/>
  <c r="BE533" i="7"/>
  <c r="BF533" i="7"/>
  <c r="BG533" i="7"/>
  <c r="BH533" i="7"/>
  <c r="BI533" i="7"/>
  <c r="BJ533" i="7"/>
  <c r="BK533" i="7"/>
  <c r="BL533" i="7"/>
  <c r="BM533" i="7"/>
  <c r="BN533" i="7"/>
  <c r="BO533" i="7"/>
  <c r="BP533" i="7"/>
  <c r="BQ533" i="7"/>
  <c r="BR533" i="7"/>
  <c r="W552" i="7"/>
  <c r="X552" i="7"/>
  <c r="Y552" i="7"/>
  <c r="Z552" i="7"/>
  <c r="AA552" i="7"/>
  <c r="AB552" i="7"/>
  <c r="AC552" i="7"/>
  <c r="AD552" i="7"/>
  <c r="AE552" i="7"/>
  <c r="AF552" i="7"/>
  <c r="AG552" i="7"/>
  <c r="AH552" i="7"/>
  <c r="AI552" i="7"/>
  <c r="AJ552" i="7"/>
  <c r="AK552" i="7"/>
  <c r="AL552" i="7"/>
  <c r="AM552" i="7"/>
  <c r="AN552" i="7"/>
  <c r="AO552" i="7"/>
  <c r="AP552" i="7"/>
  <c r="AQ552" i="7"/>
  <c r="AR552" i="7"/>
  <c r="AS552" i="7"/>
  <c r="AT552" i="7"/>
  <c r="AU552" i="7"/>
  <c r="AV552" i="7"/>
  <c r="AW552" i="7"/>
  <c r="AX552" i="7"/>
  <c r="AY552" i="7"/>
  <c r="AZ552" i="7"/>
  <c r="BA552" i="7"/>
  <c r="BB552" i="7"/>
  <c r="BC552" i="7"/>
  <c r="BD552" i="7"/>
  <c r="BE552" i="7"/>
  <c r="BF552" i="7"/>
  <c r="BG552" i="7"/>
  <c r="BH552" i="7"/>
  <c r="BI552" i="7"/>
  <c r="BJ552" i="7"/>
  <c r="BK552" i="7"/>
  <c r="BL552" i="7"/>
  <c r="BM552" i="7"/>
  <c r="BN552" i="7"/>
  <c r="BO552" i="7"/>
  <c r="BP552" i="7"/>
  <c r="BQ552" i="7"/>
  <c r="BR552" i="7"/>
  <c r="W477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AK477" i="7"/>
  <c r="AL477" i="7"/>
  <c r="AM477" i="7"/>
  <c r="AN477" i="7"/>
  <c r="AO477" i="7"/>
  <c r="AP477" i="7"/>
  <c r="AQ477" i="7"/>
  <c r="AR477" i="7"/>
  <c r="AS477" i="7"/>
  <c r="AT477" i="7"/>
  <c r="AU477" i="7"/>
  <c r="AV477" i="7"/>
  <c r="AW477" i="7"/>
  <c r="AX477" i="7"/>
  <c r="AY477" i="7"/>
  <c r="AZ477" i="7"/>
  <c r="BA477" i="7"/>
  <c r="BB477" i="7"/>
  <c r="BC477" i="7"/>
  <c r="BD477" i="7"/>
  <c r="BE477" i="7"/>
  <c r="BF477" i="7"/>
  <c r="BG477" i="7"/>
  <c r="BH477" i="7"/>
  <c r="BK477" i="7"/>
  <c r="BL477" i="7"/>
  <c r="BM477" i="7"/>
  <c r="BN477" i="7"/>
  <c r="BO477" i="7"/>
  <c r="BP477" i="7"/>
  <c r="BQ477" i="7"/>
  <c r="BR477" i="7"/>
  <c r="W545" i="7"/>
  <c r="X545" i="7"/>
  <c r="Y545" i="7"/>
  <c r="Z545" i="7"/>
  <c r="AA545" i="7"/>
  <c r="AB545" i="7"/>
  <c r="AC545" i="7"/>
  <c r="AD545" i="7"/>
  <c r="AE545" i="7"/>
  <c r="AF545" i="7"/>
  <c r="AG545" i="7"/>
  <c r="AH545" i="7"/>
  <c r="AI545" i="7"/>
  <c r="AJ545" i="7"/>
  <c r="AK545" i="7"/>
  <c r="AL545" i="7"/>
  <c r="AM545" i="7"/>
  <c r="AN545" i="7"/>
  <c r="AO545" i="7"/>
  <c r="AP545" i="7"/>
  <c r="AQ545" i="7"/>
  <c r="AR545" i="7"/>
  <c r="AS545" i="7"/>
  <c r="AT545" i="7"/>
  <c r="AU545" i="7"/>
  <c r="AV545" i="7"/>
  <c r="AW545" i="7"/>
  <c r="AX545" i="7"/>
  <c r="AY545" i="7"/>
  <c r="AZ545" i="7"/>
  <c r="BA545" i="7"/>
  <c r="BB545" i="7"/>
  <c r="BC545" i="7"/>
  <c r="BD545" i="7"/>
  <c r="BE545" i="7"/>
  <c r="BF545" i="7"/>
  <c r="BG545" i="7"/>
  <c r="BH545" i="7"/>
  <c r="BI545" i="7"/>
  <c r="BJ545" i="7"/>
  <c r="BK545" i="7"/>
  <c r="BL545" i="7"/>
  <c r="BM545" i="7"/>
  <c r="BN545" i="7"/>
  <c r="BO545" i="7"/>
  <c r="BP545" i="7"/>
  <c r="BQ545" i="7"/>
  <c r="BR545" i="7"/>
  <c r="W504" i="7"/>
  <c r="X504" i="7"/>
  <c r="Y504" i="7"/>
  <c r="Z504" i="7"/>
  <c r="AA504" i="7"/>
  <c r="AB504" i="7"/>
  <c r="AC504" i="7"/>
  <c r="AD504" i="7"/>
  <c r="AE504" i="7"/>
  <c r="AF504" i="7"/>
  <c r="AG504" i="7"/>
  <c r="AH504" i="7"/>
  <c r="AI504" i="7"/>
  <c r="AJ504" i="7"/>
  <c r="AK504" i="7"/>
  <c r="AL504" i="7"/>
  <c r="AM504" i="7"/>
  <c r="AN504" i="7"/>
  <c r="AO504" i="7"/>
  <c r="AP504" i="7"/>
  <c r="AQ504" i="7"/>
  <c r="AR504" i="7"/>
  <c r="AS504" i="7"/>
  <c r="AT504" i="7"/>
  <c r="AU504" i="7"/>
  <c r="AV504" i="7"/>
  <c r="AW504" i="7"/>
  <c r="AX504" i="7"/>
  <c r="AY504" i="7"/>
  <c r="AZ504" i="7"/>
  <c r="BA504" i="7"/>
  <c r="BB504" i="7"/>
  <c r="BC504" i="7"/>
  <c r="BD504" i="7"/>
  <c r="BE504" i="7"/>
  <c r="BF504" i="7"/>
  <c r="BG504" i="7"/>
  <c r="BH504" i="7"/>
  <c r="BI504" i="7"/>
  <c r="BJ504" i="7"/>
  <c r="BK504" i="7"/>
  <c r="BL504" i="7"/>
  <c r="BM504" i="7"/>
  <c r="BN504" i="7"/>
  <c r="BO504" i="7"/>
  <c r="BP504" i="7"/>
  <c r="BQ504" i="7"/>
  <c r="BR504" i="7"/>
  <c r="W546" i="7"/>
  <c r="X546" i="7"/>
  <c r="Y546" i="7"/>
  <c r="Z546" i="7"/>
  <c r="AA546" i="7"/>
  <c r="AB546" i="7"/>
  <c r="AC546" i="7"/>
  <c r="AD546" i="7"/>
  <c r="AE546" i="7"/>
  <c r="AF546" i="7"/>
  <c r="AG546" i="7"/>
  <c r="AH546" i="7"/>
  <c r="AI546" i="7"/>
  <c r="AJ546" i="7"/>
  <c r="AK546" i="7"/>
  <c r="AL546" i="7"/>
  <c r="AM546" i="7"/>
  <c r="AN546" i="7"/>
  <c r="AO546" i="7"/>
  <c r="AP546" i="7"/>
  <c r="AQ546" i="7"/>
  <c r="AR546" i="7"/>
  <c r="AS546" i="7"/>
  <c r="AT546" i="7"/>
  <c r="AU546" i="7"/>
  <c r="AV546" i="7"/>
  <c r="AW546" i="7"/>
  <c r="AX546" i="7"/>
  <c r="AY546" i="7"/>
  <c r="AZ546" i="7"/>
  <c r="BA546" i="7"/>
  <c r="BB546" i="7"/>
  <c r="BC546" i="7"/>
  <c r="BD546" i="7"/>
  <c r="BE546" i="7"/>
  <c r="BF546" i="7"/>
  <c r="BG546" i="7"/>
  <c r="BH546" i="7"/>
  <c r="BI546" i="7"/>
  <c r="BJ546" i="7"/>
  <c r="BK546" i="7"/>
  <c r="BL546" i="7"/>
  <c r="BM546" i="7"/>
  <c r="BN546" i="7"/>
  <c r="BO546" i="7"/>
  <c r="BP546" i="7"/>
  <c r="BQ546" i="7"/>
  <c r="BR546" i="7"/>
  <c r="W505" i="7"/>
  <c r="X505" i="7"/>
  <c r="Y505" i="7"/>
  <c r="Z505" i="7"/>
  <c r="AA505" i="7"/>
  <c r="AB505" i="7"/>
  <c r="AC505" i="7"/>
  <c r="AD505" i="7"/>
  <c r="AE505" i="7"/>
  <c r="AF505" i="7"/>
  <c r="AG505" i="7"/>
  <c r="AH505" i="7"/>
  <c r="AI505" i="7"/>
  <c r="AJ505" i="7"/>
  <c r="AK505" i="7"/>
  <c r="AL505" i="7"/>
  <c r="AM505" i="7"/>
  <c r="AN505" i="7"/>
  <c r="AO505" i="7"/>
  <c r="AP505" i="7"/>
  <c r="AQ505" i="7"/>
  <c r="AR505" i="7"/>
  <c r="AS505" i="7"/>
  <c r="AT505" i="7"/>
  <c r="AU505" i="7"/>
  <c r="AV505" i="7"/>
  <c r="AW505" i="7"/>
  <c r="AX505" i="7"/>
  <c r="AY505" i="7"/>
  <c r="AZ505" i="7"/>
  <c r="BA505" i="7"/>
  <c r="BB505" i="7"/>
  <c r="BC505" i="7"/>
  <c r="BD505" i="7"/>
  <c r="BE505" i="7"/>
  <c r="BF505" i="7"/>
  <c r="BG505" i="7"/>
  <c r="BH505" i="7"/>
  <c r="BI505" i="7"/>
  <c r="BJ505" i="7"/>
  <c r="BK505" i="7"/>
  <c r="BL505" i="7"/>
  <c r="BM505" i="7"/>
  <c r="BN505" i="7"/>
  <c r="BO505" i="7"/>
  <c r="BP505" i="7"/>
  <c r="BQ505" i="7"/>
  <c r="BR50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K245" i="7"/>
  <c r="AL245" i="7"/>
  <c r="AM245" i="7"/>
  <c r="AN245" i="7"/>
  <c r="AO245" i="7"/>
  <c r="AP245" i="7"/>
  <c r="AQ245" i="7"/>
  <c r="AR245" i="7"/>
  <c r="AS245" i="7"/>
  <c r="AT245" i="7"/>
  <c r="AU245" i="7"/>
  <c r="AV245" i="7"/>
  <c r="AW245" i="7"/>
  <c r="AX245" i="7"/>
  <c r="AY245" i="7"/>
  <c r="AZ245" i="7"/>
  <c r="BA245" i="7"/>
  <c r="BB245" i="7"/>
  <c r="BC245" i="7"/>
  <c r="BD245" i="7"/>
  <c r="BE245" i="7"/>
  <c r="BF245" i="7"/>
  <c r="BG245" i="7"/>
  <c r="BH245" i="7"/>
  <c r="BI245" i="7"/>
  <c r="BJ245" i="7"/>
  <c r="BK245" i="7"/>
  <c r="BL245" i="7"/>
  <c r="BM245" i="7"/>
  <c r="BN245" i="7"/>
  <c r="BO245" i="7"/>
  <c r="BP245" i="7"/>
  <c r="BQ245" i="7"/>
  <c r="BR245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W478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AK478" i="7"/>
  <c r="AL478" i="7"/>
  <c r="AM478" i="7"/>
  <c r="AN478" i="7"/>
  <c r="AO478" i="7"/>
  <c r="AP478" i="7"/>
  <c r="AQ478" i="7"/>
  <c r="AR478" i="7"/>
  <c r="AS478" i="7"/>
  <c r="AT478" i="7"/>
  <c r="AU478" i="7"/>
  <c r="AV478" i="7"/>
  <c r="AW478" i="7"/>
  <c r="AX478" i="7"/>
  <c r="AY478" i="7"/>
  <c r="AZ478" i="7"/>
  <c r="BA478" i="7"/>
  <c r="BB478" i="7"/>
  <c r="BC478" i="7"/>
  <c r="BD478" i="7"/>
  <c r="BE478" i="7"/>
  <c r="BF478" i="7"/>
  <c r="BG478" i="7"/>
  <c r="BH478" i="7"/>
  <c r="BI478" i="7"/>
  <c r="BJ478" i="7"/>
  <c r="BK478" i="7"/>
  <c r="BL478" i="7"/>
  <c r="BM478" i="7"/>
  <c r="BN478" i="7"/>
  <c r="BO478" i="7"/>
  <c r="BP478" i="7"/>
  <c r="BQ478" i="7"/>
  <c r="BR478" i="7"/>
  <c r="W553" i="7"/>
  <c r="X553" i="7"/>
  <c r="Y553" i="7"/>
  <c r="Z553" i="7"/>
  <c r="AA553" i="7"/>
  <c r="AB553" i="7"/>
  <c r="AC553" i="7"/>
  <c r="AD553" i="7"/>
  <c r="AE553" i="7"/>
  <c r="AF553" i="7"/>
  <c r="AG553" i="7"/>
  <c r="AH553" i="7"/>
  <c r="AI553" i="7"/>
  <c r="AJ553" i="7"/>
  <c r="AK553" i="7"/>
  <c r="AL553" i="7"/>
  <c r="AM553" i="7"/>
  <c r="AN553" i="7"/>
  <c r="AO553" i="7"/>
  <c r="AP553" i="7"/>
  <c r="AQ553" i="7"/>
  <c r="AR553" i="7"/>
  <c r="AS553" i="7"/>
  <c r="AT553" i="7"/>
  <c r="AU553" i="7"/>
  <c r="AV553" i="7"/>
  <c r="AW553" i="7"/>
  <c r="AX553" i="7"/>
  <c r="AY553" i="7"/>
  <c r="AZ553" i="7"/>
  <c r="BA553" i="7"/>
  <c r="BB553" i="7"/>
  <c r="BC553" i="7"/>
  <c r="BD553" i="7"/>
  <c r="BE553" i="7"/>
  <c r="BF553" i="7"/>
  <c r="BG553" i="7"/>
  <c r="BH553" i="7"/>
  <c r="BI553" i="7"/>
  <c r="BJ553" i="7"/>
  <c r="BK553" i="7"/>
  <c r="BL553" i="7"/>
  <c r="BM553" i="7"/>
  <c r="BN553" i="7"/>
  <c r="BO553" i="7"/>
  <c r="BP553" i="7"/>
  <c r="BQ553" i="7"/>
  <c r="BR553" i="7"/>
  <c r="W566" i="7"/>
  <c r="X566" i="7"/>
  <c r="Y566" i="7"/>
  <c r="Z566" i="7"/>
  <c r="AA566" i="7"/>
  <c r="AB566" i="7"/>
  <c r="AC566" i="7"/>
  <c r="AD566" i="7"/>
  <c r="AE566" i="7"/>
  <c r="AF566" i="7"/>
  <c r="AG566" i="7"/>
  <c r="AH566" i="7"/>
  <c r="AI566" i="7"/>
  <c r="AJ566" i="7"/>
  <c r="AK566" i="7"/>
  <c r="AL566" i="7"/>
  <c r="AM566" i="7"/>
  <c r="AN566" i="7"/>
  <c r="AO566" i="7"/>
  <c r="AP566" i="7"/>
  <c r="AQ566" i="7"/>
  <c r="AR566" i="7"/>
  <c r="AS566" i="7"/>
  <c r="AT566" i="7"/>
  <c r="AU566" i="7"/>
  <c r="AV566" i="7"/>
  <c r="AW566" i="7"/>
  <c r="AX566" i="7"/>
  <c r="AY566" i="7"/>
  <c r="AZ566" i="7"/>
  <c r="BA566" i="7"/>
  <c r="BB566" i="7"/>
  <c r="BC566" i="7"/>
  <c r="BD566" i="7"/>
  <c r="BE566" i="7"/>
  <c r="BF566" i="7"/>
  <c r="BG566" i="7"/>
  <c r="BH566" i="7"/>
  <c r="BI566" i="7"/>
  <c r="BJ566" i="7"/>
  <c r="BK566" i="7"/>
  <c r="BL566" i="7"/>
  <c r="BM566" i="7"/>
  <c r="BN566" i="7"/>
  <c r="BO566" i="7"/>
  <c r="BP566" i="7"/>
  <c r="BQ566" i="7"/>
  <c r="BR566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W534" i="7"/>
  <c r="X534" i="7"/>
  <c r="Y534" i="7"/>
  <c r="Z534" i="7"/>
  <c r="AA534" i="7"/>
  <c r="AB534" i="7"/>
  <c r="AC534" i="7"/>
  <c r="AD534" i="7"/>
  <c r="AE534" i="7"/>
  <c r="AF534" i="7"/>
  <c r="AG534" i="7"/>
  <c r="AH534" i="7"/>
  <c r="AI534" i="7"/>
  <c r="AJ534" i="7"/>
  <c r="AK534" i="7"/>
  <c r="AL534" i="7"/>
  <c r="AM534" i="7"/>
  <c r="AN534" i="7"/>
  <c r="AO534" i="7"/>
  <c r="AP534" i="7"/>
  <c r="AQ534" i="7"/>
  <c r="AR534" i="7"/>
  <c r="AS534" i="7"/>
  <c r="AT534" i="7"/>
  <c r="AU534" i="7"/>
  <c r="AV534" i="7"/>
  <c r="AW534" i="7"/>
  <c r="AX534" i="7"/>
  <c r="AY534" i="7"/>
  <c r="AZ534" i="7"/>
  <c r="BA534" i="7"/>
  <c r="BB534" i="7"/>
  <c r="BC534" i="7"/>
  <c r="BD534" i="7"/>
  <c r="BE534" i="7"/>
  <c r="BF534" i="7"/>
  <c r="BG534" i="7"/>
  <c r="BH534" i="7"/>
  <c r="BI534" i="7"/>
  <c r="BJ534" i="7"/>
  <c r="BK534" i="7"/>
  <c r="BL534" i="7"/>
  <c r="BM534" i="7"/>
  <c r="BN534" i="7"/>
  <c r="BO534" i="7"/>
  <c r="BP534" i="7"/>
  <c r="BQ534" i="7"/>
  <c r="BR534" i="7"/>
  <c r="W479" i="7"/>
  <c r="X479" i="7"/>
  <c r="Y479" i="7"/>
  <c r="Z479" i="7"/>
  <c r="AA479" i="7"/>
  <c r="AB479" i="7"/>
  <c r="AC479" i="7"/>
  <c r="AD479" i="7"/>
  <c r="AE479" i="7"/>
  <c r="AF479" i="7"/>
  <c r="AG479" i="7"/>
  <c r="AH479" i="7"/>
  <c r="AI479" i="7"/>
  <c r="AJ479" i="7"/>
  <c r="AK479" i="7"/>
  <c r="AL479" i="7"/>
  <c r="AM479" i="7"/>
  <c r="AN479" i="7"/>
  <c r="AO479" i="7"/>
  <c r="AP479" i="7"/>
  <c r="AQ479" i="7"/>
  <c r="AR479" i="7"/>
  <c r="AS479" i="7"/>
  <c r="AT479" i="7"/>
  <c r="AU479" i="7"/>
  <c r="AV479" i="7"/>
  <c r="AW479" i="7"/>
  <c r="AX479" i="7"/>
  <c r="AY479" i="7"/>
  <c r="AZ479" i="7"/>
  <c r="BA479" i="7"/>
  <c r="BB479" i="7"/>
  <c r="BC479" i="7"/>
  <c r="BD479" i="7"/>
  <c r="BE479" i="7"/>
  <c r="BF479" i="7"/>
  <c r="BG479" i="7"/>
  <c r="BH479" i="7"/>
  <c r="BI479" i="7"/>
  <c r="BJ479" i="7"/>
  <c r="BK479" i="7"/>
  <c r="BL479" i="7"/>
  <c r="BM479" i="7"/>
  <c r="BN479" i="7"/>
  <c r="BO479" i="7"/>
  <c r="BP479" i="7"/>
  <c r="BQ479" i="7"/>
  <c r="BR479" i="7"/>
  <c r="W535" i="7"/>
  <c r="X535" i="7"/>
  <c r="Y535" i="7"/>
  <c r="Z535" i="7"/>
  <c r="AA535" i="7"/>
  <c r="AB535" i="7"/>
  <c r="AC535" i="7"/>
  <c r="AD535" i="7"/>
  <c r="AE535" i="7"/>
  <c r="AF535" i="7"/>
  <c r="AG535" i="7"/>
  <c r="AH535" i="7"/>
  <c r="AI535" i="7"/>
  <c r="AJ535" i="7"/>
  <c r="AK535" i="7"/>
  <c r="AL535" i="7"/>
  <c r="AM535" i="7"/>
  <c r="AN535" i="7"/>
  <c r="AO535" i="7"/>
  <c r="AP535" i="7"/>
  <c r="AQ535" i="7"/>
  <c r="AR535" i="7"/>
  <c r="AS535" i="7"/>
  <c r="AT535" i="7"/>
  <c r="AU535" i="7"/>
  <c r="AV535" i="7"/>
  <c r="AW535" i="7"/>
  <c r="AX535" i="7"/>
  <c r="AY535" i="7"/>
  <c r="AZ535" i="7"/>
  <c r="BA535" i="7"/>
  <c r="BB535" i="7"/>
  <c r="BC535" i="7"/>
  <c r="BD535" i="7"/>
  <c r="BE535" i="7"/>
  <c r="BF535" i="7"/>
  <c r="BG535" i="7"/>
  <c r="BH535" i="7"/>
  <c r="BI535" i="7"/>
  <c r="BJ535" i="7"/>
  <c r="BK535" i="7"/>
  <c r="BL535" i="7"/>
  <c r="BM535" i="7"/>
  <c r="BN535" i="7"/>
  <c r="BO535" i="7"/>
  <c r="BP535" i="7"/>
  <c r="BQ535" i="7"/>
  <c r="BR535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W402" i="7"/>
  <c r="X402" i="7"/>
  <c r="Y402" i="7"/>
  <c r="Z402" i="7"/>
  <c r="AA402" i="7"/>
  <c r="AB402" i="7"/>
  <c r="AC402" i="7"/>
  <c r="AD402" i="7"/>
  <c r="AE402" i="7"/>
  <c r="AF402" i="7"/>
  <c r="AG402" i="7"/>
  <c r="AH402" i="7"/>
  <c r="AI402" i="7"/>
  <c r="AJ402" i="7"/>
  <c r="AK402" i="7"/>
  <c r="AL402" i="7"/>
  <c r="AM402" i="7"/>
  <c r="AN402" i="7"/>
  <c r="AO402" i="7"/>
  <c r="AP402" i="7"/>
  <c r="AQ402" i="7"/>
  <c r="AR402" i="7"/>
  <c r="AS402" i="7"/>
  <c r="AT402" i="7"/>
  <c r="AU402" i="7"/>
  <c r="AV402" i="7"/>
  <c r="AW402" i="7"/>
  <c r="AX402" i="7"/>
  <c r="AY402" i="7"/>
  <c r="AZ402" i="7"/>
  <c r="BA402" i="7"/>
  <c r="BB402" i="7"/>
  <c r="BC402" i="7"/>
  <c r="BD402" i="7"/>
  <c r="BE402" i="7"/>
  <c r="BF402" i="7"/>
  <c r="BG402" i="7"/>
  <c r="BH402" i="7"/>
  <c r="BI402" i="7"/>
  <c r="BJ402" i="7"/>
  <c r="BK402" i="7"/>
  <c r="BL402" i="7"/>
  <c r="BM402" i="7"/>
  <c r="BN402" i="7"/>
  <c r="BO402" i="7"/>
  <c r="BP402" i="7"/>
  <c r="BQ402" i="7"/>
  <c r="BR40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L172" i="7"/>
  <c r="BM172" i="7"/>
  <c r="BN172" i="7"/>
  <c r="BO172" i="7"/>
  <c r="BP172" i="7"/>
  <c r="BQ172" i="7"/>
  <c r="BR172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AJ296" i="7"/>
  <c r="AK296" i="7"/>
  <c r="AL296" i="7"/>
  <c r="AM296" i="7"/>
  <c r="AN296" i="7"/>
  <c r="AO296" i="7"/>
  <c r="AP296" i="7"/>
  <c r="AQ296" i="7"/>
  <c r="AR296" i="7"/>
  <c r="AS296" i="7"/>
  <c r="AT296" i="7"/>
  <c r="AU296" i="7"/>
  <c r="AV296" i="7"/>
  <c r="AW296" i="7"/>
  <c r="AX296" i="7"/>
  <c r="AY296" i="7"/>
  <c r="AZ296" i="7"/>
  <c r="BA296" i="7"/>
  <c r="BB296" i="7"/>
  <c r="BC296" i="7"/>
  <c r="BD296" i="7"/>
  <c r="BE296" i="7"/>
  <c r="BF296" i="7"/>
  <c r="BG296" i="7"/>
  <c r="BH296" i="7"/>
  <c r="BI296" i="7"/>
  <c r="BJ296" i="7"/>
  <c r="BK296" i="7"/>
  <c r="BL296" i="7"/>
  <c r="BM296" i="7"/>
  <c r="BN296" i="7"/>
  <c r="BO296" i="7"/>
  <c r="BP296" i="7"/>
  <c r="BQ296" i="7"/>
  <c r="BR296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K211" i="7" s="1"/>
  <c r="AL211" i="7"/>
  <c r="AM211" i="7"/>
  <c r="AN211" i="7"/>
  <c r="AO211" i="7"/>
  <c r="AP211" i="7"/>
  <c r="AQ211" i="7"/>
  <c r="AR211" i="7"/>
  <c r="AS211" i="7"/>
  <c r="AT211" i="7"/>
  <c r="AU211" i="7"/>
  <c r="AV211" i="7"/>
  <c r="AW211" i="7"/>
  <c r="AX211" i="7"/>
  <c r="AY211" i="7"/>
  <c r="AZ211" i="7"/>
  <c r="BA211" i="7"/>
  <c r="BB211" i="7"/>
  <c r="BC211" i="7"/>
  <c r="BD211" i="7"/>
  <c r="BE211" i="7"/>
  <c r="BF211" i="7"/>
  <c r="BG211" i="7"/>
  <c r="BH211" i="7"/>
  <c r="BK211" i="7"/>
  <c r="BL211" i="7"/>
  <c r="BM211" i="7"/>
  <c r="BN211" i="7"/>
  <c r="BO211" i="7"/>
  <c r="BP211" i="7"/>
  <c r="BQ211" i="7"/>
  <c r="BR211" i="7"/>
  <c r="W212" i="7"/>
  <c r="X212" i="7"/>
  <c r="Y212" i="7"/>
  <c r="Z212" i="7"/>
  <c r="AA212" i="7"/>
  <c r="AB212" i="7"/>
  <c r="AC212" i="7" s="1"/>
  <c r="AD212" i="7"/>
  <c r="AE212" i="7"/>
  <c r="AF212" i="7"/>
  <c r="AG212" i="7"/>
  <c r="AH212" i="7"/>
  <c r="AI212" i="7"/>
  <c r="AJ212" i="7"/>
  <c r="AK212" i="7"/>
  <c r="AL212" i="7"/>
  <c r="AM212" i="7"/>
  <c r="AN212" i="7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BB212" i="7"/>
  <c r="BC212" i="7"/>
  <c r="BD212" i="7"/>
  <c r="BE212" i="7"/>
  <c r="BF212" i="7"/>
  <c r="BG212" i="7"/>
  <c r="BH212" i="7"/>
  <c r="BI212" i="7"/>
  <c r="BJ212" i="7"/>
  <c r="BK212" i="7"/>
  <c r="BL212" i="7"/>
  <c r="BM212" i="7"/>
  <c r="BN212" i="7"/>
  <c r="BO212" i="7"/>
  <c r="BP212" i="7"/>
  <c r="BQ212" i="7"/>
  <c r="BR212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K246" i="7"/>
  <c r="AL246" i="7"/>
  <c r="AM246" i="7"/>
  <c r="AN246" i="7"/>
  <c r="AO246" i="7"/>
  <c r="AP246" i="7"/>
  <c r="AQ246" i="7"/>
  <c r="AR246" i="7"/>
  <c r="AS246" i="7" s="1"/>
  <c r="AT246" i="7"/>
  <c r="AU246" i="7"/>
  <c r="AV246" i="7"/>
  <c r="AW246" i="7"/>
  <c r="AX246" i="7"/>
  <c r="AY246" i="7"/>
  <c r="AZ246" i="7"/>
  <c r="BA246" i="7"/>
  <c r="BB246" i="7"/>
  <c r="BC246" i="7"/>
  <c r="BD246" i="7"/>
  <c r="BE246" i="7"/>
  <c r="BF246" i="7"/>
  <c r="BG246" i="7"/>
  <c r="BH246" i="7"/>
  <c r="BI246" i="7"/>
  <c r="BJ246" i="7"/>
  <c r="BK246" i="7"/>
  <c r="BL246" i="7"/>
  <c r="BM246" i="7"/>
  <c r="BN246" i="7"/>
  <c r="BO246" i="7"/>
  <c r="BP246" i="7"/>
  <c r="BQ246" i="7"/>
  <c r="BR246" i="7"/>
  <c r="W506" i="7"/>
  <c r="X506" i="7"/>
  <c r="Y506" i="7"/>
  <c r="Z506" i="7"/>
  <c r="AA506" i="7"/>
  <c r="AB506" i="7"/>
  <c r="AC506" i="7"/>
  <c r="AD506" i="7"/>
  <c r="AE506" i="7"/>
  <c r="AF506" i="7"/>
  <c r="AG506" i="7"/>
  <c r="AH506" i="7"/>
  <c r="AI506" i="7"/>
  <c r="AJ506" i="7"/>
  <c r="AK506" i="7"/>
  <c r="AL506" i="7"/>
  <c r="AM506" i="7"/>
  <c r="AN506" i="7"/>
  <c r="AO506" i="7"/>
  <c r="AP506" i="7"/>
  <c r="AQ506" i="7"/>
  <c r="AR506" i="7"/>
  <c r="AS506" i="7"/>
  <c r="AT506" i="7"/>
  <c r="AU506" i="7"/>
  <c r="AV506" i="7"/>
  <c r="AW506" i="7"/>
  <c r="AX506" i="7"/>
  <c r="AY506" i="7"/>
  <c r="AZ506" i="7"/>
  <c r="BA506" i="7"/>
  <c r="BB506" i="7"/>
  <c r="BC506" i="7"/>
  <c r="BD506" i="7"/>
  <c r="BE506" i="7"/>
  <c r="BF506" i="7"/>
  <c r="BG506" i="7"/>
  <c r="BH506" i="7"/>
  <c r="BI506" i="7"/>
  <c r="BJ506" i="7"/>
  <c r="BK506" i="7"/>
  <c r="BL506" i="7"/>
  <c r="BM506" i="7"/>
  <c r="BN506" i="7"/>
  <c r="BO506" i="7"/>
  <c r="BP506" i="7"/>
  <c r="BQ506" i="7"/>
  <c r="BR506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 s="1"/>
  <c r="BB145" i="7"/>
  <c r="BC145" i="7"/>
  <c r="BD145" i="7"/>
  <c r="BE145" i="7"/>
  <c r="BF145" i="7"/>
  <c r="BG145" i="7"/>
  <c r="BH145" i="7"/>
  <c r="BI145" i="7" s="1"/>
  <c r="BJ145" i="7"/>
  <c r="BK145" i="7"/>
  <c r="BL145" i="7"/>
  <c r="BM145" i="7"/>
  <c r="BN145" i="7"/>
  <c r="BO145" i="7"/>
  <c r="BP145" i="7"/>
  <c r="BQ145" i="7"/>
  <c r="BR145" i="7"/>
  <c r="W554" i="7"/>
  <c r="X554" i="7"/>
  <c r="Y554" i="7"/>
  <c r="Z554" i="7"/>
  <c r="AA554" i="7"/>
  <c r="AB554" i="7"/>
  <c r="AC554" i="7"/>
  <c r="AD554" i="7"/>
  <c r="AE554" i="7"/>
  <c r="AF554" i="7"/>
  <c r="AG554" i="7"/>
  <c r="AH554" i="7"/>
  <c r="AI554" i="7"/>
  <c r="AJ554" i="7"/>
  <c r="AL554" i="7"/>
  <c r="AM554" i="7"/>
  <c r="AN554" i="7"/>
  <c r="AO554" i="7"/>
  <c r="AP554" i="7"/>
  <c r="AQ554" i="7"/>
  <c r="AR554" i="7"/>
  <c r="AS554" i="7"/>
  <c r="AT554" i="7"/>
  <c r="AU554" i="7"/>
  <c r="AV554" i="7"/>
  <c r="AW554" i="7"/>
  <c r="AX554" i="7"/>
  <c r="AY554" i="7"/>
  <c r="AZ554" i="7"/>
  <c r="BA554" i="7"/>
  <c r="BB554" i="7"/>
  <c r="BC554" i="7"/>
  <c r="BD554" i="7"/>
  <c r="BE554" i="7"/>
  <c r="BF554" i="7"/>
  <c r="BG554" i="7"/>
  <c r="BH554" i="7"/>
  <c r="BI554" i="7"/>
  <c r="BJ554" i="7"/>
  <c r="BK554" i="7"/>
  <c r="BL554" i="7"/>
  <c r="BM554" i="7"/>
  <c r="BN554" i="7"/>
  <c r="BO554" i="7"/>
  <c r="BP554" i="7"/>
  <c r="BQ554" i="7" s="1"/>
  <c r="BR554" i="7"/>
  <c r="W403" i="7"/>
  <c r="X403" i="7"/>
  <c r="Y403" i="7"/>
  <c r="Z403" i="7"/>
  <c r="AA403" i="7"/>
  <c r="AB403" i="7"/>
  <c r="AC403" i="7" s="1"/>
  <c r="AD403" i="7"/>
  <c r="AE403" i="7"/>
  <c r="AF403" i="7"/>
  <c r="AG403" i="7"/>
  <c r="AH403" i="7"/>
  <c r="AI403" i="7"/>
  <c r="AJ403" i="7"/>
  <c r="AK403" i="7"/>
  <c r="AL403" i="7"/>
  <c r="AM403" i="7"/>
  <c r="AN403" i="7"/>
  <c r="AO403" i="7"/>
  <c r="AP403" i="7"/>
  <c r="AQ403" i="7"/>
  <c r="AR403" i="7"/>
  <c r="AS403" i="7"/>
  <c r="AT403" i="7"/>
  <c r="AU403" i="7"/>
  <c r="AV403" i="7"/>
  <c r="AW403" i="7"/>
  <c r="AX403" i="7"/>
  <c r="AY403" i="7"/>
  <c r="AZ403" i="7"/>
  <c r="BA403" i="7" s="1"/>
  <c r="BB403" i="7"/>
  <c r="BC403" i="7"/>
  <c r="BD403" i="7"/>
  <c r="BE403" i="7"/>
  <c r="BF403" i="7"/>
  <c r="BG403" i="7"/>
  <c r="BH403" i="7"/>
  <c r="BI403" i="7"/>
  <c r="BJ403" i="7"/>
  <c r="BK403" i="7"/>
  <c r="BL403" i="7"/>
  <c r="BM403" i="7"/>
  <c r="BN403" i="7"/>
  <c r="BO403" i="7"/>
  <c r="BP403" i="7"/>
  <c r="BQ403" i="7" s="1"/>
  <c r="BR403" i="7"/>
  <c r="W555" i="7"/>
  <c r="X555" i="7"/>
  <c r="Y555" i="7"/>
  <c r="Z555" i="7"/>
  <c r="AA555" i="7"/>
  <c r="AB555" i="7"/>
  <c r="AC555" i="7"/>
  <c r="AD555" i="7"/>
  <c r="AE555" i="7"/>
  <c r="AF555" i="7"/>
  <c r="AG555" i="7"/>
  <c r="AH555" i="7"/>
  <c r="AI555" i="7"/>
  <c r="AJ555" i="7"/>
  <c r="AK555" i="7"/>
  <c r="AL555" i="7"/>
  <c r="AM555" i="7"/>
  <c r="AN555" i="7"/>
  <c r="AO555" i="7"/>
  <c r="AP555" i="7"/>
  <c r="AQ555" i="7"/>
  <c r="AR555" i="7"/>
  <c r="AS555" i="7"/>
  <c r="AT555" i="7"/>
  <c r="AU555" i="7"/>
  <c r="AV555" i="7"/>
  <c r="AW555" i="7"/>
  <c r="AX555" i="7"/>
  <c r="AY555" i="7"/>
  <c r="AZ555" i="7"/>
  <c r="BA555" i="7"/>
  <c r="BB555" i="7"/>
  <c r="BC555" i="7"/>
  <c r="BD555" i="7"/>
  <c r="BE555" i="7"/>
  <c r="BF555" i="7"/>
  <c r="BG555" i="7"/>
  <c r="BH555" i="7"/>
  <c r="BI555" i="7"/>
  <c r="BJ555" i="7"/>
  <c r="BK555" i="7"/>
  <c r="BL555" i="7"/>
  <c r="BM555" i="7"/>
  <c r="BN555" i="7"/>
  <c r="BO555" i="7"/>
  <c r="BP555" i="7"/>
  <c r="BQ555" i="7"/>
  <c r="BR555" i="7"/>
  <c r="W160" i="7"/>
  <c r="X160" i="7"/>
  <c r="Y160" i="7"/>
  <c r="Z160" i="7"/>
  <c r="AA160" i="7"/>
  <c r="AB160" i="7"/>
  <c r="AC160" i="7" s="1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BI160" i="7"/>
  <c r="BJ160" i="7"/>
  <c r="BK160" i="7"/>
  <c r="BL160" i="7"/>
  <c r="BM160" i="7"/>
  <c r="BN160" i="7"/>
  <c r="BO160" i="7"/>
  <c r="BP160" i="7"/>
  <c r="BQ160" i="7"/>
  <c r="BR160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K247" i="7"/>
  <c r="AL247" i="7"/>
  <c r="AM247" i="7"/>
  <c r="AN247" i="7"/>
  <c r="AO247" i="7"/>
  <c r="AP247" i="7"/>
  <c r="AQ247" i="7"/>
  <c r="AR247" i="7"/>
  <c r="AS247" i="7"/>
  <c r="AT247" i="7"/>
  <c r="AU247" i="7"/>
  <c r="AV247" i="7"/>
  <c r="AW247" i="7"/>
  <c r="AX247" i="7"/>
  <c r="AY247" i="7"/>
  <c r="AZ247" i="7"/>
  <c r="BA247" i="7"/>
  <c r="BB247" i="7"/>
  <c r="BC247" i="7"/>
  <c r="BD247" i="7"/>
  <c r="BE247" i="7"/>
  <c r="BF247" i="7"/>
  <c r="BG247" i="7"/>
  <c r="BH247" i="7"/>
  <c r="BI247" i="7"/>
  <c r="BJ247" i="7"/>
  <c r="BK247" i="7"/>
  <c r="BL247" i="7"/>
  <c r="BM247" i="7"/>
  <c r="BN247" i="7"/>
  <c r="BO247" i="7"/>
  <c r="BP247" i="7"/>
  <c r="BQ247" i="7"/>
  <c r="BR247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 s="1"/>
  <c r="BR110" i="7"/>
  <c r="W404" i="7"/>
  <c r="X404" i="7"/>
  <c r="Y404" i="7"/>
  <c r="Z404" i="7"/>
  <c r="AA404" i="7"/>
  <c r="AB404" i="7"/>
  <c r="AC404" i="7"/>
  <c r="AD404" i="7"/>
  <c r="AE404" i="7"/>
  <c r="AF404" i="7"/>
  <c r="AG404" i="7"/>
  <c r="AH404" i="7"/>
  <c r="AI404" i="7"/>
  <c r="AJ404" i="7"/>
  <c r="AK404" i="7"/>
  <c r="AL404" i="7"/>
  <c r="AM404" i="7"/>
  <c r="AN404" i="7"/>
  <c r="AO404" i="7"/>
  <c r="AP404" i="7"/>
  <c r="AQ404" i="7"/>
  <c r="AR404" i="7"/>
  <c r="AS404" i="7"/>
  <c r="AT404" i="7"/>
  <c r="AU404" i="7"/>
  <c r="AV404" i="7"/>
  <c r="AW404" i="7"/>
  <c r="AX404" i="7"/>
  <c r="AY404" i="7"/>
  <c r="AZ404" i="7"/>
  <c r="BC404" i="7"/>
  <c r="BD404" i="7"/>
  <c r="BE404" i="7"/>
  <c r="BF404" i="7"/>
  <c r="BG404" i="7"/>
  <c r="BH404" i="7"/>
  <c r="BI404" i="7"/>
  <c r="BJ404" i="7"/>
  <c r="BK404" i="7"/>
  <c r="BL404" i="7"/>
  <c r="BM404" i="7"/>
  <c r="BN404" i="7"/>
  <c r="BO404" i="7"/>
  <c r="BP404" i="7"/>
  <c r="W248" i="7"/>
  <c r="X248" i="7"/>
  <c r="Y248" i="7"/>
  <c r="Z248" i="7"/>
  <c r="AA248" i="7"/>
  <c r="AB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BA248" i="7"/>
  <c r="BB248" i="7"/>
  <c r="BC248" i="7"/>
  <c r="BD248" i="7"/>
  <c r="BE248" i="7"/>
  <c r="BF248" i="7"/>
  <c r="BG248" i="7"/>
  <c r="BH248" i="7"/>
  <c r="BI248" i="7"/>
  <c r="BJ248" i="7"/>
  <c r="BK248" i="7"/>
  <c r="BL248" i="7"/>
  <c r="BM248" i="7"/>
  <c r="BN248" i="7"/>
  <c r="BO248" i="7"/>
  <c r="BP248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 s="1"/>
  <c r="BJ86" i="7"/>
  <c r="BK86" i="7"/>
  <c r="BL86" i="7"/>
  <c r="BM86" i="7"/>
  <c r="BN86" i="7"/>
  <c r="BO86" i="7"/>
  <c r="BP86" i="7"/>
  <c r="BQ86" i="7"/>
  <c r="BR86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W547" i="7"/>
  <c r="X547" i="7"/>
  <c r="Y547" i="7"/>
  <c r="Z547" i="7"/>
  <c r="AA547" i="7"/>
  <c r="AB547" i="7"/>
  <c r="AC547" i="7"/>
  <c r="AD547" i="7"/>
  <c r="AE547" i="7"/>
  <c r="AF547" i="7"/>
  <c r="AG547" i="7"/>
  <c r="AH547" i="7"/>
  <c r="AI547" i="7"/>
  <c r="AJ547" i="7"/>
  <c r="AK547" i="7"/>
  <c r="AL547" i="7"/>
  <c r="AM547" i="7"/>
  <c r="AN547" i="7"/>
  <c r="AO547" i="7"/>
  <c r="AP547" i="7"/>
  <c r="AQ547" i="7"/>
  <c r="AR547" i="7"/>
  <c r="AS547" i="7"/>
  <c r="AT547" i="7"/>
  <c r="AU547" i="7"/>
  <c r="AV547" i="7"/>
  <c r="AW547" i="7"/>
  <c r="AX547" i="7"/>
  <c r="AY547" i="7"/>
  <c r="AZ547" i="7"/>
  <c r="BA547" i="7"/>
  <c r="BB547" i="7"/>
  <c r="BC547" i="7"/>
  <c r="BD547" i="7"/>
  <c r="BE547" i="7"/>
  <c r="BF547" i="7"/>
  <c r="BG547" i="7"/>
  <c r="BH547" i="7"/>
  <c r="BI547" i="7"/>
  <c r="BJ547" i="7"/>
  <c r="BK547" i="7"/>
  <c r="BL547" i="7"/>
  <c r="BM547" i="7"/>
  <c r="BN547" i="7"/>
  <c r="BO547" i="7"/>
  <c r="BP547" i="7"/>
  <c r="BQ547" i="7"/>
  <c r="BR547" i="7"/>
  <c r="W507" i="7"/>
  <c r="X507" i="7"/>
  <c r="Y507" i="7"/>
  <c r="Z507" i="7"/>
  <c r="AA507" i="7"/>
  <c r="AB507" i="7"/>
  <c r="AC507" i="7" s="1"/>
  <c r="AD507" i="7"/>
  <c r="AE507" i="7"/>
  <c r="AF507" i="7"/>
  <c r="AG507" i="7"/>
  <c r="AH507" i="7"/>
  <c r="AI507" i="7"/>
  <c r="AJ507" i="7"/>
  <c r="AK507" i="7"/>
  <c r="AL507" i="7"/>
  <c r="AM507" i="7"/>
  <c r="AN507" i="7"/>
  <c r="AO507" i="7"/>
  <c r="AP507" i="7"/>
  <c r="AQ507" i="7"/>
  <c r="AR507" i="7"/>
  <c r="AS507" i="7"/>
  <c r="AT507" i="7"/>
  <c r="AU507" i="7"/>
  <c r="AV507" i="7"/>
  <c r="AW507" i="7"/>
  <c r="AX507" i="7"/>
  <c r="AY507" i="7"/>
  <c r="AZ507" i="7"/>
  <c r="BA507" i="7"/>
  <c r="BB507" i="7"/>
  <c r="BC507" i="7"/>
  <c r="BD507" i="7"/>
  <c r="BE507" i="7"/>
  <c r="BF507" i="7"/>
  <c r="BG507" i="7"/>
  <c r="BH507" i="7"/>
  <c r="BI507" i="7"/>
  <c r="BJ507" i="7"/>
  <c r="BK507" i="7"/>
  <c r="BL507" i="7"/>
  <c r="BM507" i="7"/>
  <c r="BN507" i="7"/>
  <c r="BO507" i="7"/>
  <c r="BP507" i="7"/>
  <c r="BQ507" i="7"/>
  <c r="BR507" i="7"/>
  <c r="W480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AM480" i="7"/>
  <c r="AN480" i="7"/>
  <c r="AO480" i="7"/>
  <c r="AP480" i="7"/>
  <c r="AQ480" i="7"/>
  <c r="AR480" i="7"/>
  <c r="AS480" i="7"/>
  <c r="AT480" i="7"/>
  <c r="AU480" i="7"/>
  <c r="AV480" i="7"/>
  <c r="AW480" i="7"/>
  <c r="AX480" i="7"/>
  <c r="AY480" i="7"/>
  <c r="AZ480" i="7"/>
  <c r="BA480" i="7"/>
  <c r="BB480" i="7"/>
  <c r="BC480" i="7"/>
  <c r="BD480" i="7"/>
  <c r="BE480" i="7"/>
  <c r="BF480" i="7"/>
  <c r="BG480" i="7"/>
  <c r="BH480" i="7"/>
  <c r="BK480" i="7"/>
  <c r="BL480" i="7"/>
  <c r="BM480" i="7"/>
  <c r="BN480" i="7"/>
  <c r="BO480" i="7"/>
  <c r="BP480" i="7"/>
  <c r="BQ480" i="7"/>
  <c r="BR480" i="7"/>
  <c r="W191" i="7"/>
  <c r="X191" i="7"/>
  <c r="Y191" i="7"/>
  <c r="Z191" i="7"/>
  <c r="AA191" i="7"/>
  <c r="AB191" i="7"/>
  <c r="AE191" i="7"/>
  <c r="AF191" i="7"/>
  <c r="AG191" i="7"/>
  <c r="AH191" i="7"/>
  <c r="AI191" i="7"/>
  <c r="AJ191" i="7"/>
  <c r="AK191" i="7"/>
  <c r="AL191" i="7"/>
  <c r="AM191" i="7"/>
  <c r="AN191" i="7"/>
  <c r="AO191" i="7"/>
  <c r="AP191" i="7"/>
  <c r="AQ191" i="7"/>
  <c r="AR191" i="7"/>
  <c r="AS191" i="7"/>
  <c r="AT191" i="7"/>
  <c r="AU191" i="7"/>
  <c r="AV191" i="7"/>
  <c r="AW191" i="7"/>
  <c r="AX191" i="7"/>
  <c r="AY191" i="7"/>
  <c r="AZ191" i="7"/>
  <c r="BA191" i="7"/>
  <c r="BB191" i="7"/>
  <c r="BC191" i="7"/>
  <c r="BD191" i="7"/>
  <c r="BE191" i="7"/>
  <c r="BF191" i="7"/>
  <c r="BG191" i="7"/>
  <c r="BH191" i="7"/>
  <c r="BI191" i="7"/>
  <c r="BJ191" i="7"/>
  <c r="BK191" i="7"/>
  <c r="BL191" i="7"/>
  <c r="BM191" i="7"/>
  <c r="BN191" i="7"/>
  <c r="BO191" i="7"/>
  <c r="BP191" i="7"/>
  <c r="BQ191" i="7"/>
  <c r="BR191" i="7"/>
  <c r="W481" i="7"/>
  <c r="X481" i="7"/>
  <c r="Y481" i="7"/>
  <c r="Z481" i="7"/>
  <c r="AA481" i="7"/>
  <c r="AB481" i="7"/>
  <c r="AC481" i="7"/>
  <c r="AD481" i="7"/>
  <c r="AE481" i="7"/>
  <c r="AF481" i="7"/>
  <c r="AG481" i="7"/>
  <c r="AH481" i="7"/>
  <c r="AI481" i="7"/>
  <c r="AJ481" i="7"/>
  <c r="AK481" i="7"/>
  <c r="AL481" i="7"/>
  <c r="AM481" i="7"/>
  <c r="AN481" i="7"/>
  <c r="AO481" i="7"/>
  <c r="AP481" i="7"/>
  <c r="AQ481" i="7"/>
  <c r="AR481" i="7"/>
  <c r="AS481" i="7"/>
  <c r="AT481" i="7"/>
  <c r="AU481" i="7"/>
  <c r="AV481" i="7"/>
  <c r="AW481" i="7"/>
  <c r="AX481" i="7"/>
  <c r="AY481" i="7"/>
  <c r="AZ481" i="7"/>
  <c r="BA481" i="7"/>
  <c r="BB481" i="7"/>
  <c r="BC481" i="7"/>
  <c r="BD481" i="7"/>
  <c r="BE481" i="7"/>
  <c r="BF481" i="7"/>
  <c r="BG481" i="7"/>
  <c r="BH481" i="7"/>
  <c r="BI481" i="7"/>
  <c r="BJ481" i="7"/>
  <c r="BK481" i="7"/>
  <c r="BL481" i="7"/>
  <c r="BM481" i="7"/>
  <c r="BN481" i="7"/>
  <c r="BO481" i="7"/>
  <c r="BP481" i="7"/>
  <c r="BQ481" i="7"/>
  <c r="BR481" i="7"/>
  <c r="W508" i="7"/>
  <c r="X508" i="7"/>
  <c r="Y508" i="7"/>
  <c r="Z508" i="7"/>
  <c r="AA508" i="7"/>
  <c r="AB508" i="7"/>
  <c r="AC508" i="7"/>
  <c r="AD508" i="7"/>
  <c r="AE508" i="7"/>
  <c r="AF508" i="7"/>
  <c r="AG508" i="7"/>
  <c r="AH508" i="7"/>
  <c r="AI508" i="7"/>
  <c r="AJ508" i="7"/>
  <c r="AK508" i="7"/>
  <c r="AL508" i="7"/>
  <c r="AM508" i="7"/>
  <c r="AN508" i="7"/>
  <c r="AO508" i="7"/>
  <c r="AP508" i="7"/>
  <c r="AQ508" i="7"/>
  <c r="AR508" i="7"/>
  <c r="AS508" i="7"/>
  <c r="AT508" i="7"/>
  <c r="AU508" i="7"/>
  <c r="AV508" i="7"/>
  <c r="AW508" i="7"/>
  <c r="AX508" i="7"/>
  <c r="AY508" i="7"/>
  <c r="AZ508" i="7"/>
  <c r="BC508" i="7"/>
  <c r="BD508" i="7"/>
  <c r="BE508" i="7"/>
  <c r="BF508" i="7"/>
  <c r="BG508" i="7"/>
  <c r="BH508" i="7"/>
  <c r="BI508" i="7"/>
  <c r="BJ508" i="7"/>
  <c r="BK508" i="7"/>
  <c r="BL508" i="7"/>
  <c r="BM508" i="7"/>
  <c r="BN508" i="7"/>
  <c r="BO508" i="7"/>
  <c r="BP508" i="7"/>
  <c r="BQ508" i="7"/>
  <c r="BR508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W509" i="7"/>
  <c r="X509" i="7"/>
  <c r="Y509" i="7"/>
  <c r="Z509" i="7"/>
  <c r="AA509" i="7"/>
  <c r="AB509" i="7"/>
  <c r="AC509" i="7"/>
  <c r="AD509" i="7"/>
  <c r="AE509" i="7"/>
  <c r="AF509" i="7"/>
  <c r="AG509" i="7"/>
  <c r="AH509" i="7"/>
  <c r="AI509" i="7"/>
  <c r="AJ509" i="7"/>
  <c r="AK509" i="7"/>
  <c r="AL509" i="7"/>
  <c r="AM509" i="7"/>
  <c r="AN509" i="7"/>
  <c r="AO509" i="7"/>
  <c r="AP509" i="7"/>
  <c r="AQ509" i="7"/>
  <c r="AR509" i="7"/>
  <c r="AS509" i="7"/>
  <c r="AT509" i="7"/>
  <c r="AU509" i="7"/>
  <c r="AV509" i="7"/>
  <c r="AW509" i="7"/>
  <c r="AX509" i="7"/>
  <c r="AY509" i="7"/>
  <c r="AZ509" i="7"/>
  <c r="BA509" i="7"/>
  <c r="BB509" i="7"/>
  <c r="BC509" i="7"/>
  <c r="BD509" i="7"/>
  <c r="BE509" i="7"/>
  <c r="BF509" i="7"/>
  <c r="BG509" i="7"/>
  <c r="BH509" i="7"/>
  <c r="BI509" i="7"/>
  <c r="BJ509" i="7"/>
  <c r="BK509" i="7"/>
  <c r="BL509" i="7"/>
  <c r="BM509" i="7"/>
  <c r="BN509" i="7"/>
  <c r="BO509" i="7"/>
  <c r="BP509" i="7"/>
  <c r="BQ509" i="7"/>
  <c r="BR509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K249" i="7"/>
  <c r="AL249" i="7"/>
  <c r="AM249" i="7"/>
  <c r="AN249" i="7"/>
  <c r="AO249" i="7"/>
  <c r="AP249" i="7"/>
  <c r="AQ249" i="7"/>
  <c r="AR249" i="7"/>
  <c r="AS249" i="7"/>
  <c r="AT249" i="7"/>
  <c r="AU249" i="7"/>
  <c r="AV249" i="7"/>
  <c r="AW249" i="7"/>
  <c r="AX249" i="7"/>
  <c r="AY249" i="7"/>
  <c r="AZ249" i="7"/>
  <c r="BA249" i="7"/>
  <c r="BB249" i="7"/>
  <c r="BC249" i="7"/>
  <c r="BD249" i="7"/>
  <c r="BE249" i="7"/>
  <c r="BF249" i="7"/>
  <c r="BG249" i="7"/>
  <c r="BH249" i="7"/>
  <c r="BI249" i="7"/>
  <c r="BJ249" i="7"/>
  <c r="BK249" i="7"/>
  <c r="BL249" i="7"/>
  <c r="BM249" i="7"/>
  <c r="BN249" i="7"/>
  <c r="BO249" i="7"/>
  <c r="BP249" i="7"/>
  <c r="BQ249" i="7"/>
  <c r="BR249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L174" i="7"/>
  <c r="BM174" i="7"/>
  <c r="BN174" i="7"/>
  <c r="BO174" i="7"/>
  <c r="BP174" i="7"/>
  <c r="BQ174" i="7"/>
  <c r="BR174" i="7"/>
  <c r="W510" i="7"/>
  <c r="X510" i="7"/>
  <c r="Y510" i="7"/>
  <c r="Z510" i="7"/>
  <c r="AA510" i="7"/>
  <c r="AB510" i="7"/>
  <c r="AC510" i="7"/>
  <c r="AD510" i="7"/>
  <c r="AE510" i="7"/>
  <c r="AF510" i="7"/>
  <c r="AG510" i="7"/>
  <c r="AH510" i="7"/>
  <c r="AI510" i="7"/>
  <c r="AJ510" i="7"/>
  <c r="AK510" i="7"/>
  <c r="AL510" i="7"/>
  <c r="AM510" i="7"/>
  <c r="AN510" i="7"/>
  <c r="AO510" i="7"/>
  <c r="AP510" i="7"/>
  <c r="AQ510" i="7"/>
  <c r="AR510" i="7"/>
  <c r="AS510" i="7"/>
  <c r="AT510" i="7"/>
  <c r="AU510" i="7"/>
  <c r="AV510" i="7"/>
  <c r="AW510" i="7"/>
  <c r="AX510" i="7"/>
  <c r="AY510" i="7"/>
  <c r="AZ510" i="7"/>
  <c r="BA510" i="7"/>
  <c r="BB510" i="7"/>
  <c r="BC510" i="7"/>
  <c r="BD510" i="7"/>
  <c r="BE510" i="7"/>
  <c r="BF510" i="7"/>
  <c r="BG510" i="7"/>
  <c r="BH510" i="7"/>
  <c r="BI510" i="7"/>
  <c r="BJ510" i="7"/>
  <c r="BK510" i="7"/>
  <c r="BL510" i="7"/>
  <c r="BM510" i="7"/>
  <c r="BN510" i="7"/>
  <c r="BO510" i="7"/>
  <c r="BP510" i="7"/>
  <c r="BQ510" i="7"/>
  <c r="BR510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AN213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BB213" i="7"/>
  <c r="BC213" i="7"/>
  <c r="BD213" i="7"/>
  <c r="BE213" i="7"/>
  <c r="BF213" i="7"/>
  <c r="BG213" i="7"/>
  <c r="BH213" i="7"/>
  <c r="BI213" i="7"/>
  <c r="BJ213" i="7"/>
  <c r="BK213" i="7"/>
  <c r="BL213" i="7"/>
  <c r="BM213" i="7"/>
  <c r="BN213" i="7"/>
  <c r="BO213" i="7"/>
  <c r="BP213" i="7"/>
  <c r="BQ213" i="7"/>
  <c r="BR213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BA250" i="7"/>
  <c r="BB250" i="7"/>
  <c r="BC250" i="7"/>
  <c r="BD250" i="7"/>
  <c r="BE250" i="7"/>
  <c r="BF250" i="7"/>
  <c r="BG250" i="7"/>
  <c r="BH250" i="7"/>
  <c r="BI250" i="7"/>
  <c r="BJ250" i="7"/>
  <c r="BK250" i="7"/>
  <c r="BL250" i="7"/>
  <c r="BM250" i="7"/>
  <c r="BN250" i="7"/>
  <c r="BO250" i="7"/>
  <c r="BP250" i="7"/>
  <c r="BQ250" i="7"/>
  <c r="BR250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K251" i="7"/>
  <c r="AL251" i="7"/>
  <c r="AM251" i="7"/>
  <c r="AN251" i="7"/>
  <c r="AO251" i="7"/>
  <c r="AP251" i="7"/>
  <c r="AQ251" i="7"/>
  <c r="AR251" i="7"/>
  <c r="AS251" i="7"/>
  <c r="AT251" i="7"/>
  <c r="AU251" i="7"/>
  <c r="AV251" i="7"/>
  <c r="AW251" i="7"/>
  <c r="AX251" i="7"/>
  <c r="AY251" i="7"/>
  <c r="AZ251" i="7"/>
  <c r="BA251" i="7"/>
  <c r="BB251" i="7"/>
  <c r="BC251" i="7"/>
  <c r="BD251" i="7"/>
  <c r="BE251" i="7"/>
  <c r="BF251" i="7"/>
  <c r="BG251" i="7"/>
  <c r="BH251" i="7"/>
  <c r="BI251" i="7"/>
  <c r="BJ251" i="7"/>
  <c r="BK251" i="7"/>
  <c r="BL251" i="7"/>
  <c r="BM251" i="7"/>
  <c r="BN251" i="7"/>
  <c r="BO251" i="7"/>
  <c r="BP251" i="7"/>
  <c r="BQ251" i="7"/>
  <c r="BR251" i="7"/>
  <c r="W536" i="7"/>
  <c r="X536" i="7"/>
  <c r="Y536" i="7"/>
  <c r="Z536" i="7"/>
  <c r="AA536" i="7"/>
  <c r="AB536" i="7"/>
  <c r="AC536" i="7"/>
  <c r="AD536" i="7"/>
  <c r="AE536" i="7"/>
  <c r="AF536" i="7"/>
  <c r="AG536" i="7"/>
  <c r="AH536" i="7"/>
  <c r="AI536" i="7"/>
  <c r="AJ536" i="7"/>
  <c r="AK536" i="7"/>
  <c r="AL536" i="7"/>
  <c r="AM536" i="7"/>
  <c r="AN536" i="7"/>
  <c r="AO536" i="7"/>
  <c r="AP536" i="7"/>
  <c r="AQ536" i="7"/>
  <c r="AR536" i="7"/>
  <c r="AS536" i="7"/>
  <c r="AT536" i="7"/>
  <c r="AU536" i="7"/>
  <c r="AV536" i="7"/>
  <c r="AW536" i="7"/>
  <c r="AX536" i="7"/>
  <c r="AY536" i="7"/>
  <c r="AZ536" i="7"/>
  <c r="BA536" i="7"/>
  <c r="BB536" i="7"/>
  <c r="BC536" i="7"/>
  <c r="BD536" i="7"/>
  <c r="BE536" i="7"/>
  <c r="BF536" i="7"/>
  <c r="BG536" i="7"/>
  <c r="BH536" i="7"/>
  <c r="BI536" i="7"/>
  <c r="BJ536" i="7"/>
  <c r="BK536" i="7"/>
  <c r="BL536" i="7"/>
  <c r="BM536" i="7"/>
  <c r="BN536" i="7"/>
  <c r="BO536" i="7"/>
  <c r="BP536" i="7"/>
  <c r="BQ536" i="7"/>
  <c r="BR536" i="7"/>
  <c r="W405" i="7"/>
  <c r="X405" i="7"/>
  <c r="Y405" i="7"/>
  <c r="Z405" i="7"/>
  <c r="AA405" i="7"/>
  <c r="AB405" i="7"/>
  <c r="AC405" i="7" s="1"/>
  <c r="AD405" i="7"/>
  <c r="AE405" i="7"/>
  <c r="AF405" i="7"/>
  <c r="AG405" i="7"/>
  <c r="AH405" i="7"/>
  <c r="AI405" i="7"/>
  <c r="AJ405" i="7"/>
  <c r="AK405" i="7"/>
  <c r="AL405" i="7"/>
  <c r="AM405" i="7"/>
  <c r="AN405" i="7"/>
  <c r="AO405" i="7"/>
  <c r="AP405" i="7"/>
  <c r="AQ405" i="7"/>
  <c r="AR405" i="7"/>
  <c r="AS405" i="7"/>
  <c r="AT405" i="7"/>
  <c r="AU405" i="7"/>
  <c r="AV405" i="7"/>
  <c r="AW405" i="7"/>
  <c r="AX405" i="7"/>
  <c r="AY405" i="7"/>
  <c r="AZ405" i="7"/>
  <c r="BA405" i="7"/>
  <c r="BB405" i="7"/>
  <c r="BC405" i="7"/>
  <c r="BD405" i="7"/>
  <c r="BE405" i="7"/>
  <c r="BF405" i="7"/>
  <c r="BG405" i="7"/>
  <c r="BH405" i="7"/>
  <c r="BI405" i="7" s="1"/>
  <c r="BJ405" i="7"/>
  <c r="BK405" i="7"/>
  <c r="BL405" i="7"/>
  <c r="BM405" i="7"/>
  <c r="BN405" i="7"/>
  <c r="BO405" i="7"/>
  <c r="BP405" i="7"/>
  <c r="BQ405" i="7"/>
  <c r="BR405" i="7"/>
  <c r="W175" i="7"/>
  <c r="X175" i="7"/>
  <c r="Y175" i="7"/>
  <c r="Z175" i="7"/>
  <c r="AA175" i="7"/>
  <c r="AB175" i="7"/>
  <c r="AC175" i="7" s="1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 s="1"/>
  <c r="BJ175" i="7"/>
  <c r="BK175" i="7"/>
  <c r="BL175" i="7"/>
  <c r="BM175" i="7"/>
  <c r="BN175" i="7"/>
  <c r="BO175" i="7"/>
  <c r="BP175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AN161" i="7"/>
  <c r="AO161" i="7"/>
  <c r="AP161" i="7"/>
  <c r="AQ161" i="7"/>
  <c r="AR161" i="7"/>
  <c r="AS161" i="7"/>
  <c r="AT161" i="7"/>
  <c r="AU161" i="7"/>
  <c r="AV161" i="7"/>
  <c r="AW161" i="7"/>
  <c r="AX161" i="7"/>
  <c r="AY161" i="7"/>
  <c r="AZ161" i="7"/>
  <c r="BA161" i="7"/>
  <c r="BB161" i="7"/>
  <c r="BC161" i="7"/>
  <c r="BD161" i="7"/>
  <c r="BE161" i="7"/>
  <c r="BF161" i="7"/>
  <c r="BG161" i="7"/>
  <c r="BH161" i="7"/>
  <c r="BI161" i="7"/>
  <c r="BJ161" i="7"/>
  <c r="BK161" i="7"/>
  <c r="BL161" i="7"/>
  <c r="BM161" i="7"/>
  <c r="BN161" i="7"/>
  <c r="BO161" i="7"/>
  <c r="BP161" i="7"/>
  <c r="BQ161" i="7"/>
  <c r="BR161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AN176" i="7"/>
  <c r="AO176" i="7"/>
  <c r="AP176" i="7"/>
  <c r="AQ176" i="7"/>
  <c r="AR176" i="7"/>
  <c r="AS176" i="7"/>
  <c r="AT176" i="7"/>
  <c r="AU176" i="7"/>
  <c r="AV176" i="7"/>
  <c r="AW176" i="7"/>
  <c r="AX176" i="7"/>
  <c r="AY176" i="7"/>
  <c r="AZ176" i="7"/>
  <c r="BA176" i="7"/>
  <c r="BB176" i="7"/>
  <c r="BC176" i="7"/>
  <c r="BD176" i="7"/>
  <c r="BE176" i="7"/>
  <c r="BF176" i="7"/>
  <c r="BG176" i="7"/>
  <c r="BH176" i="7"/>
  <c r="BI176" i="7"/>
  <c r="BJ176" i="7"/>
  <c r="BK176" i="7"/>
  <c r="BL176" i="7"/>
  <c r="BM176" i="7"/>
  <c r="BN176" i="7"/>
  <c r="BO176" i="7"/>
  <c r="BP176" i="7"/>
  <c r="BQ176" i="7" s="1"/>
  <c r="BR176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K252" i="7"/>
  <c r="AL252" i="7"/>
  <c r="AM252" i="7"/>
  <c r="AN252" i="7"/>
  <c r="AO252" i="7"/>
  <c r="AP252" i="7"/>
  <c r="AQ252" i="7"/>
  <c r="AR252" i="7"/>
  <c r="AS252" i="7"/>
  <c r="AT252" i="7"/>
  <c r="AU252" i="7"/>
  <c r="AV252" i="7"/>
  <c r="AW252" i="7"/>
  <c r="AX252" i="7"/>
  <c r="AY252" i="7"/>
  <c r="AZ252" i="7"/>
  <c r="BA252" i="7"/>
  <c r="BB252" i="7"/>
  <c r="BC252" i="7"/>
  <c r="BD252" i="7"/>
  <c r="BE252" i="7"/>
  <c r="BF252" i="7"/>
  <c r="BG252" i="7"/>
  <c r="BH252" i="7"/>
  <c r="BI252" i="7"/>
  <c r="BJ252" i="7"/>
  <c r="BK252" i="7"/>
  <c r="BL252" i="7"/>
  <c r="BM252" i="7"/>
  <c r="BN252" i="7"/>
  <c r="BO252" i="7"/>
  <c r="BP252" i="7"/>
  <c r="BQ252" i="7"/>
  <c r="BR252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 s="1"/>
  <c r="BB193" i="7"/>
  <c r="BC193" i="7"/>
  <c r="BD193" i="7"/>
  <c r="BE193" i="7"/>
  <c r="BF193" i="7"/>
  <c r="BG193" i="7"/>
  <c r="BH193" i="7"/>
  <c r="BI193" i="7" s="1"/>
  <c r="BJ193" i="7"/>
  <c r="BK193" i="7"/>
  <c r="BL193" i="7"/>
  <c r="BM193" i="7"/>
  <c r="BN193" i="7"/>
  <c r="BO193" i="7"/>
  <c r="BP193" i="7"/>
  <c r="BQ193" i="7"/>
  <c r="BR193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AJ297" i="7"/>
  <c r="AK297" i="7"/>
  <c r="AL297" i="7"/>
  <c r="AM297" i="7"/>
  <c r="AN297" i="7"/>
  <c r="AO297" i="7"/>
  <c r="AP297" i="7"/>
  <c r="AQ297" i="7"/>
  <c r="AR297" i="7"/>
  <c r="AS297" i="7" s="1"/>
  <c r="AT297" i="7"/>
  <c r="AU297" i="7"/>
  <c r="AV297" i="7"/>
  <c r="AW297" i="7"/>
  <c r="AX297" i="7"/>
  <c r="AY297" i="7"/>
  <c r="AZ297" i="7"/>
  <c r="BA297" i="7"/>
  <c r="BB297" i="7"/>
  <c r="BC297" i="7"/>
  <c r="BD297" i="7"/>
  <c r="BE297" i="7"/>
  <c r="BF297" i="7"/>
  <c r="BG297" i="7"/>
  <c r="BH297" i="7"/>
  <c r="BI297" i="7"/>
  <c r="BJ297" i="7"/>
  <c r="BK297" i="7"/>
  <c r="BL297" i="7"/>
  <c r="BM297" i="7"/>
  <c r="BN297" i="7"/>
  <c r="BO297" i="7"/>
  <c r="BP297" i="7"/>
  <c r="BQ297" i="7"/>
  <c r="BR297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W511" i="7"/>
  <c r="X511" i="7"/>
  <c r="Y511" i="7"/>
  <c r="Z511" i="7"/>
  <c r="AA511" i="7"/>
  <c r="AB511" i="7"/>
  <c r="AC511" i="7"/>
  <c r="AD511" i="7"/>
  <c r="AE511" i="7"/>
  <c r="AF511" i="7"/>
  <c r="AG511" i="7"/>
  <c r="AH511" i="7"/>
  <c r="AI511" i="7"/>
  <c r="AJ511" i="7"/>
  <c r="AK511" i="7"/>
  <c r="AL511" i="7"/>
  <c r="AM511" i="7"/>
  <c r="AN511" i="7"/>
  <c r="AO511" i="7"/>
  <c r="AP511" i="7"/>
  <c r="AQ511" i="7"/>
  <c r="AR511" i="7"/>
  <c r="AS511" i="7"/>
  <c r="AT511" i="7"/>
  <c r="AU511" i="7"/>
  <c r="AV511" i="7"/>
  <c r="AW511" i="7"/>
  <c r="AX511" i="7"/>
  <c r="AY511" i="7"/>
  <c r="AZ511" i="7"/>
  <c r="BA511" i="7"/>
  <c r="BB511" i="7"/>
  <c r="BC511" i="7"/>
  <c r="BD511" i="7"/>
  <c r="BE511" i="7"/>
  <c r="BF511" i="7"/>
  <c r="BG511" i="7"/>
  <c r="BH511" i="7"/>
  <c r="BI511" i="7"/>
  <c r="BJ511" i="7"/>
  <c r="BK511" i="7"/>
  <c r="BL511" i="7"/>
  <c r="BM511" i="7"/>
  <c r="BN511" i="7"/>
  <c r="BO511" i="7"/>
  <c r="BP511" i="7"/>
  <c r="BQ511" i="7"/>
  <c r="BR511" i="7"/>
  <c r="W537" i="7"/>
  <c r="X537" i="7"/>
  <c r="Y537" i="7"/>
  <c r="Z537" i="7"/>
  <c r="AA537" i="7"/>
  <c r="AB537" i="7"/>
  <c r="AC537" i="7"/>
  <c r="AD537" i="7"/>
  <c r="AE537" i="7"/>
  <c r="AF537" i="7"/>
  <c r="AG537" i="7"/>
  <c r="AH537" i="7"/>
  <c r="AI537" i="7"/>
  <c r="AJ537" i="7"/>
  <c r="AK537" i="7"/>
  <c r="AL537" i="7"/>
  <c r="AM537" i="7"/>
  <c r="AN537" i="7"/>
  <c r="AO537" i="7"/>
  <c r="AP537" i="7"/>
  <c r="AQ537" i="7"/>
  <c r="AR537" i="7"/>
  <c r="AS537" i="7"/>
  <c r="AT537" i="7"/>
  <c r="AU537" i="7"/>
  <c r="AV537" i="7"/>
  <c r="AW537" i="7"/>
  <c r="AX537" i="7"/>
  <c r="AY537" i="7"/>
  <c r="AZ537" i="7"/>
  <c r="BA537" i="7"/>
  <c r="BB537" i="7"/>
  <c r="BC537" i="7"/>
  <c r="BD537" i="7"/>
  <c r="BE537" i="7"/>
  <c r="BF537" i="7"/>
  <c r="BG537" i="7"/>
  <c r="BH537" i="7"/>
  <c r="BI537" i="7"/>
  <c r="BJ537" i="7"/>
  <c r="BK537" i="7"/>
  <c r="BL537" i="7"/>
  <c r="BM537" i="7"/>
  <c r="BN537" i="7"/>
  <c r="BO537" i="7"/>
  <c r="BP537" i="7"/>
  <c r="BQ537" i="7"/>
  <c r="BR537" i="7"/>
  <c r="W512" i="7"/>
  <c r="X512" i="7"/>
  <c r="Y512" i="7"/>
  <c r="Z512" i="7"/>
  <c r="AA512" i="7"/>
  <c r="AB512" i="7"/>
  <c r="AC512" i="7"/>
  <c r="AD512" i="7"/>
  <c r="AE512" i="7"/>
  <c r="AF512" i="7"/>
  <c r="AG512" i="7"/>
  <c r="AH512" i="7"/>
  <c r="AI512" i="7"/>
  <c r="AJ512" i="7"/>
  <c r="AK512" i="7"/>
  <c r="AL512" i="7"/>
  <c r="AM512" i="7"/>
  <c r="AN512" i="7"/>
  <c r="AO512" i="7"/>
  <c r="AP512" i="7"/>
  <c r="AQ512" i="7"/>
  <c r="AR512" i="7"/>
  <c r="AS512" i="7"/>
  <c r="AT512" i="7"/>
  <c r="AU512" i="7"/>
  <c r="AV512" i="7"/>
  <c r="AW512" i="7"/>
  <c r="AX512" i="7"/>
  <c r="AY512" i="7"/>
  <c r="AZ512" i="7"/>
  <c r="BA512" i="7"/>
  <c r="BB512" i="7"/>
  <c r="BC512" i="7"/>
  <c r="BD512" i="7"/>
  <c r="BE512" i="7"/>
  <c r="BF512" i="7"/>
  <c r="BI512" i="7" s="1"/>
  <c r="BG512" i="7"/>
  <c r="BH512" i="7"/>
  <c r="BJ512" i="7"/>
  <c r="BK512" i="7"/>
  <c r="BL512" i="7"/>
  <c r="BM512" i="7"/>
  <c r="BN512" i="7"/>
  <c r="BO512" i="7"/>
  <c r="BP512" i="7"/>
  <c r="BQ512" i="7"/>
  <c r="BR512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L177" i="7"/>
  <c r="BM177" i="7"/>
  <c r="BN177" i="7"/>
  <c r="BO177" i="7"/>
  <c r="BP177" i="7"/>
  <c r="BQ177" i="7"/>
  <c r="BR177" i="7"/>
  <c r="W513" i="7"/>
  <c r="X513" i="7"/>
  <c r="Y513" i="7"/>
  <c r="Z513" i="7"/>
  <c r="AA513" i="7"/>
  <c r="AB513" i="7"/>
  <c r="AC513" i="7"/>
  <c r="AD513" i="7"/>
  <c r="AE513" i="7"/>
  <c r="AF513" i="7"/>
  <c r="AG513" i="7"/>
  <c r="AH513" i="7"/>
  <c r="AI513" i="7"/>
  <c r="AJ513" i="7"/>
  <c r="AK513" i="7"/>
  <c r="AL513" i="7"/>
  <c r="AM513" i="7"/>
  <c r="AN513" i="7"/>
  <c r="AO513" i="7"/>
  <c r="AP513" i="7"/>
  <c r="AQ513" i="7"/>
  <c r="AR513" i="7"/>
  <c r="AS513" i="7"/>
  <c r="AT513" i="7"/>
  <c r="AU513" i="7"/>
  <c r="AV513" i="7"/>
  <c r="AW513" i="7"/>
  <c r="AX513" i="7"/>
  <c r="AY513" i="7"/>
  <c r="AZ513" i="7"/>
  <c r="BA513" i="7"/>
  <c r="BB513" i="7"/>
  <c r="BC513" i="7"/>
  <c r="BD513" i="7"/>
  <c r="BE513" i="7"/>
  <c r="BF513" i="7"/>
  <c r="BG513" i="7"/>
  <c r="BH513" i="7"/>
  <c r="BI513" i="7"/>
  <c r="BJ513" i="7"/>
  <c r="BK513" i="7"/>
  <c r="BL513" i="7"/>
  <c r="BM513" i="7"/>
  <c r="BN513" i="7"/>
  <c r="BO513" i="7"/>
  <c r="BP513" i="7"/>
  <c r="BQ513" i="7"/>
  <c r="BR513" i="7"/>
  <c r="W538" i="7"/>
  <c r="X538" i="7"/>
  <c r="Y538" i="7"/>
  <c r="Z538" i="7"/>
  <c r="AA538" i="7"/>
  <c r="AB538" i="7"/>
  <c r="AC538" i="7"/>
  <c r="AD538" i="7"/>
  <c r="AE538" i="7"/>
  <c r="AF538" i="7"/>
  <c r="AG538" i="7"/>
  <c r="AH538" i="7"/>
  <c r="AI538" i="7"/>
  <c r="AJ538" i="7"/>
  <c r="AK538" i="7"/>
  <c r="AL538" i="7"/>
  <c r="AM538" i="7"/>
  <c r="AN538" i="7"/>
  <c r="AO538" i="7"/>
  <c r="AP538" i="7"/>
  <c r="AQ538" i="7"/>
  <c r="AR538" i="7"/>
  <c r="AS538" i="7"/>
  <c r="AT538" i="7"/>
  <c r="AU538" i="7"/>
  <c r="AV538" i="7"/>
  <c r="AW538" i="7"/>
  <c r="AX538" i="7"/>
  <c r="AY538" i="7"/>
  <c r="AZ538" i="7"/>
  <c r="BA538" i="7" s="1"/>
  <c r="BB538" i="7"/>
  <c r="BC538" i="7"/>
  <c r="BD538" i="7"/>
  <c r="BE538" i="7"/>
  <c r="BF538" i="7"/>
  <c r="BG538" i="7"/>
  <c r="BH538" i="7"/>
  <c r="BI538" i="7"/>
  <c r="BJ538" i="7"/>
  <c r="BK538" i="7"/>
  <c r="BL538" i="7"/>
  <c r="BM538" i="7"/>
  <c r="BN538" i="7"/>
  <c r="BO538" i="7"/>
  <c r="BP538" i="7"/>
  <c r="BQ538" i="7"/>
  <c r="BR538" i="7"/>
  <c r="W514" i="7"/>
  <c r="X514" i="7"/>
  <c r="Y514" i="7"/>
  <c r="Z514" i="7"/>
  <c r="AA514" i="7"/>
  <c r="AB514" i="7"/>
  <c r="AC514" i="7"/>
  <c r="AD514" i="7"/>
  <c r="AE514" i="7"/>
  <c r="AF514" i="7"/>
  <c r="AG514" i="7"/>
  <c r="AH514" i="7"/>
  <c r="AI514" i="7"/>
  <c r="AJ514" i="7"/>
  <c r="AK514" i="7"/>
  <c r="AL514" i="7"/>
  <c r="AM514" i="7"/>
  <c r="AN514" i="7"/>
  <c r="AO514" i="7"/>
  <c r="AP514" i="7"/>
  <c r="AQ514" i="7"/>
  <c r="AR514" i="7"/>
  <c r="AS514" i="7"/>
  <c r="AT514" i="7"/>
  <c r="AU514" i="7"/>
  <c r="AV514" i="7"/>
  <c r="AW514" i="7"/>
  <c r="AX514" i="7"/>
  <c r="AY514" i="7"/>
  <c r="AZ514" i="7"/>
  <c r="BA514" i="7"/>
  <c r="BB514" i="7"/>
  <c r="BC514" i="7"/>
  <c r="BD514" i="7"/>
  <c r="BE514" i="7"/>
  <c r="BF514" i="7"/>
  <c r="BG514" i="7"/>
  <c r="BH514" i="7"/>
  <c r="BI514" i="7"/>
  <c r="BJ514" i="7"/>
  <c r="BK514" i="7"/>
  <c r="BL514" i="7"/>
  <c r="BM514" i="7"/>
  <c r="BN514" i="7"/>
  <c r="BO514" i="7"/>
  <c r="BP514" i="7"/>
  <c r="BQ514" i="7"/>
  <c r="BR514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W482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AK482" i="7"/>
  <c r="AL482" i="7"/>
  <c r="AM482" i="7"/>
  <c r="AN482" i="7"/>
  <c r="AO482" i="7"/>
  <c r="AP482" i="7"/>
  <c r="AQ482" i="7"/>
  <c r="AR482" i="7"/>
  <c r="AS482" i="7"/>
  <c r="AT482" i="7"/>
  <c r="AU482" i="7"/>
  <c r="AV482" i="7"/>
  <c r="AW482" i="7"/>
  <c r="AX482" i="7"/>
  <c r="AY482" i="7"/>
  <c r="AZ482" i="7"/>
  <c r="BA482" i="7"/>
  <c r="BB482" i="7"/>
  <c r="BC482" i="7"/>
  <c r="BD482" i="7"/>
  <c r="BE482" i="7"/>
  <c r="BF482" i="7"/>
  <c r="BG482" i="7"/>
  <c r="BH482" i="7"/>
  <c r="BI482" i="7"/>
  <c r="BJ482" i="7"/>
  <c r="BK482" i="7"/>
  <c r="BL482" i="7"/>
  <c r="BM482" i="7"/>
  <c r="BN482" i="7"/>
  <c r="BO482" i="7"/>
  <c r="BP482" i="7"/>
  <c r="BQ482" i="7"/>
  <c r="BR482" i="7"/>
  <c r="W178" i="7"/>
  <c r="X178" i="7"/>
  <c r="Y178" i="7"/>
  <c r="Z178" i="7"/>
  <c r="AA178" i="7"/>
  <c r="AB178" i="7"/>
  <c r="AC178" i="7" s="1"/>
  <c r="AD178" i="7"/>
  <c r="AE178" i="7"/>
  <c r="AF178" i="7"/>
  <c r="AG178" i="7"/>
  <c r="AH178" i="7"/>
  <c r="AI178" i="7"/>
  <c r="AJ178" i="7"/>
  <c r="AL178" i="7"/>
  <c r="AM178" i="7"/>
  <c r="AN178" i="7"/>
  <c r="AO178" i="7"/>
  <c r="AP178" i="7"/>
  <c r="AQ178" i="7"/>
  <c r="AR178" i="7"/>
  <c r="AS178" i="7" s="1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W515" i="7"/>
  <c r="X515" i="7"/>
  <c r="Y515" i="7"/>
  <c r="Z515" i="7"/>
  <c r="AA515" i="7"/>
  <c r="AB515" i="7"/>
  <c r="AC515" i="7"/>
  <c r="AD515" i="7"/>
  <c r="AE515" i="7"/>
  <c r="AF515" i="7"/>
  <c r="AG515" i="7"/>
  <c r="AH515" i="7"/>
  <c r="AI515" i="7"/>
  <c r="AJ515" i="7"/>
  <c r="AK515" i="7"/>
  <c r="AL515" i="7"/>
  <c r="AM515" i="7"/>
  <c r="AN515" i="7"/>
  <c r="AO515" i="7"/>
  <c r="AP515" i="7"/>
  <c r="AQ515" i="7"/>
  <c r="AR515" i="7"/>
  <c r="AS515" i="7"/>
  <c r="AT515" i="7"/>
  <c r="AU515" i="7"/>
  <c r="AV515" i="7"/>
  <c r="AW515" i="7"/>
  <c r="AX515" i="7"/>
  <c r="AY515" i="7"/>
  <c r="AZ515" i="7"/>
  <c r="BA515" i="7"/>
  <c r="BB515" i="7"/>
  <c r="BC515" i="7"/>
  <c r="BD515" i="7"/>
  <c r="BE515" i="7"/>
  <c r="BF515" i="7"/>
  <c r="BG515" i="7"/>
  <c r="BH515" i="7"/>
  <c r="BI515" i="7"/>
  <c r="BJ515" i="7"/>
  <c r="BK515" i="7"/>
  <c r="BL515" i="7"/>
  <c r="BM515" i="7"/>
  <c r="BN515" i="7"/>
  <c r="BO515" i="7"/>
  <c r="BP515" i="7"/>
  <c r="BQ515" i="7"/>
  <c r="BR515" i="7"/>
  <c r="W406" i="7"/>
  <c r="X406" i="7"/>
  <c r="Y406" i="7"/>
  <c r="Z406" i="7"/>
  <c r="AA406" i="7"/>
  <c r="AB406" i="7"/>
  <c r="AC406" i="7"/>
  <c r="AD406" i="7"/>
  <c r="AE406" i="7"/>
  <c r="AF406" i="7"/>
  <c r="AG406" i="7"/>
  <c r="AH406" i="7"/>
  <c r="AI406" i="7"/>
  <c r="AJ406" i="7"/>
  <c r="AK406" i="7"/>
  <c r="AL406" i="7"/>
  <c r="AM406" i="7"/>
  <c r="AN406" i="7"/>
  <c r="AO406" i="7"/>
  <c r="AP406" i="7"/>
  <c r="AQ406" i="7"/>
  <c r="AR406" i="7"/>
  <c r="AS406" i="7"/>
  <c r="AT406" i="7"/>
  <c r="AU406" i="7"/>
  <c r="AV406" i="7"/>
  <c r="AW406" i="7"/>
  <c r="AX406" i="7"/>
  <c r="AY406" i="7"/>
  <c r="AZ406" i="7"/>
  <c r="BB406" i="7"/>
  <c r="BC406" i="7"/>
  <c r="BD406" i="7"/>
  <c r="BE406" i="7"/>
  <c r="BF406" i="7"/>
  <c r="BG406" i="7"/>
  <c r="BH406" i="7"/>
  <c r="BI406" i="7"/>
  <c r="BJ406" i="7"/>
  <c r="BK406" i="7"/>
  <c r="BL406" i="7"/>
  <c r="BM406" i="7"/>
  <c r="BN406" i="7"/>
  <c r="BO406" i="7"/>
  <c r="BP406" i="7"/>
  <c r="BR406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L298" i="7"/>
  <c r="AM298" i="7"/>
  <c r="AN298" i="7"/>
  <c r="AO298" i="7"/>
  <c r="AP298" i="7"/>
  <c r="AQ298" i="7"/>
  <c r="AR298" i="7"/>
  <c r="AS298" i="7"/>
  <c r="AT298" i="7"/>
  <c r="AU298" i="7"/>
  <c r="AV298" i="7"/>
  <c r="AW298" i="7"/>
  <c r="AX298" i="7"/>
  <c r="AY298" i="7"/>
  <c r="AZ298" i="7"/>
  <c r="BC298" i="7"/>
  <c r="BD298" i="7"/>
  <c r="BE298" i="7"/>
  <c r="BF298" i="7"/>
  <c r="BG298" i="7"/>
  <c r="BH298" i="7"/>
  <c r="BI298" i="7"/>
  <c r="BJ298" i="7"/>
  <c r="BK298" i="7"/>
  <c r="BL298" i="7"/>
  <c r="BM298" i="7"/>
  <c r="BN298" i="7"/>
  <c r="BO298" i="7"/>
  <c r="BP298" i="7"/>
  <c r="BQ298" i="7" s="1"/>
  <c r="BR298" i="7"/>
  <c r="W407" i="7"/>
  <c r="X407" i="7"/>
  <c r="Y407" i="7"/>
  <c r="Z407" i="7"/>
  <c r="AA407" i="7"/>
  <c r="AB407" i="7"/>
  <c r="AE407" i="7"/>
  <c r="AF407" i="7"/>
  <c r="AG407" i="7"/>
  <c r="AH407" i="7"/>
  <c r="AI407" i="7"/>
  <c r="AJ407" i="7"/>
  <c r="AK407" i="7" s="1"/>
  <c r="AL407" i="7"/>
  <c r="AM407" i="7"/>
  <c r="AN407" i="7"/>
  <c r="AO407" i="7"/>
  <c r="AP407" i="7"/>
  <c r="AQ407" i="7"/>
  <c r="AR407" i="7"/>
  <c r="AS407" i="7" s="1"/>
  <c r="AT407" i="7"/>
  <c r="AU407" i="7"/>
  <c r="AV407" i="7"/>
  <c r="AW407" i="7"/>
  <c r="AX407" i="7"/>
  <c r="AY407" i="7"/>
  <c r="AZ407" i="7"/>
  <c r="BB407" i="7"/>
  <c r="BC407" i="7"/>
  <c r="BD407" i="7"/>
  <c r="BE407" i="7"/>
  <c r="BF407" i="7"/>
  <c r="BG407" i="7"/>
  <c r="BH407" i="7"/>
  <c r="BI407" i="7"/>
  <c r="BJ407" i="7"/>
  <c r="BK407" i="7"/>
  <c r="BL407" i="7"/>
  <c r="BM407" i="7"/>
  <c r="BN407" i="7"/>
  <c r="BO407" i="7"/>
  <c r="BP407" i="7"/>
  <c r="BQ407" i="7"/>
  <c r="BR407" i="7"/>
  <c r="W214" i="7"/>
  <c r="X214" i="7"/>
  <c r="Y214" i="7"/>
  <c r="Z214" i="7"/>
  <c r="AA214" i="7"/>
  <c r="AB214" i="7"/>
  <c r="AC214" i="7" s="1"/>
  <c r="AD214" i="7"/>
  <c r="AE214" i="7"/>
  <c r="AF214" i="7"/>
  <c r="AG214" i="7"/>
  <c r="AH214" i="7"/>
  <c r="AI214" i="7"/>
  <c r="AJ214" i="7"/>
  <c r="AM214" i="7"/>
  <c r="AN214" i="7"/>
  <c r="AO214" i="7"/>
  <c r="AP214" i="7"/>
  <c r="AQ214" i="7"/>
  <c r="AR214" i="7"/>
  <c r="AU214" i="7"/>
  <c r="AV214" i="7"/>
  <c r="AW214" i="7"/>
  <c r="AX214" i="7"/>
  <c r="AY214" i="7"/>
  <c r="AZ214" i="7"/>
  <c r="BB214" i="7"/>
  <c r="BC214" i="7"/>
  <c r="BD214" i="7"/>
  <c r="BE214" i="7"/>
  <c r="BF214" i="7"/>
  <c r="BG214" i="7"/>
  <c r="BH214" i="7"/>
  <c r="BI214" i="7"/>
  <c r="BJ214" i="7"/>
  <c r="BK214" i="7"/>
  <c r="BL214" i="7"/>
  <c r="BM214" i="7"/>
  <c r="BN214" i="7"/>
  <c r="BO214" i="7"/>
  <c r="BP214" i="7"/>
  <c r="BR214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AN215" i="7"/>
  <c r="AO215" i="7"/>
  <c r="AP215" i="7"/>
  <c r="AQ215" i="7"/>
  <c r="AR215" i="7"/>
  <c r="AS215" i="7"/>
  <c r="AT215" i="7"/>
  <c r="AU215" i="7"/>
  <c r="AV215" i="7"/>
  <c r="AW215" i="7"/>
  <c r="AX215" i="7"/>
  <c r="AY215" i="7"/>
  <c r="AZ215" i="7"/>
  <c r="BC215" i="7"/>
  <c r="BD215" i="7"/>
  <c r="BE215" i="7"/>
  <c r="BF215" i="7"/>
  <c r="BG215" i="7"/>
  <c r="BH215" i="7"/>
  <c r="BI215" i="7"/>
  <c r="BJ215" i="7"/>
  <c r="BK215" i="7"/>
  <c r="BL215" i="7"/>
  <c r="BM215" i="7"/>
  <c r="BN215" i="7"/>
  <c r="BO215" i="7"/>
  <c r="BP215" i="7"/>
  <c r="W408" i="7"/>
  <c r="X408" i="7"/>
  <c r="Y408" i="7"/>
  <c r="Z408" i="7"/>
  <c r="AA408" i="7"/>
  <c r="AB408" i="7"/>
  <c r="AC408" i="7"/>
  <c r="AE408" i="7"/>
  <c r="AF408" i="7"/>
  <c r="AG408" i="7"/>
  <c r="AH408" i="7"/>
  <c r="AI408" i="7"/>
  <c r="AJ408" i="7"/>
  <c r="AK408" i="7"/>
  <c r="AL408" i="7"/>
  <c r="AM408" i="7"/>
  <c r="AN408" i="7"/>
  <c r="AO408" i="7"/>
  <c r="AP408" i="7"/>
  <c r="AQ408" i="7"/>
  <c r="AR408" i="7"/>
  <c r="AS408" i="7"/>
  <c r="AT408" i="7"/>
  <c r="AU408" i="7"/>
  <c r="AV408" i="7"/>
  <c r="AW408" i="7"/>
  <c r="AX408" i="7"/>
  <c r="AY408" i="7"/>
  <c r="AZ408" i="7"/>
  <c r="BA408" i="7"/>
  <c r="BB408" i="7"/>
  <c r="BC408" i="7"/>
  <c r="BD408" i="7"/>
  <c r="BE408" i="7"/>
  <c r="BF408" i="7"/>
  <c r="BG408" i="7"/>
  <c r="BH408" i="7"/>
  <c r="BI408" i="7"/>
  <c r="BJ408" i="7"/>
  <c r="BK408" i="7"/>
  <c r="BL408" i="7"/>
  <c r="BM408" i="7"/>
  <c r="BN408" i="7"/>
  <c r="BO408" i="7"/>
  <c r="BP408" i="7"/>
  <c r="BQ408" i="7"/>
  <c r="BR408" i="7"/>
  <c r="W253" i="7"/>
  <c r="X253" i="7"/>
  <c r="Y253" i="7"/>
  <c r="Z253" i="7"/>
  <c r="AA253" i="7"/>
  <c r="AB253" i="7"/>
  <c r="AC253" i="7" s="1"/>
  <c r="AD253" i="7"/>
  <c r="AE253" i="7"/>
  <c r="AF253" i="7"/>
  <c r="AG253" i="7"/>
  <c r="AH253" i="7"/>
  <c r="AI253" i="7"/>
  <c r="AJ253" i="7"/>
  <c r="AK253" i="7" s="1"/>
  <c r="AL253" i="7"/>
  <c r="AM253" i="7"/>
  <c r="AN253" i="7"/>
  <c r="AO253" i="7"/>
  <c r="AP253" i="7"/>
  <c r="AQ253" i="7"/>
  <c r="AR253" i="7"/>
  <c r="AS253" i="7"/>
  <c r="AT253" i="7"/>
  <c r="AU253" i="7"/>
  <c r="AV253" i="7"/>
  <c r="AW253" i="7"/>
  <c r="AX253" i="7"/>
  <c r="AY253" i="7"/>
  <c r="AZ253" i="7"/>
  <c r="BA253" i="7"/>
  <c r="BB253" i="7"/>
  <c r="BC253" i="7"/>
  <c r="BD253" i="7"/>
  <c r="BE253" i="7"/>
  <c r="BF253" i="7"/>
  <c r="BG253" i="7"/>
  <c r="BH253" i="7"/>
  <c r="BI253" i="7"/>
  <c r="BJ253" i="7"/>
  <c r="BK253" i="7"/>
  <c r="BL253" i="7"/>
  <c r="BM253" i="7"/>
  <c r="BN253" i="7"/>
  <c r="BO253" i="7"/>
  <c r="BP253" i="7"/>
  <c r="BR253" i="7"/>
  <c r="W132" i="7"/>
  <c r="X132" i="7"/>
  <c r="Y132" i="7"/>
  <c r="Z132" i="7"/>
  <c r="AA132" i="7"/>
  <c r="AB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W516" i="7"/>
  <c r="X516" i="7"/>
  <c r="Y516" i="7"/>
  <c r="Z516" i="7"/>
  <c r="AA516" i="7"/>
  <c r="AB516" i="7"/>
  <c r="AC516" i="7"/>
  <c r="AD516" i="7"/>
  <c r="AE516" i="7"/>
  <c r="AF516" i="7"/>
  <c r="AG516" i="7"/>
  <c r="AH516" i="7"/>
  <c r="AI516" i="7"/>
  <c r="AJ516" i="7"/>
  <c r="AK516" i="7"/>
  <c r="AL516" i="7"/>
  <c r="AM516" i="7"/>
  <c r="AN516" i="7"/>
  <c r="AO516" i="7"/>
  <c r="AP516" i="7"/>
  <c r="AQ516" i="7"/>
  <c r="AR516" i="7"/>
  <c r="AS516" i="7"/>
  <c r="AT516" i="7"/>
  <c r="AU516" i="7"/>
  <c r="AV516" i="7"/>
  <c r="AW516" i="7"/>
  <c r="AX516" i="7"/>
  <c r="AY516" i="7"/>
  <c r="AZ516" i="7"/>
  <c r="BA516" i="7"/>
  <c r="BB516" i="7"/>
  <c r="BC516" i="7"/>
  <c r="BD516" i="7"/>
  <c r="BE516" i="7"/>
  <c r="BF516" i="7"/>
  <c r="BG516" i="7"/>
  <c r="BH516" i="7"/>
  <c r="BI516" i="7"/>
  <c r="BJ516" i="7"/>
  <c r="BK516" i="7"/>
  <c r="BL516" i="7"/>
  <c r="BM516" i="7"/>
  <c r="BN516" i="7"/>
  <c r="BO516" i="7"/>
  <c r="BP516" i="7"/>
  <c r="BQ516" i="7"/>
  <c r="BR5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AN216" i="7"/>
  <c r="AO216" i="7"/>
  <c r="AP216" i="7"/>
  <c r="AQ216" i="7"/>
  <c r="AR216" i="7"/>
  <c r="AS216" i="7"/>
  <c r="AT216" i="7"/>
  <c r="AU216" i="7"/>
  <c r="AV216" i="7"/>
  <c r="AW216" i="7"/>
  <c r="AX216" i="7"/>
  <c r="AY216" i="7"/>
  <c r="AZ216" i="7"/>
  <c r="BA216" i="7"/>
  <c r="BB216" i="7"/>
  <c r="BC216" i="7"/>
  <c r="BD216" i="7"/>
  <c r="BE216" i="7"/>
  <c r="BF216" i="7"/>
  <c r="BG216" i="7"/>
  <c r="BH216" i="7"/>
  <c r="BI216" i="7"/>
  <c r="BJ216" i="7"/>
  <c r="BK216" i="7"/>
  <c r="BL216" i="7"/>
  <c r="BM216" i="7"/>
  <c r="BN216" i="7"/>
  <c r="BO216" i="7"/>
  <c r="BP216" i="7"/>
  <c r="BQ216" i="7"/>
  <c r="BR216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AN217" i="7"/>
  <c r="AO217" i="7"/>
  <c r="AP217" i="7"/>
  <c r="AQ217" i="7"/>
  <c r="AR217" i="7"/>
  <c r="AS217" i="7"/>
  <c r="AT217" i="7"/>
  <c r="AU217" i="7"/>
  <c r="AV217" i="7"/>
  <c r="AW217" i="7"/>
  <c r="AX217" i="7"/>
  <c r="AY217" i="7"/>
  <c r="AZ217" i="7"/>
  <c r="BA217" i="7"/>
  <c r="BB217" i="7"/>
  <c r="BC217" i="7"/>
  <c r="BD217" i="7"/>
  <c r="BE217" i="7"/>
  <c r="BF217" i="7"/>
  <c r="BG217" i="7"/>
  <c r="BH217" i="7"/>
  <c r="BI217" i="7"/>
  <c r="BJ217" i="7"/>
  <c r="BK217" i="7"/>
  <c r="BL217" i="7"/>
  <c r="BM217" i="7"/>
  <c r="BN217" i="7"/>
  <c r="BO217" i="7"/>
  <c r="BP217" i="7"/>
  <c r="BQ217" i="7"/>
  <c r="BR217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AN218" i="7"/>
  <c r="AO218" i="7"/>
  <c r="AP218" i="7"/>
  <c r="AQ218" i="7"/>
  <c r="AR218" i="7"/>
  <c r="AS218" i="7"/>
  <c r="AT218" i="7"/>
  <c r="AU218" i="7"/>
  <c r="AV218" i="7"/>
  <c r="AW218" i="7"/>
  <c r="AX218" i="7"/>
  <c r="AY218" i="7"/>
  <c r="AZ218" i="7"/>
  <c r="BA218" i="7"/>
  <c r="BB218" i="7"/>
  <c r="BC218" i="7"/>
  <c r="BD218" i="7"/>
  <c r="BE218" i="7"/>
  <c r="BF218" i="7"/>
  <c r="BG218" i="7"/>
  <c r="BH218" i="7"/>
  <c r="BI218" i="7"/>
  <c r="BJ218" i="7"/>
  <c r="BK218" i="7"/>
  <c r="BL218" i="7"/>
  <c r="BM218" i="7"/>
  <c r="BN218" i="7"/>
  <c r="BO218" i="7"/>
  <c r="BP218" i="7"/>
  <c r="BQ218" i="7"/>
  <c r="BR218" i="7"/>
  <c r="W409" i="7"/>
  <c r="X409" i="7"/>
  <c r="Y409" i="7"/>
  <c r="Z409" i="7"/>
  <c r="AA409" i="7"/>
  <c r="AB409" i="7"/>
  <c r="AC409" i="7"/>
  <c r="AD409" i="7"/>
  <c r="AE409" i="7"/>
  <c r="AF409" i="7"/>
  <c r="AG409" i="7"/>
  <c r="AH409" i="7"/>
  <c r="AI409" i="7"/>
  <c r="AJ409" i="7"/>
  <c r="AK409" i="7"/>
  <c r="AL409" i="7"/>
  <c r="AM409" i="7"/>
  <c r="AN409" i="7"/>
  <c r="AO409" i="7"/>
  <c r="AP409" i="7"/>
  <c r="AQ409" i="7"/>
  <c r="AR409" i="7"/>
  <c r="AS409" i="7"/>
  <c r="AT409" i="7"/>
  <c r="AU409" i="7"/>
  <c r="AV409" i="7"/>
  <c r="AW409" i="7"/>
  <c r="AX409" i="7"/>
  <c r="AY409" i="7"/>
  <c r="AZ409" i="7"/>
  <c r="BA409" i="7"/>
  <c r="BB409" i="7"/>
  <c r="BC409" i="7"/>
  <c r="BD409" i="7"/>
  <c r="BE409" i="7"/>
  <c r="BF409" i="7"/>
  <c r="BG409" i="7"/>
  <c r="BH409" i="7"/>
  <c r="BI409" i="7"/>
  <c r="BJ409" i="7"/>
  <c r="BK409" i="7"/>
  <c r="BL409" i="7"/>
  <c r="BM409" i="7"/>
  <c r="BN409" i="7"/>
  <c r="BO409" i="7"/>
  <c r="BP409" i="7"/>
  <c r="BQ409" i="7"/>
  <c r="BR409" i="7"/>
  <c r="W483" i="7"/>
  <c r="X483" i="7"/>
  <c r="Y483" i="7"/>
  <c r="Z483" i="7"/>
  <c r="AA483" i="7"/>
  <c r="AB483" i="7"/>
  <c r="AC483" i="7"/>
  <c r="AD483" i="7"/>
  <c r="AE483" i="7"/>
  <c r="AF483" i="7"/>
  <c r="AG483" i="7"/>
  <c r="AH483" i="7"/>
  <c r="AI483" i="7"/>
  <c r="AJ483" i="7"/>
  <c r="AK483" i="7"/>
  <c r="AL483" i="7"/>
  <c r="AM483" i="7"/>
  <c r="AN483" i="7"/>
  <c r="AO483" i="7"/>
  <c r="AP483" i="7"/>
  <c r="AQ483" i="7"/>
  <c r="AR483" i="7"/>
  <c r="AS483" i="7"/>
  <c r="AT483" i="7"/>
  <c r="AU483" i="7"/>
  <c r="AV483" i="7"/>
  <c r="AW483" i="7"/>
  <c r="AX483" i="7"/>
  <c r="AY483" i="7"/>
  <c r="AZ483" i="7"/>
  <c r="BA483" i="7"/>
  <c r="BB483" i="7"/>
  <c r="BC483" i="7"/>
  <c r="BD483" i="7"/>
  <c r="BE483" i="7"/>
  <c r="BF483" i="7"/>
  <c r="BG483" i="7"/>
  <c r="BH483" i="7"/>
  <c r="BI483" i="7"/>
  <c r="BJ483" i="7"/>
  <c r="BK483" i="7"/>
  <c r="BL483" i="7"/>
  <c r="BM483" i="7"/>
  <c r="BN483" i="7"/>
  <c r="BO483" i="7"/>
  <c r="BP483" i="7"/>
  <c r="BQ483" i="7"/>
  <c r="BR483" i="7"/>
  <c r="W410" i="7"/>
  <c r="X410" i="7"/>
  <c r="Y410" i="7"/>
  <c r="Z410" i="7"/>
  <c r="AA410" i="7"/>
  <c r="AB410" i="7"/>
  <c r="AC410" i="7"/>
  <c r="AD410" i="7"/>
  <c r="AE410" i="7"/>
  <c r="AF410" i="7"/>
  <c r="AG410" i="7"/>
  <c r="AH410" i="7"/>
  <c r="AI410" i="7"/>
  <c r="AJ410" i="7"/>
  <c r="AK410" i="7"/>
  <c r="AL410" i="7"/>
  <c r="AM410" i="7"/>
  <c r="AN410" i="7"/>
  <c r="AO410" i="7"/>
  <c r="AP410" i="7"/>
  <c r="AQ410" i="7"/>
  <c r="AR410" i="7"/>
  <c r="AS410" i="7"/>
  <c r="AT410" i="7"/>
  <c r="AU410" i="7"/>
  <c r="AV410" i="7"/>
  <c r="AW410" i="7"/>
  <c r="AX410" i="7"/>
  <c r="AY410" i="7"/>
  <c r="AZ410" i="7"/>
  <c r="BA410" i="7"/>
  <c r="BB410" i="7"/>
  <c r="BC410" i="7"/>
  <c r="BD410" i="7"/>
  <c r="BE410" i="7"/>
  <c r="BF410" i="7"/>
  <c r="BG410" i="7"/>
  <c r="BH410" i="7"/>
  <c r="BJ410" i="7"/>
  <c r="BK410" i="7"/>
  <c r="BL410" i="7"/>
  <c r="BM410" i="7"/>
  <c r="BN410" i="7"/>
  <c r="BO410" i="7"/>
  <c r="BP410" i="7"/>
  <c r="BQ410" i="7"/>
  <c r="BR410" i="7"/>
  <c r="W517" i="7"/>
  <c r="X517" i="7"/>
  <c r="Y517" i="7"/>
  <c r="Z517" i="7"/>
  <c r="AA517" i="7"/>
  <c r="AB517" i="7"/>
  <c r="AC517" i="7"/>
  <c r="AD517" i="7"/>
  <c r="AE517" i="7"/>
  <c r="AF517" i="7"/>
  <c r="AG517" i="7"/>
  <c r="AH517" i="7"/>
  <c r="AI517" i="7"/>
  <c r="AJ517" i="7"/>
  <c r="AK517" i="7"/>
  <c r="AL517" i="7"/>
  <c r="AM517" i="7"/>
  <c r="AN517" i="7"/>
  <c r="AO517" i="7"/>
  <c r="AP517" i="7"/>
  <c r="AQ517" i="7"/>
  <c r="AR517" i="7"/>
  <c r="AS517" i="7"/>
  <c r="AT517" i="7"/>
  <c r="AU517" i="7"/>
  <c r="AV517" i="7"/>
  <c r="AW517" i="7"/>
  <c r="AX517" i="7"/>
  <c r="AY517" i="7"/>
  <c r="AZ517" i="7"/>
  <c r="BA517" i="7"/>
  <c r="BB517" i="7"/>
  <c r="BC517" i="7"/>
  <c r="BD517" i="7"/>
  <c r="BE517" i="7"/>
  <c r="BF517" i="7"/>
  <c r="BG517" i="7"/>
  <c r="BH517" i="7"/>
  <c r="BI517" i="7"/>
  <c r="BJ517" i="7"/>
  <c r="BK517" i="7"/>
  <c r="BL517" i="7"/>
  <c r="BM517" i="7"/>
  <c r="BN517" i="7"/>
  <c r="BO517" i="7"/>
  <c r="BP517" i="7"/>
  <c r="BQ517" i="7"/>
  <c r="BR517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K299" i="7"/>
  <c r="AL299" i="7"/>
  <c r="AM299" i="7"/>
  <c r="AN299" i="7"/>
  <c r="AO299" i="7"/>
  <c r="AP299" i="7"/>
  <c r="AQ299" i="7"/>
  <c r="AR299" i="7"/>
  <c r="AS299" i="7"/>
  <c r="AT299" i="7"/>
  <c r="AU299" i="7"/>
  <c r="AV299" i="7"/>
  <c r="AW299" i="7"/>
  <c r="AX299" i="7"/>
  <c r="AY299" i="7"/>
  <c r="AZ299" i="7"/>
  <c r="BA299" i="7"/>
  <c r="BB299" i="7"/>
  <c r="BC299" i="7"/>
  <c r="BD299" i="7"/>
  <c r="BE299" i="7"/>
  <c r="BF299" i="7"/>
  <c r="BG299" i="7"/>
  <c r="BH299" i="7"/>
  <c r="BI299" i="7"/>
  <c r="BJ299" i="7"/>
  <c r="BK299" i="7"/>
  <c r="BL299" i="7"/>
  <c r="BM299" i="7"/>
  <c r="BN299" i="7"/>
  <c r="BO299" i="7"/>
  <c r="BP299" i="7"/>
  <c r="BQ299" i="7"/>
  <c r="BR299" i="7"/>
  <c r="W484" i="7"/>
  <c r="X484" i="7"/>
  <c r="Y484" i="7"/>
  <c r="Z484" i="7"/>
  <c r="AA484" i="7"/>
  <c r="AB484" i="7"/>
  <c r="AC484" i="7"/>
  <c r="AD484" i="7"/>
  <c r="AE484" i="7"/>
  <c r="AF484" i="7"/>
  <c r="AG484" i="7"/>
  <c r="AH484" i="7"/>
  <c r="AI484" i="7"/>
  <c r="AJ484" i="7"/>
  <c r="AK484" i="7"/>
  <c r="AL484" i="7"/>
  <c r="AM484" i="7"/>
  <c r="AN484" i="7"/>
  <c r="AO484" i="7"/>
  <c r="AP484" i="7"/>
  <c r="AQ484" i="7"/>
  <c r="AR484" i="7"/>
  <c r="AS484" i="7"/>
  <c r="AT484" i="7"/>
  <c r="AU484" i="7"/>
  <c r="AV484" i="7"/>
  <c r="AW484" i="7"/>
  <c r="AX484" i="7"/>
  <c r="AY484" i="7"/>
  <c r="AZ484" i="7"/>
  <c r="BA484" i="7"/>
  <c r="BB484" i="7"/>
  <c r="BC484" i="7"/>
  <c r="BD484" i="7"/>
  <c r="BE484" i="7"/>
  <c r="BF484" i="7"/>
  <c r="BG484" i="7"/>
  <c r="BH484" i="7"/>
  <c r="BI484" i="7"/>
  <c r="BJ484" i="7"/>
  <c r="BK484" i="7"/>
  <c r="BL484" i="7"/>
  <c r="BM484" i="7"/>
  <c r="BN484" i="7"/>
  <c r="BO484" i="7"/>
  <c r="BP484" i="7"/>
  <c r="BQ484" i="7"/>
  <c r="BR484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W518" i="7"/>
  <c r="X518" i="7"/>
  <c r="Y518" i="7"/>
  <c r="Z518" i="7"/>
  <c r="AA518" i="7"/>
  <c r="AB518" i="7"/>
  <c r="AC518" i="7"/>
  <c r="AD518" i="7"/>
  <c r="AE518" i="7"/>
  <c r="AF518" i="7"/>
  <c r="AG518" i="7"/>
  <c r="AH518" i="7"/>
  <c r="AI518" i="7"/>
  <c r="AJ518" i="7"/>
  <c r="AK518" i="7"/>
  <c r="AL518" i="7"/>
  <c r="AM518" i="7"/>
  <c r="AN518" i="7"/>
  <c r="AO518" i="7"/>
  <c r="AP518" i="7"/>
  <c r="AQ518" i="7"/>
  <c r="AR518" i="7"/>
  <c r="AS518" i="7"/>
  <c r="AT518" i="7"/>
  <c r="AU518" i="7"/>
  <c r="AV518" i="7"/>
  <c r="AW518" i="7"/>
  <c r="AX518" i="7"/>
  <c r="AY518" i="7"/>
  <c r="AZ518" i="7"/>
  <c r="BA518" i="7"/>
  <c r="BB518" i="7"/>
  <c r="BC518" i="7"/>
  <c r="BD518" i="7"/>
  <c r="BE518" i="7"/>
  <c r="BF518" i="7"/>
  <c r="BG518" i="7"/>
  <c r="BH518" i="7"/>
  <c r="BI518" i="7"/>
  <c r="BJ518" i="7"/>
  <c r="BK518" i="7"/>
  <c r="BL518" i="7"/>
  <c r="BM518" i="7"/>
  <c r="BN518" i="7"/>
  <c r="BO518" i="7"/>
  <c r="BP518" i="7"/>
  <c r="BQ518" i="7"/>
  <c r="BR518" i="7"/>
  <c r="W411" i="7"/>
  <c r="X411" i="7"/>
  <c r="Y411" i="7"/>
  <c r="Z411" i="7"/>
  <c r="AA411" i="7"/>
  <c r="AB411" i="7"/>
  <c r="AC411" i="7"/>
  <c r="AD411" i="7"/>
  <c r="AE411" i="7"/>
  <c r="AF411" i="7"/>
  <c r="AG411" i="7"/>
  <c r="AH411" i="7"/>
  <c r="AI411" i="7"/>
  <c r="AJ411" i="7"/>
  <c r="AK411" i="7"/>
  <c r="AL411" i="7"/>
  <c r="AM411" i="7"/>
  <c r="AN411" i="7"/>
  <c r="AO411" i="7"/>
  <c r="AP411" i="7"/>
  <c r="AQ411" i="7"/>
  <c r="AR411" i="7"/>
  <c r="AS411" i="7"/>
  <c r="AT411" i="7"/>
  <c r="AU411" i="7"/>
  <c r="AV411" i="7"/>
  <c r="AW411" i="7"/>
  <c r="AX411" i="7"/>
  <c r="AY411" i="7"/>
  <c r="AZ411" i="7"/>
  <c r="BA411" i="7"/>
  <c r="BB411" i="7"/>
  <c r="BC411" i="7"/>
  <c r="BD411" i="7"/>
  <c r="BE411" i="7"/>
  <c r="BF411" i="7"/>
  <c r="BG411" i="7"/>
  <c r="BH411" i="7"/>
  <c r="BI411" i="7"/>
  <c r="BJ411" i="7"/>
  <c r="BK411" i="7"/>
  <c r="BL411" i="7"/>
  <c r="BM411" i="7"/>
  <c r="BN411" i="7"/>
  <c r="BO411" i="7"/>
  <c r="BP411" i="7"/>
  <c r="BQ411" i="7"/>
  <c r="BR411" i="7"/>
  <c r="W412" i="7"/>
  <c r="X412" i="7"/>
  <c r="Y412" i="7"/>
  <c r="Z412" i="7"/>
  <c r="AA412" i="7"/>
  <c r="AB412" i="7"/>
  <c r="AC412" i="7"/>
  <c r="AD412" i="7"/>
  <c r="AE412" i="7"/>
  <c r="AF412" i="7"/>
  <c r="AG412" i="7"/>
  <c r="AH412" i="7"/>
  <c r="AI412" i="7"/>
  <c r="AJ412" i="7"/>
  <c r="AK412" i="7"/>
  <c r="AL412" i="7"/>
  <c r="AM412" i="7"/>
  <c r="AN412" i="7"/>
  <c r="AO412" i="7"/>
  <c r="AP412" i="7"/>
  <c r="AQ412" i="7"/>
  <c r="AR412" i="7"/>
  <c r="AS412" i="7"/>
  <c r="AT412" i="7"/>
  <c r="AU412" i="7"/>
  <c r="AV412" i="7"/>
  <c r="AW412" i="7"/>
  <c r="AX412" i="7"/>
  <c r="AY412" i="7"/>
  <c r="AZ412" i="7"/>
  <c r="BA412" i="7"/>
  <c r="BB412" i="7"/>
  <c r="BC412" i="7"/>
  <c r="BD412" i="7"/>
  <c r="BE412" i="7"/>
  <c r="BF412" i="7"/>
  <c r="BG412" i="7"/>
  <c r="BH412" i="7"/>
  <c r="BI412" i="7"/>
  <c r="BJ412" i="7"/>
  <c r="BK412" i="7"/>
  <c r="BL412" i="7"/>
  <c r="BM412" i="7"/>
  <c r="BN412" i="7"/>
  <c r="BO412" i="7"/>
  <c r="BP412" i="7"/>
  <c r="BQ412" i="7"/>
  <c r="BR412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K300" i="7"/>
  <c r="AL300" i="7"/>
  <c r="AM300" i="7"/>
  <c r="AN300" i="7"/>
  <c r="AO300" i="7"/>
  <c r="AP300" i="7"/>
  <c r="AQ300" i="7"/>
  <c r="AR300" i="7"/>
  <c r="AS300" i="7"/>
  <c r="AT300" i="7"/>
  <c r="AU300" i="7"/>
  <c r="AV300" i="7"/>
  <c r="AW300" i="7"/>
  <c r="AX300" i="7"/>
  <c r="AY300" i="7"/>
  <c r="AZ300" i="7"/>
  <c r="BA300" i="7"/>
  <c r="BB300" i="7"/>
  <c r="BC300" i="7"/>
  <c r="BD300" i="7"/>
  <c r="BE300" i="7"/>
  <c r="BF300" i="7"/>
  <c r="BG300" i="7"/>
  <c r="BH300" i="7"/>
  <c r="BI300" i="7"/>
  <c r="BJ300" i="7"/>
  <c r="BK300" i="7"/>
  <c r="BL300" i="7"/>
  <c r="BM300" i="7"/>
  <c r="BN300" i="7"/>
  <c r="BO300" i="7"/>
  <c r="BP300" i="7"/>
  <c r="BQ300" i="7"/>
  <c r="BR300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W519" i="7"/>
  <c r="X519" i="7"/>
  <c r="Y519" i="7"/>
  <c r="Z519" i="7"/>
  <c r="AA519" i="7"/>
  <c r="AB519" i="7"/>
  <c r="AC519" i="7"/>
  <c r="AD519" i="7"/>
  <c r="AE519" i="7"/>
  <c r="AF519" i="7"/>
  <c r="AG519" i="7"/>
  <c r="AH519" i="7"/>
  <c r="AI519" i="7"/>
  <c r="AJ519" i="7"/>
  <c r="AK519" i="7"/>
  <c r="AL519" i="7"/>
  <c r="AM519" i="7"/>
  <c r="AN519" i="7"/>
  <c r="AO519" i="7"/>
  <c r="AP519" i="7"/>
  <c r="AQ519" i="7"/>
  <c r="AR519" i="7"/>
  <c r="AS519" i="7"/>
  <c r="AT519" i="7"/>
  <c r="AU519" i="7"/>
  <c r="AV519" i="7"/>
  <c r="AW519" i="7"/>
  <c r="AX519" i="7"/>
  <c r="AY519" i="7"/>
  <c r="AZ519" i="7"/>
  <c r="BA519" i="7"/>
  <c r="BB519" i="7"/>
  <c r="BC519" i="7"/>
  <c r="BD519" i="7"/>
  <c r="BE519" i="7"/>
  <c r="BF519" i="7"/>
  <c r="BG519" i="7"/>
  <c r="BH519" i="7"/>
  <c r="BI519" i="7"/>
  <c r="BJ519" i="7"/>
  <c r="BK519" i="7"/>
  <c r="BL519" i="7"/>
  <c r="BM519" i="7"/>
  <c r="BN519" i="7"/>
  <c r="BO519" i="7"/>
  <c r="BP519" i="7"/>
  <c r="BQ519" i="7"/>
  <c r="BR519" i="7"/>
  <c r="W485" i="7"/>
  <c r="X485" i="7"/>
  <c r="Y485" i="7"/>
  <c r="Z485" i="7"/>
  <c r="AA485" i="7"/>
  <c r="AB485" i="7"/>
  <c r="AC485" i="7"/>
  <c r="AD485" i="7"/>
  <c r="AE485" i="7"/>
  <c r="AF485" i="7"/>
  <c r="AG485" i="7"/>
  <c r="AH485" i="7"/>
  <c r="AI485" i="7"/>
  <c r="AJ485" i="7"/>
  <c r="AK485" i="7"/>
  <c r="AL485" i="7"/>
  <c r="AM485" i="7"/>
  <c r="AN485" i="7"/>
  <c r="AO485" i="7"/>
  <c r="AP485" i="7"/>
  <c r="AQ485" i="7"/>
  <c r="AR485" i="7"/>
  <c r="AS485" i="7"/>
  <c r="AT485" i="7"/>
  <c r="AU485" i="7"/>
  <c r="AV485" i="7"/>
  <c r="AW485" i="7"/>
  <c r="AX485" i="7"/>
  <c r="AY485" i="7"/>
  <c r="AZ485" i="7"/>
  <c r="BA485" i="7"/>
  <c r="BB485" i="7"/>
  <c r="BC485" i="7"/>
  <c r="BD485" i="7"/>
  <c r="BE485" i="7"/>
  <c r="BF485" i="7"/>
  <c r="BG485" i="7"/>
  <c r="BH485" i="7"/>
  <c r="BI485" i="7"/>
  <c r="BJ485" i="7"/>
  <c r="BK485" i="7"/>
  <c r="BL485" i="7"/>
  <c r="BM485" i="7"/>
  <c r="BN485" i="7"/>
  <c r="BO485" i="7"/>
  <c r="BP485" i="7"/>
  <c r="BQ485" i="7"/>
  <c r="BR485" i="7"/>
  <c r="W413" i="7"/>
  <c r="X413" i="7"/>
  <c r="Y413" i="7"/>
  <c r="Z413" i="7"/>
  <c r="AA413" i="7"/>
  <c r="AB413" i="7"/>
  <c r="AC413" i="7"/>
  <c r="AD413" i="7"/>
  <c r="AE413" i="7"/>
  <c r="AF413" i="7"/>
  <c r="AG413" i="7"/>
  <c r="AH413" i="7"/>
  <c r="AI413" i="7"/>
  <c r="AJ413" i="7"/>
  <c r="AK413" i="7"/>
  <c r="AL413" i="7"/>
  <c r="AM413" i="7"/>
  <c r="AN413" i="7"/>
  <c r="AO413" i="7"/>
  <c r="AP413" i="7"/>
  <c r="AQ413" i="7"/>
  <c r="AR413" i="7"/>
  <c r="AS413" i="7"/>
  <c r="AT413" i="7"/>
  <c r="AU413" i="7"/>
  <c r="AV413" i="7"/>
  <c r="AW413" i="7"/>
  <c r="AX413" i="7"/>
  <c r="AY413" i="7"/>
  <c r="AZ413" i="7"/>
  <c r="BA413" i="7"/>
  <c r="BB413" i="7"/>
  <c r="BC413" i="7"/>
  <c r="BD413" i="7"/>
  <c r="BE413" i="7"/>
  <c r="BF413" i="7"/>
  <c r="BG413" i="7"/>
  <c r="BH413" i="7"/>
  <c r="BI413" i="7"/>
  <c r="BJ413" i="7"/>
  <c r="BK413" i="7"/>
  <c r="BL413" i="7"/>
  <c r="BM413" i="7"/>
  <c r="BN413" i="7"/>
  <c r="BO413" i="7"/>
  <c r="BP413" i="7"/>
  <c r="BQ413" i="7"/>
  <c r="BR413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K301" i="7"/>
  <c r="AL301" i="7"/>
  <c r="AM301" i="7"/>
  <c r="AN301" i="7"/>
  <c r="AO301" i="7"/>
  <c r="AP301" i="7"/>
  <c r="AQ301" i="7"/>
  <c r="AR301" i="7"/>
  <c r="AS301" i="7"/>
  <c r="AT301" i="7"/>
  <c r="AU301" i="7"/>
  <c r="AV301" i="7"/>
  <c r="AW301" i="7"/>
  <c r="AX301" i="7"/>
  <c r="AY301" i="7"/>
  <c r="AZ301" i="7"/>
  <c r="BA301" i="7"/>
  <c r="BB301" i="7"/>
  <c r="BC301" i="7"/>
  <c r="BD301" i="7"/>
  <c r="BE301" i="7"/>
  <c r="BF301" i="7"/>
  <c r="BG301" i="7"/>
  <c r="BH301" i="7"/>
  <c r="BI301" i="7"/>
  <c r="BJ301" i="7"/>
  <c r="BK301" i="7"/>
  <c r="BL301" i="7"/>
  <c r="BM301" i="7"/>
  <c r="BN301" i="7"/>
  <c r="BO301" i="7"/>
  <c r="BP301" i="7"/>
  <c r="BQ301" i="7"/>
  <c r="BR301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W520" i="7"/>
  <c r="X520" i="7"/>
  <c r="Y520" i="7"/>
  <c r="Z520" i="7"/>
  <c r="AA520" i="7"/>
  <c r="AB520" i="7"/>
  <c r="AC520" i="7"/>
  <c r="AD520" i="7"/>
  <c r="AE520" i="7"/>
  <c r="AF520" i="7"/>
  <c r="AG520" i="7"/>
  <c r="AH520" i="7"/>
  <c r="AI520" i="7"/>
  <c r="AJ520" i="7"/>
  <c r="AK520" i="7"/>
  <c r="AL520" i="7"/>
  <c r="AM520" i="7"/>
  <c r="AN520" i="7"/>
  <c r="AO520" i="7"/>
  <c r="AP520" i="7"/>
  <c r="AQ520" i="7"/>
  <c r="AR520" i="7"/>
  <c r="AS520" i="7"/>
  <c r="AT520" i="7"/>
  <c r="AU520" i="7"/>
  <c r="AV520" i="7"/>
  <c r="AW520" i="7"/>
  <c r="AX520" i="7"/>
  <c r="AY520" i="7"/>
  <c r="AZ520" i="7"/>
  <c r="BA520" i="7"/>
  <c r="BB520" i="7"/>
  <c r="BC520" i="7"/>
  <c r="BD520" i="7"/>
  <c r="BE520" i="7"/>
  <c r="BF520" i="7"/>
  <c r="BG520" i="7"/>
  <c r="BH520" i="7"/>
  <c r="BI520" i="7"/>
  <c r="BJ520" i="7"/>
  <c r="BK520" i="7"/>
  <c r="BL520" i="7"/>
  <c r="BM520" i="7"/>
  <c r="BN520" i="7"/>
  <c r="BO520" i="7"/>
  <c r="BP520" i="7"/>
  <c r="BQ520" i="7"/>
  <c r="BR520" i="7"/>
  <c r="W68" i="7"/>
  <c r="X68" i="7"/>
  <c r="Y68" i="7"/>
  <c r="Z68" i="7"/>
  <c r="AA68" i="7"/>
  <c r="AB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W219" i="7"/>
  <c r="X219" i="7"/>
  <c r="Y219" i="7"/>
  <c r="Z219" i="7"/>
  <c r="AA219" i="7"/>
  <c r="AB219" i="7"/>
  <c r="AD219" i="7"/>
  <c r="AE219" i="7"/>
  <c r="AF219" i="7"/>
  <c r="AG219" i="7"/>
  <c r="AH219" i="7"/>
  <c r="AI219" i="7"/>
  <c r="AJ219" i="7"/>
  <c r="AL219" i="7"/>
  <c r="AM219" i="7"/>
  <c r="AN219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BB219" i="7"/>
  <c r="BC219" i="7"/>
  <c r="BD219" i="7"/>
  <c r="BE219" i="7"/>
  <c r="BF219" i="7"/>
  <c r="BG219" i="7"/>
  <c r="BH219" i="7"/>
  <c r="BI219" i="7"/>
  <c r="BJ219" i="7"/>
  <c r="BK219" i="7"/>
  <c r="BL219" i="7"/>
  <c r="BM219" i="7"/>
  <c r="BN219" i="7"/>
  <c r="BO219" i="7"/>
  <c r="BP219" i="7"/>
  <c r="BR219" i="7"/>
  <c r="W521" i="7"/>
  <c r="X521" i="7"/>
  <c r="Y521" i="7"/>
  <c r="Z521" i="7"/>
  <c r="AA521" i="7"/>
  <c r="AB521" i="7"/>
  <c r="AC521" i="7"/>
  <c r="AD521" i="7"/>
  <c r="AE521" i="7"/>
  <c r="AF521" i="7"/>
  <c r="AG521" i="7"/>
  <c r="AH521" i="7"/>
  <c r="AI521" i="7"/>
  <c r="AJ521" i="7"/>
  <c r="AK521" i="7"/>
  <c r="AL521" i="7"/>
  <c r="AM521" i="7"/>
  <c r="AN521" i="7"/>
  <c r="AO521" i="7"/>
  <c r="AP521" i="7"/>
  <c r="AQ521" i="7"/>
  <c r="AR521" i="7"/>
  <c r="AS521" i="7"/>
  <c r="AT521" i="7"/>
  <c r="AU521" i="7"/>
  <c r="AV521" i="7"/>
  <c r="AW521" i="7"/>
  <c r="AX521" i="7"/>
  <c r="AY521" i="7"/>
  <c r="AZ521" i="7"/>
  <c r="BB521" i="7"/>
  <c r="BC521" i="7"/>
  <c r="BD521" i="7"/>
  <c r="BE521" i="7"/>
  <c r="BF521" i="7"/>
  <c r="BG521" i="7"/>
  <c r="BH521" i="7"/>
  <c r="BI521" i="7"/>
  <c r="BJ521" i="7"/>
  <c r="BK521" i="7"/>
  <c r="BL521" i="7"/>
  <c r="BM521" i="7"/>
  <c r="BN521" i="7"/>
  <c r="BO521" i="7"/>
  <c r="BP521" i="7"/>
  <c r="BQ521" i="7"/>
  <c r="BR521" i="7"/>
  <c r="W522" i="7"/>
  <c r="X522" i="7"/>
  <c r="Y522" i="7"/>
  <c r="Z522" i="7"/>
  <c r="AA522" i="7"/>
  <c r="AB522" i="7"/>
  <c r="AC522" i="7"/>
  <c r="AD522" i="7"/>
  <c r="AE522" i="7"/>
  <c r="AF522" i="7"/>
  <c r="AG522" i="7"/>
  <c r="AH522" i="7"/>
  <c r="AI522" i="7"/>
  <c r="AJ522" i="7"/>
  <c r="AK522" i="7"/>
  <c r="AL522" i="7"/>
  <c r="AM522" i="7"/>
  <c r="AN522" i="7"/>
  <c r="AO522" i="7"/>
  <c r="AP522" i="7"/>
  <c r="AQ522" i="7"/>
  <c r="AR522" i="7"/>
  <c r="AS522" i="7"/>
  <c r="AT522" i="7"/>
  <c r="AU522" i="7"/>
  <c r="AV522" i="7"/>
  <c r="AW522" i="7"/>
  <c r="AX522" i="7"/>
  <c r="AY522" i="7"/>
  <c r="AZ522" i="7"/>
  <c r="BA522" i="7"/>
  <c r="BB522" i="7"/>
  <c r="BC522" i="7"/>
  <c r="BD522" i="7"/>
  <c r="BE522" i="7"/>
  <c r="BF522" i="7"/>
  <c r="BG522" i="7"/>
  <c r="BH522" i="7"/>
  <c r="BI522" i="7"/>
  <c r="BJ522" i="7"/>
  <c r="BK522" i="7"/>
  <c r="BL522" i="7"/>
  <c r="BM522" i="7"/>
  <c r="BN522" i="7"/>
  <c r="BO522" i="7"/>
  <c r="BP522" i="7"/>
  <c r="BQ522" i="7"/>
  <c r="BR522" i="7"/>
  <c r="W486" i="7"/>
  <c r="X486" i="7"/>
  <c r="Y486" i="7"/>
  <c r="Z486" i="7"/>
  <c r="AA486" i="7"/>
  <c r="AB486" i="7"/>
  <c r="AC486" i="7"/>
  <c r="AD486" i="7"/>
  <c r="AE486" i="7"/>
  <c r="AF486" i="7"/>
  <c r="AG486" i="7"/>
  <c r="AH486" i="7"/>
  <c r="AI486" i="7"/>
  <c r="AJ486" i="7"/>
  <c r="AK486" i="7"/>
  <c r="AL486" i="7"/>
  <c r="AM486" i="7"/>
  <c r="AN486" i="7"/>
  <c r="AO486" i="7"/>
  <c r="AP486" i="7"/>
  <c r="AQ486" i="7"/>
  <c r="AR486" i="7"/>
  <c r="AS486" i="7"/>
  <c r="AT486" i="7"/>
  <c r="AU486" i="7"/>
  <c r="AV486" i="7"/>
  <c r="AW486" i="7"/>
  <c r="AX486" i="7"/>
  <c r="AY486" i="7"/>
  <c r="AZ486" i="7"/>
  <c r="BA486" i="7"/>
  <c r="BB486" i="7"/>
  <c r="BC486" i="7"/>
  <c r="BD486" i="7"/>
  <c r="BE486" i="7"/>
  <c r="BF486" i="7"/>
  <c r="BG486" i="7"/>
  <c r="BH486" i="7"/>
  <c r="BI486" i="7"/>
  <c r="BJ486" i="7"/>
  <c r="BK486" i="7"/>
  <c r="BL486" i="7"/>
  <c r="BM486" i="7"/>
  <c r="BN486" i="7"/>
  <c r="BO486" i="7"/>
  <c r="BP486" i="7"/>
  <c r="BQ486" i="7"/>
  <c r="BR486" i="7"/>
  <c r="W487" i="7"/>
  <c r="X487" i="7"/>
  <c r="Y487" i="7"/>
  <c r="Z487" i="7"/>
  <c r="AA487" i="7"/>
  <c r="AB487" i="7"/>
  <c r="AC487" i="7"/>
  <c r="AD487" i="7"/>
  <c r="AE487" i="7"/>
  <c r="AF487" i="7"/>
  <c r="AG487" i="7"/>
  <c r="AH487" i="7"/>
  <c r="AI487" i="7"/>
  <c r="AJ487" i="7"/>
  <c r="AL487" i="7"/>
  <c r="AM487" i="7"/>
  <c r="AN487" i="7"/>
  <c r="AO487" i="7"/>
  <c r="AP487" i="7"/>
  <c r="AQ487" i="7"/>
  <c r="AR487" i="7"/>
  <c r="AS487" i="7"/>
  <c r="AT487" i="7"/>
  <c r="AU487" i="7"/>
  <c r="AV487" i="7"/>
  <c r="AW487" i="7"/>
  <c r="AX487" i="7"/>
  <c r="AY487" i="7"/>
  <c r="AZ487" i="7"/>
  <c r="BB487" i="7"/>
  <c r="BC487" i="7"/>
  <c r="BD487" i="7"/>
  <c r="BE487" i="7"/>
  <c r="BF487" i="7"/>
  <c r="BI487" i="7" s="1"/>
  <c r="BG487" i="7"/>
  <c r="BH487" i="7"/>
  <c r="BJ487" i="7"/>
  <c r="BK487" i="7"/>
  <c r="BL487" i="7"/>
  <c r="BM487" i="7"/>
  <c r="BN487" i="7"/>
  <c r="BO487" i="7"/>
  <c r="BP487" i="7"/>
  <c r="BQ487" i="7"/>
  <c r="BR487" i="7"/>
  <c r="W414" i="7"/>
  <c r="X414" i="7"/>
  <c r="Y414" i="7"/>
  <c r="Z414" i="7"/>
  <c r="AA414" i="7"/>
  <c r="AB414" i="7"/>
  <c r="AC414" i="7" s="1"/>
  <c r="AD414" i="7"/>
  <c r="AE414" i="7"/>
  <c r="AF414" i="7"/>
  <c r="AG414" i="7"/>
  <c r="AH414" i="7"/>
  <c r="AI414" i="7"/>
  <c r="AJ414" i="7"/>
  <c r="AL414" i="7"/>
  <c r="AM414" i="7"/>
  <c r="AN414" i="7"/>
  <c r="AO414" i="7"/>
  <c r="AP414" i="7"/>
  <c r="AQ414" i="7"/>
  <c r="AR414" i="7"/>
  <c r="AS414" i="7"/>
  <c r="AT414" i="7"/>
  <c r="AU414" i="7"/>
  <c r="AV414" i="7"/>
  <c r="AW414" i="7"/>
  <c r="AX414" i="7"/>
  <c r="AY414" i="7"/>
  <c r="AZ414" i="7"/>
  <c r="BA414" i="7" s="1"/>
  <c r="BB414" i="7"/>
  <c r="BC414" i="7"/>
  <c r="BD414" i="7"/>
  <c r="BE414" i="7"/>
  <c r="BF414" i="7"/>
  <c r="BG414" i="7"/>
  <c r="BH414" i="7"/>
  <c r="BI414" i="7"/>
  <c r="BJ414" i="7"/>
  <c r="BK414" i="7"/>
  <c r="BL414" i="7"/>
  <c r="BM414" i="7"/>
  <c r="BN414" i="7"/>
  <c r="BO414" i="7"/>
  <c r="BP414" i="7"/>
  <c r="BQ414" i="7"/>
  <c r="BR414" i="7"/>
  <c r="W415" i="7"/>
  <c r="X415" i="7"/>
  <c r="Y415" i="7"/>
  <c r="Z415" i="7"/>
  <c r="AA415" i="7"/>
  <c r="AB415" i="7"/>
  <c r="AC415" i="7"/>
  <c r="AD415" i="7"/>
  <c r="AE415" i="7"/>
  <c r="AF415" i="7"/>
  <c r="AG415" i="7"/>
  <c r="AH415" i="7"/>
  <c r="AI415" i="7"/>
  <c r="AJ415" i="7"/>
  <c r="AL415" i="7"/>
  <c r="AM415" i="7"/>
  <c r="AN415" i="7"/>
  <c r="AO415" i="7"/>
  <c r="AP415" i="7"/>
  <c r="AQ415" i="7"/>
  <c r="AR415" i="7"/>
  <c r="AS415" i="7"/>
  <c r="AT415" i="7"/>
  <c r="AU415" i="7"/>
  <c r="AV415" i="7"/>
  <c r="AW415" i="7"/>
  <c r="AX415" i="7"/>
  <c r="AY415" i="7"/>
  <c r="AZ415" i="7"/>
  <c r="BA415" i="7"/>
  <c r="BB415" i="7"/>
  <c r="BC415" i="7"/>
  <c r="BD415" i="7"/>
  <c r="BE415" i="7"/>
  <c r="BF415" i="7"/>
  <c r="BG415" i="7"/>
  <c r="BH415" i="7"/>
  <c r="BI415" i="7"/>
  <c r="BJ415" i="7"/>
  <c r="BK415" i="7"/>
  <c r="BL415" i="7"/>
  <c r="BM415" i="7"/>
  <c r="BN415" i="7"/>
  <c r="BO415" i="7"/>
  <c r="BP415" i="7"/>
  <c r="BQ415" i="7" s="1"/>
  <c r="BR415" i="7"/>
  <c r="W111" i="7"/>
  <c r="X111" i="7"/>
  <c r="Y111" i="7"/>
  <c r="Z111" i="7"/>
  <c r="AA111" i="7"/>
  <c r="AB111" i="7"/>
  <c r="AE111" i="7"/>
  <c r="AF111" i="7"/>
  <c r="AG111" i="7"/>
  <c r="AH111" i="7"/>
  <c r="AI111" i="7"/>
  <c r="AJ111" i="7"/>
  <c r="AM111" i="7"/>
  <c r="AN111" i="7"/>
  <c r="AO111" i="7"/>
  <c r="AP111" i="7"/>
  <c r="AQ111" i="7"/>
  <c r="AR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W416" i="7"/>
  <c r="X416" i="7"/>
  <c r="Y416" i="7"/>
  <c r="Z416" i="7"/>
  <c r="AA416" i="7"/>
  <c r="AB416" i="7"/>
  <c r="AC416" i="7"/>
  <c r="AD416" i="7"/>
  <c r="AE416" i="7"/>
  <c r="AF416" i="7"/>
  <c r="AG416" i="7"/>
  <c r="AH416" i="7"/>
  <c r="AI416" i="7"/>
  <c r="AJ416" i="7"/>
  <c r="AL416" i="7"/>
  <c r="AM416" i="7"/>
  <c r="AN416" i="7"/>
  <c r="AO416" i="7"/>
  <c r="AP416" i="7"/>
  <c r="AQ416" i="7"/>
  <c r="AR416" i="7"/>
  <c r="AT416" i="7"/>
  <c r="AU416" i="7"/>
  <c r="AV416" i="7"/>
  <c r="AW416" i="7"/>
  <c r="AX416" i="7"/>
  <c r="AY416" i="7"/>
  <c r="AZ416" i="7"/>
  <c r="BB416" i="7"/>
  <c r="BC416" i="7"/>
  <c r="BD416" i="7"/>
  <c r="BE416" i="7"/>
  <c r="BF416" i="7"/>
  <c r="BG416" i="7"/>
  <c r="BH416" i="7"/>
  <c r="BI416" i="7"/>
  <c r="BJ416" i="7"/>
  <c r="BK416" i="7"/>
  <c r="BL416" i="7"/>
  <c r="BM416" i="7"/>
  <c r="BN416" i="7"/>
  <c r="BO416" i="7"/>
  <c r="BP416" i="7"/>
  <c r="W417" i="7"/>
  <c r="X417" i="7"/>
  <c r="Y417" i="7"/>
  <c r="Z417" i="7"/>
  <c r="AA417" i="7"/>
  <c r="AB417" i="7"/>
  <c r="AC417" i="7" s="1"/>
  <c r="AD417" i="7"/>
  <c r="AE417" i="7"/>
  <c r="AF417" i="7"/>
  <c r="AG417" i="7"/>
  <c r="AH417" i="7"/>
  <c r="AI417" i="7"/>
  <c r="AJ417" i="7"/>
  <c r="AK417" i="7"/>
  <c r="AM417" i="7"/>
  <c r="AN417" i="7"/>
  <c r="AO417" i="7"/>
  <c r="AP417" i="7"/>
  <c r="AQ417" i="7"/>
  <c r="AR417" i="7"/>
  <c r="AS417" i="7"/>
  <c r="AT417" i="7"/>
  <c r="AU417" i="7"/>
  <c r="AV417" i="7"/>
  <c r="AW417" i="7"/>
  <c r="AX417" i="7"/>
  <c r="AY417" i="7"/>
  <c r="AZ417" i="7"/>
  <c r="BB417" i="7"/>
  <c r="BC417" i="7"/>
  <c r="BD417" i="7"/>
  <c r="BE417" i="7"/>
  <c r="BF417" i="7"/>
  <c r="BG417" i="7"/>
  <c r="BH417" i="7"/>
  <c r="BJ417" i="7"/>
  <c r="BK417" i="7"/>
  <c r="BL417" i="7"/>
  <c r="BM417" i="7"/>
  <c r="BN417" i="7"/>
  <c r="BO417" i="7"/>
  <c r="BP417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 s="1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R139" i="7"/>
  <c r="W488" i="7"/>
  <c r="X488" i="7"/>
  <c r="Y488" i="7"/>
  <c r="Z488" i="7"/>
  <c r="AA488" i="7"/>
  <c r="AB488" i="7"/>
  <c r="AC488" i="7"/>
  <c r="AD488" i="7"/>
  <c r="AE488" i="7"/>
  <c r="AF488" i="7"/>
  <c r="AG488" i="7"/>
  <c r="AH488" i="7"/>
  <c r="AI488" i="7"/>
  <c r="AJ488" i="7"/>
  <c r="AK488" i="7"/>
  <c r="AL488" i="7"/>
  <c r="AM488" i="7"/>
  <c r="AN488" i="7"/>
  <c r="AO488" i="7"/>
  <c r="AP488" i="7"/>
  <c r="AQ488" i="7"/>
  <c r="AR488" i="7"/>
  <c r="AS488" i="7"/>
  <c r="AT488" i="7"/>
  <c r="AU488" i="7"/>
  <c r="AV488" i="7"/>
  <c r="AW488" i="7"/>
  <c r="AX488" i="7"/>
  <c r="AY488" i="7"/>
  <c r="AZ488" i="7"/>
  <c r="BC488" i="7"/>
  <c r="BD488" i="7"/>
  <c r="BE488" i="7"/>
  <c r="BF488" i="7"/>
  <c r="BG488" i="7"/>
  <c r="BH488" i="7"/>
  <c r="BI488" i="7"/>
  <c r="BJ488" i="7"/>
  <c r="BK488" i="7"/>
  <c r="BL488" i="7"/>
  <c r="BM488" i="7"/>
  <c r="BN488" i="7"/>
  <c r="BO488" i="7"/>
  <c r="BP488" i="7"/>
  <c r="BR488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M302" i="7"/>
  <c r="AN302" i="7"/>
  <c r="AO302" i="7"/>
  <c r="AP302" i="7"/>
  <c r="AQ302" i="7"/>
  <c r="AR302" i="7"/>
  <c r="AS302" i="7"/>
  <c r="AT302" i="7"/>
  <c r="AU302" i="7"/>
  <c r="AV302" i="7"/>
  <c r="AW302" i="7"/>
  <c r="AX302" i="7"/>
  <c r="AY302" i="7"/>
  <c r="AZ302" i="7"/>
  <c r="BA302" i="7"/>
  <c r="BB302" i="7"/>
  <c r="BC302" i="7"/>
  <c r="BD302" i="7"/>
  <c r="BE302" i="7"/>
  <c r="BF302" i="7"/>
  <c r="BG302" i="7"/>
  <c r="BH302" i="7"/>
  <c r="BI302" i="7"/>
  <c r="BJ302" i="7"/>
  <c r="BK302" i="7"/>
  <c r="BL302" i="7"/>
  <c r="BM302" i="7"/>
  <c r="BN302" i="7"/>
  <c r="BO302" i="7"/>
  <c r="BP302" i="7"/>
  <c r="BQ302" i="7"/>
  <c r="BR302" i="7"/>
  <c r="W418" i="7"/>
  <c r="X418" i="7"/>
  <c r="Y418" i="7"/>
  <c r="Z418" i="7"/>
  <c r="AA418" i="7"/>
  <c r="AB418" i="7"/>
  <c r="AC418" i="7"/>
  <c r="AD418" i="7"/>
  <c r="AE418" i="7"/>
  <c r="AF418" i="7"/>
  <c r="AG418" i="7"/>
  <c r="AH418" i="7"/>
  <c r="AI418" i="7"/>
  <c r="AJ418" i="7"/>
  <c r="AL418" i="7"/>
  <c r="AM418" i="7"/>
  <c r="AN418" i="7"/>
  <c r="AO418" i="7"/>
  <c r="AP418" i="7"/>
  <c r="AQ418" i="7"/>
  <c r="AR418" i="7"/>
  <c r="AS418" i="7"/>
  <c r="AT418" i="7"/>
  <c r="AU418" i="7"/>
  <c r="AV418" i="7"/>
  <c r="AW418" i="7"/>
  <c r="AX418" i="7"/>
  <c r="AY418" i="7"/>
  <c r="AZ418" i="7"/>
  <c r="BA418" i="7"/>
  <c r="BB418" i="7"/>
  <c r="BC418" i="7"/>
  <c r="BD418" i="7"/>
  <c r="BE418" i="7"/>
  <c r="BF418" i="7"/>
  <c r="BG418" i="7"/>
  <c r="BH418" i="7"/>
  <c r="BI418" i="7"/>
  <c r="BJ418" i="7"/>
  <c r="BK418" i="7"/>
  <c r="BL418" i="7"/>
  <c r="BM418" i="7"/>
  <c r="BN418" i="7"/>
  <c r="BO418" i="7"/>
  <c r="BP418" i="7"/>
  <c r="BQ418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K254" i="7"/>
  <c r="AL254" i="7"/>
  <c r="AM254" i="7"/>
  <c r="AN254" i="7"/>
  <c r="AO254" i="7"/>
  <c r="AP254" i="7"/>
  <c r="AQ254" i="7"/>
  <c r="AR254" i="7"/>
  <c r="AS254" i="7"/>
  <c r="AT254" i="7"/>
  <c r="AU254" i="7"/>
  <c r="AV254" i="7"/>
  <c r="AW254" i="7"/>
  <c r="AX254" i="7"/>
  <c r="AY254" i="7"/>
  <c r="AZ254" i="7"/>
  <c r="BA254" i="7"/>
  <c r="BB254" i="7"/>
  <c r="BC254" i="7"/>
  <c r="BD254" i="7"/>
  <c r="BE254" i="7"/>
  <c r="BF254" i="7"/>
  <c r="BG254" i="7"/>
  <c r="BH254" i="7"/>
  <c r="BI254" i="7"/>
  <c r="BJ254" i="7"/>
  <c r="BK254" i="7"/>
  <c r="BL254" i="7"/>
  <c r="BM254" i="7"/>
  <c r="BN254" i="7"/>
  <c r="BO254" i="7"/>
  <c r="BP254" i="7"/>
  <c r="BQ254" i="7"/>
  <c r="BR254" i="7"/>
  <c r="W419" i="7"/>
  <c r="X419" i="7"/>
  <c r="Y419" i="7"/>
  <c r="Z419" i="7"/>
  <c r="AA419" i="7"/>
  <c r="AB419" i="7"/>
  <c r="AC419" i="7"/>
  <c r="AD419" i="7"/>
  <c r="AE419" i="7"/>
  <c r="AF419" i="7"/>
  <c r="AG419" i="7"/>
  <c r="AH419" i="7"/>
  <c r="AI419" i="7"/>
  <c r="AJ419" i="7"/>
  <c r="AK419" i="7"/>
  <c r="AL419" i="7"/>
  <c r="AM419" i="7"/>
  <c r="AN419" i="7"/>
  <c r="AO419" i="7"/>
  <c r="AP419" i="7"/>
  <c r="AQ419" i="7"/>
  <c r="AR419" i="7"/>
  <c r="AS419" i="7"/>
  <c r="AT419" i="7"/>
  <c r="AU419" i="7"/>
  <c r="AV419" i="7"/>
  <c r="AW419" i="7"/>
  <c r="AX419" i="7"/>
  <c r="AY419" i="7"/>
  <c r="AZ419" i="7"/>
  <c r="BA419" i="7"/>
  <c r="BB419" i="7"/>
  <c r="BC419" i="7"/>
  <c r="BD419" i="7"/>
  <c r="BE419" i="7"/>
  <c r="BF419" i="7"/>
  <c r="BG419" i="7"/>
  <c r="BH419" i="7"/>
  <c r="BI419" i="7"/>
  <c r="BJ419" i="7"/>
  <c r="BK419" i="7"/>
  <c r="BL419" i="7"/>
  <c r="BM419" i="7"/>
  <c r="BN419" i="7"/>
  <c r="BO419" i="7"/>
  <c r="BP419" i="7"/>
  <c r="BQ419" i="7"/>
  <c r="BR419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AK303" i="7"/>
  <c r="AL303" i="7"/>
  <c r="AM303" i="7"/>
  <c r="AN303" i="7"/>
  <c r="AO303" i="7"/>
  <c r="AP303" i="7"/>
  <c r="AQ303" i="7"/>
  <c r="AR303" i="7"/>
  <c r="AS303" i="7"/>
  <c r="AT303" i="7"/>
  <c r="AU303" i="7"/>
  <c r="AV303" i="7"/>
  <c r="AW303" i="7"/>
  <c r="AX303" i="7"/>
  <c r="AY303" i="7"/>
  <c r="AZ303" i="7"/>
  <c r="BA303" i="7"/>
  <c r="BB303" i="7"/>
  <c r="BC303" i="7"/>
  <c r="BD303" i="7"/>
  <c r="BE303" i="7"/>
  <c r="BF303" i="7"/>
  <c r="BG303" i="7"/>
  <c r="BH303" i="7"/>
  <c r="BI303" i="7"/>
  <c r="BJ303" i="7"/>
  <c r="BK303" i="7"/>
  <c r="BL303" i="7"/>
  <c r="BM303" i="7"/>
  <c r="BN303" i="7"/>
  <c r="BO303" i="7"/>
  <c r="BP303" i="7"/>
  <c r="BQ303" i="7"/>
  <c r="BR303" i="7"/>
  <c r="W304" i="7"/>
  <c r="X304" i="7"/>
  <c r="Y304" i="7"/>
  <c r="Z304" i="7"/>
  <c r="AA304" i="7"/>
  <c r="AB304" i="7"/>
  <c r="AC304" i="7"/>
  <c r="AD304" i="7"/>
  <c r="AE304" i="7"/>
  <c r="AF304" i="7"/>
  <c r="AG304" i="7"/>
  <c r="AH304" i="7"/>
  <c r="AI304" i="7"/>
  <c r="AJ304" i="7"/>
  <c r="AK304" i="7"/>
  <c r="AL304" i="7"/>
  <c r="AM304" i="7"/>
  <c r="AN304" i="7"/>
  <c r="AO304" i="7"/>
  <c r="AP304" i="7"/>
  <c r="AQ304" i="7"/>
  <c r="AR304" i="7"/>
  <c r="AS304" i="7"/>
  <c r="AT304" i="7"/>
  <c r="AU304" i="7"/>
  <c r="AV304" i="7"/>
  <c r="AW304" i="7"/>
  <c r="AX304" i="7"/>
  <c r="AY304" i="7"/>
  <c r="AZ304" i="7"/>
  <c r="BA304" i="7"/>
  <c r="BB304" i="7"/>
  <c r="BC304" i="7"/>
  <c r="BD304" i="7"/>
  <c r="BE304" i="7"/>
  <c r="BF304" i="7"/>
  <c r="BG304" i="7"/>
  <c r="BH304" i="7"/>
  <c r="BI304" i="7"/>
  <c r="BJ304" i="7"/>
  <c r="BK304" i="7"/>
  <c r="BL304" i="7"/>
  <c r="BM304" i="7"/>
  <c r="BN304" i="7"/>
  <c r="BO304" i="7"/>
  <c r="BP304" i="7"/>
  <c r="BQ304" i="7"/>
  <c r="BR304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AN196" i="7"/>
  <c r="AO196" i="7"/>
  <c r="AP196" i="7"/>
  <c r="AQ196" i="7"/>
  <c r="AR196" i="7"/>
  <c r="AS196" i="7"/>
  <c r="AT196" i="7"/>
  <c r="AU196" i="7"/>
  <c r="AV196" i="7"/>
  <c r="AW196" i="7"/>
  <c r="AX196" i="7"/>
  <c r="AY196" i="7"/>
  <c r="AZ196" i="7"/>
  <c r="BA196" i="7"/>
  <c r="BB196" i="7"/>
  <c r="BC196" i="7"/>
  <c r="BD196" i="7"/>
  <c r="BE196" i="7"/>
  <c r="BF196" i="7"/>
  <c r="BG196" i="7"/>
  <c r="BH196" i="7"/>
  <c r="BI196" i="7"/>
  <c r="BJ196" i="7"/>
  <c r="BK196" i="7"/>
  <c r="BL196" i="7"/>
  <c r="BM196" i="7"/>
  <c r="BN196" i="7"/>
  <c r="BO196" i="7"/>
  <c r="BP196" i="7"/>
  <c r="BQ196" i="7"/>
  <c r="BR196" i="7"/>
  <c r="W489" i="7"/>
  <c r="X489" i="7"/>
  <c r="Y489" i="7"/>
  <c r="Z489" i="7"/>
  <c r="AA489" i="7"/>
  <c r="AB489" i="7"/>
  <c r="AC489" i="7"/>
  <c r="AD489" i="7"/>
  <c r="AE489" i="7"/>
  <c r="AF489" i="7"/>
  <c r="AG489" i="7"/>
  <c r="AH489" i="7"/>
  <c r="AI489" i="7"/>
  <c r="AJ489" i="7"/>
  <c r="AK489" i="7"/>
  <c r="AL489" i="7"/>
  <c r="AM489" i="7"/>
  <c r="AN489" i="7"/>
  <c r="AO489" i="7"/>
  <c r="AP489" i="7"/>
  <c r="AQ489" i="7"/>
  <c r="AR489" i="7"/>
  <c r="AS489" i="7"/>
  <c r="AT489" i="7"/>
  <c r="AU489" i="7"/>
  <c r="AV489" i="7"/>
  <c r="AW489" i="7"/>
  <c r="AX489" i="7"/>
  <c r="AY489" i="7"/>
  <c r="AZ489" i="7"/>
  <c r="BA489" i="7"/>
  <c r="BB489" i="7"/>
  <c r="BC489" i="7"/>
  <c r="BD489" i="7"/>
  <c r="BE489" i="7"/>
  <c r="BF489" i="7"/>
  <c r="BG489" i="7"/>
  <c r="BH489" i="7"/>
  <c r="BI489" i="7"/>
  <c r="BJ489" i="7"/>
  <c r="BK489" i="7"/>
  <c r="BL489" i="7"/>
  <c r="BM489" i="7"/>
  <c r="BN489" i="7"/>
  <c r="BO489" i="7"/>
  <c r="BP489" i="7"/>
  <c r="BQ489" i="7"/>
  <c r="BR489" i="7"/>
  <c r="W490" i="7"/>
  <c r="X490" i="7"/>
  <c r="Y490" i="7"/>
  <c r="Z490" i="7"/>
  <c r="AA490" i="7"/>
  <c r="AB490" i="7"/>
  <c r="AC490" i="7"/>
  <c r="AD490" i="7"/>
  <c r="AE490" i="7"/>
  <c r="AF490" i="7"/>
  <c r="AG490" i="7"/>
  <c r="AH490" i="7"/>
  <c r="AI490" i="7"/>
  <c r="AJ490" i="7"/>
  <c r="AK490" i="7"/>
  <c r="AL490" i="7"/>
  <c r="AM490" i="7"/>
  <c r="AN490" i="7"/>
  <c r="AO490" i="7"/>
  <c r="AP490" i="7"/>
  <c r="AQ490" i="7"/>
  <c r="AR490" i="7"/>
  <c r="AS490" i="7"/>
  <c r="AT490" i="7"/>
  <c r="AU490" i="7"/>
  <c r="AV490" i="7"/>
  <c r="AW490" i="7"/>
  <c r="AX490" i="7"/>
  <c r="AY490" i="7"/>
  <c r="AZ490" i="7"/>
  <c r="BA490" i="7"/>
  <c r="BB490" i="7"/>
  <c r="BC490" i="7"/>
  <c r="BD490" i="7"/>
  <c r="BE490" i="7"/>
  <c r="BF490" i="7"/>
  <c r="BG490" i="7"/>
  <c r="BH490" i="7"/>
  <c r="BI490" i="7"/>
  <c r="BJ490" i="7"/>
  <c r="BK490" i="7"/>
  <c r="BL490" i="7"/>
  <c r="BM490" i="7"/>
  <c r="BN490" i="7"/>
  <c r="BO490" i="7"/>
  <c r="BP490" i="7"/>
  <c r="BQ490" i="7"/>
  <c r="BR49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W305" i="7"/>
  <c r="X305" i="7"/>
  <c r="Y305" i="7"/>
  <c r="Z305" i="7"/>
  <c r="AA305" i="7"/>
  <c r="AB305" i="7"/>
  <c r="AC305" i="7"/>
  <c r="AD305" i="7"/>
  <c r="AE305" i="7"/>
  <c r="AF305" i="7"/>
  <c r="AG305" i="7"/>
  <c r="AH305" i="7"/>
  <c r="AI305" i="7"/>
  <c r="AJ305" i="7"/>
  <c r="AK305" i="7"/>
  <c r="AL305" i="7"/>
  <c r="AM305" i="7"/>
  <c r="AN305" i="7"/>
  <c r="AO305" i="7"/>
  <c r="AP305" i="7"/>
  <c r="AQ305" i="7"/>
  <c r="AR305" i="7"/>
  <c r="AS305" i="7"/>
  <c r="AT305" i="7"/>
  <c r="AU305" i="7"/>
  <c r="AV305" i="7"/>
  <c r="AW305" i="7"/>
  <c r="AX305" i="7"/>
  <c r="AY305" i="7"/>
  <c r="AZ305" i="7"/>
  <c r="BA305" i="7"/>
  <c r="BB305" i="7"/>
  <c r="BC305" i="7"/>
  <c r="BD305" i="7"/>
  <c r="BE305" i="7"/>
  <c r="BF305" i="7"/>
  <c r="BG305" i="7"/>
  <c r="BH305" i="7"/>
  <c r="BI305" i="7"/>
  <c r="BJ305" i="7"/>
  <c r="BK305" i="7"/>
  <c r="BL305" i="7"/>
  <c r="BM305" i="7"/>
  <c r="BN305" i="7"/>
  <c r="BO305" i="7"/>
  <c r="BP305" i="7"/>
  <c r="BQ305" i="7"/>
  <c r="BR305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AK306" i="7"/>
  <c r="AL306" i="7"/>
  <c r="AM306" i="7"/>
  <c r="AN306" i="7"/>
  <c r="AO306" i="7"/>
  <c r="AP306" i="7"/>
  <c r="AQ306" i="7"/>
  <c r="AR306" i="7"/>
  <c r="AS306" i="7"/>
  <c r="AT306" i="7"/>
  <c r="AU306" i="7"/>
  <c r="AV306" i="7"/>
  <c r="AW306" i="7"/>
  <c r="AX306" i="7"/>
  <c r="AY306" i="7"/>
  <c r="AZ306" i="7"/>
  <c r="BA306" i="7"/>
  <c r="BB306" i="7"/>
  <c r="BC306" i="7"/>
  <c r="BD306" i="7"/>
  <c r="BE306" i="7"/>
  <c r="BF306" i="7"/>
  <c r="BG306" i="7"/>
  <c r="BH306" i="7"/>
  <c r="BI306" i="7"/>
  <c r="BJ306" i="7"/>
  <c r="BK306" i="7"/>
  <c r="BL306" i="7"/>
  <c r="BM306" i="7"/>
  <c r="BN306" i="7"/>
  <c r="BO306" i="7"/>
  <c r="BP306" i="7"/>
  <c r="BQ306" i="7"/>
  <c r="BR306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AJ307" i="7"/>
  <c r="AK307" i="7"/>
  <c r="AL307" i="7"/>
  <c r="AM307" i="7"/>
  <c r="AN307" i="7"/>
  <c r="AO307" i="7"/>
  <c r="AP307" i="7"/>
  <c r="AQ307" i="7"/>
  <c r="AR307" i="7"/>
  <c r="AS307" i="7"/>
  <c r="AT307" i="7"/>
  <c r="AU307" i="7"/>
  <c r="AV307" i="7"/>
  <c r="AW307" i="7"/>
  <c r="AX307" i="7"/>
  <c r="AY307" i="7"/>
  <c r="AZ307" i="7"/>
  <c r="BA307" i="7"/>
  <c r="BB307" i="7"/>
  <c r="BC307" i="7"/>
  <c r="BD307" i="7"/>
  <c r="BE307" i="7"/>
  <c r="BF307" i="7"/>
  <c r="BG307" i="7"/>
  <c r="BH307" i="7"/>
  <c r="BI307" i="7"/>
  <c r="BJ307" i="7"/>
  <c r="BK307" i="7"/>
  <c r="BL307" i="7"/>
  <c r="BM307" i="7"/>
  <c r="BN307" i="7"/>
  <c r="BO307" i="7"/>
  <c r="BP307" i="7"/>
  <c r="BQ307" i="7"/>
  <c r="BR307" i="7"/>
  <c r="W420" i="7"/>
  <c r="X420" i="7"/>
  <c r="Y420" i="7"/>
  <c r="Z420" i="7"/>
  <c r="AA420" i="7"/>
  <c r="AB420" i="7"/>
  <c r="AC420" i="7"/>
  <c r="AD420" i="7"/>
  <c r="AE420" i="7"/>
  <c r="AF420" i="7"/>
  <c r="AG420" i="7"/>
  <c r="AH420" i="7"/>
  <c r="AI420" i="7"/>
  <c r="AJ420" i="7"/>
  <c r="AK420" i="7"/>
  <c r="AL420" i="7"/>
  <c r="AM420" i="7"/>
  <c r="AN420" i="7"/>
  <c r="AO420" i="7"/>
  <c r="AP420" i="7"/>
  <c r="AQ420" i="7"/>
  <c r="AR420" i="7"/>
  <c r="AS420" i="7"/>
  <c r="AT420" i="7"/>
  <c r="AU420" i="7"/>
  <c r="AV420" i="7"/>
  <c r="AW420" i="7"/>
  <c r="AX420" i="7"/>
  <c r="AY420" i="7"/>
  <c r="AZ420" i="7"/>
  <c r="BA420" i="7"/>
  <c r="BB420" i="7"/>
  <c r="BC420" i="7"/>
  <c r="BD420" i="7"/>
  <c r="BE420" i="7"/>
  <c r="BF420" i="7"/>
  <c r="BG420" i="7"/>
  <c r="BH420" i="7"/>
  <c r="BI420" i="7"/>
  <c r="BJ420" i="7"/>
  <c r="BK420" i="7"/>
  <c r="BL420" i="7"/>
  <c r="BM420" i="7"/>
  <c r="BN420" i="7"/>
  <c r="BO420" i="7"/>
  <c r="BP420" i="7"/>
  <c r="BQ420" i="7"/>
  <c r="BR420" i="7"/>
  <c r="W491" i="7"/>
  <c r="X491" i="7"/>
  <c r="Y491" i="7"/>
  <c r="Z491" i="7"/>
  <c r="AA491" i="7"/>
  <c r="AB491" i="7"/>
  <c r="AC491" i="7"/>
  <c r="AD491" i="7"/>
  <c r="AE491" i="7"/>
  <c r="AF491" i="7"/>
  <c r="AG491" i="7"/>
  <c r="AH491" i="7"/>
  <c r="AI491" i="7"/>
  <c r="AJ491" i="7"/>
  <c r="AK491" i="7"/>
  <c r="AL491" i="7"/>
  <c r="AM491" i="7"/>
  <c r="AN491" i="7"/>
  <c r="AO491" i="7"/>
  <c r="AP491" i="7"/>
  <c r="AQ491" i="7"/>
  <c r="AR491" i="7"/>
  <c r="AS491" i="7"/>
  <c r="AT491" i="7"/>
  <c r="AU491" i="7"/>
  <c r="AV491" i="7"/>
  <c r="AW491" i="7"/>
  <c r="AX491" i="7"/>
  <c r="AY491" i="7"/>
  <c r="AZ491" i="7"/>
  <c r="BA491" i="7"/>
  <c r="BB491" i="7"/>
  <c r="BC491" i="7"/>
  <c r="BD491" i="7"/>
  <c r="BE491" i="7"/>
  <c r="BF491" i="7"/>
  <c r="BG491" i="7"/>
  <c r="BH491" i="7"/>
  <c r="BI491" i="7"/>
  <c r="BJ491" i="7"/>
  <c r="BK491" i="7"/>
  <c r="BL491" i="7"/>
  <c r="BM491" i="7"/>
  <c r="BN491" i="7"/>
  <c r="BO491" i="7"/>
  <c r="BP491" i="7"/>
  <c r="BQ491" i="7"/>
  <c r="BR491" i="7"/>
  <c r="W492" i="7"/>
  <c r="X492" i="7"/>
  <c r="Y492" i="7"/>
  <c r="Z492" i="7"/>
  <c r="AA492" i="7"/>
  <c r="AB492" i="7"/>
  <c r="AC492" i="7"/>
  <c r="AD492" i="7"/>
  <c r="AE492" i="7"/>
  <c r="AF492" i="7"/>
  <c r="AG492" i="7"/>
  <c r="AH492" i="7"/>
  <c r="AI492" i="7"/>
  <c r="AJ492" i="7"/>
  <c r="AK492" i="7"/>
  <c r="AL492" i="7"/>
  <c r="AM492" i="7"/>
  <c r="AN492" i="7"/>
  <c r="AO492" i="7"/>
  <c r="AP492" i="7"/>
  <c r="AQ492" i="7"/>
  <c r="AR492" i="7"/>
  <c r="AS492" i="7"/>
  <c r="AT492" i="7"/>
  <c r="AU492" i="7"/>
  <c r="AV492" i="7"/>
  <c r="AW492" i="7"/>
  <c r="AX492" i="7"/>
  <c r="AY492" i="7"/>
  <c r="AZ492" i="7"/>
  <c r="BA492" i="7"/>
  <c r="BB492" i="7"/>
  <c r="BC492" i="7"/>
  <c r="BD492" i="7"/>
  <c r="BE492" i="7"/>
  <c r="BF492" i="7"/>
  <c r="BG492" i="7"/>
  <c r="BH492" i="7"/>
  <c r="BI492" i="7"/>
  <c r="BJ492" i="7"/>
  <c r="BK492" i="7"/>
  <c r="BL492" i="7"/>
  <c r="BM492" i="7"/>
  <c r="BN492" i="7"/>
  <c r="BO492" i="7"/>
  <c r="BP492" i="7"/>
  <c r="BQ492" i="7"/>
  <c r="BR492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L255" i="7"/>
  <c r="AM255" i="7"/>
  <c r="AN255" i="7"/>
  <c r="AO255" i="7"/>
  <c r="AP255" i="7"/>
  <c r="AQ255" i="7"/>
  <c r="AR255" i="7"/>
  <c r="AS255" i="7"/>
  <c r="AT255" i="7"/>
  <c r="AU255" i="7"/>
  <c r="AV255" i="7"/>
  <c r="AW255" i="7"/>
  <c r="AX255" i="7"/>
  <c r="AY255" i="7"/>
  <c r="AZ255" i="7"/>
  <c r="BA255" i="7"/>
  <c r="BB255" i="7"/>
  <c r="BC255" i="7"/>
  <c r="BD255" i="7"/>
  <c r="BE255" i="7"/>
  <c r="BF255" i="7"/>
  <c r="BG255" i="7"/>
  <c r="BH255" i="7"/>
  <c r="BI255" i="7"/>
  <c r="BJ255" i="7"/>
  <c r="BK255" i="7"/>
  <c r="BL255" i="7"/>
  <c r="BM255" i="7"/>
  <c r="BN255" i="7"/>
  <c r="BO255" i="7"/>
  <c r="BP255" i="7"/>
  <c r="BQ255" i="7"/>
  <c r="BR255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BI197" i="7"/>
  <c r="BJ197" i="7"/>
  <c r="BK197" i="7"/>
  <c r="BL197" i="7"/>
  <c r="BM197" i="7"/>
  <c r="BN197" i="7"/>
  <c r="BO197" i="7"/>
  <c r="BP197" i="7"/>
  <c r="BQ197" i="7"/>
  <c r="BR197" i="7"/>
  <c r="W421" i="7"/>
  <c r="X421" i="7"/>
  <c r="Y421" i="7"/>
  <c r="Z421" i="7"/>
  <c r="AA421" i="7"/>
  <c r="AB421" i="7"/>
  <c r="AC421" i="7"/>
  <c r="AD421" i="7"/>
  <c r="AE421" i="7"/>
  <c r="AF421" i="7"/>
  <c r="AG421" i="7"/>
  <c r="AH421" i="7"/>
  <c r="AI421" i="7"/>
  <c r="AJ421" i="7"/>
  <c r="AK421" i="7"/>
  <c r="AL421" i="7"/>
  <c r="AM421" i="7"/>
  <c r="AN421" i="7"/>
  <c r="AO421" i="7"/>
  <c r="AP421" i="7"/>
  <c r="AQ421" i="7"/>
  <c r="AR421" i="7"/>
  <c r="AS421" i="7"/>
  <c r="AT421" i="7"/>
  <c r="AU421" i="7"/>
  <c r="AV421" i="7"/>
  <c r="AW421" i="7"/>
  <c r="AX421" i="7"/>
  <c r="AY421" i="7"/>
  <c r="AZ421" i="7"/>
  <c r="BA421" i="7"/>
  <c r="BB421" i="7"/>
  <c r="BC421" i="7"/>
  <c r="BD421" i="7"/>
  <c r="BE421" i="7"/>
  <c r="BF421" i="7"/>
  <c r="BG421" i="7"/>
  <c r="BH421" i="7"/>
  <c r="BI421" i="7"/>
  <c r="BJ421" i="7"/>
  <c r="BK421" i="7"/>
  <c r="BL421" i="7"/>
  <c r="BM421" i="7"/>
  <c r="BN421" i="7"/>
  <c r="BO421" i="7"/>
  <c r="BP421" i="7"/>
  <c r="BQ421" i="7"/>
  <c r="BR421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K220" i="7"/>
  <c r="AL220" i="7"/>
  <c r="AM220" i="7"/>
  <c r="AN220" i="7"/>
  <c r="AO220" i="7"/>
  <c r="AP220" i="7"/>
  <c r="AQ220" i="7"/>
  <c r="AR220" i="7"/>
  <c r="AS220" i="7"/>
  <c r="AT220" i="7"/>
  <c r="AU220" i="7"/>
  <c r="AV220" i="7"/>
  <c r="AW220" i="7"/>
  <c r="AX220" i="7"/>
  <c r="AY220" i="7"/>
  <c r="AZ220" i="7"/>
  <c r="BA220" i="7"/>
  <c r="BB220" i="7"/>
  <c r="BC220" i="7"/>
  <c r="BD220" i="7"/>
  <c r="BE220" i="7"/>
  <c r="BF220" i="7"/>
  <c r="BG220" i="7"/>
  <c r="BH220" i="7"/>
  <c r="BI220" i="7"/>
  <c r="BJ220" i="7"/>
  <c r="BK220" i="7"/>
  <c r="BL220" i="7"/>
  <c r="BM220" i="7"/>
  <c r="BN220" i="7"/>
  <c r="BO220" i="7"/>
  <c r="BP220" i="7"/>
  <c r="BQ220" i="7"/>
  <c r="BR220" i="7"/>
  <c r="W493" i="7"/>
  <c r="X493" i="7"/>
  <c r="Y493" i="7"/>
  <c r="Z493" i="7"/>
  <c r="AA493" i="7"/>
  <c r="AB493" i="7"/>
  <c r="AC493" i="7"/>
  <c r="AD493" i="7"/>
  <c r="AE493" i="7"/>
  <c r="AF493" i="7"/>
  <c r="AG493" i="7"/>
  <c r="AH493" i="7"/>
  <c r="AI493" i="7"/>
  <c r="AJ493" i="7"/>
  <c r="AK493" i="7"/>
  <c r="AL493" i="7"/>
  <c r="AM493" i="7"/>
  <c r="AN493" i="7"/>
  <c r="AO493" i="7"/>
  <c r="AP493" i="7"/>
  <c r="AQ493" i="7"/>
  <c r="AR493" i="7"/>
  <c r="AS493" i="7"/>
  <c r="AT493" i="7"/>
  <c r="AU493" i="7"/>
  <c r="AV493" i="7"/>
  <c r="AW493" i="7"/>
  <c r="AX493" i="7"/>
  <c r="AY493" i="7"/>
  <c r="AZ493" i="7"/>
  <c r="BA493" i="7"/>
  <c r="BB493" i="7"/>
  <c r="BC493" i="7"/>
  <c r="BD493" i="7"/>
  <c r="BE493" i="7"/>
  <c r="BF493" i="7"/>
  <c r="BG493" i="7"/>
  <c r="BH493" i="7"/>
  <c r="BI493" i="7"/>
  <c r="BJ493" i="7"/>
  <c r="BK493" i="7"/>
  <c r="BL493" i="7"/>
  <c r="BM493" i="7"/>
  <c r="BN493" i="7"/>
  <c r="BO493" i="7"/>
  <c r="BP493" i="7"/>
  <c r="BQ493" i="7"/>
  <c r="BR493" i="7"/>
  <c r="W422" i="7"/>
  <c r="X422" i="7"/>
  <c r="Y422" i="7"/>
  <c r="Z422" i="7"/>
  <c r="AA422" i="7"/>
  <c r="AB422" i="7"/>
  <c r="AC422" i="7"/>
  <c r="AD422" i="7"/>
  <c r="AE422" i="7"/>
  <c r="AF422" i="7"/>
  <c r="AG422" i="7"/>
  <c r="AH422" i="7"/>
  <c r="AI422" i="7"/>
  <c r="AJ422" i="7"/>
  <c r="AK422" i="7"/>
  <c r="AL422" i="7"/>
  <c r="AM422" i="7"/>
  <c r="AN422" i="7"/>
  <c r="AO422" i="7"/>
  <c r="AP422" i="7"/>
  <c r="AQ422" i="7"/>
  <c r="AR422" i="7"/>
  <c r="AS422" i="7"/>
  <c r="AT422" i="7"/>
  <c r="AU422" i="7"/>
  <c r="AV422" i="7"/>
  <c r="AW422" i="7"/>
  <c r="AX422" i="7"/>
  <c r="AY422" i="7"/>
  <c r="AZ422" i="7"/>
  <c r="BA422" i="7"/>
  <c r="BB422" i="7"/>
  <c r="BC422" i="7"/>
  <c r="BD422" i="7"/>
  <c r="BE422" i="7"/>
  <c r="BF422" i="7"/>
  <c r="BG422" i="7"/>
  <c r="BH422" i="7"/>
  <c r="BI422" i="7"/>
  <c r="BJ422" i="7"/>
  <c r="BK422" i="7"/>
  <c r="BL422" i="7"/>
  <c r="BM422" i="7"/>
  <c r="BN422" i="7"/>
  <c r="BO422" i="7"/>
  <c r="BP422" i="7"/>
  <c r="BQ422" i="7"/>
  <c r="BR422" i="7"/>
  <c r="W494" i="7"/>
  <c r="X494" i="7"/>
  <c r="Y494" i="7"/>
  <c r="Z494" i="7"/>
  <c r="AA494" i="7"/>
  <c r="AB494" i="7"/>
  <c r="AC494" i="7"/>
  <c r="AD494" i="7"/>
  <c r="AE494" i="7"/>
  <c r="AF494" i="7"/>
  <c r="AG494" i="7"/>
  <c r="AH494" i="7"/>
  <c r="AI494" i="7"/>
  <c r="AJ494" i="7"/>
  <c r="AK494" i="7"/>
  <c r="AL494" i="7"/>
  <c r="AM494" i="7"/>
  <c r="AN494" i="7"/>
  <c r="AO494" i="7"/>
  <c r="AP494" i="7"/>
  <c r="AQ494" i="7"/>
  <c r="AR494" i="7"/>
  <c r="AS494" i="7"/>
  <c r="AT494" i="7"/>
  <c r="AU494" i="7"/>
  <c r="AV494" i="7"/>
  <c r="AW494" i="7"/>
  <c r="AX494" i="7"/>
  <c r="AY494" i="7"/>
  <c r="AZ494" i="7"/>
  <c r="BA494" i="7"/>
  <c r="BB494" i="7"/>
  <c r="BC494" i="7"/>
  <c r="BD494" i="7"/>
  <c r="BE494" i="7"/>
  <c r="BF494" i="7"/>
  <c r="BG494" i="7"/>
  <c r="BH494" i="7"/>
  <c r="BI494" i="7"/>
  <c r="BJ494" i="7"/>
  <c r="BK494" i="7"/>
  <c r="BL494" i="7"/>
  <c r="BM494" i="7"/>
  <c r="BN494" i="7"/>
  <c r="BO494" i="7"/>
  <c r="BP494" i="7"/>
  <c r="BQ494" i="7"/>
  <c r="BR494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K221" i="7"/>
  <c r="AL221" i="7"/>
  <c r="AM221" i="7"/>
  <c r="AN221" i="7"/>
  <c r="AO221" i="7"/>
  <c r="AP221" i="7"/>
  <c r="AQ221" i="7"/>
  <c r="AR221" i="7"/>
  <c r="AS221" i="7"/>
  <c r="AT221" i="7"/>
  <c r="AU221" i="7"/>
  <c r="AV221" i="7"/>
  <c r="AW221" i="7"/>
  <c r="AX221" i="7"/>
  <c r="AY221" i="7"/>
  <c r="AZ221" i="7"/>
  <c r="BA221" i="7"/>
  <c r="BB221" i="7"/>
  <c r="BC221" i="7"/>
  <c r="BD221" i="7"/>
  <c r="BE221" i="7"/>
  <c r="BF221" i="7"/>
  <c r="BG221" i="7"/>
  <c r="BH221" i="7"/>
  <c r="BI221" i="7"/>
  <c r="BJ221" i="7"/>
  <c r="BK221" i="7"/>
  <c r="BL221" i="7"/>
  <c r="BM221" i="7"/>
  <c r="BN221" i="7"/>
  <c r="BO221" i="7"/>
  <c r="BP221" i="7"/>
  <c r="BQ221" i="7"/>
  <c r="BR221" i="7"/>
  <c r="W495" i="7"/>
  <c r="X495" i="7"/>
  <c r="Y495" i="7"/>
  <c r="Z495" i="7"/>
  <c r="AA495" i="7"/>
  <c r="AB495" i="7"/>
  <c r="AC495" i="7"/>
  <c r="AD495" i="7"/>
  <c r="AE495" i="7"/>
  <c r="AF495" i="7"/>
  <c r="AG495" i="7"/>
  <c r="AH495" i="7"/>
  <c r="AI495" i="7"/>
  <c r="AJ495" i="7"/>
  <c r="AK495" i="7"/>
  <c r="AL495" i="7"/>
  <c r="AM495" i="7"/>
  <c r="AN495" i="7"/>
  <c r="AO495" i="7"/>
  <c r="AP495" i="7"/>
  <c r="AQ495" i="7"/>
  <c r="AR495" i="7"/>
  <c r="AS495" i="7"/>
  <c r="AT495" i="7"/>
  <c r="AU495" i="7"/>
  <c r="AV495" i="7"/>
  <c r="AW495" i="7"/>
  <c r="AX495" i="7"/>
  <c r="AY495" i="7"/>
  <c r="AZ495" i="7"/>
  <c r="BA495" i="7"/>
  <c r="BB495" i="7"/>
  <c r="BC495" i="7"/>
  <c r="BD495" i="7"/>
  <c r="BE495" i="7"/>
  <c r="BF495" i="7"/>
  <c r="BG495" i="7"/>
  <c r="BH495" i="7"/>
  <c r="BI495" i="7"/>
  <c r="BJ495" i="7"/>
  <c r="BK495" i="7"/>
  <c r="BL495" i="7"/>
  <c r="BM495" i="7"/>
  <c r="BN495" i="7"/>
  <c r="BO495" i="7"/>
  <c r="BP495" i="7"/>
  <c r="BQ495" i="7"/>
  <c r="BR495" i="7"/>
  <c r="W423" i="7"/>
  <c r="X423" i="7"/>
  <c r="Y423" i="7"/>
  <c r="Z423" i="7"/>
  <c r="AA423" i="7"/>
  <c r="AB423" i="7"/>
  <c r="AC423" i="7"/>
  <c r="AD423" i="7"/>
  <c r="AE423" i="7"/>
  <c r="AF423" i="7"/>
  <c r="AG423" i="7"/>
  <c r="AH423" i="7"/>
  <c r="AI423" i="7"/>
  <c r="AJ423" i="7"/>
  <c r="AK423" i="7"/>
  <c r="AL423" i="7"/>
  <c r="AM423" i="7"/>
  <c r="AN423" i="7"/>
  <c r="AO423" i="7"/>
  <c r="AP423" i="7"/>
  <c r="AQ423" i="7"/>
  <c r="AR423" i="7"/>
  <c r="AS423" i="7"/>
  <c r="AT423" i="7"/>
  <c r="AU423" i="7"/>
  <c r="AV423" i="7"/>
  <c r="AW423" i="7"/>
  <c r="AX423" i="7"/>
  <c r="AY423" i="7"/>
  <c r="AZ423" i="7"/>
  <c r="BA423" i="7"/>
  <c r="BB423" i="7"/>
  <c r="BC423" i="7"/>
  <c r="BD423" i="7"/>
  <c r="BE423" i="7"/>
  <c r="BF423" i="7"/>
  <c r="BG423" i="7"/>
  <c r="BH423" i="7"/>
  <c r="BI423" i="7"/>
  <c r="BJ423" i="7"/>
  <c r="BK423" i="7"/>
  <c r="BL423" i="7"/>
  <c r="BM423" i="7"/>
  <c r="BN423" i="7"/>
  <c r="BO423" i="7"/>
  <c r="BP423" i="7"/>
  <c r="BQ423" i="7"/>
  <c r="BR423" i="7"/>
  <c r="W496" i="7"/>
  <c r="X496" i="7"/>
  <c r="Y496" i="7"/>
  <c r="Z496" i="7"/>
  <c r="AA496" i="7"/>
  <c r="AB496" i="7"/>
  <c r="AC496" i="7"/>
  <c r="AD496" i="7"/>
  <c r="AE496" i="7"/>
  <c r="AF496" i="7"/>
  <c r="AG496" i="7"/>
  <c r="AH496" i="7"/>
  <c r="AI496" i="7"/>
  <c r="AJ496" i="7"/>
  <c r="AK496" i="7"/>
  <c r="AL496" i="7"/>
  <c r="AM496" i="7"/>
  <c r="AN496" i="7"/>
  <c r="AO496" i="7"/>
  <c r="AP496" i="7"/>
  <c r="AQ496" i="7"/>
  <c r="AR496" i="7"/>
  <c r="AS496" i="7"/>
  <c r="AT496" i="7"/>
  <c r="AU496" i="7"/>
  <c r="AV496" i="7"/>
  <c r="AW496" i="7"/>
  <c r="AX496" i="7"/>
  <c r="AY496" i="7"/>
  <c r="AZ496" i="7"/>
  <c r="BA496" i="7"/>
  <c r="BB496" i="7"/>
  <c r="BC496" i="7"/>
  <c r="BD496" i="7"/>
  <c r="BE496" i="7"/>
  <c r="BF496" i="7"/>
  <c r="BG496" i="7"/>
  <c r="BH496" i="7"/>
  <c r="BI496" i="7"/>
  <c r="BJ496" i="7"/>
  <c r="BK496" i="7"/>
  <c r="BL496" i="7"/>
  <c r="BM496" i="7"/>
  <c r="BN496" i="7"/>
  <c r="BO496" i="7"/>
  <c r="BP496" i="7"/>
  <c r="BQ496" i="7"/>
  <c r="BR496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AN181" i="7"/>
  <c r="AO181" i="7"/>
  <c r="AP181" i="7"/>
  <c r="AQ181" i="7"/>
  <c r="AR181" i="7"/>
  <c r="AS181" i="7"/>
  <c r="AT181" i="7"/>
  <c r="AU181" i="7"/>
  <c r="AV181" i="7"/>
  <c r="AW181" i="7"/>
  <c r="AX181" i="7"/>
  <c r="AY181" i="7"/>
  <c r="AZ181" i="7"/>
  <c r="BA181" i="7"/>
  <c r="BB181" i="7"/>
  <c r="BC181" i="7"/>
  <c r="BD181" i="7"/>
  <c r="BE181" i="7"/>
  <c r="BF181" i="7"/>
  <c r="BG181" i="7"/>
  <c r="BH181" i="7"/>
  <c r="BI181" i="7"/>
  <c r="BJ181" i="7"/>
  <c r="BK181" i="7"/>
  <c r="BL181" i="7"/>
  <c r="BM181" i="7"/>
  <c r="BN181" i="7"/>
  <c r="BO181" i="7"/>
  <c r="BP181" i="7"/>
  <c r="BQ181" i="7"/>
  <c r="BR181" i="7"/>
  <c r="W497" i="7"/>
  <c r="X497" i="7"/>
  <c r="Y497" i="7"/>
  <c r="Z497" i="7"/>
  <c r="AA497" i="7"/>
  <c r="AB497" i="7"/>
  <c r="AC497" i="7"/>
  <c r="AD497" i="7"/>
  <c r="AE497" i="7"/>
  <c r="AF497" i="7"/>
  <c r="AG497" i="7"/>
  <c r="AH497" i="7"/>
  <c r="AI497" i="7"/>
  <c r="AJ497" i="7"/>
  <c r="AK497" i="7"/>
  <c r="AL497" i="7"/>
  <c r="AM497" i="7"/>
  <c r="AN497" i="7"/>
  <c r="AO497" i="7"/>
  <c r="AP497" i="7"/>
  <c r="AQ497" i="7"/>
  <c r="AR497" i="7"/>
  <c r="AS497" i="7"/>
  <c r="AT497" i="7"/>
  <c r="AU497" i="7"/>
  <c r="AV497" i="7"/>
  <c r="AW497" i="7"/>
  <c r="AX497" i="7"/>
  <c r="AY497" i="7"/>
  <c r="AZ497" i="7"/>
  <c r="BA497" i="7"/>
  <c r="BB497" i="7"/>
  <c r="BC497" i="7"/>
  <c r="BD497" i="7"/>
  <c r="BE497" i="7"/>
  <c r="BF497" i="7"/>
  <c r="BG497" i="7"/>
  <c r="BH497" i="7"/>
  <c r="BI497" i="7"/>
  <c r="BJ497" i="7"/>
  <c r="BK497" i="7"/>
  <c r="BL497" i="7"/>
  <c r="BM497" i="7"/>
  <c r="BN497" i="7"/>
  <c r="BO497" i="7"/>
  <c r="BP497" i="7"/>
  <c r="BQ497" i="7"/>
  <c r="BR497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AK308" i="7"/>
  <c r="AL308" i="7"/>
  <c r="AM308" i="7"/>
  <c r="AN308" i="7"/>
  <c r="AO308" i="7"/>
  <c r="AP308" i="7"/>
  <c r="AQ308" i="7"/>
  <c r="AR308" i="7"/>
  <c r="AS308" i="7"/>
  <c r="AT308" i="7"/>
  <c r="AU308" i="7"/>
  <c r="AV308" i="7"/>
  <c r="AW308" i="7"/>
  <c r="AX308" i="7"/>
  <c r="AY308" i="7"/>
  <c r="AZ308" i="7"/>
  <c r="BA308" i="7"/>
  <c r="BB308" i="7"/>
  <c r="BC308" i="7"/>
  <c r="BD308" i="7"/>
  <c r="BE308" i="7"/>
  <c r="BF308" i="7"/>
  <c r="BG308" i="7"/>
  <c r="BH308" i="7"/>
  <c r="BI308" i="7"/>
  <c r="BJ308" i="7"/>
  <c r="BK308" i="7"/>
  <c r="BL308" i="7"/>
  <c r="BM308" i="7"/>
  <c r="BN308" i="7"/>
  <c r="BO308" i="7"/>
  <c r="BP308" i="7"/>
  <c r="BQ308" i="7"/>
  <c r="BR308" i="7"/>
  <c r="W424" i="7"/>
  <c r="X424" i="7"/>
  <c r="Y424" i="7"/>
  <c r="Z424" i="7"/>
  <c r="AA424" i="7"/>
  <c r="AB424" i="7"/>
  <c r="AC424" i="7"/>
  <c r="AD424" i="7"/>
  <c r="AE424" i="7"/>
  <c r="AF424" i="7"/>
  <c r="AG424" i="7"/>
  <c r="AH424" i="7"/>
  <c r="AI424" i="7"/>
  <c r="AJ424" i="7"/>
  <c r="AK424" i="7"/>
  <c r="AL424" i="7"/>
  <c r="AM424" i="7"/>
  <c r="AN424" i="7"/>
  <c r="AO424" i="7"/>
  <c r="AP424" i="7"/>
  <c r="AQ424" i="7"/>
  <c r="AR424" i="7"/>
  <c r="AS424" i="7"/>
  <c r="AT424" i="7"/>
  <c r="AU424" i="7"/>
  <c r="AV424" i="7"/>
  <c r="AW424" i="7"/>
  <c r="AX424" i="7"/>
  <c r="AY424" i="7"/>
  <c r="AZ424" i="7"/>
  <c r="BA424" i="7"/>
  <c r="BB424" i="7"/>
  <c r="BC424" i="7"/>
  <c r="BD424" i="7"/>
  <c r="BE424" i="7"/>
  <c r="BF424" i="7"/>
  <c r="BG424" i="7"/>
  <c r="BH424" i="7"/>
  <c r="BI424" i="7"/>
  <c r="BJ424" i="7"/>
  <c r="BK424" i="7"/>
  <c r="BL424" i="7"/>
  <c r="BM424" i="7"/>
  <c r="BN424" i="7"/>
  <c r="BO424" i="7"/>
  <c r="BP424" i="7"/>
  <c r="BQ424" i="7"/>
  <c r="BR424" i="7"/>
  <c r="W425" i="7"/>
  <c r="X425" i="7"/>
  <c r="Y425" i="7"/>
  <c r="Z425" i="7"/>
  <c r="AA425" i="7"/>
  <c r="AB425" i="7"/>
  <c r="AC425" i="7"/>
  <c r="AD425" i="7"/>
  <c r="AE425" i="7"/>
  <c r="AF425" i="7"/>
  <c r="AG425" i="7"/>
  <c r="AH425" i="7"/>
  <c r="AI425" i="7"/>
  <c r="AJ425" i="7"/>
  <c r="AK425" i="7"/>
  <c r="AL425" i="7"/>
  <c r="AM425" i="7"/>
  <c r="AN425" i="7"/>
  <c r="AO425" i="7"/>
  <c r="AP425" i="7"/>
  <c r="AQ425" i="7"/>
  <c r="AR425" i="7"/>
  <c r="AS425" i="7"/>
  <c r="AT425" i="7"/>
  <c r="AU425" i="7"/>
  <c r="AV425" i="7"/>
  <c r="AW425" i="7"/>
  <c r="AX425" i="7"/>
  <c r="AY425" i="7"/>
  <c r="AZ425" i="7"/>
  <c r="BA425" i="7"/>
  <c r="BB425" i="7"/>
  <c r="BC425" i="7"/>
  <c r="BD425" i="7"/>
  <c r="BE425" i="7"/>
  <c r="BF425" i="7"/>
  <c r="BG425" i="7"/>
  <c r="BH425" i="7"/>
  <c r="BI425" i="7"/>
  <c r="BJ425" i="7"/>
  <c r="BK425" i="7"/>
  <c r="BL425" i="7"/>
  <c r="BM425" i="7"/>
  <c r="BN425" i="7"/>
  <c r="BO425" i="7"/>
  <c r="BP425" i="7"/>
  <c r="BQ425" i="7"/>
  <c r="BR425" i="7"/>
  <c r="W498" i="7"/>
  <c r="X498" i="7"/>
  <c r="Y498" i="7"/>
  <c r="Z498" i="7"/>
  <c r="AA498" i="7"/>
  <c r="AB498" i="7"/>
  <c r="AC498" i="7"/>
  <c r="AD498" i="7"/>
  <c r="AE498" i="7"/>
  <c r="AF498" i="7"/>
  <c r="AG498" i="7"/>
  <c r="AH498" i="7"/>
  <c r="AI498" i="7"/>
  <c r="AJ498" i="7"/>
  <c r="AK498" i="7"/>
  <c r="AL498" i="7"/>
  <c r="AM498" i="7"/>
  <c r="AN498" i="7"/>
  <c r="AO498" i="7"/>
  <c r="AP498" i="7"/>
  <c r="AQ498" i="7"/>
  <c r="AR498" i="7"/>
  <c r="AS498" i="7"/>
  <c r="AT498" i="7"/>
  <c r="AU498" i="7"/>
  <c r="AV498" i="7"/>
  <c r="AW498" i="7"/>
  <c r="AX498" i="7"/>
  <c r="AY498" i="7"/>
  <c r="AZ498" i="7"/>
  <c r="BA498" i="7"/>
  <c r="BB498" i="7"/>
  <c r="BC498" i="7"/>
  <c r="BD498" i="7"/>
  <c r="BE498" i="7"/>
  <c r="BF498" i="7"/>
  <c r="BG498" i="7"/>
  <c r="BH498" i="7"/>
  <c r="BI498" i="7"/>
  <c r="BJ498" i="7"/>
  <c r="BK498" i="7"/>
  <c r="BL498" i="7"/>
  <c r="BM498" i="7"/>
  <c r="BN498" i="7"/>
  <c r="BO498" i="7"/>
  <c r="BP498" i="7"/>
  <c r="BQ498" i="7"/>
  <c r="BR498" i="7"/>
  <c r="W499" i="7"/>
  <c r="X499" i="7"/>
  <c r="Y499" i="7"/>
  <c r="Z499" i="7"/>
  <c r="AA499" i="7"/>
  <c r="AB499" i="7"/>
  <c r="AC499" i="7"/>
  <c r="AD499" i="7"/>
  <c r="AE499" i="7"/>
  <c r="AF499" i="7"/>
  <c r="AG499" i="7"/>
  <c r="AH499" i="7"/>
  <c r="AI499" i="7"/>
  <c r="AJ499" i="7"/>
  <c r="AK499" i="7"/>
  <c r="AL499" i="7"/>
  <c r="AM499" i="7"/>
  <c r="AN499" i="7"/>
  <c r="AO499" i="7"/>
  <c r="AP499" i="7"/>
  <c r="AQ499" i="7"/>
  <c r="AR499" i="7"/>
  <c r="AS499" i="7"/>
  <c r="AT499" i="7"/>
  <c r="AU499" i="7"/>
  <c r="AV499" i="7"/>
  <c r="AW499" i="7"/>
  <c r="AX499" i="7"/>
  <c r="AY499" i="7"/>
  <c r="AZ499" i="7"/>
  <c r="BA499" i="7"/>
  <c r="BB499" i="7"/>
  <c r="BC499" i="7"/>
  <c r="BD499" i="7"/>
  <c r="BE499" i="7"/>
  <c r="BF499" i="7"/>
  <c r="BG499" i="7"/>
  <c r="BH499" i="7"/>
  <c r="BI499" i="7"/>
  <c r="BJ499" i="7"/>
  <c r="BK499" i="7"/>
  <c r="BL499" i="7"/>
  <c r="BM499" i="7"/>
  <c r="BN499" i="7"/>
  <c r="BO499" i="7"/>
  <c r="BP499" i="7"/>
  <c r="BQ499" i="7"/>
  <c r="BR499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L182" i="7"/>
  <c r="BM182" i="7"/>
  <c r="BN182" i="7"/>
  <c r="BO182" i="7"/>
  <c r="BP182" i="7"/>
  <c r="BQ182" i="7"/>
  <c r="BR182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AJ256" i="7"/>
  <c r="AK256" i="7"/>
  <c r="AL256" i="7"/>
  <c r="AM256" i="7"/>
  <c r="AN256" i="7"/>
  <c r="AO256" i="7"/>
  <c r="AP256" i="7"/>
  <c r="AQ256" i="7"/>
  <c r="AR256" i="7"/>
  <c r="AS256" i="7"/>
  <c r="AT256" i="7"/>
  <c r="AU256" i="7"/>
  <c r="AV256" i="7"/>
  <c r="AW256" i="7"/>
  <c r="AX256" i="7"/>
  <c r="AY256" i="7"/>
  <c r="AZ256" i="7"/>
  <c r="BA256" i="7"/>
  <c r="BB256" i="7"/>
  <c r="BC256" i="7"/>
  <c r="BD256" i="7"/>
  <c r="BE256" i="7"/>
  <c r="BF256" i="7"/>
  <c r="BG256" i="7"/>
  <c r="BH256" i="7"/>
  <c r="BI256" i="7"/>
  <c r="BJ256" i="7"/>
  <c r="BK256" i="7"/>
  <c r="BL256" i="7"/>
  <c r="BM256" i="7"/>
  <c r="BN256" i="7"/>
  <c r="BO256" i="7"/>
  <c r="BP256" i="7"/>
  <c r="BQ256" i="7"/>
  <c r="BR256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K222" i="7"/>
  <c r="AL222" i="7"/>
  <c r="AM222" i="7"/>
  <c r="AN222" i="7"/>
  <c r="AO222" i="7"/>
  <c r="AP222" i="7"/>
  <c r="AQ222" i="7"/>
  <c r="AR222" i="7"/>
  <c r="AS222" i="7"/>
  <c r="AT222" i="7"/>
  <c r="AU222" i="7"/>
  <c r="AV222" i="7"/>
  <c r="AW222" i="7"/>
  <c r="AX222" i="7"/>
  <c r="AY222" i="7"/>
  <c r="AZ222" i="7"/>
  <c r="BA222" i="7"/>
  <c r="BB222" i="7"/>
  <c r="BC222" i="7"/>
  <c r="BD222" i="7"/>
  <c r="BE222" i="7"/>
  <c r="BF222" i="7"/>
  <c r="BG222" i="7"/>
  <c r="BH222" i="7"/>
  <c r="BI222" i="7"/>
  <c r="BJ222" i="7"/>
  <c r="BK222" i="7"/>
  <c r="BL222" i="7"/>
  <c r="BM222" i="7"/>
  <c r="BN222" i="7"/>
  <c r="BO222" i="7"/>
  <c r="BP222" i="7"/>
  <c r="BQ222" i="7"/>
  <c r="BR222" i="7"/>
  <c r="W426" i="7"/>
  <c r="X426" i="7"/>
  <c r="Y426" i="7"/>
  <c r="Z426" i="7"/>
  <c r="AA426" i="7"/>
  <c r="AB426" i="7"/>
  <c r="AC426" i="7"/>
  <c r="AD426" i="7"/>
  <c r="AE426" i="7"/>
  <c r="AF426" i="7"/>
  <c r="AG426" i="7"/>
  <c r="AH426" i="7"/>
  <c r="AI426" i="7"/>
  <c r="AJ426" i="7"/>
  <c r="AM426" i="7"/>
  <c r="AN426" i="7"/>
  <c r="AO426" i="7"/>
  <c r="AP426" i="7"/>
  <c r="AQ426" i="7"/>
  <c r="AR426" i="7"/>
  <c r="AS426" i="7"/>
  <c r="AT426" i="7"/>
  <c r="AU426" i="7"/>
  <c r="AV426" i="7"/>
  <c r="AW426" i="7"/>
  <c r="AX426" i="7"/>
  <c r="AY426" i="7"/>
  <c r="AZ426" i="7"/>
  <c r="BA426" i="7"/>
  <c r="BB426" i="7"/>
  <c r="BC426" i="7"/>
  <c r="BD426" i="7"/>
  <c r="BE426" i="7"/>
  <c r="BF426" i="7"/>
  <c r="BG426" i="7"/>
  <c r="BH426" i="7"/>
  <c r="BI426" i="7"/>
  <c r="BJ426" i="7"/>
  <c r="BK426" i="7"/>
  <c r="BL426" i="7"/>
  <c r="BM426" i="7"/>
  <c r="BN426" i="7"/>
  <c r="BO426" i="7"/>
  <c r="BP426" i="7"/>
  <c r="BQ426" i="7"/>
  <c r="BR426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BI162" i="7"/>
  <c r="BJ162" i="7"/>
  <c r="BK162" i="7"/>
  <c r="BL162" i="7"/>
  <c r="BM162" i="7"/>
  <c r="BN162" i="7"/>
  <c r="BO162" i="7"/>
  <c r="BP162" i="7"/>
  <c r="BQ162" i="7"/>
  <c r="W427" i="7"/>
  <c r="X427" i="7"/>
  <c r="Y427" i="7"/>
  <c r="Z427" i="7"/>
  <c r="AA427" i="7"/>
  <c r="AB427" i="7"/>
  <c r="AC427" i="7"/>
  <c r="AD427" i="7"/>
  <c r="AE427" i="7"/>
  <c r="AF427" i="7"/>
  <c r="AG427" i="7"/>
  <c r="AH427" i="7"/>
  <c r="AI427" i="7"/>
  <c r="AJ427" i="7"/>
  <c r="AK427" i="7"/>
  <c r="AL427" i="7"/>
  <c r="AM427" i="7"/>
  <c r="AN427" i="7"/>
  <c r="AO427" i="7"/>
  <c r="AP427" i="7"/>
  <c r="AQ427" i="7"/>
  <c r="AR427" i="7"/>
  <c r="AS427" i="7"/>
  <c r="AT427" i="7"/>
  <c r="AU427" i="7"/>
  <c r="AV427" i="7"/>
  <c r="AW427" i="7"/>
  <c r="AX427" i="7"/>
  <c r="AY427" i="7"/>
  <c r="AZ427" i="7"/>
  <c r="BA427" i="7"/>
  <c r="BB427" i="7"/>
  <c r="BC427" i="7"/>
  <c r="BD427" i="7"/>
  <c r="BE427" i="7"/>
  <c r="BF427" i="7"/>
  <c r="BG427" i="7"/>
  <c r="BH427" i="7"/>
  <c r="BI427" i="7"/>
  <c r="BJ427" i="7"/>
  <c r="BK427" i="7"/>
  <c r="BL427" i="7"/>
  <c r="BM427" i="7"/>
  <c r="BN427" i="7"/>
  <c r="BO427" i="7"/>
  <c r="BP427" i="7"/>
  <c r="BQ427" i="7"/>
  <c r="BR427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AK309" i="7"/>
  <c r="AL309" i="7"/>
  <c r="AM309" i="7"/>
  <c r="AN309" i="7"/>
  <c r="AO309" i="7"/>
  <c r="AP309" i="7"/>
  <c r="AQ309" i="7"/>
  <c r="AR309" i="7"/>
  <c r="AS309" i="7"/>
  <c r="AT309" i="7"/>
  <c r="AU309" i="7"/>
  <c r="AV309" i="7"/>
  <c r="AW309" i="7"/>
  <c r="AX309" i="7"/>
  <c r="AY309" i="7"/>
  <c r="AZ309" i="7"/>
  <c r="BA309" i="7"/>
  <c r="BB309" i="7"/>
  <c r="BC309" i="7"/>
  <c r="BD309" i="7"/>
  <c r="BE309" i="7"/>
  <c r="BF309" i="7"/>
  <c r="BG309" i="7"/>
  <c r="BH309" i="7"/>
  <c r="BI309" i="7"/>
  <c r="BJ309" i="7"/>
  <c r="BK309" i="7"/>
  <c r="BL309" i="7"/>
  <c r="BM309" i="7"/>
  <c r="BN309" i="7"/>
  <c r="BO309" i="7"/>
  <c r="BP309" i="7"/>
  <c r="BQ309" i="7"/>
  <c r="BR309" i="7"/>
  <c r="W428" i="7"/>
  <c r="X428" i="7"/>
  <c r="Y428" i="7"/>
  <c r="Z428" i="7"/>
  <c r="AA428" i="7"/>
  <c r="AB428" i="7"/>
  <c r="AC428" i="7"/>
  <c r="AD428" i="7"/>
  <c r="AE428" i="7"/>
  <c r="AF428" i="7"/>
  <c r="AG428" i="7"/>
  <c r="AH428" i="7"/>
  <c r="AI428" i="7"/>
  <c r="AJ428" i="7"/>
  <c r="AK428" i="7"/>
  <c r="AL428" i="7"/>
  <c r="AM428" i="7"/>
  <c r="AN428" i="7"/>
  <c r="AO428" i="7"/>
  <c r="AP428" i="7"/>
  <c r="AQ428" i="7"/>
  <c r="AR428" i="7"/>
  <c r="AS428" i="7"/>
  <c r="AT428" i="7"/>
  <c r="AU428" i="7"/>
  <c r="AV428" i="7"/>
  <c r="AW428" i="7"/>
  <c r="AX428" i="7"/>
  <c r="AY428" i="7"/>
  <c r="AZ428" i="7"/>
  <c r="BA428" i="7"/>
  <c r="BB428" i="7"/>
  <c r="BC428" i="7"/>
  <c r="BD428" i="7"/>
  <c r="BE428" i="7"/>
  <c r="BF428" i="7"/>
  <c r="BG428" i="7"/>
  <c r="BH428" i="7"/>
  <c r="BI428" i="7"/>
  <c r="BJ428" i="7"/>
  <c r="BK428" i="7"/>
  <c r="BL428" i="7"/>
  <c r="BM428" i="7"/>
  <c r="BN428" i="7"/>
  <c r="BO428" i="7"/>
  <c r="BP428" i="7"/>
  <c r="BQ428" i="7"/>
  <c r="BR428" i="7"/>
  <c r="W429" i="7"/>
  <c r="X429" i="7"/>
  <c r="Y429" i="7"/>
  <c r="Z429" i="7"/>
  <c r="AA429" i="7"/>
  <c r="AB429" i="7"/>
  <c r="AC429" i="7"/>
  <c r="AD429" i="7"/>
  <c r="AE429" i="7"/>
  <c r="AF429" i="7"/>
  <c r="AG429" i="7"/>
  <c r="AH429" i="7"/>
  <c r="AI429" i="7"/>
  <c r="AJ429" i="7"/>
  <c r="AK429" i="7"/>
  <c r="AL429" i="7"/>
  <c r="AM429" i="7"/>
  <c r="AN429" i="7"/>
  <c r="AO429" i="7"/>
  <c r="AP429" i="7"/>
  <c r="AQ429" i="7"/>
  <c r="AR429" i="7"/>
  <c r="AS429" i="7"/>
  <c r="AT429" i="7"/>
  <c r="AU429" i="7"/>
  <c r="AV429" i="7"/>
  <c r="AW429" i="7"/>
  <c r="AX429" i="7"/>
  <c r="AY429" i="7"/>
  <c r="AZ429" i="7"/>
  <c r="BA429" i="7"/>
  <c r="BB429" i="7"/>
  <c r="BC429" i="7"/>
  <c r="BD429" i="7"/>
  <c r="BE429" i="7"/>
  <c r="BF429" i="7"/>
  <c r="BG429" i="7"/>
  <c r="BH429" i="7"/>
  <c r="BI429" i="7"/>
  <c r="BJ429" i="7"/>
  <c r="BK429" i="7"/>
  <c r="BL429" i="7"/>
  <c r="BM429" i="7"/>
  <c r="BN429" i="7"/>
  <c r="BO429" i="7"/>
  <c r="BP429" i="7"/>
  <c r="BQ429" i="7"/>
  <c r="BR429" i="7"/>
  <c r="W430" i="7"/>
  <c r="X430" i="7"/>
  <c r="Y430" i="7"/>
  <c r="Z430" i="7"/>
  <c r="AA430" i="7"/>
  <c r="AB430" i="7"/>
  <c r="AC430" i="7"/>
  <c r="AD430" i="7"/>
  <c r="AE430" i="7"/>
  <c r="AF430" i="7"/>
  <c r="AG430" i="7"/>
  <c r="AH430" i="7"/>
  <c r="AI430" i="7"/>
  <c r="AJ430" i="7"/>
  <c r="AK430" i="7"/>
  <c r="AL430" i="7"/>
  <c r="AM430" i="7"/>
  <c r="AN430" i="7"/>
  <c r="AO430" i="7"/>
  <c r="AP430" i="7"/>
  <c r="AQ430" i="7"/>
  <c r="AR430" i="7"/>
  <c r="AS430" i="7"/>
  <c r="AT430" i="7"/>
  <c r="AU430" i="7"/>
  <c r="AV430" i="7"/>
  <c r="AW430" i="7"/>
  <c r="AX430" i="7"/>
  <c r="AY430" i="7"/>
  <c r="AZ430" i="7"/>
  <c r="BA430" i="7"/>
  <c r="BB430" i="7"/>
  <c r="BC430" i="7"/>
  <c r="BD430" i="7"/>
  <c r="BE430" i="7"/>
  <c r="BF430" i="7"/>
  <c r="BG430" i="7"/>
  <c r="BH430" i="7"/>
  <c r="BI430" i="7"/>
  <c r="BJ430" i="7"/>
  <c r="BK430" i="7"/>
  <c r="BL430" i="7"/>
  <c r="BM430" i="7"/>
  <c r="BN430" i="7"/>
  <c r="BO430" i="7"/>
  <c r="BP430" i="7"/>
  <c r="BQ430" i="7"/>
  <c r="BR430" i="7"/>
  <c r="W431" i="7"/>
  <c r="X431" i="7"/>
  <c r="Y431" i="7"/>
  <c r="Z431" i="7"/>
  <c r="AA431" i="7"/>
  <c r="AB431" i="7"/>
  <c r="AC431" i="7"/>
  <c r="AD431" i="7"/>
  <c r="AE431" i="7"/>
  <c r="AF431" i="7"/>
  <c r="AG431" i="7"/>
  <c r="AH431" i="7"/>
  <c r="AI431" i="7"/>
  <c r="AJ431" i="7"/>
  <c r="AK431" i="7"/>
  <c r="AL431" i="7"/>
  <c r="AM431" i="7"/>
  <c r="AN431" i="7"/>
  <c r="AO431" i="7"/>
  <c r="AP431" i="7"/>
  <c r="AQ431" i="7"/>
  <c r="AR431" i="7"/>
  <c r="AS431" i="7"/>
  <c r="AT431" i="7"/>
  <c r="AU431" i="7"/>
  <c r="AV431" i="7"/>
  <c r="AW431" i="7"/>
  <c r="AX431" i="7"/>
  <c r="AY431" i="7"/>
  <c r="AZ431" i="7"/>
  <c r="BA431" i="7"/>
  <c r="BB431" i="7"/>
  <c r="BC431" i="7"/>
  <c r="BD431" i="7"/>
  <c r="BE431" i="7"/>
  <c r="BF431" i="7"/>
  <c r="BG431" i="7"/>
  <c r="BH431" i="7"/>
  <c r="BI431" i="7"/>
  <c r="BJ431" i="7"/>
  <c r="BK431" i="7"/>
  <c r="BL431" i="7"/>
  <c r="BM431" i="7"/>
  <c r="BN431" i="7"/>
  <c r="BO431" i="7"/>
  <c r="BP431" i="7"/>
  <c r="BQ431" i="7"/>
  <c r="BR431" i="7"/>
  <c r="W432" i="7"/>
  <c r="X432" i="7"/>
  <c r="Y432" i="7"/>
  <c r="Z432" i="7"/>
  <c r="AA432" i="7"/>
  <c r="AB432" i="7"/>
  <c r="AC432" i="7"/>
  <c r="AD432" i="7"/>
  <c r="AE432" i="7"/>
  <c r="AF432" i="7"/>
  <c r="AG432" i="7"/>
  <c r="AH432" i="7"/>
  <c r="AI432" i="7"/>
  <c r="AJ432" i="7"/>
  <c r="AK432" i="7"/>
  <c r="AL432" i="7"/>
  <c r="AM432" i="7"/>
  <c r="AN432" i="7"/>
  <c r="AO432" i="7"/>
  <c r="AP432" i="7"/>
  <c r="AQ432" i="7"/>
  <c r="AR432" i="7"/>
  <c r="AS432" i="7"/>
  <c r="AT432" i="7"/>
  <c r="AU432" i="7"/>
  <c r="AV432" i="7"/>
  <c r="AW432" i="7"/>
  <c r="AX432" i="7"/>
  <c r="AY432" i="7"/>
  <c r="AZ432" i="7"/>
  <c r="BA432" i="7"/>
  <c r="BB432" i="7"/>
  <c r="BC432" i="7"/>
  <c r="BD432" i="7"/>
  <c r="BE432" i="7"/>
  <c r="BF432" i="7"/>
  <c r="BG432" i="7"/>
  <c r="BH432" i="7"/>
  <c r="BI432" i="7"/>
  <c r="BJ432" i="7"/>
  <c r="BK432" i="7"/>
  <c r="BL432" i="7"/>
  <c r="BM432" i="7"/>
  <c r="BN432" i="7"/>
  <c r="BO432" i="7"/>
  <c r="BP432" i="7"/>
  <c r="BQ432" i="7"/>
  <c r="BR432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AK310" i="7"/>
  <c r="AL310" i="7"/>
  <c r="AM310" i="7"/>
  <c r="AN310" i="7"/>
  <c r="AO310" i="7"/>
  <c r="AP310" i="7"/>
  <c r="AQ310" i="7"/>
  <c r="AR310" i="7"/>
  <c r="AS310" i="7"/>
  <c r="AT310" i="7"/>
  <c r="AU310" i="7"/>
  <c r="AV310" i="7"/>
  <c r="AW310" i="7"/>
  <c r="AX310" i="7"/>
  <c r="AY310" i="7"/>
  <c r="AZ310" i="7"/>
  <c r="BA310" i="7"/>
  <c r="BB310" i="7"/>
  <c r="BC310" i="7"/>
  <c r="BD310" i="7"/>
  <c r="BE310" i="7"/>
  <c r="BF310" i="7"/>
  <c r="BG310" i="7"/>
  <c r="BH310" i="7"/>
  <c r="BI310" i="7"/>
  <c r="BJ310" i="7"/>
  <c r="BK310" i="7"/>
  <c r="BL310" i="7"/>
  <c r="BM310" i="7"/>
  <c r="BN310" i="7"/>
  <c r="BO310" i="7"/>
  <c r="BP310" i="7"/>
  <c r="BQ310" i="7"/>
  <c r="BR310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AK311" i="7"/>
  <c r="AL311" i="7"/>
  <c r="AM311" i="7"/>
  <c r="AN311" i="7"/>
  <c r="AO311" i="7"/>
  <c r="AP311" i="7"/>
  <c r="AQ311" i="7"/>
  <c r="AR311" i="7"/>
  <c r="AS311" i="7"/>
  <c r="AT311" i="7"/>
  <c r="AU311" i="7"/>
  <c r="AV311" i="7"/>
  <c r="AW311" i="7"/>
  <c r="AX311" i="7"/>
  <c r="AY311" i="7"/>
  <c r="AZ311" i="7"/>
  <c r="BA311" i="7"/>
  <c r="BB311" i="7"/>
  <c r="BC311" i="7"/>
  <c r="BD311" i="7"/>
  <c r="BE311" i="7"/>
  <c r="BF311" i="7"/>
  <c r="BG311" i="7"/>
  <c r="BH311" i="7"/>
  <c r="BI311" i="7"/>
  <c r="BJ311" i="7"/>
  <c r="BK311" i="7"/>
  <c r="BL311" i="7"/>
  <c r="BM311" i="7"/>
  <c r="BN311" i="7"/>
  <c r="BO311" i="7"/>
  <c r="BP311" i="7"/>
  <c r="BQ311" i="7"/>
  <c r="BR311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BI163" i="7"/>
  <c r="BJ163" i="7"/>
  <c r="BK163" i="7"/>
  <c r="BL163" i="7"/>
  <c r="BM163" i="7"/>
  <c r="BN163" i="7"/>
  <c r="BO163" i="7"/>
  <c r="BP163" i="7"/>
  <c r="BQ163" i="7"/>
  <c r="BR163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AK312" i="7"/>
  <c r="AL312" i="7"/>
  <c r="AM312" i="7"/>
  <c r="AN312" i="7"/>
  <c r="AO312" i="7"/>
  <c r="AP312" i="7"/>
  <c r="AQ312" i="7"/>
  <c r="AR312" i="7"/>
  <c r="AS312" i="7"/>
  <c r="AT312" i="7"/>
  <c r="AU312" i="7"/>
  <c r="AV312" i="7"/>
  <c r="AW312" i="7"/>
  <c r="AX312" i="7"/>
  <c r="AY312" i="7"/>
  <c r="AZ312" i="7"/>
  <c r="BA312" i="7"/>
  <c r="BB312" i="7"/>
  <c r="BC312" i="7"/>
  <c r="BD312" i="7"/>
  <c r="BE312" i="7"/>
  <c r="BF312" i="7"/>
  <c r="BG312" i="7"/>
  <c r="BH312" i="7"/>
  <c r="BI312" i="7"/>
  <c r="BJ312" i="7"/>
  <c r="BK312" i="7"/>
  <c r="BL312" i="7"/>
  <c r="BM312" i="7"/>
  <c r="BN312" i="7"/>
  <c r="BO312" i="7"/>
  <c r="BP312" i="7"/>
  <c r="BQ312" i="7"/>
  <c r="BR312" i="7"/>
  <c r="W433" i="7"/>
  <c r="X433" i="7"/>
  <c r="Y433" i="7"/>
  <c r="Z433" i="7"/>
  <c r="AA433" i="7"/>
  <c r="AB433" i="7"/>
  <c r="AC433" i="7"/>
  <c r="AD433" i="7"/>
  <c r="AE433" i="7"/>
  <c r="AF433" i="7"/>
  <c r="AG433" i="7"/>
  <c r="AH433" i="7"/>
  <c r="AI433" i="7"/>
  <c r="AJ433" i="7"/>
  <c r="AK433" i="7"/>
  <c r="AL433" i="7"/>
  <c r="AM433" i="7"/>
  <c r="AN433" i="7"/>
  <c r="AO433" i="7"/>
  <c r="AP433" i="7"/>
  <c r="AQ433" i="7"/>
  <c r="AR433" i="7"/>
  <c r="AS433" i="7"/>
  <c r="AT433" i="7"/>
  <c r="AU433" i="7"/>
  <c r="AV433" i="7"/>
  <c r="AW433" i="7"/>
  <c r="AX433" i="7"/>
  <c r="AY433" i="7"/>
  <c r="AZ433" i="7"/>
  <c r="BA433" i="7"/>
  <c r="BB433" i="7"/>
  <c r="BC433" i="7"/>
  <c r="BD433" i="7"/>
  <c r="BE433" i="7"/>
  <c r="BF433" i="7"/>
  <c r="BG433" i="7"/>
  <c r="BH433" i="7"/>
  <c r="BI433" i="7"/>
  <c r="BJ433" i="7"/>
  <c r="BK433" i="7"/>
  <c r="BL433" i="7"/>
  <c r="BM433" i="7"/>
  <c r="BN433" i="7"/>
  <c r="BO433" i="7"/>
  <c r="BP433" i="7"/>
  <c r="BQ433" i="7"/>
  <c r="BR43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K223" i="7"/>
  <c r="AL223" i="7"/>
  <c r="AM223" i="7"/>
  <c r="AN223" i="7"/>
  <c r="AO223" i="7"/>
  <c r="AP223" i="7"/>
  <c r="AQ223" i="7"/>
  <c r="AR223" i="7"/>
  <c r="AS223" i="7"/>
  <c r="AT223" i="7"/>
  <c r="AU223" i="7"/>
  <c r="AV223" i="7"/>
  <c r="AW223" i="7"/>
  <c r="AX223" i="7"/>
  <c r="AY223" i="7"/>
  <c r="AZ223" i="7"/>
  <c r="BA223" i="7"/>
  <c r="BB223" i="7"/>
  <c r="BC223" i="7"/>
  <c r="BD223" i="7"/>
  <c r="BE223" i="7"/>
  <c r="BF223" i="7"/>
  <c r="BG223" i="7"/>
  <c r="BH223" i="7"/>
  <c r="BI223" i="7"/>
  <c r="BJ223" i="7"/>
  <c r="BK223" i="7"/>
  <c r="BL223" i="7"/>
  <c r="BM223" i="7"/>
  <c r="BN223" i="7"/>
  <c r="BO223" i="7"/>
  <c r="BP223" i="7"/>
  <c r="BQ223" i="7"/>
  <c r="BR223" i="7"/>
  <c r="W434" i="7"/>
  <c r="X434" i="7"/>
  <c r="Y434" i="7"/>
  <c r="Z434" i="7"/>
  <c r="AA434" i="7"/>
  <c r="AB434" i="7"/>
  <c r="AC434" i="7"/>
  <c r="AD434" i="7"/>
  <c r="AE434" i="7"/>
  <c r="AF434" i="7"/>
  <c r="AG434" i="7"/>
  <c r="AH434" i="7"/>
  <c r="AI434" i="7"/>
  <c r="AJ434" i="7"/>
  <c r="AK434" i="7"/>
  <c r="AL434" i="7"/>
  <c r="AM434" i="7"/>
  <c r="AN434" i="7"/>
  <c r="AO434" i="7"/>
  <c r="AP434" i="7"/>
  <c r="AQ434" i="7"/>
  <c r="AR434" i="7"/>
  <c r="AS434" i="7"/>
  <c r="AT434" i="7"/>
  <c r="AU434" i="7"/>
  <c r="AV434" i="7"/>
  <c r="AW434" i="7"/>
  <c r="AX434" i="7"/>
  <c r="AY434" i="7"/>
  <c r="AZ434" i="7"/>
  <c r="BA434" i="7"/>
  <c r="BB434" i="7"/>
  <c r="BC434" i="7"/>
  <c r="BD434" i="7"/>
  <c r="BE434" i="7"/>
  <c r="BF434" i="7"/>
  <c r="BG434" i="7"/>
  <c r="BH434" i="7"/>
  <c r="BI434" i="7"/>
  <c r="BJ434" i="7"/>
  <c r="BK434" i="7"/>
  <c r="BL434" i="7"/>
  <c r="BM434" i="7"/>
  <c r="BN434" i="7"/>
  <c r="BO434" i="7"/>
  <c r="BP434" i="7"/>
  <c r="BQ434" i="7"/>
  <c r="BR434" i="7"/>
  <c r="W435" i="7"/>
  <c r="X435" i="7"/>
  <c r="Y435" i="7"/>
  <c r="Z435" i="7"/>
  <c r="AA435" i="7"/>
  <c r="AB435" i="7"/>
  <c r="AC435" i="7"/>
  <c r="AD435" i="7"/>
  <c r="AE435" i="7"/>
  <c r="AF435" i="7"/>
  <c r="AG435" i="7"/>
  <c r="AH435" i="7"/>
  <c r="AI435" i="7"/>
  <c r="AJ435" i="7"/>
  <c r="AK435" i="7"/>
  <c r="AL435" i="7"/>
  <c r="AM435" i="7"/>
  <c r="AN435" i="7"/>
  <c r="AO435" i="7"/>
  <c r="AP435" i="7"/>
  <c r="AQ435" i="7"/>
  <c r="AR435" i="7"/>
  <c r="AS435" i="7"/>
  <c r="AT435" i="7"/>
  <c r="AU435" i="7"/>
  <c r="AV435" i="7"/>
  <c r="AW435" i="7"/>
  <c r="AX435" i="7"/>
  <c r="AY435" i="7"/>
  <c r="AZ435" i="7"/>
  <c r="BA435" i="7"/>
  <c r="BB435" i="7"/>
  <c r="BC435" i="7"/>
  <c r="BD435" i="7"/>
  <c r="BE435" i="7"/>
  <c r="BF435" i="7"/>
  <c r="BG435" i="7"/>
  <c r="BH435" i="7"/>
  <c r="BI435" i="7"/>
  <c r="BJ435" i="7"/>
  <c r="BK435" i="7"/>
  <c r="BL435" i="7"/>
  <c r="BM435" i="7"/>
  <c r="BN435" i="7"/>
  <c r="BO435" i="7"/>
  <c r="BP435" i="7"/>
  <c r="BQ435" i="7"/>
  <c r="BR435" i="7"/>
  <c r="W436" i="7"/>
  <c r="X436" i="7"/>
  <c r="Y436" i="7"/>
  <c r="Z436" i="7"/>
  <c r="AA436" i="7"/>
  <c r="AB436" i="7"/>
  <c r="AC436" i="7"/>
  <c r="AD436" i="7"/>
  <c r="AE436" i="7"/>
  <c r="AF436" i="7"/>
  <c r="AG436" i="7"/>
  <c r="AH436" i="7"/>
  <c r="AI436" i="7"/>
  <c r="AJ436" i="7"/>
  <c r="AK436" i="7"/>
  <c r="AL436" i="7"/>
  <c r="AM436" i="7"/>
  <c r="AN436" i="7"/>
  <c r="AO436" i="7"/>
  <c r="AP436" i="7"/>
  <c r="AQ436" i="7"/>
  <c r="AR436" i="7"/>
  <c r="AS436" i="7"/>
  <c r="AT436" i="7"/>
  <c r="AU436" i="7"/>
  <c r="AV436" i="7"/>
  <c r="AW436" i="7"/>
  <c r="AX436" i="7"/>
  <c r="AY436" i="7"/>
  <c r="AZ436" i="7"/>
  <c r="BA436" i="7"/>
  <c r="BB436" i="7"/>
  <c r="BC436" i="7"/>
  <c r="BD436" i="7"/>
  <c r="BE436" i="7"/>
  <c r="BF436" i="7"/>
  <c r="BG436" i="7"/>
  <c r="BH436" i="7"/>
  <c r="BI436" i="7"/>
  <c r="BJ436" i="7"/>
  <c r="BK436" i="7"/>
  <c r="BL436" i="7"/>
  <c r="BM436" i="7"/>
  <c r="BN436" i="7"/>
  <c r="BO436" i="7"/>
  <c r="BP436" i="7"/>
  <c r="BQ436" i="7"/>
  <c r="BR436" i="7"/>
  <c r="W437" i="7"/>
  <c r="X437" i="7"/>
  <c r="Y437" i="7"/>
  <c r="Z437" i="7"/>
  <c r="AA437" i="7"/>
  <c r="AB437" i="7"/>
  <c r="AC437" i="7"/>
  <c r="AD437" i="7"/>
  <c r="AE437" i="7"/>
  <c r="AF437" i="7"/>
  <c r="AG437" i="7"/>
  <c r="AH437" i="7"/>
  <c r="AI437" i="7"/>
  <c r="AJ437" i="7"/>
  <c r="AK437" i="7"/>
  <c r="AL437" i="7"/>
  <c r="AM437" i="7"/>
  <c r="AN437" i="7"/>
  <c r="AO437" i="7"/>
  <c r="AP437" i="7"/>
  <c r="AQ437" i="7"/>
  <c r="AR437" i="7"/>
  <c r="AS437" i="7"/>
  <c r="AT437" i="7"/>
  <c r="AU437" i="7"/>
  <c r="AV437" i="7"/>
  <c r="AW437" i="7"/>
  <c r="AX437" i="7"/>
  <c r="AY437" i="7"/>
  <c r="AZ437" i="7"/>
  <c r="BA437" i="7"/>
  <c r="BB437" i="7"/>
  <c r="BC437" i="7"/>
  <c r="BD437" i="7"/>
  <c r="BE437" i="7"/>
  <c r="BF437" i="7"/>
  <c r="BG437" i="7"/>
  <c r="BH437" i="7"/>
  <c r="BI437" i="7"/>
  <c r="BJ437" i="7"/>
  <c r="BK437" i="7"/>
  <c r="BL437" i="7"/>
  <c r="BM437" i="7"/>
  <c r="BN437" i="7"/>
  <c r="BO437" i="7"/>
  <c r="BP437" i="7"/>
  <c r="BQ437" i="7"/>
  <c r="BR43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AJ257" i="7"/>
  <c r="AK257" i="7"/>
  <c r="AL257" i="7"/>
  <c r="AM257" i="7"/>
  <c r="AN257" i="7"/>
  <c r="AO257" i="7"/>
  <c r="AP257" i="7"/>
  <c r="AQ257" i="7"/>
  <c r="AR257" i="7"/>
  <c r="AS257" i="7"/>
  <c r="AT257" i="7"/>
  <c r="AU257" i="7"/>
  <c r="AV257" i="7"/>
  <c r="AW257" i="7"/>
  <c r="AX257" i="7"/>
  <c r="AY257" i="7"/>
  <c r="AZ257" i="7"/>
  <c r="BA257" i="7"/>
  <c r="BB257" i="7"/>
  <c r="BC257" i="7"/>
  <c r="BD257" i="7"/>
  <c r="BE257" i="7"/>
  <c r="BF257" i="7"/>
  <c r="BG257" i="7"/>
  <c r="BH257" i="7"/>
  <c r="BI257" i="7"/>
  <c r="BJ257" i="7"/>
  <c r="BK257" i="7"/>
  <c r="BL257" i="7"/>
  <c r="BM257" i="7"/>
  <c r="BN257" i="7"/>
  <c r="BO257" i="7"/>
  <c r="BP257" i="7"/>
  <c r="BQ257" i="7"/>
  <c r="BR257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W438" i="7"/>
  <c r="X438" i="7"/>
  <c r="Y438" i="7"/>
  <c r="Z438" i="7"/>
  <c r="AA438" i="7"/>
  <c r="AB438" i="7"/>
  <c r="AC438" i="7"/>
  <c r="AD438" i="7"/>
  <c r="AE438" i="7"/>
  <c r="AF438" i="7"/>
  <c r="AG438" i="7"/>
  <c r="AH438" i="7"/>
  <c r="AI438" i="7"/>
  <c r="AJ438" i="7"/>
  <c r="AK438" i="7"/>
  <c r="AL438" i="7"/>
  <c r="AM438" i="7"/>
  <c r="AN438" i="7"/>
  <c r="AO438" i="7"/>
  <c r="AP438" i="7"/>
  <c r="AQ438" i="7"/>
  <c r="AR438" i="7"/>
  <c r="AS438" i="7"/>
  <c r="AT438" i="7"/>
  <c r="AU438" i="7"/>
  <c r="AV438" i="7"/>
  <c r="AW438" i="7"/>
  <c r="AX438" i="7"/>
  <c r="AY438" i="7"/>
  <c r="AZ438" i="7"/>
  <c r="BA438" i="7"/>
  <c r="BB438" i="7"/>
  <c r="BC438" i="7"/>
  <c r="BD438" i="7"/>
  <c r="BE438" i="7"/>
  <c r="BF438" i="7"/>
  <c r="BG438" i="7"/>
  <c r="BH438" i="7"/>
  <c r="BI438" i="7"/>
  <c r="BJ438" i="7"/>
  <c r="BK438" i="7"/>
  <c r="BL438" i="7"/>
  <c r="BM438" i="7"/>
  <c r="BN438" i="7"/>
  <c r="BO438" i="7"/>
  <c r="BP438" i="7"/>
  <c r="BQ438" i="7"/>
  <c r="BR43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AJ258" i="7"/>
  <c r="AK258" i="7" s="1"/>
  <c r="AL258" i="7"/>
  <c r="AM258" i="7"/>
  <c r="AN258" i="7"/>
  <c r="AO258" i="7"/>
  <c r="AP258" i="7"/>
  <c r="AQ258" i="7"/>
  <c r="AR258" i="7"/>
  <c r="AS258" i="7"/>
  <c r="AT258" i="7"/>
  <c r="AU258" i="7"/>
  <c r="AV258" i="7"/>
  <c r="AW258" i="7"/>
  <c r="AX258" i="7"/>
  <c r="AY258" i="7"/>
  <c r="AZ258" i="7"/>
  <c r="BA258" i="7"/>
  <c r="BB258" i="7"/>
  <c r="BC258" i="7"/>
  <c r="BD258" i="7"/>
  <c r="BE258" i="7"/>
  <c r="BF258" i="7"/>
  <c r="BG258" i="7"/>
  <c r="BH258" i="7"/>
  <c r="BI258" i="7"/>
  <c r="BJ258" i="7"/>
  <c r="BK258" i="7"/>
  <c r="BL258" i="7"/>
  <c r="BM258" i="7"/>
  <c r="BN258" i="7"/>
  <c r="BO258" i="7"/>
  <c r="BP258" i="7"/>
  <c r="BQ258" i="7"/>
  <c r="BR258" i="7"/>
  <c r="W439" i="7"/>
  <c r="X439" i="7"/>
  <c r="Y439" i="7"/>
  <c r="Z439" i="7"/>
  <c r="AA439" i="7"/>
  <c r="AB439" i="7"/>
  <c r="AC439" i="7"/>
  <c r="AD439" i="7"/>
  <c r="AE439" i="7"/>
  <c r="AF439" i="7"/>
  <c r="AG439" i="7"/>
  <c r="AH439" i="7"/>
  <c r="AI439" i="7"/>
  <c r="AJ439" i="7"/>
  <c r="AK439" i="7"/>
  <c r="AL439" i="7"/>
  <c r="AM439" i="7"/>
  <c r="AN439" i="7"/>
  <c r="AO439" i="7"/>
  <c r="AP439" i="7"/>
  <c r="AQ439" i="7"/>
  <c r="AR439" i="7"/>
  <c r="AS439" i="7"/>
  <c r="AT439" i="7"/>
  <c r="AU439" i="7"/>
  <c r="AV439" i="7"/>
  <c r="AW439" i="7"/>
  <c r="AX439" i="7"/>
  <c r="AY439" i="7"/>
  <c r="AZ439" i="7"/>
  <c r="BA439" i="7"/>
  <c r="BB439" i="7"/>
  <c r="BC439" i="7"/>
  <c r="BD439" i="7"/>
  <c r="BE439" i="7"/>
  <c r="BF439" i="7"/>
  <c r="BG439" i="7"/>
  <c r="BH439" i="7"/>
  <c r="BI439" i="7"/>
  <c r="BJ439" i="7"/>
  <c r="BK439" i="7"/>
  <c r="BL439" i="7"/>
  <c r="BM439" i="7"/>
  <c r="BN439" i="7"/>
  <c r="BO439" i="7"/>
  <c r="BP439" i="7"/>
  <c r="BQ439" i="7"/>
  <c r="BR439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K224" i="7"/>
  <c r="AL224" i="7"/>
  <c r="AM224" i="7"/>
  <c r="AN224" i="7"/>
  <c r="AO224" i="7"/>
  <c r="AP224" i="7"/>
  <c r="AQ224" i="7"/>
  <c r="AR224" i="7"/>
  <c r="AS224" i="7"/>
  <c r="AT224" i="7"/>
  <c r="AU224" i="7"/>
  <c r="AV224" i="7"/>
  <c r="AW224" i="7"/>
  <c r="AX224" i="7"/>
  <c r="AY224" i="7"/>
  <c r="AZ224" i="7"/>
  <c r="BA224" i="7"/>
  <c r="BB224" i="7"/>
  <c r="BC224" i="7"/>
  <c r="BD224" i="7"/>
  <c r="BE224" i="7"/>
  <c r="BF224" i="7"/>
  <c r="BG224" i="7"/>
  <c r="BH224" i="7"/>
  <c r="BI224" i="7"/>
  <c r="BJ224" i="7"/>
  <c r="BK224" i="7"/>
  <c r="BL224" i="7"/>
  <c r="BM224" i="7"/>
  <c r="BN224" i="7"/>
  <c r="BO224" i="7"/>
  <c r="BP224" i="7"/>
  <c r="BQ224" i="7"/>
  <c r="BR224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AJ259" i="7"/>
  <c r="AK259" i="7"/>
  <c r="AL259" i="7"/>
  <c r="AM259" i="7"/>
  <c r="AN259" i="7"/>
  <c r="AO259" i="7"/>
  <c r="AP259" i="7"/>
  <c r="AQ259" i="7"/>
  <c r="AR259" i="7"/>
  <c r="AS259" i="7"/>
  <c r="AT259" i="7"/>
  <c r="AU259" i="7"/>
  <c r="AV259" i="7"/>
  <c r="AW259" i="7"/>
  <c r="AX259" i="7"/>
  <c r="AY259" i="7"/>
  <c r="AZ259" i="7"/>
  <c r="BA259" i="7"/>
  <c r="BB259" i="7"/>
  <c r="BC259" i="7"/>
  <c r="BD259" i="7"/>
  <c r="BE259" i="7"/>
  <c r="BF259" i="7"/>
  <c r="BG259" i="7"/>
  <c r="BH259" i="7"/>
  <c r="BI259" i="7"/>
  <c r="BJ259" i="7"/>
  <c r="BK259" i="7"/>
  <c r="BL259" i="7"/>
  <c r="BM259" i="7"/>
  <c r="BN259" i="7"/>
  <c r="BO259" i="7"/>
  <c r="BP259" i="7"/>
  <c r="BQ259" i="7"/>
  <c r="BR259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AJ260" i="7"/>
  <c r="AK260" i="7"/>
  <c r="AL260" i="7"/>
  <c r="AM260" i="7"/>
  <c r="AN260" i="7"/>
  <c r="AO260" i="7"/>
  <c r="AP260" i="7"/>
  <c r="AQ260" i="7"/>
  <c r="AR260" i="7"/>
  <c r="AS260" i="7"/>
  <c r="AT260" i="7"/>
  <c r="AU260" i="7"/>
  <c r="AV260" i="7"/>
  <c r="AW260" i="7"/>
  <c r="AX260" i="7"/>
  <c r="AY260" i="7"/>
  <c r="AZ260" i="7"/>
  <c r="BA260" i="7"/>
  <c r="BB260" i="7"/>
  <c r="BC260" i="7"/>
  <c r="BD260" i="7"/>
  <c r="BE260" i="7"/>
  <c r="BF260" i="7"/>
  <c r="BG260" i="7"/>
  <c r="BH260" i="7"/>
  <c r="BI260" i="7"/>
  <c r="BJ260" i="7"/>
  <c r="BK260" i="7"/>
  <c r="BL260" i="7"/>
  <c r="BM260" i="7"/>
  <c r="BN260" i="7"/>
  <c r="BO260" i="7"/>
  <c r="BP260" i="7"/>
  <c r="BQ260" i="7"/>
  <c r="BR260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BA261" i="7"/>
  <c r="BB261" i="7"/>
  <c r="BC261" i="7"/>
  <c r="BD261" i="7"/>
  <c r="BE261" i="7"/>
  <c r="BF261" i="7"/>
  <c r="BG261" i="7"/>
  <c r="BH261" i="7"/>
  <c r="BI261" i="7"/>
  <c r="BJ261" i="7"/>
  <c r="BK261" i="7"/>
  <c r="BL261" i="7"/>
  <c r="BM261" i="7"/>
  <c r="BN261" i="7"/>
  <c r="BO261" i="7"/>
  <c r="BP261" i="7"/>
  <c r="BQ261" i="7"/>
  <c r="BR261" i="7"/>
  <c r="W440" i="7"/>
  <c r="X440" i="7"/>
  <c r="Y440" i="7"/>
  <c r="Z440" i="7"/>
  <c r="AA440" i="7"/>
  <c r="AB440" i="7"/>
  <c r="AC440" i="7"/>
  <c r="AD440" i="7"/>
  <c r="AE440" i="7"/>
  <c r="AF440" i="7"/>
  <c r="AG440" i="7"/>
  <c r="AH440" i="7"/>
  <c r="AI440" i="7"/>
  <c r="AJ440" i="7"/>
  <c r="AK440" i="7"/>
  <c r="AL440" i="7"/>
  <c r="AM440" i="7"/>
  <c r="AN440" i="7"/>
  <c r="AO440" i="7"/>
  <c r="AP440" i="7"/>
  <c r="AQ440" i="7"/>
  <c r="AR440" i="7"/>
  <c r="AS440" i="7"/>
  <c r="AT440" i="7"/>
  <c r="AU440" i="7"/>
  <c r="AV440" i="7"/>
  <c r="AW440" i="7"/>
  <c r="AX440" i="7"/>
  <c r="AY440" i="7"/>
  <c r="AZ440" i="7"/>
  <c r="BA440" i="7"/>
  <c r="BB440" i="7"/>
  <c r="BC440" i="7"/>
  <c r="BD440" i="7"/>
  <c r="BE440" i="7"/>
  <c r="BF440" i="7"/>
  <c r="BG440" i="7"/>
  <c r="BH440" i="7"/>
  <c r="BI440" i="7"/>
  <c r="BJ440" i="7"/>
  <c r="BK440" i="7"/>
  <c r="BL440" i="7"/>
  <c r="BM440" i="7"/>
  <c r="BN440" i="7"/>
  <c r="BO440" i="7"/>
  <c r="BP440" i="7"/>
  <c r="BQ440" i="7"/>
  <c r="BR440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K151" i="7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BI164" i="7"/>
  <c r="BJ164" i="7"/>
  <c r="BK164" i="7"/>
  <c r="BL164" i="7"/>
  <c r="BM164" i="7"/>
  <c r="BN164" i="7"/>
  <c r="BO164" i="7"/>
  <c r="BP164" i="7"/>
  <c r="BQ164" i="7"/>
  <c r="BR164" i="7"/>
  <c r="W441" i="7"/>
  <c r="X441" i="7"/>
  <c r="Y441" i="7"/>
  <c r="Z441" i="7"/>
  <c r="AA441" i="7"/>
  <c r="AB441" i="7"/>
  <c r="AC441" i="7"/>
  <c r="AD441" i="7"/>
  <c r="AE441" i="7"/>
  <c r="AF441" i="7"/>
  <c r="AG441" i="7"/>
  <c r="AH441" i="7"/>
  <c r="AI441" i="7"/>
  <c r="AJ441" i="7"/>
  <c r="AK441" i="7"/>
  <c r="AL441" i="7"/>
  <c r="AM441" i="7"/>
  <c r="AN441" i="7"/>
  <c r="AO441" i="7"/>
  <c r="AP441" i="7"/>
  <c r="AQ441" i="7"/>
  <c r="AR441" i="7"/>
  <c r="AS441" i="7"/>
  <c r="AT441" i="7"/>
  <c r="AU441" i="7"/>
  <c r="AV441" i="7"/>
  <c r="AW441" i="7"/>
  <c r="AX441" i="7"/>
  <c r="AY441" i="7"/>
  <c r="AZ441" i="7"/>
  <c r="BA441" i="7"/>
  <c r="BB441" i="7"/>
  <c r="BC441" i="7"/>
  <c r="BD441" i="7"/>
  <c r="BE441" i="7"/>
  <c r="BF441" i="7"/>
  <c r="BG441" i="7"/>
  <c r="BH441" i="7"/>
  <c r="BI441" i="7"/>
  <c r="BJ441" i="7"/>
  <c r="BK441" i="7"/>
  <c r="BL441" i="7"/>
  <c r="BM441" i="7"/>
  <c r="BN441" i="7"/>
  <c r="BO441" i="7"/>
  <c r="BP441" i="7"/>
  <c r="BQ441" i="7"/>
  <c r="BR441" i="7"/>
  <c r="W313" i="7"/>
  <c r="X313" i="7"/>
  <c r="Y313" i="7"/>
  <c r="Z313" i="7"/>
  <c r="AA313" i="7"/>
  <c r="AB313" i="7"/>
  <c r="AD313" i="7"/>
  <c r="AE313" i="7"/>
  <c r="AF313" i="7"/>
  <c r="AG313" i="7"/>
  <c r="AH313" i="7"/>
  <c r="AI313" i="7"/>
  <c r="AJ313" i="7"/>
  <c r="AK313" i="7"/>
  <c r="AL313" i="7"/>
  <c r="AM313" i="7"/>
  <c r="AN313" i="7"/>
  <c r="AO313" i="7"/>
  <c r="AP313" i="7"/>
  <c r="AQ313" i="7"/>
  <c r="AR313" i="7"/>
  <c r="AS313" i="7"/>
  <c r="AT313" i="7"/>
  <c r="AU313" i="7"/>
  <c r="AV313" i="7"/>
  <c r="AW313" i="7"/>
  <c r="AX313" i="7"/>
  <c r="AY313" i="7"/>
  <c r="AZ313" i="7"/>
  <c r="BA313" i="7"/>
  <c r="BB313" i="7"/>
  <c r="BC313" i="7"/>
  <c r="BD313" i="7"/>
  <c r="BE313" i="7"/>
  <c r="BF313" i="7"/>
  <c r="BG313" i="7"/>
  <c r="BH313" i="7"/>
  <c r="BI313" i="7"/>
  <c r="BJ313" i="7"/>
  <c r="BK313" i="7"/>
  <c r="BL313" i="7"/>
  <c r="BM313" i="7"/>
  <c r="BN313" i="7"/>
  <c r="BO313" i="7"/>
  <c r="BP313" i="7"/>
  <c r="BQ313" i="7"/>
  <c r="BR313" i="7"/>
  <c r="W442" i="7"/>
  <c r="X442" i="7"/>
  <c r="Y442" i="7"/>
  <c r="Z442" i="7"/>
  <c r="AA442" i="7"/>
  <c r="AB442" i="7"/>
  <c r="AC442" i="7"/>
  <c r="AD442" i="7"/>
  <c r="AE442" i="7"/>
  <c r="AF442" i="7"/>
  <c r="AG442" i="7"/>
  <c r="AH442" i="7"/>
  <c r="AI442" i="7"/>
  <c r="AJ442" i="7"/>
  <c r="AK442" i="7"/>
  <c r="AL442" i="7"/>
  <c r="AM442" i="7"/>
  <c r="AN442" i="7"/>
  <c r="AO442" i="7"/>
  <c r="AP442" i="7"/>
  <c r="AQ442" i="7"/>
  <c r="AR442" i="7"/>
  <c r="AS442" i="7"/>
  <c r="AT442" i="7"/>
  <c r="AU442" i="7"/>
  <c r="AV442" i="7"/>
  <c r="AW442" i="7"/>
  <c r="AX442" i="7"/>
  <c r="AY442" i="7"/>
  <c r="AZ442" i="7"/>
  <c r="BA442" i="7"/>
  <c r="BB442" i="7"/>
  <c r="BC442" i="7"/>
  <c r="BD442" i="7"/>
  <c r="BE442" i="7"/>
  <c r="BF442" i="7"/>
  <c r="BG442" i="7"/>
  <c r="BH442" i="7"/>
  <c r="BI442" i="7"/>
  <c r="BJ442" i="7"/>
  <c r="BK442" i="7"/>
  <c r="BL442" i="7"/>
  <c r="BM442" i="7"/>
  <c r="BN442" i="7"/>
  <c r="BO442" i="7"/>
  <c r="BP442" i="7"/>
  <c r="BQ442" i="7" s="1"/>
  <c r="BR442" i="7"/>
  <c r="W443" i="7"/>
  <c r="X443" i="7"/>
  <c r="Y443" i="7"/>
  <c r="Z443" i="7"/>
  <c r="AA443" i="7"/>
  <c r="AB443" i="7"/>
  <c r="AC443" i="7"/>
  <c r="AD443" i="7"/>
  <c r="AE443" i="7"/>
  <c r="AF443" i="7"/>
  <c r="AG443" i="7"/>
  <c r="AH443" i="7"/>
  <c r="AI443" i="7"/>
  <c r="AJ443" i="7"/>
  <c r="AK443" i="7"/>
  <c r="AL443" i="7"/>
  <c r="AM443" i="7"/>
  <c r="AN443" i="7"/>
  <c r="AO443" i="7"/>
  <c r="AP443" i="7"/>
  <c r="AQ443" i="7"/>
  <c r="AR443" i="7"/>
  <c r="AS443" i="7"/>
  <c r="AT443" i="7"/>
  <c r="AU443" i="7"/>
  <c r="AV443" i="7"/>
  <c r="AW443" i="7"/>
  <c r="AX443" i="7"/>
  <c r="AY443" i="7"/>
  <c r="AZ443" i="7"/>
  <c r="BA443" i="7"/>
  <c r="BB443" i="7"/>
  <c r="BC443" i="7"/>
  <c r="BD443" i="7"/>
  <c r="BE443" i="7"/>
  <c r="BF443" i="7"/>
  <c r="BG443" i="7"/>
  <c r="BH443" i="7"/>
  <c r="BI443" i="7"/>
  <c r="BJ443" i="7"/>
  <c r="BK443" i="7"/>
  <c r="BL443" i="7"/>
  <c r="BM443" i="7"/>
  <c r="BN443" i="7"/>
  <c r="BO443" i="7"/>
  <c r="BP443" i="7"/>
  <c r="BQ443" i="7"/>
  <c r="BR443" i="7"/>
  <c r="W444" i="7"/>
  <c r="X444" i="7"/>
  <c r="Y444" i="7"/>
  <c r="Z444" i="7"/>
  <c r="AA444" i="7"/>
  <c r="AB444" i="7"/>
  <c r="AC444" i="7"/>
  <c r="AD444" i="7"/>
  <c r="AE444" i="7"/>
  <c r="AF444" i="7"/>
  <c r="AG444" i="7"/>
  <c r="AH444" i="7"/>
  <c r="AI444" i="7"/>
  <c r="AJ444" i="7"/>
  <c r="AK444" i="7"/>
  <c r="AL444" i="7"/>
  <c r="AM444" i="7"/>
  <c r="AN444" i="7"/>
  <c r="AO444" i="7"/>
  <c r="AP444" i="7"/>
  <c r="AQ444" i="7"/>
  <c r="AR444" i="7"/>
  <c r="AS444" i="7"/>
  <c r="AT444" i="7"/>
  <c r="AU444" i="7"/>
  <c r="AV444" i="7"/>
  <c r="AW444" i="7"/>
  <c r="AX444" i="7"/>
  <c r="AY444" i="7"/>
  <c r="AZ444" i="7"/>
  <c r="BA444" i="7" s="1"/>
  <c r="BB444" i="7"/>
  <c r="BC444" i="7"/>
  <c r="BD444" i="7"/>
  <c r="BE444" i="7"/>
  <c r="BF444" i="7"/>
  <c r="BG444" i="7"/>
  <c r="BH444" i="7"/>
  <c r="BI444" i="7"/>
  <c r="BJ444" i="7"/>
  <c r="BK444" i="7"/>
  <c r="BL444" i="7"/>
  <c r="BM444" i="7"/>
  <c r="BN444" i="7"/>
  <c r="BO444" i="7"/>
  <c r="BP444" i="7"/>
  <c r="BQ444" i="7"/>
  <c r="BR444" i="7"/>
  <c r="W445" i="7"/>
  <c r="X445" i="7"/>
  <c r="Y445" i="7"/>
  <c r="Z445" i="7"/>
  <c r="AA445" i="7"/>
  <c r="AB445" i="7"/>
  <c r="AC445" i="7"/>
  <c r="AD445" i="7"/>
  <c r="AE445" i="7"/>
  <c r="AF445" i="7"/>
  <c r="AG445" i="7"/>
  <c r="AH445" i="7"/>
  <c r="AI445" i="7"/>
  <c r="AJ445" i="7"/>
  <c r="AK445" i="7"/>
  <c r="AL445" i="7"/>
  <c r="AM445" i="7"/>
  <c r="AN445" i="7"/>
  <c r="AO445" i="7"/>
  <c r="AP445" i="7"/>
  <c r="AQ445" i="7"/>
  <c r="AR445" i="7"/>
  <c r="AS445" i="7"/>
  <c r="AT445" i="7"/>
  <c r="AU445" i="7"/>
  <c r="AV445" i="7"/>
  <c r="AW445" i="7"/>
  <c r="AX445" i="7"/>
  <c r="AY445" i="7"/>
  <c r="AZ445" i="7"/>
  <c r="BA445" i="7"/>
  <c r="BB445" i="7"/>
  <c r="BC445" i="7"/>
  <c r="BD445" i="7"/>
  <c r="BE445" i="7"/>
  <c r="BF445" i="7"/>
  <c r="BG445" i="7"/>
  <c r="BH445" i="7"/>
  <c r="BI445" i="7"/>
  <c r="BJ445" i="7"/>
  <c r="BK445" i="7"/>
  <c r="BL445" i="7"/>
  <c r="BM445" i="7"/>
  <c r="BN445" i="7"/>
  <c r="BO445" i="7"/>
  <c r="BP445" i="7"/>
  <c r="BQ445" i="7"/>
  <c r="BR445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AK314" i="7"/>
  <c r="AL314" i="7"/>
  <c r="AM314" i="7"/>
  <c r="AN314" i="7"/>
  <c r="AO314" i="7"/>
  <c r="AP314" i="7"/>
  <c r="AQ314" i="7"/>
  <c r="AR314" i="7"/>
  <c r="AS314" i="7"/>
  <c r="AT314" i="7"/>
  <c r="AU314" i="7"/>
  <c r="AV314" i="7"/>
  <c r="AW314" i="7"/>
  <c r="AX314" i="7"/>
  <c r="AY314" i="7"/>
  <c r="AZ314" i="7"/>
  <c r="BA314" i="7"/>
  <c r="BB314" i="7"/>
  <c r="BC314" i="7"/>
  <c r="BD314" i="7"/>
  <c r="BE314" i="7"/>
  <c r="BF314" i="7"/>
  <c r="BG314" i="7"/>
  <c r="BH314" i="7"/>
  <c r="BI314" i="7"/>
  <c r="BJ314" i="7"/>
  <c r="BK314" i="7"/>
  <c r="BL314" i="7"/>
  <c r="BM314" i="7"/>
  <c r="BN314" i="7"/>
  <c r="BO314" i="7"/>
  <c r="BP314" i="7"/>
  <c r="W446" i="7"/>
  <c r="X446" i="7"/>
  <c r="Y446" i="7"/>
  <c r="Z446" i="7"/>
  <c r="AA446" i="7"/>
  <c r="AB446" i="7"/>
  <c r="AC446" i="7"/>
  <c r="AD446" i="7"/>
  <c r="AE446" i="7"/>
  <c r="AF446" i="7"/>
  <c r="AG446" i="7"/>
  <c r="AH446" i="7"/>
  <c r="AI446" i="7"/>
  <c r="AJ446" i="7"/>
  <c r="AM446" i="7"/>
  <c r="AN446" i="7"/>
  <c r="AO446" i="7"/>
  <c r="AP446" i="7"/>
  <c r="AQ446" i="7"/>
  <c r="AR446" i="7"/>
  <c r="AS446" i="7"/>
  <c r="AT446" i="7"/>
  <c r="AU446" i="7"/>
  <c r="AV446" i="7"/>
  <c r="AW446" i="7"/>
  <c r="AX446" i="7"/>
  <c r="AY446" i="7"/>
  <c r="AZ446" i="7"/>
  <c r="BA446" i="7"/>
  <c r="BB446" i="7"/>
  <c r="BC446" i="7"/>
  <c r="BD446" i="7"/>
  <c r="BE446" i="7"/>
  <c r="BF446" i="7"/>
  <c r="BG446" i="7"/>
  <c r="BH446" i="7"/>
  <c r="BI446" i="7"/>
  <c r="BJ446" i="7"/>
  <c r="BK446" i="7"/>
  <c r="BL446" i="7"/>
  <c r="BM446" i="7"/>
  <c r="BN446" i="7"/>
  <c r="BO446" i="7"/>
  <c r="BP446" i="7"/>
  <c r="BQ446" i="7"/>
  <c r="BR446" i="7"/>
  <c r="W447" i="7"/>
  <c r="X447" i="7"/>
  <c r="Y447" i="7"/>
  <c r="Z447" i="7"/>
  <c r="AA447" i="7"/>
  <c r="AB447" i="7"/>
  <c r="AC447" i="7"/>
  <c r="AD447" i="7"/>
  <c r="AE447" i="7"/>
  <c r="AF447" i="7"/>
  <c r="AG447" i="7"/>
  <c r="AH447" i="7"/>
  <c r="AI447" i="7"/>
  <c r="AJ447" i="7"/>
  <c r="AK447" i="7"/>
  <c r="AL447" i="7"/>
  <c r="AM447" i="7"/>
  <c r="AN447" i="7"/>
  <c r="AO447" i="7"/>
  <c r="AP447" i="7"/>
  <c r="AQ447" i="7"/>
  <c r="AR447" i="7"/>
  <c r="AS447" i="7"/>
  <c r="AT447" i="7"/>
  <c r="AU447" i="7"/>
  <c r="AV447" i="7"/>
  <c r="AW447" i="7"/>
  <c r="AX447" i="7"/>
  <c r="AY447" i="7"/>
  <c r="AZ447" i="7"/>
  <c r="BA447" i="7"/>
  <c r="BB447" i="7"/>
  <c r="BC447" i="7"/>
  <c r="BD447" i="7"/>
  <c r="BE447" i="7"/>
  <c r="BF447" i="7"/>
  <c r="BG447" i="7"/>
  <c r="BH447" i="7"/>
  <c r="BI447" i="7"/>
  <c r="BJ447" i="7"/>
  <c r="BK447" i="7"/>
  <c r="BL447" i="7"/>
  <c r="BM447" i="7"/>
  <c r="BN447" i="7"/>
  <c r="BO447" i="7"/>
  <c r="BP447" i="7"/>
  <c r="BQ447" i="7"/>
  <c r="BR447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AJ262" i="7"/>
  <c r="AK262" i="7"/>
  <c r="AL262" i="7"/>
  <c r="AM262" i="7"/>
  <c r="AN262" i="7"/>
  <c r="AO262" i="7"/>
  <c r="AP262" i="7"/>
  <c r="AQ262" i="7"/>
  <c r="AR262" i="7"/>
  <c r="AS262" i="7"/>
  <c r="AT262" i="7"/>
  <c r="AU262" i="7"/>
  <c r="AV262" i="7"/>
  <c r="AW262" i="7"/>
  <c r="AX262" i="7"/>
  <c r="AY262" i="7"/>
  <c r="AZ262" i="7"/>
  <c r="BA262" i="7"/>
  <c r="BB262" i="7"/>
  <c r="BC262" i="7"/>
  <c r="BD262" i="7"/>
  <c r="BE262" i="7"/>
  <c r="BF262" i="7"/>
  <c r="BG262" i="7"/>
  <c r="BH262" i="7"/>
  <c r="BK262" i="7"/>
  <c r="BL262" i="7"/>
  <c r="BM262" i="7"/>
  <c r="BN262" i="7"/>
  <c r="BO262" i="7"/>
  <c r="BP262" i="7"/>
  <c r="BQ262" i="7"/>
  <c r="BR262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AK315" i="7"/>
  <c r="AL315" i="7"/>
  <c r="AM315" i="7"/>
  <c r="AN315" i="7"/>
  <c r="AO315" i="7"/>
  <c r="AP315" i="7"/>
  <c r="AQ315" i="7"/>
  <c r="AR315" i="7"/>
  <c r="AS315" i="7"/>
  <c r="AT315" i="7"/>
  <c r="AU315" i="7"/>
  <c r="AV315" i="7"/>
  <c r="AW315" i="7"/>
  <c r="AX315" i="7"/>
  <c r="AY315" i="7"/>
  <c r="AZ315" i="7"/>
  <c r="BA315" i="7"/>
  <c r="BB315" i="7"/>
  <c r="BC315" i="7"/>
  <c r="BD315" i="7"/>
  <c r="BE315" i="7"/>
  <c r="BF315" i="7"/>
  <c r="BG315" i="7"/>
  <c r="BH315" i="7"/>
  <c r="BI315" i="7"/>
  <c r="BJ315" i="7"/>
  <c r="BK315" i="7"/>
  <c r="BL315" i="7"/>
  <c r="BM315" i="7"/>
  <c r="BN315" i="7"/>
  <c r="BO315" i="7"/>
  <c r="BP315" i="7"/>
  <c r="BQ315" i="7"/>
  <c r="BR315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AK316" i="7"/>
  <c r="AL316" i="7"/>
  <c r="AM316" i="7"/>
  <c r="AN316" i="7"/>
  <c r="AO316" i="7"/>
  <c r="AP316" i="7"/>
  <c r="AQ316" i="7"/>
  <c r="AR316" i="7"/>
  <c r="AS316" i="7"/>
  <c r="AT316" i="7"/>
  <c r="AU316" i="7"/>
  <c r="AV316" i="7"/>
  <c r="AW316" i="7"/>
  <c r="AX316" i="7"/>
  <c r="AY316" i="7"/>
  <c r="AZ316" i="7"/>
  <c r="BA316" i="7"/>
  <c r="BB316" i="7"/>
  <c r="BC316" i="7"/>
  <c r="BD316" i="7"/>
  <c r="BE316" i="7"/>
  <c r="BF316" i="7"/>
  <c r="BG316" i="7"/>
  <c r="BH316" i="7"/>
  <c r="BI316" i="7"/>
  <c r="BJ316" i="7"/>
  <c r="BK316" i="7"/>
  <c r="BL316" i="7"/>
  <c r="BM316" i="7"/>
  <c r="BN316" i="7"/>
  <c r="BO316" i="7"/>
  <c r="BP316" i="7"/>
  <c r="BQ316" i="7"/>
  <c r="BR316" i="7"/>
  <c r="W448" i="7"/>
  <c r="X448" i="7"/>
  <c r="Y448" i="7"/>
  <c r="Z448" i="7"/>
  <c r="AA448" i="7"/>
  <c r="AB448" i="7"/>
  <c r="AC448" i="7"/>
  <c r="AD448" i="7"/>
  <c r="AE448" i="7"/>
  <c r="AF448" i="7"/>
  <c r="AG448" i="7"/>
  <c r="AH448" i="7"/>
  <c r="AI448" i="7"/>
  <c r="AJ448" i="7"/>
  <c r="AK448" i="7"/>
  <c r="AL448" i="7"/>
  <c r="AM448" i="7"/>
  <c r="AN448" i="7"/>
  <c r="AO448" i="7"/>
  <c r="AP448" i="7"/>
  <c r="AQ448" i="7"/>
  <c r="AR448" i="7"/>
  <c r="AS448" i="7"/>
  <c r="AT448" i="7"/>
  <c r="AU448" i="7"/>
  <c r="AV448" i="7"/>
  <c r="AW448" i="7"/>
  <c r="AX448" i="7"/>
  <c r="AY448" i="7"/>
  <c r="AZ448" i="7"/>
  <c r="BA448" i="7"/>
  <c r="BB448" i="7"/>
  <c r="BC448" i="7"/>
  <c r="BD448" i="7"/>
  <c r="BE448" i="7"/>
  <c r="BF448" i="7"/>
  <c r="BG448" i="7"/>
  <c r="BH448" i="7"/>
  <c r="BI448" i="7"/>
  <c r="BJ448" i="7"/>
  <c r="BK448" i="7"/>
  <c r="BL448" i="7"/>
  <c r="BM448" i="7"/>
  <c r="BN448" i="7"/>
  <c r="BO448" i="7"/>
  <c r="BP448" i="7"/>
  <c r="BQ448" i="7"/>
  <c r="BR448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AJ263" i="7"/>
  <c r="AK263" i="7"/>
  <c r="AL263" i="7"/>
  <c r="AM263" i="7"/>
  <c r="AN263" i="7"/>
  <c r="AO263" i="7"/>
  <c r="AP263" i="7"/>
  <c r="AQ263" i="7"/>
  <c r="AR263" i="7"/>
  <c r="AS263" i="7"/>
  <c r="AT263" i="7"/>
  <c r="AU263" i="7"/>
  <c r="AV263" i="7"/>
  <c r="AW263" i="7"/>
  <c r="AX263" i="7"/>
  <c r="AY263" i="7"/>
  <c r="AZ263" i="7"/>
  <c r="BA263" i="7"/>
  <c r="BB263" i="7"/>
  <c r="BC263" i="7"/>
  <c r="BD263" i="7"/>
  <c r="BE263" i="7"/>
  <c r="BF263" i="7"/>
  <c r="BG263" i="7"/>
  <c r="BH263" i="7"/>
  <c r="BI263" i="7"/>
  <c r="BJ263" i="7"/>
  <c r="BK263" i="7"/>
  <c r="BL263" i="7"/>
  <c r="BM263" i="7"/>
  <c r="BN263" i="7"/>
  <c r="BO263" i="7"/>
  <c r="BP263" i="7"/>
  <c r="BQ263" i="7"/>
  <c r="BR263" i="7"/>
  <c r="W449" i="7"/>
  <c r="X449" i="7"/>
  <c r="Y449" i="7"/>
  <c r="Z449" i="7"/>
  <c r="AA449" i="7"/>
  <c r="AB449" i="7"/>
  <c r="AC449" i="7"/>
  <c r="AD449" i="7"/>
  <c r="AE449" i="7"/>
  <c r="AF449" i="7"/>
  <c r="AG449" i="7"/>
  <c r="AH449" i="7"/>
  <c r="AI449" i="7"/>
  <c r="AJ449" i="7"/>
  <c r="AK449" i="7"/>
  <c r="AL449" i="7"/>
  <c r="AM449" i="7"/>
  <c r="AN449" i="7"/>
  <c r="AO449" i="7"/>
  <c r="AP449" i="7"/>
  <c r="AQ449" i="7"/>
  <c r="AR449" i="7"/>
  <c r="AS449" i="7"/>
  <c r="AT449" i="7"/>
  <c r="AU449" i="7"/>
  <c r="AV449" i="7"/>
  <c r="AW449" i="7"/>
  <c r="AX449" i="7"/>
  <c r="AY449" i="7"/>
  <c r="AZ449" i="7"/>
  <c r="BA449" i="7"/>
  <c r="BB449" i="7"/>
  <c r="BC449" i="7"/>
  <c r="BD449" i="7"/>
  <c r="BE449" i="7"/>
  <c r="BF449" i="7"/>
  <c r="BG449" i="7"/>
  <c r="BH449" i="7"/>
  <c r="BI449" i="7"/>
  <c r="BJ449" i="7"/>
  <c r="BK449" i="7"/>
  <c r="BL449" i="7"/>
  <c r="BM449" i="7"/>
  <c r="BN449" i="7"/>
  <c r="BO449" i="7"/>
  <c r="BP449" i="7"/>
  <c r="BQ449" i="7"/>
  <c r="BR449" i="7"/>
  <c r="W450" i="7"/>
  <c r="X450" i="7"/>
  <c r="Y450" i="7"/>
  <c r="Z450" i="7"/>
  <c r="AA450" i="7"/>
  <c r="AB450" i="7"/>
  <c r="AC450" i="7"/>
  <c r="AD450" i="7"/>
  <c r="AE450" i="7"/>
  <c r="AF450" i="7"/>
  <c r="AG450" i="7"/>
  <c r="AH450" i="7"/>
  <c r="AI450" i="7"/>
  <c r="AJ450" i="7"/>
  <c r="AK450" i="7"/>
  <c r="AL450" i="7"/>
  <c r="AM450" i="7"/>
  <c r="AN450" i="7"/>
  <c r="AO450" i="7"/>
  <c r="AP450" i="7"/>
  <c r="AQ450" i="7"/>
  <c r="AR450" i="7"/>
  <c r="AS450" i="7"/>
  <c r="AT450" i="7"/>
  <c r="AU450" i="7"/>
  <c r="AV450" i="7"/>
  <c r="AW450" i="7"/>
  <c r="AX450" i="7"/>
  <c r="AY450" i="7"/>
  <c r="AZ450" i="7"/>
  <c r="BA450" i="7"/>
  <c r="BB450" i="7"/>
  <c r="BC450" i="7"/>
  <c r="BD450" i="7"/>
  <c r="BE450" i="7"/>
  <c r="BF450" i="7"/>
  <c r="BG450" i="7"/>
  <c r="BH450" i="7"/>
  <c r="BI450" i="7"/>
  <c r="BJ450" i="7"/>
  <c r="BK450" i="7"/>
  <c r="BL450" i="7"/>
  <c r="BM450" i="7"/>
  <c r="BN450" i="7"/>
  <c r="BO450" i="7"/>
  <c r="BP450" i="7"/>
  <c r="BQ450" i="7"/>
  <c r="BR450" i="7"/>
  <c r="W451" i="7"/>
  <c r="X451" i="7"/>
  <c r="Y451" i="7"/>
  <c r="Z451" i="7"/>
  <c r="AA451" i="7"/>
  <c r="AB451" i="7"/>
  <c r="AC451" i="7"/>
  <c r="AD451" i="7"/>
  <c r="AE451" i="7"/>
  <c r="AF451" i="7"/>
  <c r="AG451" i="7"/>
  <c r="AH451" i="7"/>
  <c r="AI451" i="7"/>
  <c r="AJ451" i="7"/>
  <c r="AK451" i="7"/>
  <c r="AL451" i="7"/>
  <c r="AM451" i="7"/>
  <c r="AN451" i="7"/>
  <c r="AO451" i="7"/>
  <c r="AP451" i="7"/>
  <c r="AQ451" i="7"/>
  <c r="AR451" i="7"/>
  <c r="AS451" i="7"/>
  <c r="AT451" i="7"/>
  <c r="AU451" i="7"/>
  <c r="AV451" i="7"/>
  <c r="AW451" i="7"/>
  <c r="AX451" i="7"/>
  <c r="AY451" i="7"/>
  <c r="AZ451" i="7"/>
  <c r="BA451" i="7"/>
  <c r="BB451" i="7"/>
  <c r="BC451" i="7"/>
  <c r="BD451" i="7"/>
  <c r="BE451" i="7"/>
  <c r="BF451" i="7"/>
  <c r="BG451" i="7"/>
  <c r="BH451" i="7"/>
  <c r="BI451" i="7"/>
  <c r="BJ451" i="7"/>
  <c r="BK451" i="7"/>
  <c r="BL451" i="7"/>
  <c r="BM451" i="7"/>
  <c r="BN451" i="7"/>
  <c r="BO451" i="7"/>
  <c r="BP451" i="7"/>
  <c r="BQ451" i="7"/>
  <c r="BR451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AJ264" i="7"/>
  <c r="AK264" i="7"/>
  <c r="AL264" i="7"/>
  <c r="AM264" i="7"/>
  <c r="AN264" i="7"/>
  <c r="AO264" i="7"/>
  <c r="AP264" i="7"/>
  <c r="AQ264" i="7"/>
  <c r="AR264" i="7"/>
  <c r="AS264" i="7"/>
  <c r="AT264" i="7"/>
  <c r="AU264" i="7"/>
  <c r="AV264" i="7"/>
  <c r="AW264" i="7"/>
  <c r="AX264" i="7"/>
  <c r="AY264" i="7"/>
  <c r="AZ264" i="7"/>
  <c r="BA264" i="7"/>
  <c r="BB264" i="7"/>
  <c r="BC264" i="7"/>
  <c r="BD264" i="7"/>
  <c r="BE264" i="7"/>
  <c r="BF264" i="7"/>
  <c r="BG264" i="7"/>
  <c r="BH264" i="7"/>
  <c r="BI264" i="7"/>
  <c r="BJ264" i="7"/>
  <c r="BK264" i="7"/>
  <c r="BL264" i="7"/>
  <c r="BM264" i="7"/>
  <c r="BN264" i="7"/>
  <c r="BO264" i="7"/>
  <c r="BP264" i="7"/>
  <c r="BQ264" i="7"/>
  <c r="BR264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AK317" i="7"/>
  <c r="AL317" i="7"/>
  <c r="AM317" i="7"/>
  <c r="AN317" i="7"/>
  <c r="AO317" i="7"/>
  <c r="AP317" i="7"/>
  <c r="AQ317" i="7"/>
  <c r="AR317" i="7"/>
  <c r="AS317" i="7"/>
  <c r="AT317" i="7"/>
  <c r="AU317" i="7"/>
  <c r="AV317" i="7"/>
  <c r="AW317" i="7"/>
  <c r="AX317" i="7"/>
  <c r="AY317" i="7"/>
  <c r="AZ317" i="7"/>
  <c r="BA317" i="7"/>
  <c r="BB317" i="7"/>
  <c r="BC317" i="7"/>
  <c r="BD317" i="7"/>
  <c r="BE317" i="7"/>
  <c r="BF317" i="7"/>
  <c r="BG317" i="7"/>
  <c r="BH317" i="7"/>
  <c r="BI317" i="7"/>
  <c r="BJ317" i="7"/>
  <c r="BK317" i="7"/>
  <c r="BL317" i="7"/>
  <c r="BM317" i="7"/>
  <c r="BN317" i="7"/>
  <c r="BO317" i="7"/>
  <c r="BP317" i="7"/>
  <c r="BQ317" i="7"/>
  <c r="BR317" i="7"/>
  <c r="W452" i="7"/>
  <c r="X452" i="7"/>
  <c r="Y452" i="7"/>
  <c r="Z452" i="7"/>
  <c r="AA452" i="7"/>
  <c r="AB452" i="7"/>
  <c r="AC452" i="7"/>
  <c r="AD452" i="7"/>
  <c r="AE452" i="7"/>
  <c r="AF452" i="7"/>
  <c r="AG452" i="7"/>
  <c r="AH452" i="7"/>
  <c r="AI452" i="7"/>
  <c r="AJ452" i="7"/>
  <c r="AK452" i="7"/>
  <c r="AL452" i="7"/>
  <c r="AM452" i="7"/>
  <c r="AN452" i="7"/>
  <c r="AO452" i="7"/>
  <c r="AP452" i="7"/>
  <c r="AQ452" i="7"/>
  <c r="AR452" i="7"/>
  <c r="AS452" i="7"/>
  <c r="AT452" i="7"/>
  <c r="AU452" i="7"/>
  <c r="AV452" i="7"/>
  <c r="AW452" i="7"/>
  <c r="AX452" i="7"/>
  <c r="AY452" i="7"/>
  <c r="AZ452" i="7"/>
  <c r="BA452" i="7"/>
  <c r="BB452" i="7"/>
  <c r="BC452" i="7"/>
  <c r="BD452" i="7"/>
  <c r="BE452" i="7"/>
  <c r="BF452" i="7"/>
  <c r="BG452" i="7"/>
  <c r="BH452" i="7"/>
  <c r="BI452" i="7"/>
  <c r="BJ452" i="7"/>
  <c r="BK452" i="7"/>
  <c r="BL452" i="7"/>
  <c r="BM452" i="7"/>
  <c r="BN452" i="7"/>
  <c r="BO452" i="7"/>
  <c r="BP452" i="7"/>
  <c r="BQ452" i="7"/>
  <c r="BR452" i="7"/>
  <c r="W453" i="7"/>
  <c r="X453" i="7"/>
  <c r="Y453" i="7"/>
  <c r="Z453" i="7"/>
  <c r="AA453" i="7"/>
  <c r="AB453" i="7"/>
  <c r="AC453" i="7"/>
  <c r="AD453" i="7"/>
  <c r="AE453" i="7"/>
  <c r="AF453" i="7"/>
  <c r="AG453" i="7"/>
  <c r="AH453" i="7"/>
  <c r="AI453" i="7"/>
  <c r="AJ453" i="7"/>
  <c r="AK453" i="7"/>
  <c r="AL453" i="7"/>
  <c r="AM453" i="7"/>
  <c r="AN453" i="7"/>
  <c r="AO453" i="7"/>
  <c r="AP453" i="7"/>
  <c r="AQ453" i="7"/>
  <c r="AR453" i="7"/>
  <c r="AS453" i="7"/>
  <c r="AT453" i="7"/>
  <c r="AU453" i="7"/>
  <c r="AV453" i="7"/>
  <c r="AW453" i="7"/>
  <c r="AX453" i="7"/>
  <c r="AY453" i="7"/>
  <c r="AZ453" i="7"/>
  <c r="BA453" i="7"/>
  <c r="BB453" i="7"/>
  <c r="BC453" i="7"/>
  <c r="BD453" i="7"/>
  <c r="BE453" i="7"/>
  <c r="BF453" i="7"/>
  <c r="BG453" i="7"/>
  <c r="BH453" i="7"/>
  <c r="BI453" i="7"/>
  <c r="BJ453" i="7"/>
  <c r="BK453" i="7"/>
  <c r="BL453" i="7"/>
  <c r="BM453" i="7"/>
  <c r="BN453" i="7"/>
  <c r="BO453" i="7"/>
  <c r="BP453" i="7"/>
  <c r="BQ453" i="7"/>
  <c r="BR453" i="7"/>
  <c r="W454" i="7"/>
  <c r="X454" i="7"/>
  <c r="Y454" i="7"/>
  <c r="Z454" i="7"/>
  <c r="AA454" i="7"/>
  <c r="AB454" i="7"/>
  <c r="AC454" i="7"/>
  <c r="AD454" i="7"/>
  <c r="AE454" i="7"/>
  <c r="AF454" i="7"/>
  <c r="AG454" i="7"/>
  <c r="AH454" i="7"/>
  <c r="AI454" i="7"/>
  <c r="AJ454" i="7"/>
  <c r="AK454" i="7"/>
  <c r="AL454" i="7"/>
  <c r="AM454" i="7"/>
  <c r="AN454" i="7"/>
  <c r="AO454" i="7"/>
  <c r="AP454" i="7"/>
  <c r="AQ454" i="7"/>
  <c r="AR454" i="7"/>
  <c r="AS454" i="7"/>
  <c r="AT454" i="7"/>
  <c r="AU454" i="7"/>
  <c r="AV454" i="7"/>
  <c r="AW454" i="7"/>
  <c r="AX454" i="7"/>
  <c r="AY454" i="7"/>
  <c r="AZ454" i="7"/>
  <c r="BA454" i="7"/>
  <c r="BB454" i="7"/>
  <c r="BC454" i="7"/>
  <c r="BD454" i="7"/>
  <c r="BE454" i="7"/>
  <c r="BF454" i="7"/>
  <c r="BG454" i="7"/>
  <c r="BH454" i="7"/>
  <c r="BI454" i="7"/>
  <c r="BJ454" i="7"/>
  <c r="BK454" i="7"/>
  <c r="BL454" i="7"/>
  <c r="BM454" i="7"/>
  <c r="BN454" i="7"/>
  <c r="BO454" i="7"/>
  <c r="BP454" i="7"/>
  <c r="BQ454" i="7"/>
  <c r="BR454" i="7"/>
  <c r="W455" i="7"/>
  <c r="X455" i="7"/>
  <c r="Y455" i="7"/>
  <c r="Z455" i="7"/>
  <c r="AA455" i="7"/>
  <c r="AB455" i="7"/>
  <c r="AC455" i="7"/>
  <c r="AD455" i="7"/>
  <c r="AE455" i="7"/>
  <c r="AF455" i="7"/>
  <c r="AG455" i="7"/>
  <c r="AH455" i="7"/>
  <c r="AI455" i="7"/>
  <c r="AJ455" i="7"/>
  <c r="AK455" i="7"/>
  <c r="AL455" i="7"/>
  <c r="AM455" i="7"/>
  <c r="AN455" i="7"/>
  <c r="AO455" i="7"/>
  <c r="AP455" i="7"/>
  <c r="AQ455" i="7"/>
  <c r="AR455" i="7"/>
  <c r="AS455" i="7"/>
  <c r="AT455" i="7"/>
  <c r="AU455" i="7"/>
  <c r="AV455" i="7"/>
  <c r="AW455" i="7"/>
  <c r="AX455" i="7"/>
  <c r="AY455" i="7"/>
  <c r="AZ455" i="7"/>
  <c r="BA455" i="7"/>
  <c r="BB455" i="7"/>
  <c r="BC455" i="7"/>
  <c r="BD455" i="7"/>
  <c r="BE455" i="7"/>
  <c r="BF455" i="7"/>
  <c r="BG455" i="7"/>
  <c r="BH455" i="7"/>
  <c r="BI455" i="7"/>
  <c r="BJ455" i="7"/>
  <c r="BK455" i="7"/>
  <c r="BL455" i="7"/>
  <c r="BM455" i="7"/>
  <c r="BN455" i="7"/>
  <c r="BO455" i="7"/>
  <c r="BP455" i="7"/>
  <c r="BQ455" i="7"/>
  <c r="BR455" i="7"/>
  <c r="W456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AK456" i="7"/>
  <c r="AL456" i="7"/>
  <c r="AM456" i="7"/>
  <c r="AN456" i="7"/>
  <c r="AO456" i="7"/>
  <c r="AP456" i="7"/>
  <c r="AQ456" i="7"/>
  <c r="AR456" i="7"/>
  <c r="AS456" i="7"/>
  <c r="AT456" i="7"/>
  <c r="AU456" i="7"/>
  <c r="AV456" i="7"/>
  <c r="AW456" i="7"/>
  <c r="AX456" i="7"/>
  <c r="AY456" i="7"/>
  <c r="AZ456" i="7"/>
  <c r="BA456" i="7"/>
  <c r="BB456" i="7"/>
  <c r="BC456" i="7"/>
  <c r="BD456" i="7"/>
  <c r="BE456" i="7"/>
  <c r="BF456" i="7"/>
  <c r="BG456" i="7"/>
  <c r="BH456" i="7"/>
  <c r="BI456" i="7"/>
  <c r="BJ456" i="7"/>
  <c r="BK456" i="7"/>
  <c r="BL456" i="7"/>
  <c r="BM456" i="7"/>
  <c r="BN456" i="7"/>
  <c r="BO456" i="7"/>
  <c r="BP456" i="7"/>
  <c r="BQ456" i="7"/>
  <c r="BR456" i="7"/>
  <c r="W457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AK457" i="7"/>
  <c r="AL457" i="7"/>
  <c r="AM457" i="7"/>
  <c r="AN457" i="7"/>
  <c r="AO457" i="7"/>
  <c r="AP457" i="7"/>
  <c r="AQ457" i="7"/>
  <c r="AR457" i="7"/>
  <c r="AS457" i="7"/>
  <c r="AT457" i="7"/>
  <c r="AU457" i="7"/>
  <c r="AV457" i="7"/>
  <c r="AW457" i="7"/>
  <c r="AX457" i="7"/>
  <c r="AY457" i="7"/>
  <c r="AZ457" i="7"/>
  <c r="BA457" i="7"/>
  <c r="BB457" i="7"/>
  <c r="BC457" i="7"/>
  <c r="BD457" i="7"/>
  <c r="BE457" i="7"/>
  <c r="BF457" i="7"/>
  <c r="BG457" i="7"/>
  <c r="BH457" i="7"/>
  <c r="BI457" i="7"/>
  <c r="BJ457" i="7"/>
  <c r="BK457" i="7"/>
  <c r="BL457" i="7"/>
  <c r="BM457" i="7"/>
  <c r="BN457" i="7"/>
  <c r="BO457" i="7"/>
  <c r="BP457" i="7"/>
  <c r="BQ457" i="7"/>
  <c r="BR457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AK318" i="7"/>
  <c r="AL318" i="7"/>
  <c r="AM318" i="7"/>
  <c r="AN318" i="7"/>
  <c r="AO318" i="7"/>
  <c r="AP318" i="7"/>
  <c r="AQ318" i="7"/>
  <c r="AR318" i="7"/>
  <c r="AS318" i="7"/>
  <c r="AT318" i="7"/>
  <c r="AU318" i="7"/>
  <c r="AV318" i="7"/>
  <c r="AW318" i="7"/>
  <c r="AX318" i="7"/>
  <c r="AY318" i="7"/>
  <c r="AZ318" i="7"/>
  <c r="BA318" i="7"/>
  <c r="BB318" i="7"/>
  <c r="BC318" i="7"/>
  <c r="BD318" i="7"/>
  <c r="BE318" i="7"/>
  <c r="BF318" i="7"/>
  <c r="BG318" i="7"/>
  <c r="BH318" i="7"/>
  <c r="BI318" i="7"/>
  <c r="BJ318" i="7"/>
  <c r="BK318" i="7"/>
  <c r="BL318" i="7"/>
  <c r="BM318" i="7"/>
  <c r="BN318" i="7"/>
  <c r="BO318" i="7"/>
  <c r="BP318" i="7"/>
  <c r="BQ318" i="7"/>
  <c r="BR318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AJ265" i="7"/>
  <c r="AK265" i="7"/>
  <c r="AL265" i="7"/>
  <c r="AM265" i="7"/>
  <c r="AN265" i="7"/>
  <c r="AO265" i="7"/>
  <c r="AP265" i="7"/>
  <c r="AQ265" i="7"/>
  <c r="AR265" i="7"/>
  <c r="AS265" i="7"/>
  <c r="AT265" i="7"/>
  <c r="AU265" i="7"/>
  <c r="AV265" i="7"/>
  <c r="AW265" i="7"/>
  <c r="AX265" i="7"/>
  <c r="AY265" i="7"/>
  <c r="AZ265" i="7"/>
  <c r="BA265" i="7"/>
  <c r="BB265" i="7"/>
  <c r="BC265" i="7"/>
  <c r="BD265" i="7"/>
  <c r="BE265" i="7"/>
  <c r="BF265" i="7"/>
  <c r="BG265" i="7"/>
  <c r="BH265" i="7"/>
  <c r="BI265" i="7"/>
  <c r="BJ265" i="7"/>
  <c r="BK265" i="7"/>
  <c r="BL265" i="7"/>
  <c r="BM265" i="7"/>
  <c r="BN265" i="7"/>
  <c r="BO265" i="7"/>
  <c r="BP265" i="7"/>
  <c r="BQ265" i="7"/>
  <c r="BR265" i="7"/>
  <c r="W458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AK458" i="7"/>
  <c r="AL458" i="7"/>
  <c r="AM458" i="7"/>
  <c r="AN458" i="7"/>
  <c r="AO458" i="7"/>
  <c r="AP458" i="7"/>
  <c r="AQ458" i="7"/>
  <c r="AR458" i="7"/>
  <c r="AS458" i="7"/>
  <c r="AT458" i="7"/>
  <c r="AU458" i="7"/>
  <c r="AV458" i="7"/>
  <c r="AW458" i="7"/>
  <c r="AX458" i="7"/>
  <c r="AY458" i="7"/>
  <c r="AZ458" i="7"/>
  <c r="BA458" i="7"/>
  <c r="BB458" i="7"/>
  <c r="BC458" i="7"/>
  <c r="BD458" i="7"/>
  <c r="BE458" i="7"/>
  <c r="BF458" i="7"/>
  <c r="BG458" i="7"/>
  <c r="BH458" i="7"/>
  <c r="BI458" i="7"/>
  <c r="BJ458" i="7"/>
  <c r="BK458" i="7"/>
  <c r="BL458" i="7"/>
  <c r="BM458" i="7"/>
  <c r="BN458" i="7"/>
  <c r="BO458" i="7"/>
  <c r="BP458" i="7"/>
  <c r="BQ458" i="7"/>
  <c r="BR458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AK319" i="7"/>
  <c r="AL319" i="7"/>
  <c r="AM319" i="7"/>
  <c r="AN319" i="7"/>
  <c r="AO319" i="7"/>
  <c r="AP319" i="7"/>
  <c r="AQ319" i="7"/>
  <c r="AR319" i="7"/>
  <c r="AS319" i="7"/>
  <c r="AT319" i="7"/>
  <c r="AU319" i="7"/>
  <c r="AV319" i="7"/>
  <c r="AW319" i="7"/>
  <c r="AX319" i="7"/>
  <c r="AY319" i="7"/>
  <c r="AZ319" i="7"/>
  <c r="BA319" i="7"/>
  <c r="BB319" i="7"/>
  <c r="BC319" i="7"/>
  <c r="BD319" i="7"/>
  <c r="BE319" i="7"/>
  <c r="BF319" i="7"/>
  <c r="BG319" i="7"/>
  <c r="BH319" i="7"/>
  <c r="BI319" i="7"/>
  <c r="BJ319" i="7"/>
  <c r="BK319" i="7"/>
  <c r="BL319" i="7"/>
  <c r="BM319" i="7"/>
  <c r="BN319" i="7"/>
  <c r="BO319" i="7"/>
  <c r="BP319" i="7"/>
  <c r="BQ319" i="7"/>
  <c r="BR319" i="7"/>
  <c r="W459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AK459" i="7"/>
  <c r="AL459" i="7"/>
  <c r="AM459" i="7"/>
  <c r="AN459" i="7"/>
  <c r="AO459" i="7"/>
  <c r="AP459" i="7"/>
  <c r="AQ459" i="7"/>
  <c r="AR459" i="7"/>
  <c r="AS459" i="7"/>
  <c r="AT459" i="7"/>
  <c r="AU459" i="7"/>
  <c r="AV459" i="7"/>
  <c r="AW459" i="7"/>
  <c r="AX459" i="7"/>
  <c r="AY459" i="7"/>
  <c r="AZ459" i="7"/>
  <c r="BA459" i="7"/>
  <c r="BB459" i="7"/>
  <c r="BC459" i="7"/>
  <c r="BD459" i="7"/>
  <c r="BE459" i="7"/>
  <c r="BF459" i="7"/>
  <c r="BG459" i="7"/>
  <c r="BH459" i="7"/>
  <c r="BI459" i="7"/>
  <c r="BJ459" i="7"/>
  <c r="BK459" i="7"/>
  <c r="BL459" i="7"/>
  <c r="BM459" i="7"/>
  <c r="BN459" i="7"/>
  <c r="BO459" i="7"/>
  <c r="BP459" i="7"/>
  <c r="BQ459" i="7"/>
  <c r="BR459" i="7"/>
  <c r="W460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AK460" i="7"/>
  <c r="AL460" i="7"/>
  <c r="AM460" i="7"/>
  <c r="AN460" i="7"/>
  <c r="AO460" i="7"/>
  <c r="AP460" i="7"/>
  <c r="AQ460" i="7"/>
  <c r="AR460" i="7"/>
  <c r="AS460" i="7"/>
  <c r="AT460" i="7"/>
  <c r="AU460" i="7"/>
  <c r="AV460" i="7"/>
  <c r="AW460" i="7"/>
  <c r="AX460" i="7"/>
  <c r="AY460" i="7"/>
  <c r="AZ460" i="7"/>
  <c r="BA460" i="7"/>
  <c r="BB460" i="7"/>
  <c r="BC460" i="7"/>
  <c r="BD460" i="7"/>
  <c r="BE460" i="7"/>
  <c r="BF460" i="7"/>
  <c r="BG460" i="7"/>
  <c r="BH460" i="7"/>
  <c r="BI460" i="7"/>
  <c r="BJ460" i="7"/>
  <c r="BK460" i="7"/>
  <c r="BL460" i="7"/>
  <c r="BM460" i="7"/>
  <c r="BN460" i="7"/>
  <c r="BO460" i="7"/>
  <c r="BP460" i="7"/>
  <c r="BQ460" i="7"/>
  <c r="BR46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BI200" i="7"/>
  <c r="BJ200" i="7"/>
  <c r="BK200" i="7"/>
  <c r="BL200" i="7"/>
  <c r="BM200" i="7"/>
  <c r="BN200" i="7"/>
  <c r="BO200" i="7"/>
  <c r="BP200" i="7"/>
  <c r="BQ200" i="7"/>
  <c r="BR200" i="7"/>
  <c r="W461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AK461" i="7"/>
  <c r="AL461" i="7"/>
  <c r="AM461" i="7"/>
  <c r="AN461" i="7"/>
  <c r="AO461" i="7"/>
  <c r="AP461" i="7"/>
  <c r="AQ461" i="7"/>
  <c r="AR461" i="7"/>
  <c r="AS461" i="7"/>
  <c r="AT461" i="7"/>
  <c r="AU461" i="7"/>
  <c r="AV461" i="7"/>
  <c r="AW461" i="7"/>
  <c r="AX461" i="7"/>
  <c r="AY461" i="7"/>
  <c r="AZ461" i="7"/>
  <c r="BA461" i="7"/>
  <c r="BB461" i="7"/>
  <c r="BC461" i="7"/>
  <c r="BD461" i="7"/>
  <c r="BE461" i="7"/>
  <c r="BF461" i="7"/>
  <c r="BG461" i="7"/>
  <c r="BH461" i="7"/>
  <c r="BI461" i="7"/>
  <c r="BJ461" i="7"/>
  <c r="BK461" i="7"/>
  <c r="BL461" i="7"/>
  <c r="BM461" i="7"/>
  <c r="BN461" i="7"/>
  <c r="BO461" i="7"/>
  <c r="BP461" i="7"/>
  <c r="BQ461" i="7"/>
  <c r="BR461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AK320" i="7"/>
  <c r="AL320" i="7"/>
  <c r="AM320" i="7"/>
  <c r="AN320" i="7"/>
  <c r="AO320" i="7"/>
  <c r="AP320" i="7"/>
  <c r="AQ320" i="7"/>
  <c r="AR320" i="7"/>
  <c r="AS320" i="7"/>
  <c r="AT320" i="7"/>
  <c r="AU320" i="7"/>
  <c r="AV320" i="7"/>
  <c r="AW320" i="7"/>
  <c r="AX320" i="7"/>
  <c r="AY320" i="7"/>
  <c r="AZ320" i="7"/>
  <c r="BA320" i="7"/>
  <c r="BB320" i="7"/>
  <c r="BC320" i="7"/>
  <c r="BD320" i="7"/>
  <c r="BE320" i="7"/>
  <c r="BF320" i="7"/>
  <c r="BG320" i="7"/>
  <c r="BH320" i="7"/>
  <c r="BI320" i="7"/>
  <c r="BJ320" i="7"/>
  <c r="BK320" i="7"/>
  <c r="BL320" i="7"/>
  <c r="BM320" i="7"/>
  <c r="BN320" i="7"/>
  <c r="BO320" i="7"/>
  <c r="BP320" i="7"/>
  <c r="BQ320" i="7"/>
  <c r="BR320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AK321" i="7"/>
  <c r="AL321" i="7"/>
  <c r="AM321" i="7"/>
  <c r="AN321" i="7"/>
  <c r="AO321" i="7"/>
  <c r="AP321" i="7"/>
  <c r="AQ321" i="7"/>
  <c r="AR321" i="7"/>
  <c r="AS321" i="7"/>
  <c r="AT321" i="7"/>
  <c r="AU321" i="7"/>
  <c r="AV321" i="7"/>
  <c r="AW321" i="7"/>
  <c r="AX321" i="7"/>
  <c r="AY321" i="7"/>
  <c r="AZ321" i="7"/>
  <c r="BA321" i="7"/>
  <c r="BB321" i="7"/>
  <c r="BC321" i="7"/>
  <c r="BD321" i="7"/>
  <c r="BE321" i="7"/>
  <c r="BF321" i="7"/>
  <c r="BG321" i="7"/>
  <c r="BH321" i="7"/>
  <c r="BI321" i="7"/>
  <c r="BJ321" i="7"/>
  <c r="BK321" i="7"/>
  <c r="BL321" i="7"/>
  <c r="BM321" i="7"/>
  <c r="BN321" i="7"/>
  <c r="BO321" i="7"/>
  <c r="BP321" i="7"/>
  <c r="BQ321" i="7"/>
  <c r="BR321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AK322" i="7"/>
  <c r="AL322" i="7"/>
  <c r="AM322" i="7"/>
  <c r="AN322" i="7"/>
  <c r="AO322" i="7"/>
  <c r="AP322" i="7"/>
  <c r="AQ322" i="7"/>
  <c r="AR322" i="7"/>
  <c r="AS322" i="7"/>
  <c r="AT322" i="7"/>
  <c r="AU322" i="7"/>
  <c r="AV322" i="7"/>
  <c r="AW322" i="7"/>
  <c r="AX322" i="7"/>
  <c r="AY322" i="7"/>
  <c r="AZ322" i="7"/>
  <c r="BA322" i="7"/>
  <c r="BB322" i="7"/>
  <c r="BC322" i="7"/>
  <c r="BD322" i="7"/>
  <c r="BE322" i="7"/>
  <c r="BF322" i="7"/>
  <c r="BG322" i="7"/>
  <c r="BH322" i="7"/>
  <c r="BI322" i="7"/>
  <c r="BJ322" i="7"/>
  <c r="BK322" i="7"/>
  <c r="BL322" i="7"/>
  <c r="BM322" i="7"/>
  <c r="BN322" i="7"/>
  <c r="BO322" i="7"/>
  <c r="BP322" i="7"/>
  <c r="BQ322" i="7"/>
  <c r="BR32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AK462" i="7"/>
  <c r="AL462" i="7"/>
  <c r="AM462" i="7"/>
  <c r="AN462" i="7"/>
  <c r="AO462" i="7"/>
  <c r="AP462" i="7"/>
  <c r="AQ462" i="7"/>
  <c r="AR462" i="7"/>
  <c r="AS462" i="7"/>
  <c r="AT462" i="7"/>
  <c r="AU462" i="7"/>
  <c r="AV462" i="7"/>
  <c r="AW462" i="7"/>
  <c r="AX462" i="7"/>
  <c r="AY462" i="7"/>
  <c r="AZ462" i="7"/>
  <c r="BA462" i="7"/>
  <c r="BB462" i="7"/>
  <c r="BC462" i="7"/>
  <c r="BD462" i="7"/>
  <c r="BE462" i="7"/>
  <c r="BF462" i="7"/>
  <c r="BG462" i="7"/>
  <c r="BH462" i="7"/>
  <c r="BI462" i="7"/>
  <c r="BJ462" i="7"/>
  <c r="BK462" i="7"/>
  <c r="BL462" i="7"/>
  <c r="BM462" i="7"/>
  <c r="BN462" i="7"/>
  <c r="BO462" i="7"/>
  <c r="BP462" i="7"/>
  <c r="BQ462" i="7"/>
  <c r="BR462" i="7"/>
  <c r="W463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AK463" i="7"/>
  <c r="AL463" i="7"/>
  <c r="AM463" i="7"/>
  <c r="AN463" i="7"/>
  <c r="AO463" i="7"/>
  <c r="AP463" i="7"/>
  <c r="AQ463" i="7"/>
  <c r="AR463" i="7"/>
  <c r="AS463" i="7"/>
  <c r="AT463" i="7"/>
  <c r="AU463" i="7"/>
  <c r="AV463" i="7"/>
  <c r="AW463" i="7"/>
  <c r="AX463" i="7"/>
  <c r="AY463" i="7"/>
  <c r="AZ463" i="7"/>
  <c r="BA463" i="7"/>
  <c r="BB463" i="7"/>
  <c r="BC463" i="7"/>
  <c r="BD463" i="7"/>
  <c r="BE463" i="7"/>
  <c r="BF463" i="7"/>
  <c r="BG463" i="7"/>
  <c r="BH463" i="7"/>
  <c r="BI463" i="7"/>
  <c r="BJ463" i="7"/>
  <c r="BK463" i="7"/>
  <c r="BL463" i="7"/>
  <c r="BM463" i="7"/>
  <c r="BN463" i="7"/>
  <c r="BO463" i="7"/>
  <c r="BP463" i="7"/>
  <c r="BQ463" i="7"/>
  <c r="BR463" i="7"/>
  <c r="W464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AK464" i="7"/>
  <c r="AL464" i="7"/>
  <c r="AM464" i="7"/>
  <c r="AN464" i="7"/>
  <c r="AO464" i="7"/>
  <c r="AP464" i="7"/>
  <c r="AQ464" i="7"/>
  <c r="AR464" i="7"/>
  <c r="AS464" i="7"/>
  <c r="AT464" i="7"/>
  <c r="AU464" i="7"/>
  <c r="AV464" i="7"/>
  <c r="AW464" i="7"/>
  <c r="AX464" i="7"/>
  <c r="AY464" i="7"/>
  <c r="AZ464" i="7"/>
  <c r="BA464" i="7"/>
  <c r="BB464" i="7"/>
  <c r="BC464" i="7"/>
  <c r="BD464" i="7"/>
  <c r="BE464" i="7"/>
  <c r="BF464" i="7"/>
  <c r="BG464" i="7"/>
  <c r="BH464" i="7"/>
  <c r="BI464" i="7"/>
  <c r="BJ464" i="7"/>
  <c r="BK464" i="7"/>
  <c r="BL464" i="7"/>
  <c r="BM464" i="7"/>
  <c r="BN464" i="7"/>
  <c r="BO464" i="7"/>
  <c r="BP464" i="7"/>
  <c r="BQ464" i="7"/>
  <c r="BR464" i="7"/>
  <c r="W465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AK465" i="7"/>
  <c r="AL465" i="7"/>
  <c r="AM465" i="7"/>
  <c r="AN465" i="7"/>
  <c r="AO465" i="7"/>
  <c r="AP465" i="7"/>
  <c r="AQ465" i="7"/>
  <c r="AR465" i="7"/>
  <c r="AS465" i="7"/>
  <c r="AT465" i="7"/>
  <c r="AU465" i="7"/>
  <c r="AV465" i="7"/>
  <c r="AW465" i="7"/>
  <c r="AX465" i="7"/>
  <c r="AY465" i="7"/>
  <c r="AZ465" i="7"/>
  <c r="BA465" i="7"/>
  <c r="BB465" i="7"/>
  <c r="BC465" i="7"/>
  <c r="BD465" i="7"/>
  <c r="BE465" i="7"/>
  <c r="BF465" i="7"/>
  <c r="BG465" i="7"/>
  <c r="BH465" i="7"/>
  <c r="BI465" i="7"/>
  <c r="BJ465" i="7"/>
  <c r="BK465" i="7"/>
  <c r="BL465" i="7"/>
  <c r="BM465" i="7"/>
  <c r="BN465" i="7"/>
  <c r="BO465" i="7"/>
  <c r="BP465" i="7"/>
  <c r="BQ465" i="7"/>
  <c r="BR465" i="7"/>
  <c r="W183" i="7"/>
  <c r="X183" i="7"/>
  <c r="Y183" i="7"/>
  <c r="Z183" i="7"/>
  <c r="AA183" i="7"/>
  <c r="AB183" i="7"/>
  <c r="AC183" i="7" s="1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AK323" i="7"/>
  <c r="AL323" i="7"/>
  <c r="AM323" i="7"/>
  <c r="AN323" i="7"/>
  <c r="AO323" i="7"/>
  <c r="AP323" i="7"/>
  <c r="AQ323" i="7"/>
  <c r="AR323" i="7"/>
  <c r="AS323" i="7"/>
  <c r="AT323" i="7"/>
  <c r="AU323" i="7"/>
  <c r="AV323" i="7"/>
  <c r="AW323" i="7"/>
  <c r="AX323" i="7"/>
  <c r="AY323" i="7"/>
  <c r="AZ323" i="7"/>
  <c r="BA323" i="7"/>
  <c r="BB323" i="7"/>
  <c r="BC323" i="7"/>
  <c r="BD323" i="7"/>
  <c r="BE323" i="7"/>
  <c r="BF323" i="7"/>
  <c r="BG323" i="7"/>
  <c r="BH323" i="7"/>
  <c r="BI323" i="7"/>
  <c r="BJ323" i="7"/>
  <c r="BK323" i="7"/>
  <c r="BL323" i="7"/>
  <c r="BM323" i="7"/>
  <c r="BN323" i="7"/>
  <c r="BO323" i="7"/>
  <c r="BP323" i="7"/>
  <c r="BQ323" i="7"/>
  <c r="BR323" i="7"/>
  <c r="W466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AK466" i="7"/>
  <c r="AL466" i="7"/>
  <c r="AM466" i="7"/>
  <c r="AN466" i="7"/>
  <c r="AO466" i="7"/>
  <c r="AP466" i="7"/>
  <c r="AQ466" i="7"/>
  <c r="AR466" i="7"/>
  <c r="AS466" i="7"/>
  <c r="AT466" i="7"/>
  <c r="AU466" i="7"/>
  <c r="AV466" i="7"/>
  <c r="AW466" i="7"/>
  <c r="AX466" i="7"/>
  <c r="AY466" i="7"/>
  <c r="AZ466" i="7"/>
  <c r="BA466" i="7"/>
  <c r="BB466" i="7"/>
  <c r="BC466" i="7"/>
  <c r="BD466" i="7"/>
  <c r="BE466" i="7"/>
  <c r="BF466" i="7"/>
  <c r="BG466" i="7"/>
  <c r="BH466" i="7"/>
  <c r="BI466" i="7"/>
  <c r="BJ466" i="7"/>
  <c r="BK466" i="7"/>
  <c r="BL466" i="7"/>
  <c r="BM466" i="7"/>
  <c r="BN466" i="7"/>
  <c r="BO466" i="7"/>
  <c r="BP466" i="7"/>
  <c r="BQ466" i="7"/>
  <c r="BR466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K225" i="7"/>
  <c r="AL225" i="7"/>
  <c r="AM225" i="7"/>
  <c r="AN225" i="7"/>
  <c r="AO225" i="7"/>
  <c r="AP225" i="7"/>
  <c r="AQ225" i="7"/>
  <c r="AR225" i="7"/>
  <c r="AS225" i="7"/>
  <c r="AT225" i="7"/>
  <c r="AU225" i="7"/>
  <c r="AV225" i="7"/>
  <c r="AW225" i="7"/>
  <c r="AX225" i="7"/>
  <c r="AY225" i="7"/>
  <c r="AZ225" i="7"/>
  <c r="BA225" i="7"/>
  <c r="BB225" i="7"/>
  <c r="BC225" i="7"/>
  <c r="BD225" i="7"/>
  <c r="BE225" i="7"/>
  <c r="BF225" i="7"/>
  <c r="BG225" i="7"/>
  <c r="BH225" i="7"/>
  <c r="BI225" i="7"/>
  <c r="BJ225" i="7"/>
  <c r="BK225" i="7"/>
  <c r="BL225" i="7"/>
  <c r="BM225" i="7"/>
  <c r="BN225" i="7"/>
  <c r="BO225" i="7"/>
  <c r="BP225" i="7"/>
  <c r="BQ225" i="7"/>
  <c r="BR225" i="7"/>
  <c r="W467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AM467" i="7"/>
  <c r="AN467" i="7"/>
  <c r="AO467" i="7"/>
  <c r="AP467" i="7"/>
  <c r="AQ467" i="7"/>
  <c r="AR467" i="7"/>
  <c r="AS467" i="7"/>
  <c r="AT467" i="7"/>
  <c r="AU467" i="7"/>
  <c r="AV467" i="7"/>
  <c r="AW467" i="7"/>
  <c r="AX467" i="7"/>
  <c r="AY467" i="7"/>
  <c r="AZ467" i="7"/>
  <c r="BC467" i="7"/>
  <c r="BD467" i="7"/>
  <c r="BE467" i="7"/>
  <c r="BF467" i="7"/>
  <c r="BG467" i="7"/>
  <c r="BH467" i="7"/>
  <c r="BK467" i="7"/>
  <c r="BL467" i="7"/>
  <c r="BM467" i="7"/>
  <c r="BN467" i="7"/>
  <c r="BO467" i="7"/>
  <c r="BP467" i="7"/>
  <c r="BQ467" i="7"/>
  <c r="BR467" i="7"/>
  <c r="W468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AK468" i="7"/>
  <c r="AL468" i="7"/>
  <c r="AM468" i="7"/>
  <c r="AN468" i="7"/>
  <c r="AO468" i="7"/>
  <c r="AP468" i="7"/>
  <c r="AQ468" i="7"/>
  <c r="AR468" i="7"/>
  <c r="AS468" i="7"/>
  <c r="AT468" i="7"/>
  <c r="AU468" i="7"/>
  <c r="AV468" i="7"/>
  <c r="AW468" i="7"/>
  <c r="AX468" i="7"/>
  <c r="AY468" i="7"/>
  <c r="AZ468" i="7"/>
  <c r="BA468" i="7"/>
  <c r="BB468" i="7"/>
  <c r="BC468" i="7"/>
  <c r="BD468" i="7"/>
  <c r="BE468" i="7"/>
  <c r="BF468" i="7"/>
  <c r="BG468" i="7"/>
  <c r="BH468" i="7"/>
  <c r="BI468" i="7"/>
  <c r="BJ468" i="7"/>
  <c r="BK468" i="7"/>
  <c r="BL468" i="7"/>
  <c r="BM468" i="7"/>
  <c r="BN468" i="7"/>
  <c r="BO468" i="7"/>
  <c r="BP468" i="7"/>
  <c r="BQ468" i="7"/>
  <c r="BR468" i="7"/>
  <c r="W469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AK469" i="7"/>
  <c r="AL469" i="7"/>
  <c r="AM469" i="7"/>
  <c r="AN469" i="7"/>
  <c r="AO469" i="7"/>
  <c r="AP469" i="7"/>
  <c r="AQ469" i="7"/>
  <c r="AR469" i="7"/>
  <c r="AS469" i="7"/>
  <c r="AT469" i="7"/>
  <c r="AU469" i="7"/>
  <c r="AV469" i="7"/>
  <c r="AW469" i="7"/>
  <c r="AX469" i="7"/>
  <c r="AY469" i="7"/>
  <c r="AZ469" i="7"/>
  <c r="BA469" i="7"/>
  <c r="BB469" i="7"/>
  <c r="BC469" i="7"/>
  <c r="BD469" i="7"/>
  <c r="BE469" i="7"/>
  <c r="BF469" i="7"/>
  <c r="BG469" i="7"/>
  <c r="BH469" i="7"/>
  <c r="BI469" i="7"/>
  <c r="BJ469" i="7"/>
  <c r="BK469" i="7"/>
  <c r="BL469" i="7"/>
  <c r="BM469" i="7"/>
  <c r="BN469" i="7"/>
  <c r="BO469" i="7"/>
  <c r="BP469" i="7"/>
  <c r="BQ469" i="7"/>
  <c r="BR469" i="7"/>
  <c r="W470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AK470" i="7"/>
  <c r="AL470" i="7"/>
  <c r="AM470" i="7"/>
  <c r="AN470" i="7"/>
  <c r="AO470" i="7"/>
  <c r="AP470" i="7"/>
  <c r="AQ470" i="7"/>
  <c r="AR470" i="7"/>
  <c r="AS470" i="7"/>
  <c r="AT470" i="7"/>
  <c r="AU470" i="7"/>
  <c r="AV470" i="7"/>
  <c r="AW470" i="7"/>
  <c r="AX470" i="7"/>
  <c r="AY470" i="7"/>
  <c r="AZ470" i="7"/>
  <c r="BC470" i="7"/>
  <c r="BD470" i="7"/>
  <c r="BE470" i="7"/>
  <c r="BF470" i="7"/>
  <c r="BG470" i="7"/>
  <c r="BH470" i="7"/>
  <c r="BI470" i="7"/>
  <c r="BJ470" i="7"/>
  <c r="BK470" i="7"/>
  <c r="BL470" i="7"/>
  <c r="BM470" i="7"/>
  <c r="BN470" i="7"/>
  <c r="BO470" i="7"/>
  <c r="BP470" i="7"/>
  <c r="BQ470" i="7"/>
  <c r="BR470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AJ266" i="7"/>
  <c r="AK266" i="7"/>
  <c r="AL266" i="7"/>
  <c r="AM266" i="7"/>
  <c r="AN266" i="7"/>
  <c r="AO266" i="7"/>
  <c r="AP266" i="7"/>
  <c r="AQ266" i="7"/>
  <c r="AR266" i="7"/>
  <c r="AS266" i="7"/>
  <c r="AT266" i="7"/>
  <c r="AU266" i="7"/>
  <c r="AV266" i="7"/>
  <c r="AW266" i="7"/>
  <c r="AX266" i="7"/>
  <c r="AY266" i="7"/>
  <c r="AZ266" i="7"/>
  <c r="BA266" i="7"/>
  <c r="BB266" i="7"/>
  <c r="BC266" i="7"/>
  <c r="BD266" i="7"/>
  <c r="BE266" i="7"/>
  <c r="BF266" i="7"/>
  <c r="BG266" i="7"/>
  <c r="BH266" i="7"/>
  <c r="BI266" i="7"/>
  <c r="BJ266" i="7"/>
  <c r="BK266" i="7"/>
  <c r="BL266" i="7"/>
  <c r="BM266" i="7"/>
  <c r="BN266" i="7"/>
  <c r="BO266" i="7"/>
  <c r="BP266" i="7"/>
  <c r="BQ266" i="7"/>
  <c r="BR266" i="7"/>
  <c r="W471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AK471" i="7"/>
  <c r="AL471" i="7"/>
  <c r="AM471" i="7"/>
  <c r="AN471" i="7"/>
  <c r="AO471" i="7"/>
  <c r="AP471" i="7"/>
  <c r="AQ471" i="7"/>
  <c r="AR471" i="7"/>
  <c r="AS471" i="7"/>
  <c r="AT471" i="7"/>
  <c r="AU471" i="7"/>
  <c r="AV471" i="7"/>
  <c r="AW471" i="7"/>
  <c r="AX471" i="7"/>
  <c r="AY471" i="7"/>
  <c r="AZ471" i="7"/>
  <c r="BA471" i="7"/>
  <c r="BB471" i="7"/>
  <c r="BC471" i="7"/>
  <c r="BD471" i="7"/>
  <c r="BE471" i="7"/>
  <c r="BF471" i="7"/>
  <c r="BG471" i="7"/>
  <c r="BH471" i="7"/>
  <c r="BI471" i="7"/>
  <c r="BJ471" i="7"/>
  <c r="BK471" i="7"/>
  <c r="BL471" i="7"/>
  <c r="BM471" i="7"/>
  <c r="BN471" i="7"/>
  <c r="BO471" i="7"/>
  <c r="BP471" i="7"/>
  <c r="BQ471" i="7"/>
  <c r="BR471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AK472" i="7"/>
  <c r="AL472" i="7"/>
  <c r="AM472" i="7"/>
  <c r="AN472" i="7"/>
  <c r="AO472" i="7"/>
  <c r="AP472" i="7"/>
  <c r="AQ472" i="7"/>
  <c r="AR472" i="7"/>
  <c r="AS472" i="7"/>
  <c r="AT472" i="7"/>
  <c r="AU472" i="7"/>
  <c r="AV472" i="7"/>
  <c r="AW472" i="7"/>
  <c r="AX472" i="7"/>
  <c r="AY472" i="7"/>
  <c r="AZ472" i="7"/>
  <c r="BA472" i="7"/>
  <c r="BB472" i="7"/>
  <c r="BC472" i="7"/>
  <c r="BD472" i="7"/>
  <c r="BE472" i="7"/>
  <c r="BF472" i="7"/>
  <c r="BG472" i="7"/>
  <c r="BH472" i="7"/>
  <c r="BI472" i="7"/>
  <c r="BJ472" i="7"/>
  <c r="BK472" i="7"/>
  <c r="BL472" i="7"/>
  <c r="BM472" i="7"/>
  <c r="BN472" i="7"/>
  <c r="BO472" i="7"/>
  <c r="BP472" i="7"/>
  <c r="BQ472" i="7"/>
  <c r="BR472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K226" i="7"/>
  <c r="AL226" i="7"/>
  <c r="AM226" i="7"/>
  <c r="AN226" i="7"/>
  <c r="AO226" i="7"/>
  <c r="AP226" i="7"/>
  <c r="AQ226" i="7"/>
  <c r="AR226" i="7"/>
  <c r="AS226" i="7"/>
  <c r="AT226" i="7"/>
  <c r="AU226" i="7"/>
  <c r="AV226" i="7"/>
  <c r="AW226" i="7"/>
  <c r="AX226" i="7"/>
  <c r="AY226" i="7"/>
  <c r="AZ226" i="7"/>
  <c r="BA226" i="7"/>
  <c r="BB226" i="7"/>
  <c r="BC226" i="7"/>
  <c r="BD226" i="7"/>
  <c r="BE226" i="7"/>
  <c r="BF226" i="7"/>
  <c r="BG226" i="7"/>
  <c r="BH226" i="7"/>
  <c r="BI226" i="7"/>
  <c r="BJ226" i="7"/>
  <c r="BK226" i="7"/>
  <c r="BL226" i="7"/>
  <c r="BM226" i="7"/>
  <c r="BN226" i="7"/>
  <c r="BO226" i="7"/>
  <c r="BP226" i="7"/>
  <c r="BQ226" i="7"/>
  <c r="BR226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AK324" i="7"/>
  <c r="AL324" i="7"/>
  <c r="AM324" i="7"/>
  <c r="AN324" i="7"/>
  <c r="AO324" i="7"/>
  <c r="AP324" i="7"/>
  <c r="AQ324" i="7"/>
  <c r="AR324" i="7"/>
  <c r="AS324" i="7"/>
  <c r="AT324" i="7"/>
  <c r="AU324" i="7"/>
  <c r="AV324" i="7"/>
  <c r="AW324" i="7"/>
  <c r="AX324" i="7"/>
  <c r="AY324" i="7"/>
  <c r="AZ324" i="7"/>
  <c r="BA324" i="7"/>
  <c r="BB324" i="7"/>
  <c r="BC324" i="7"/>
  <c r="BD324" i="7"/>
  <c r="BE324" i="7"/>
  <c r="BF324" i="7"/>
  <c r="BG324" i="7"/>
  <c r="BH324" i="7"/>
  <c r="BI324" i="7"/>
  <c r="BJ324" i="7"/>
  <c r="BK324" i="7"/>
  <c r="BL324" i="7"/>
  <c r="BM324" i="7"/>
  <c r="BN324" i="7"/>
  <c r="BO324" i="7"/>
  <c r="BP324" i="7"/>
  <c r="BQ324" i="7"/>
  <c r="BR324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AO227" i="7"/>
  <c r="AP227" i="7"/>
  <c r="AQ227" i="7"/>
  <c r="AR227" i="7"/>
  <c r="AS227" i="7"/>
  <c r="AT227" i="7"/>
  <c r="AU227" i="7"/>
  <c r="AV227" i="7"/>
  <c r="AW227" i="7"/>
  <c r="AX227" i="7"/>
  <c r="AY227" i="7"/>
  <c r="AZ227" i="7"/>
  <c r="BA227" i="7"/>
  <c r="BB227" i="7"/>
  <c r="BC227" i="7"/>
  <c r="BD227" i="7"/>
  <c r="BE227" i="7"/>
  <c r="BF227" i="7"/>
  <c r="BG227" i="7"/>
  <c r="BH227" i="7"/>
  <c r="BI227" i="7"/>
  <c r="BJ227" i="7"/>
  <c r="BK227" i="7"/>
  <c r="BL227" i="7"/>
  <c r="BM227" i="7"/>
  <c r="BN227" i="7"/>
  <c r="BO227" i="7"/>
  <c r="BP227" i="7"/>
  <c r="BQ227" i="7"/>
  <c r="BR227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K228" i="7"/>
  <c r="AL228" i="7"/>
  <c r="AM228" i="7"/>
  <c r="AN228" i="7"/>
  <c r="AO228" i="7"/>
  <c r="AP228" i="7"/>
  <c r="AQ228" i="7"/>
  <c r="AR228" i="7"/>
  <c r="AS228" i="7"/>
  <c r="AT228" i="7"/>
  <c r="AU228" i="7"/>
  <c r="AV228" i="7"/>
  <c r="AW228" i="7"/>
  <c r="AX228" i="7"/>
  <c r="AY228" i="7"/>
  <c r="AZ228" i="7"/>
  <c r="BA228" i="7"/>
  <c r="BB228" i="7"/>
  <c r="BC228" i="7"/>
  <c r="BD228" i="7"/>
  <c r="BE228" i="7"/>
  <c r="BF228" i="7"/>
  <c r="BG228" i="7"/>
  <c r="BH228" i="7"/>
  <c r="BI228" i="7"/>
  <c r="BJ228" i="7"/>
  <c r="BK228" i="7"/>
  <c r="BL228" i="7"/>
  <c r="BM228" i="7"/>
  <c r="BN228" i="7"/>
  <c r="BO228" i="7"/>
  <c r="BP228" i="7"/>
  <c r="BQ228" i="7"/>
  <c r="BR228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AJ267" i="7"/>
  <c r="AK267" i="7"/>
  <c r="AL267" i="7"/>
  <c r="AM267" i="7"/>
  <c r="AN267" i="7"/>
  <c r="AO267" i="7"/>
  <c r="AP267" i="7"/>
  <c r="AQ267" i="7"/>
  <c r="AR267" i="7"/>
  <c r="AS267" i="7"/>
  <c r="AT267" i="7"/>
  <c r="AU267" i="7"/>
  <c r="AV267" i="7"/>
  <c r="AW267" i="7"/>
  <c r="AX267" i="7"/>
  <c r="AY267" i="7"/>
  <c r="AZ267" i="7"/>
  <c r="BA267" i="7"/>
  <c r="BB267" i="7"/>
  <c r="BC267" i="7"/>
  <c r="BD267" i="7"/>
  <c r="BE267" i="7"/>
  <c r="BF267" i="7"/>
  <c r="BG267" i="7"/>
  <c r="BH267" i="7"/>
  <c r="BI267" i="7"/>
  <c r="BJ267" i="7"/>
  <c r="BK267" i="7"/>
  <c r="BL267" i="7"/>
  <c r="BM267" i="7"/>
  <c r="BN267" i="7"/>
  <c r="BO267" i="7"/>
  <c r="BP267" i="7"/>
  <c r="BQ267" i="7"/>
  <c r="BR267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BA201" i="7"/>
  <c r="BB201" i="7"/>
  <c r="BC201" i="7"/>
  <c r="BD201" i="7"/>
  <c r="BE201" i="7"/>
  <c r="BF201" i="7"/>
  <c r="BG201" i="7"/>
  <c r="BH201" i="7"/>
  <c r="BI201" i="7"/>
  <c r="BJ201" i="7"/>
  <c r="BK201" i="7"/>
  <c r="BL201" i="7"/>
  <c r="BM201" i="7"/>
  <c r="BN201" i="7"/>
  <c r="BO201" i="7"/>
  <c r="BP201" i="7"/>
  <c r="BQ201" i="7"/>
  <c r="BR201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AK325" i="7"/>
  <c r="AL325" i="7"/>
  <c r="AM325" i="7"/>
  <c r="AN325" i="7"/>
  <c r="AO325" i="7"/>
  <c r="AP325" i="7"/>
  <c r="AQ325" i="7"/>
  <c r="AR325" i="7"/>
  <c r="AS325" i="7"/>
  <c r="AT325" i="7"/>
  <c r="AU325" i="7"/>
  <c r="AV325" i="7"/>
  <c r="AW325" i="7"/>
  <c r="AX325" i="7"/>
  <c r="AY325" i="7"/>
  <c r="AZ325" i="7"/>
  <c r="BA325" i="7"/>
  <c r="BB325" i="7"/>
  <c r="BC325" i="7"/>
  <c r="BD325" i="7"/>
  <c r="BE325" i="7"/>
  <c r="BF325" i="7"/>
  <c r="BG325" i="7"/>
  <c r="BH325" i="7"/>
  <c r="BI325" i="7"/>
  <c r="BJ325" i="7"/>
  <c r="BK325" i="7"/>
  <c r="BL325" i="7"/>
  <c r="BM325" i="7"/>
  <c r="BN325" i="7"/>
  <c r="BO325" i="7"/>
  <c r="BP325" i="7"/>
  <c r="BQ325" i="7"/>
  <c r="BR325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AJ268" i="7"/>
  <c r="AK268" i="7"/>
  <c r="AL268" i="7"/>
  <c r="AM268" i="7"/>
  <c r="AN268" i="7"/>
  <c r="AO268" i="7"/>
  <c r="AP268" i="7"/>
  <c r="AQ268" i="7"/>
  <c r="AR268" i="7"/>
  <c r="AS268" i="7"/>
  <c r="AT268" i="7"/>
  <c r="AU268" i="7"/>
  <c r="AV268" i="7"/>
  <c r="AW268" i="7"/>
  <c r="AX268" i="7"/>
  <c r="AY268" i="7"/>
  <c r="AZ268" i="7"/>
  <c r="BA268" i="7"/>
  <c r="BB268" i="7"/>
  <c r="BC268" i="7"/>
  <c r="BD268" i="7"/>
  <c r="BE268" i="7"/>
  <c r="BF268" i="7"/>
  <c r="BG268" i="7"/>
  <c r="BH268" i="7"/>
  <c r="BI268" i="7"/>
  <c r="BJ268" i="7"/>
  <c r="BK268" i="7"/>
  <c r="BL268" i="7"/>
  <c r="BM268" i="7"/>
  <c r="BN268" i="7"/>
  <c r="BO268" i="7"/>
  <c r="BP268" i="7"/>
  <c r="BQ268" i="7"/>
  <c r="BR268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AJ326" i="7"/>
  <c r="AK326" i="7"/>
  <c r="AL326" i="7"/>
  <c r="AM326" i="7"/>
  <c r="AN326" i="7"/>
  <c r="AO326" i="7"/>
  <c r="AP326" i="7"/>
  <c r="AQ326" i="7"/>
  <c r="AR326" i="7"/>
  <c r="AS326" i="7"/>
  <c r="AT326" i="7"/>
  <c r="AU326" i="7"/>
  <c r="AV326" i="7"/>
  <c r="AW326" i="7"/>
  <c r="AX326" i="7"/>
  <c r="AY326" i="7"/>
  <c r="AZ326" i="7"/>
  <c r="BA326" i="7"/>
  <c r="BB326" i="7"/>
  <c r="BC326" i="7"/>
  <c r="BD326" i="7"/>
  <c r="BE326" i="7"/>
  <c r="BF326" i="7"/>
  <c r="BG326" i="7"/>
  <c r="BH326" i="7"/>
  <c r="BI326" i="7"/>
  <c r="BJ326" i="7"/>
  <c r="BK326" i="7"/>
  <c r="BL326" i="7"/>
  <c r="BM326" i="7"/>
  <c r="BN326" i="7"/>
  <c r="BO326" i="7"/>
  <c r="BP326" i="7"/>
  <c r="BQ326" i="7"/>
  <c r="BR326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AJ269" i="7"/>
  <c r="AK269" i="7"/>
  <c r="AL269" i="7"/>
  <c r="AM269" i="7"/>
  <c r="AN269" i="7"/>
  <c r="AO269" i="7"/>
  <c r="AP269" i="7"/>
  <c r="AQ269" i="7"/>
  <c r="AR269" i="7"/>
  <c r="AS269" i="7"/>
  <c r="AT269" i="7"/>
  <c r="AU269" i="7"/>
  <c r="AV269" i="7"/>
  <c r="AW269" i="7"/>
  <c r="AX269" i="7"/>
  <c r="AY269" i="7"/>
  <c r="AZ269" i="7"/>
  <c r="BA269" i="7"/>
  <c r="BB269" i="7"/>
  <c r="BC269" i="7"/>
  <c r="BD269" i="7"/>
  <c r="BE269" i="7"/>
  <c r="BF269" i="7"/>
  <c r="BG269" i="7"/>
  <c r="BH269" i="7"/>
  <c r="BI269" i="7"/>
  <c r="BJ269" i="7"/>
  <c r="BK269" i="7"/>
  <c r="BL269" i="7"/>
  <c r="BM269" i="7"/>
  <c r="BN269" i="7"/>
  <c r="BO269" i="7"/>
  <c r="BP269" i="7"/>
  <c r="BQ269" i="7"/>
  <c r="BR269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AJ327" i="7"/>
  <c r="AK327" i="7"/>
  <c r="AL327" i="7"/>
  <c r="AM327" i="7"/>
  <c r="AN327" i="7"/>
  <c r="AO327" i="7"/>
  <c r="AP327" i="7"/>
  <c r="AQ327" i="7"/>
  <c r="AR327" i="7"/>
  <c r="AS327" i="7"/>
  <c r="AT327" i="7"/>
  <c r="AU327" i="7"/>
  <c r="AV327" i="7"/>
  <c r="AW327" i="7"/>
  <c r="AX327" i="7"/>
  <c r="AY327" i="7"/>
  <c r="AZ327" i="7"/>
  <c r="BA327" i="7"/>
  <c r="BB327" i="7"/>
  <c r="BC327" i="7"/>
  <c r="BD327" i="7"/>
  <c r="BE327" i="7"/>
  <c r="BF327" i="7"/>
  <c r="BG327" i="7"/>
  <c r="BH327" i="7"/>
  <c r="BI327" i="7"/>
  <c r="BJ327" i="7"/>
  <c r="BK327" i="7"/>
  <c r="BL327" i="7"/>
  <c r="BM327" i="7"/>
  <c r="BN327" i="7"/>
  <c r="BO327" i="7"/>
  <c r="BP327" i="7"/>
  <c r="BQ327" i="7"/>
  <c r="BR327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AJ328" i="7"/>
  <c r="AK328" i="7"/>
  <c r="AL328" i="7"/>
  <c r="AM328" i="7"/>
  <c r="AN328" i="7"/>
  <c r="AO328" i="7"/>
  <c r="AP328" i="7"/>
  <c r="AQ328" i="7"/>
  <c r="AR328" i="7"/>
  <c r="AS328" i="7"/>
  <c r="AT328" i="7"/>
  <c r="AU328" i="7"/>
  <c r="AV328" i="7"/>
  <c r="AW328" i="7"/>
  <c r="AX328" i="7"/>
  <c r="AY328" i="7"/>
  <c r="AZ328" i="7"/>
  <c r="BA328" i="7" s="1"/>
  <c r="BB328" i="7"/>
  <c r="BC328" i="7"/>
  <c r="BD328" i="7"/>
  <c r="BE328" i="7"/>
  <c r="BF328" i="7"/>
  <c r="BG328" i="7"/>
  <c r="BH328" i="7"/>
  <c r="BI328" i="7"/>
  <c r="BJ328" i="7"/>
  <c r="BK328" i="7"/>
  <c r="BL328" i="7"/>
  <c r="BM328" i="7"/>
  <c r="BN328" i="7"/>
  <c r="BO328" i="7"/>
  <c r="BP328" i="7"/>
  <c r="BQ328" i="7"/>
  <c r="BR328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AJ270" i="7"/>
  <c r="AK270" i="7" s="1"/>
  <c r="AL270" i="7"/>
  <c r="AM270" i="7"/>
  <c r="AN270" i="7"/>
  <c r="AO270" i="7"/>
  <c r="AP270" i="7"/>
  <c r="AQ270" i="7"/>
  <c r="AR270" i="7"/>
  <c r="AS270" i="7"/>
  <c r="AT270" i="7"/>
  <c r="AU270" i="7"/>
  <c r="AV270" i="7"/>
  <c r="AW270" i="7"/>
  <c r="AX270" i="7"/>
  <c r="AY270" i="7"/>
  <c r="AZ270" i="7"/>
  <c r="BA270" i="7"/>
  <c r="BB270" i="7"/>
  <c r="BC270" i="7"/>
  <c r="BD270" i="7"/>
  <c r="BE270" i="7"/>
  <c r="BF270" i="7"/>
  <c r="BG270" i="7"/>
  <c r="BH270" i="7"/>
  <c r="BI270" i="7"/>
  <c r="BJ270" i="7"/>
  <c r="BK270" i="7"/>
  <c r="BL270" i="7"/>
  <c r="BM270" i="7"/>
  <c r="BN270" i="7"/>
  <c r="BO270" i="7"/>
  <c r="BP270" i="7"/>
  <c r="BQ270" i="7"/>
  <c r="BR270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BA229" i="7"/>
  <c r="BB229" i="7"/>
  <c r="BC229" i="7"/>
  <c r="BD229" i="7"/>
  <c r="BE229" i="7"/>
  <c r="BF229" i="7"/>
  <c r="BG229" i="7"/>
  <c r="BH229" i="7"/>
  <c r="BI229" i="7"/>
  <c r="BJ229" i="7"/>
  <c r="BK229" i="7"/>
  <c r="BL229" i="7"/>
  <c r="BM229" i="7"/>
  <c r="BN229" i="7"/>
  <c r="BO229" i="7"/>
  <c r="BP229" i="7"/>
  <c r="BQ229" i="7" s="1"/>
  <c r="BR2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AJ329" i="7"/>
  <c r="AK329" i="7"/>
  <c r="AL329" i="7"/>
  <c r="AM329" i="7"/>
  <c r="AN329" i="7"/>
  <c r="AO329" i="7"/>
  <c r="AP329" i="7"/>
  <c r="AQ329" i="7"/>
  <c r="AR329" i="7"/>
  <c r="AS329" i="7"/>
  <c r="AT329" i="7"/>
  <c r="AU329" i="7"/>
  <c r="AV329" i="7"/>
  <c r="AW329" i="7"/>
  <c r="AX329" i="7"/>
  <c r="AY329" i="7"/>
  <c r="AZ329" i="7"/>
  <c r="BA329" i="7"/>
  <c r="BB329" i="7"/>
  <c r="BC329" i="7"/>
  <c r="BD329" i="7"/>
  <c r="BE329" i="7"/>
  <c r="BF329" i="7"/>
  <c r="BG329" i="7"/>
  <c r="BH329" i="7"/>
  <c r="BI329" i="7"/>
  <c r="BJ329" i="7"/>
  <c r="BK329" i="7"/>
  <c r="BL329" i="7"/>
  <c r="BM329" i="7"/>
  <c r="BN329" i="7"/>
  <c r="BO329" i="7"/>
  <c r="BP329" i="7"/>
  <c r="BQ329" i="7"/>
  <c r="BR329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K230" i="7"/>
  <c r="AL230" i="7"/>
  <c r="AM230" i="7"/>
  <c r="AN230" i="7"/>
  <c r="AO230" i="7"/>
  <c r="AP230" i="7"/>
  <c r="AQ230" i="7"/>
  <c r="AR230" i="7"/>
  <c r="AS230" i="7"/>
  <c r="AT230" i="7"/>
  <c r="AU230" i="7"/>
  <c r="AV230" i="7"/>
  <c r="AW230" i="7"/>
  <c r="AX230" i="7"/>
  <c r="AY230" i="7"/>
  <c r="AZ230" i="7"/>
  <c r="BA230" i="7"/>
  <c r="BB230" i="7"/>
  <c r="BC230" i="7"/>
  <c r="BD230" i="7"/>
  <c r="BE230" i="7"/>
  <c r="BF230" i="7"/>
  <c r="BG230" i="7"/>
  <c r="BH230" i="7"/>
  <c r="BI230" i="7"/>
  <c r="BJ230" i="7"/>
  <c r="BK230" i="7"/>
  <c r="BL230" i="7"/>
  <c r="BM230" i="7"/>
  <c r="BN230" i="7"/>
  <c r="BO230" i="7"/>
  <c r="BP230" i="7"/>
  <c r="BQ230" i="7"/>
  <c r="BR2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AJ330" i="7"/>
  <c r="AK330" i="7"/>
  <c r="AL330" i="7"/>
  <c r="AM330" i="7"/>
  <c r="AN330" i="7"/>
  <c r="AO330" i="7"/>
  <c r="AP330" i="7"/>
  <c r="AQ330" i="7"/>
  <c r="AR330" i="7"/>
  <c r="AS330" i="7"/>
  <c r="AT330" i="7"/>
  <c r="AU330" i="7"/>
  <c r="AV330" i="7"/>
  <c r="AW330" i="7"/>
  <c r="AX330" i="7"/>
  <c r="AY330" i="7"/>
  <c r="AZ330" i="7"/>
  <c r="BA330" i="7"/>
  <c r="BB330" i="7"/>
  <c r="BC330" i="7"/>
  <c r="BD330" i="7"/>
  <c r="BE330" i="7"/>
  <c r="BF330" i="7"/>
  <c r="BG330" i="7"/>
  <c r="BH330" i="7"/>
  <c r="BI330" i="7"/>
  <c r="BJ330" i="7"/>
  <c r="BK330" i="7"/>
  <c r="BL330" i="7"/>
  <c r="BM330" i="7"/>
  <c r="BN330" i="7"/>
  <c r="BO330" i="7"/>
  <c r="BP330" i="7"/>
  <c r="BQ330" i="7"/>
  <c r="BR330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AJ331" i="7"/>
  <c r="AK331" i="7"/>
  <c r="AL331" i="7"/>
  <c r="AM331" i="7"/>
  <c r="AN331" i="7"/>
  <c r="AO331" i="7"/>
  <c r="AP331" i="7"/>
  <c r="AQ331" i="7"/>
  <c r="AR331" i="7"/>
  <c r="AS331" i="7"/>
  <c r="AT331" i="7"/>
  <c r="AU331" i="7"/>
  <c r="AV331" i="7"/>
  <c r="AW331" i="7"/>
  <c r="AX331" i="7"/>
  <c r="AY331" i="7"/>
  <c r="AZ331" i="7"/>
  <c r="BA331" i="7"/>
  <c r="BB331" i="7"/>
  <c r="BC331" i="7"/>
  <c r="BD331" i="7"/>
  <c r="BE331" i="7"/>
  <c r="BF331" i="7"/>
  <c r="BG331" i="7"/>
  <c r="BH331" i="7"/>
  <c r="BI331" i="7"/>
  <c r="BJ331" i="7"/>
  <c r="BK331" i="7"/>
  <c r="BL331" i="7"/>
  <c r="BM331" i="7"/>
  <c r="BN331" i="7"/>
  <c r="BO331" i="7"/>
  <c r="BP331" i="7"/>
  <c r="BQ331" i="7"/>
  <c r="BR33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AJ271" i="7"/>
  <c r="AK271" i="7"/>
  <c r="AL271" i="7"/>
  <c r="AM271" i="7"/>
  <c r="AN271" i="7"/>
  <c r="AO271" i="7"/>
  <c r="AP271" i="7"/>
  <c r="AQ271" i="7"/>
  <c r="AR271" i="7"/>
  <c r="AS271" i="7"/>
  <c r="AT271" i="7"/>
  <c r="AU271" i="7"/>
  <c r="AV271" i="7"/>
  <c r="AW271" i="7"/>
  <c r="AX271" i="7"/>
  <c r="AY271" i="7"/>
  <c r="AZ271" i="7"/>
  <c r="BA271" i="7"/>
  <c r="BB271" i="7"/>
  <c r="BC271" i="7"/>
  <c r="BD271" i="7"/>
  <c r="BE271" i="7"/>
  <c r="BF271" i="7"/>
  <c r="BG271" i="7"/>
  <c r="BH271" i="7"/>
  <c r="BI271" i="7"/>
  <c r="BJ271" i="7"/>
  <c r="BK271" i="7"/>
  <c r="BL271" i="7"/>
  <c r="BM271" i="7"/>
  <c r="BN271" i="7"/>
  <c r="BO271" i="7"/>
  <c r="BP271" i="7"/>
  <c r="BQ271" i="7"/>
  <c r="BR271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AJ332" i="7"/>
  <c r="AK332" i="7"/>
  <c r="AL332" i="7"/>
  <c r="AM332" i="7"/>
  <c r="AN332" i="7"/>
  <c r="AO332" i="7"/>
  <c r="AP332" i="7"/>
  <c r="AQ332" i="7"/>
  <c r="AR332" i="7"/>
  <c r="AS332" i="7"/>
  <c r="AT332" i="7"/>
  <c r="AU332" i="7"/>
  <c r="AV332" i="7"/>
  <c r="AW332" i="7"/>
  <c r="AX332" i="7"/>
  <c r="AY332" i="7"/>
  <c r="AZ332" i="7"/>
  <c r="BA332" i="7"/>
  <c r="BB332" i="7"/>
  <c r="BC332" i="7"/>
  <c r="BD332" i="7"/>
  <c r="BE332" i="7"/>
  <c r="BF332" i="7"/>
  <c r="BG332" i="7"/>
  <c r="BH332" i="7"/>
  <c r="BI332" i="7"/>
  <c r="BJ332" i="7"/>
  <c r="BK332" i="7"/>
  <c r="BL332" i="7"/>
  <c r="BM332" i="7"/>
  <c r="BN332" i="7"/>
  <c r="BO332" i="7"/>
  <c r="BP332" i="7"/>
  <c r="BQ332" i="7"/>
  <c r="BR33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AJ272" i="7"/>
  <c r="AK272" i="7"/>
  <c r="AL272" i="7"/>
  <c r="AM272" i="7"/>
  <c r="AN272" i="7"/>
  <c r="AO272" i="7"/>
  <c r="AP272" i="7"/>
  <c r="AQ272" i="7"/>
  <c r="AR272" i="7"/>
  <c r="AS272" i="7"/>
  <c r="AT272" i="7"/>
  <c r="AU272" i="7"/>
  <c r="AV272" i="7"/>
  <c r="AW272" i="7"/>
  <c r="AX272" i="7"/>
  <c r="AY272" i="7"/>
  <c r="AZ272" i="7"/>
  <c r="BA272" i="7"/>
  <c r="BB272" i="7"/>
  <c r="BC272" i="7"/>
  <c r="BD272" i="7"/>
  <c r="BE272" i="7"/>
  <c r="BF272" i="7"/>
  <c r="BG272" i="7"/>
  <c r="BH272" i="7"/>
  <c r="BI272" i="7"/>
  <c r="BJ272" i="7"/>
  <c r="BK272" i="7"/>
  <c r="BL272" i="7"/>
  <c r="BM272" i="7"/>
  <c r="BN272" i="7"/>
  <c r="BO272" i="7"/>
  <c r="BP272" i="7"/>
  <c r="BQ272" i="7"/>
  <c r="BR272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AJ333" i="7"/>
  <c r="AK333" i="7"/>
  <c r="AL333" i="7"/>
  <c r="AM333" i="7"/>
  <c r="AN333" i="7"/>
  <c r="AO333" i="7"/>
  <c r="AP333" i="7"/>
  <c r="AQ333" i="7"/>
  <c r="AR333" i="7"/>
  <c r="AS333" i="7"/>
  <c r="AT333" i="7"/>
  <c r="AU333" i="7"/>
  <c r="AV333" i="7"/>
  <c r="AW333" i="7"/>
  <c r="AX333" i="7"/>
  <c r="AY333" i="7"/>
  <c r="AZ333" i="7"/>
  <c r="BA333" i="7"/>
  <c r="BB333" i="7"/>
  <c r="BC333" i="7"/>
  <c r="BD333" i="7"/>
  <c r="BE333" i="7"/>
  <c r="BF333" i="7"/>
  <c r="BG333" i="7"/>
  <c r="BH333" i="7"/>
  <c r="BI333" i="7"/>
  <c r="BJ333" i="7"/>
  <c r="BK333" i="7"/>
  <c r="BL333" i="7"/>
  <c r="BM333" i="7"/>
  <c r="BN333" i="7"/>
  <c r="BO333" i="7"/>
  <c r="BP333" i="7"/>
  <c r="BQ333" i="7"/>
  <c r="BR333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AJ334" i="7"/>
  <c r="AK334" i="7"/>
  <c r="AL334" i="7"/>
  <c r="AM334" i="7"/>
  <c r="AN334" i="7"/>
  <c r="AO334" i="7"/>
  <c r="AP334" i="7"/>
  <c r="AQ334" i="7"/>
  <c r="AR334" i="7"/>
  <c r="AS334" i="7"/>
  <c r="AT334" i="7"/>
  <c r="AU334" i="7"/>
  <c r="AV334" i="7"/>
  <c r="AW334" i="7"/>
  <c r="AX334" i="7"/>
  <c r="AY334" i="7"/>
  <c r="AZ334" i="7"/>
  <c r="BA334" i="7"/>
  <c r="BB334" i="7"/>
  <c r="BC334" i="7"/>
  <c r="BD334" i="7"/>
  <c r="BE334" i="7"/>
  <c r="BF334" i="7"/>
  <c r="BG334" i="7"/>
  <c r="BH334" i="7"/>
  <c r="BI334" i="7"/>
  <c r="BJ334" i="7"/>
  <c r="BK334" i="7"/>
  <c r="BL334" i="7"/>
  <c r="BM334" i="7"/>
  <c r="BN334" i="7"/>
  <c r="BO334" i="7"/>
  <c r="BP334" i="7"/>
  <c r="BQ334" i="7"/>
  <c r="BR334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AK335" i="7"/>
  <c r="AL335" i="7"/>
  <c r="AM335" i="7"/>
  <c r="AN335" i="7"/>
  <c r="AO335" i="7"/>
  <c r="AP335" i="7"/>
  <c r="AQ335" i="7"/>
  <c r="AR335" i="7"/>
  <c r="AS335" i="7"/>
  <c r="AT335" i="7"/>
  <c r="AU335" i="7"/>
  <c r="AV335" i="7"/>
  <c r="AW335" i="7"/>
  <c r="AX335" i="7"/>
  <c r="AY335" i="7"/>
  <c r="AZ335" i="7"/>
  <c r="BA335" i="7"/>
  <c r="BB335" i="7"/>
  <c r="BC335" i="7"/>
  <c r="BD335" i="7"/>
  <c r="BE335" i="7"/>
  <c r="BF335" i="7"/>
  <c r="BG335" i="7"/>
  <c r="BH335" i="7"/>
  <c r="BI335" i="7"/>
  <c r="BJ335" i="7"/>
  <c r="BK335" i="7"/>
  <c r="BL335" i="7"/>
  <c r="BM335" i="7"/>
  <c r="BN335" i="7"/>
  <c r="BO335" i="7"/>
  <c r="BP335" i="7"/>
  <c r="BQ335" i="7"/>
  <c r="BR335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AJ336" i="7"/>
  <c r="AK336" i="7"/>
  <c r="AL336" i="7"/>
  <c r="AM336" i="7"/>
  <c r="AN336" i="7"/>
  <c r="AO336" i="7"/>
  <c r="AP336" i="7"/>
  <c r="AQ336" i="7"/>
  <c r="AR336" i="7"/>
  <c r="AS336" i="7"/>
  <c r="AT336" i="7"/>
  <c r="AU336" i="7"/>
  <c r="AV336" i="7"/>
  <c r="AW336" i="7"/>
  <c r="AX336" i="7"/>
  <c r="AY336" i="7"/>
  <c r="AZ336" i="7"/>
  <c r="BA336" i="7"/>
  <c r="BB336" i="7"/>
  <c r="BC336" i="7"/>
  <c r="BD336" i="7"/>
  <c r="BE336" i="7"/>
  <c r="BF336" i="7"/>
  <c r="BG336" i="7"/>
  <c r="BH336" i="7"/>
  <c r="BI336" i="7"/>
  <c r="BJ336" i="7"/>
  <c r="BK336" i="7"/>
  <c r="BL336" i="7"/>
  <c r="BM336" i="7"/>
  <c r="BN336" i="7"/>
  <c r="BO336" i="7"/>
  <c r="BP336" i="7"/>
  <c r="BQ336" i="7"/>
  <c r="BR336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K231" i="7"/>
  <c r="AL231" i="7"/>
  <c r="AM231" i="7"/>
  <c r="AN231" i="7"/>
  <c r="AO231" i="7"/>
  <c r="AP231" i="7"/>
  <c r="AQ231" i="7"/>
  <c r="AR231" i="7"/>
  <c r="AS231" i="7"/>
  <c r="AT231" i="7"/>
  <c r="AU231" i="7"/>
  <c r="AV231" i="7"/>
  <c r="AW231" i="7"/>
  <c r="AX231" i="7"/>
  <c r="AY231" i="7"/>
  <c r="AZ231" i="7"/>
  <c r="BA231" i="7"/>
  <c r="BB231" i="7"/>
  <c r="BC231" i="7"/>
  <c r="BD231" i="7"/>
  <c r="BE231" i="7"/>
  <c r="BF231" i="7"/>
  <c r="BG231" i="7"/>
  <c r="BH231" i="7"/>
  <c r="BI231" i="7"/>
  <c r="BJ231" i="7"/>
  <c r="BK231" i="7"/>
  <c r="BL231" i="7"/>
  <c r="BM231" i="7"/>
  <c r="BN231" i="7"/>
  <c r="BO231" i="7"/>
  <c r="BP231" i="7"/>
  <c r="BQ231" i="7"/>
  <c r="BR231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K232" i="7"/>
  <c r="AL232" i="7"/>
  <c r="AM232" i="7"/>
  <c r="AN232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C232" i="7"/>
  <c r="BD232" i="7"/>
  <c r="BE232" i="7"/>
  <c r="BF232" i="7"/>
  <c r="BG232" i="7"/>
  <c r="BH232" i="7"/>
  <c r="BI232" i="7"/>
  <c r="BJ232" i="7"/>
  <c r="BK232" i="7"/>
  <c r="BL232" i="7"/>
  <c r="BM232" i="7"/>
  <c r="BN232" i="7"/>
  <c r="BO232" i="7"/>
  <c r="BP232" i="7"/>
  <c r="BQ232" i="7"/>
  <c r="BR232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AJ337" i="7"/>
  <c r="AK337" i="7"/>
  <c r="AL337" i="7"/>
  <c r="AM337" i="7"/>
  <c r="AN337" i="7"/>
  <c r="AO337" i="7"/>
  <c r="AP337" i="7"/>
  <c r="AQ337" i="7"/>
  <c r="AR337" i="7"/>
  <c r="AS337" i="7"/>
  <c r="AT337" i="7"/>
  <c r="AU337" i="7"/>
  <c r="AV337" i="7"/>
  <c r="AW337" i="7"/>
  <c r="AX337" i="7"/>
  <c r="AY337" i="7"/>
  <c r="AZ337" i="7"/>
  <c r="BA337" i="7" s="1"/>
  <c r="BB337" i="7"/>
  <c r="BC337" i="7"/>
  <c r="BD337" i="7"/>
  <c r="BE337" i="7"/>
  <c r="BF337" i="7"/>
  <c r="BG337" i="7"/>
  <c r="BH337" i="7"/>
  <c r="BI337" i="7"/>
  <c r="BJ337" i="7"/>
  <c r="BK337" i="7"/>
  <c r="BL337" i="7"/>
  <c r="BM337" i="7"/>
  <c r="BN337" i="7"/>
  <c r="BO337" i="7"/>
  <c r="BP337" i="7"/>
  <c r="BQ337" i="7"/>
  <c r="BR337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AJ338" i="7"/>
  <c r="AK338" i="7"/>
  <c r="AL338" i="7"/>
  <c r="AM338" i="7"/>
  <c r="AN338" i="7"/>
  <c r="AO338" i="7"/>
  <c r="AP338" i="7"/>
  <c r="AQ338" i="7"/>
  <c r="AR338" i="7"/>
  <c r="AS338" i="7"/>
  <c r="AT338" i="7"/>
  <c r="AU338" i="7"/>
  <c r="AV338" i="7"/>
  <c r="AW338" i="7"/>
  <c r="AX338" i="7"/>
  <c r="AY338" i="7"/>
  <c r="AZ338" i="7"/>
  <c r="BB338" i="7"/>
  <c r="BC338" i="7"/>
  <c r="BD338" i="7"/>
  <c r="BE338" i="7"/>
  <c r="BF338" i="7"/>
  <c r="BG338" i="7"/>
  <c r="BH338" i="7"/>
  <c r="BI338" i="7"/>
  <c r="BJ338" i="7"/>
  <c r="BK338" i="7"/>
  <c r="BL338" i="7"/>
  <c r="BM338" i="7"/>
  <c r="BN338" i="7"/>
  <c r="BO338" i="7"/>
  <c r="BP338" i="7"/>
  <c r="BQ338" i="7"/>
  <c r="BR338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BI165" i="7"/>
  <c r="BJ165" i="7"/>
  <c r="BK165" i="7"/>
  <c r="BL165" i="7"/>
  <c r="BM165" i="7"/>
  <c r="BN165" i="7"/>
  <c r="BO165" i="7"/>
  <c r="BP165" i="7"/>
  <c r="BQ165" i="7"/>
  <c r="BR165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AJ339" i="7"/>
  <c r="AK339" i="7" s="1"/>
  <c r="AL339" i="7"/>
  <c r="AM339" i="7"/>
  <c r="AN339" i="7"/>
  <c r="AO339" i="7"/>
  <c r="AP339" i="7"/>
  <c r="AQ339" i="7"/>
  <c r="AR339" i="7"/>
  <c r="AS339" i="7"/>
  <c r="AT339" i="7"/>
  <c r="AU339" i="7"/>
  <c r="AV339" i="7"/>
  <c r="AW339" i="7"/>
  <c r="AX339" i="7"/>
  <c r="AY339" i="7"/>
  <c r="AZ339" i="7"/>
  <c r="BC339" i="7"/>
  <c r="BD339" i="7"/>
  <c r="BE339" i="7"/>
  <c r="BF339" i="7"/>
  <c r="BG339" i="7"/>
  <c r="BH339" i="7"/>
  <c r="BI339" i="7"/>
  <c r="BJ339" i="7"/>
  <c r="BK339" i="7"/>
  <c r="BL339" i="7"/>
  <c r="BM339" i="7"/>
  <c r="BN339" i="7"/>
  <c r="BO339" i="7"/>
  <c r="BP339" i="7"/>
  <c r="BQ339" i="7"/>
  <c r="BR339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R273" i="7"/>
  <c r="AS273" i="7"/>
  <c r="AT273" i="7"/>
  <c r="AU273" i="7"/>
  <c r="AV273" i="7"/>
  <c r="AW273" i="7"/>
  <c r="AX273" i="7"/>
  <c r="AY273" i="7"/>
  <c r="AZ273" i="7"/>
  <c r="BA273" i="7"/>
  <c r="BB273" i="7"/>
  <c r="BC273" i="7"/>
  <c r="BD273" i="7"/>
  <c r="BE273" i="7"/>
  <c r="BF273" i="7"/>
  <c r="BG273" i="7"/>
  <c r="BH273" i="7"/>
  <c r="BI273" i="7"/>
  <c r="BJ273" i="7"/>
  <c r="BK273" i="7"/>
  <c r="BL273" i="7"/>
  <c r="BM273" i="7"/>
  <c r="BN273" i="7"/>
  <c r="BO273" i="7"/>
  <c r="BP273" i="7"/>
  <c r="BQ273" i="7"/>
  <c r="BR273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AJ274" i="7"/>
  <c r="AK274" i="7"/>
  <c r="AL274" i="7"/>
  <c r="AM274" i="7"/>
  <c r="AN274" i="7"/>
  <c r="AO274" i="7"/>
  <c r="AP274" i="7"/>
  <c r="AQ274" i="7"/>
  <c r="AR274" i="7"/>
  <c r="AS274" i="7"/>
  <c r="AT274" i="7"/>
  <c r="AU274" i="7"/>
  <c r="AV274" i="7"/>
  <c r="AW274" i="7"/>
  <c r="AX274" i="7"/>
  <c r="AY274" i="7"/>
  <c r="AZ274" i="7"/>
  <c r="BA274" i="7"/>
  <c r="BB274" i="7"/>
  <c r="BC274" i="7"/>
  <c r="BD274" i="7"/>
  <c r="BE274" i="7"/>
  <c r="BF274" i="7"/>
  <c r="BG274" i="7"/>
  <c r="BH274" i="7"/>
  <c r="BI274" i="7"/>
  <c r="BJ274" i="7"/>
  <c r="BK274" i="7"/>
  <c r="BL274" i="7"/>
  <c r="BM274" i="7"/>
  <c r="BN274" i="7"/>
  <c r="BO274" i="7"/>
  <c r="BP274" i="7"/>
  <c r="BR274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AK275" i="7"/>
  <c r="AL275" i="7"/>
  <c r="AM275" i="7"/>
  <c r="AN275" i="7"/>
  <c r="AO275" i="7"/>
  <c r="AP275" i="7"/>
  <c r="AQ275" i="7"/>
  <c r="AR275" i="7"/>
  <c r="AU275" i="7"/>
  <c r="AV275" i="7"/>
  <c r="AW275" i="7"/>
  <c r="AX275" i="7"/>
  <c r="AY275" i="7"/>
  <c r="AZ275" i="7"/>
  <c r="BA275" i="7" s="1"/>
  <c r="BB275" i="7"/>
  <c r="BC275" i="7"/>
  <c r="BD275" i="7"/>
  <c r="BE275" i="7"/>
  <c r="BF275" i="7"/>
  <c r="BG275" i="7"/>
  <c r="BH275" i="7"/>
  <c r="BI275" i="7"/>
  <c r="BJ275" i="7"/>
  <c r="BK275" i="7"/>
  <c r="BL275" i="7"/>
  <c r="BM275" i="7"/>
  <c r="BN275" i="7"/>
  <c r="BO275" i="7"/>
  <c r="BP275" i="7"/>
  <c r="BQ275" i="7"/>
  <c r="BR275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AJ340" i="7"/>
  <c r="AK340" i="7"/>
  <c r="AL340" i="7"/>
  <c r="AM340" i="7"/>
  <c r="AN340" i="7"/>
  <c r="AO340" i="7"/>
  <c r="AP340" i="7"/>
  <c r="AQ340" i="7"/>
  <c r="AR340" i="7"/>
  <c r="AS340" i="7"/>
  <c r="AT340" i="7"/>
  <c r="AU340" i="7"/>
  <c r="AV340" i="7"/>
  <c r="AW340" i="7"/>
  <c r="AX340" i="7"/>
  <c r="AY340" i="7"/>
  <c r="AZ340" i="7"/>
  <c r="BA340" i="7"/>
  <c r="BB340" i="7"/>
  <c r="BC340" i="7"/>
  <c r="BD340" i="7"/>
  <c r="BE340" i="7"/>
  <c r="BF340" i="7"/>
  <c r="BG340" i="7"/>
  <c r="BH340" i="7"/>
  <c r="BI340" i="7"/>
  <c r="BJ340" i="7"/>
  <c r="BK340" i="7"/>
  <c r="BL340" i="7"/>
  <c r="BM340" i="7"/>
  <c r="BN340" i="7"/>
  <c r="BO340" i="7"/>
  <c r="BP340" i="7"/>
  <c r="BQ340" i="7" s="1"/>
  <c r="BR340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AJ341" i="7"/>
  <c r="AK341" i="7"/>
  <c r="AL341" i="7"/>
  <c r="AM341" i="7"/>
  <c r="AN341" i="7"/>
  <c r="AO341" i="7"/>
  <c r="AP341" i="7"/>
  <c r="AQ341" i="7"/>
  <c r="AR341" i="7"/>
  <c r="AS341" i="7"/>
  <c r="AT341" i="7"/>
  <c r="AU341" i="7"/>
  <c r="AV341" i="7"/>
  <c r="AW341" i="7"/>
  <c r="AX341" i="7"/>
  <c r="AY341" i="7"/>
  <c r="AZ341" i="7"/>
  <c r="BA341" i="7" s="1"/>
  <c r="BB341" i="7"/>
  <c r="BC341" i="7"/>
  <c r="BD341" i="7"/>
  <c r="BE341" i="7"/>
  <c r="BF341" i="7"/>
  <c r="BG341" i="7"/>
  <c r="BH341" i="7"/>
  <c r="BI341" i="7"/>
  <c r="BJ341" i="7"/>
  <c r="BK341" i="7"/>
  <c r="BL341" i="7"/>
  <c r="BM341" i="7"/>
  <c r="BN341" i="7"/>
  <c r="BO341" i="7"/>
  <c r="BP341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AJ342" i="7"/>
  <c r="AK342" i="7"/>
  <c r="AL342" i="7"/>
  <c r="AM342" i="7"/>
  <c r="AN342" i="7"/>
  <c r="AO342" i="7"/>
  <c r="AP342" i="7"/>
  <c r="AQ342" i="7"/>
  <c r="AR342" i="7"/>
  <c r="AS342" i="7"/>
  <c r="AT342" i="7"/>
  <c r="AU342" i="7"/>
  <c r="AV342" i="7"/>
  <c r="AW342" i="7"/>
  <c r="AX342" i="7"/>
  <c r="AY342" i="7"/>
  <c r="AZ342" i="7"/>
  <c r="BB342" i="7"/>
  <c r="BC342" i="7"/>
  <c r="BD342" i="7"/>
  <c r="BE342" i="7"/>
  <c r="BF342" i="7"/>
  <c r="BG342" i="7"/>
  <c r="BH342" i="7"/>
  <c r="BI342" i="7"/>
  <c r="BJ342" i="7"/>
  <c r="BK342" i="7"/>
  <c r="BL342" i="7"/>
  <c r="BM342" i="7"/>
  <c r="BN342" i="7"/>
  <c r="BO342" i="7"/>
  <c r="BP342" i="7"/>
  <c r="BQ342" i="7" s="1"/>
  <c r="BR342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K276" i="7"/>
  <c r="AL276" i="7"/>
  <c r="AM276" i="7"/>
  <c r="AN276" i="7"/>
  <c r="AO276" i="7"/>
  <c r="AP276" i="7"/>
  <c r="AQ276" i="7"/>
  <c r="AR276" i="7"/>
  <c r="AS276" i="7"/>
  <c r="AT276" i="7"/>
  <c r="AU276" i="7"/>
  <c r="AV276" i="7"/>
  <c r="AW276" i="7"/>
  <c r="AX276" i="7"/>
  <c r="AY276" i="7"/>
  <c r="AZ276" i="7"/>
  <c r="BA276" i="7"/>
  <c r="BB276" i="7"/>
  <c r="BC276" i="7"/>
  <c r="BD276" i="7"/>
  <c r="BE276" i="7"/>
  <c r="BF276" i="7"/>
  <c r="BG276" i="7"/>
  <c r="BH276" i="7"/>
  <c r="BI276" i="7"/>
  <c r="BJ276" i="7"/>
  <c r="BK276" i="7"/>
  <c r="BL276" i="7"/>
  <c r="BM276" i="7"/>
  <c r="BN276" i="7"/>
  <c r="BO276" i="7"/>
  <c r="BP276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AJ343" i="7"/>
  <c r="AK343" i="7"/>
  <c r="AL343" i="7"/>
  <c r="AM343" i="7"/>
  <c r="AN343" i="7"/>
  <c r="AO343" i="7"/>
  <c r="AP343" i="7"/>
  <c r="AQ343" i="7"/>
  <c r="AR343" i="7"/>
  <c r="AS343" i="7"/>
  <c r="AT343" i="7"/>
  <c r="AU343" i="7"/>
  <c r="AV343" i="7"/>
  <c r="AW343" i="7"/>
  <c r="AX343" i="7"/>
  <c r="AY343" i="7"/>
  <c r="AZ343" i="7"/>
  <c r="BB343" i="7"/>
  <c r="BC343" i="7"/>
  <c r="BD343" i="7"/>
  <c r="BE343" i="7"/>
  <c r="BF343" i="7"/>
  <c r="BG343" i="7"/>
  <c r="BH343" i="7"/>
  <c r="BI343" i="7"/>
  <c r="BJ343" i="7"/>
  <c r="BK343" i="7"/>
  <c r="BL343" i="7"/>
  <c r="BM343" i="7"/>
  <c r="BN343" i="7"/>
  <c r="BO343" i="7"/>
  <c r="BP343" i="7"/>
  <c r="BQ343" i="7"/>
  <c r="BR343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AJ344" i="7"/>
  <c r="AL344" i="7"/>
  <c r="AM344" i="7"/>
  <c r="AN344" i="7"/>
  <c r="AO344" i="7"/>
  <c r="AP344" i="7"/>
  <c r="AQ344" i="7"/>
  <c r="AR344" i="7"/>
  <c r="AS344" i="7"/>
  <c r="AT344" i="7"/>
  <c r="AU344" i="7"/>
  <c r="AV344" i="7"/>
  <c r="AW344" i="7"/>
  <c r="AX344" i="7"/>
  <c r="AY344" i="7"/>
  <c r="AZ344" i="7"/>
  <c r="BA344" i="7" s="1"/>
  <c r="BB344" i="7"/>
  <c r="BC344" i="7"/>
  <c r="BD344" i="7"/>
  <c r="BE344" i="7"/>
  <c r="BF344" i="7"/>
  <c r="BG344" i="7"/>
  <c r="BH344" i="7"/>
  <c r="BI344" i="7"/>
  <c r="BJ344" i="7"/>
  <c r="BK344" i="7"/>
  <c r="BL344" i="7"/>
  <c r="BM344" i="7"/>
  <c r="BN344" i="7"/>
  <c r="BO344" i="7"/>
  <c r="BP344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K277" i="7" s="1"/>
  <c r="AL277" i="7"/>
  <c r="AM277" i="7"/>
  <c r="AN277" i="7"/>
  <c r="AO277" i="7"/>
  <c r="AP277" i="7"/>
  <c r="AQ277" i="7"/>
  <c r="AR277" i="7"/>
  <c r="AS277" i="7"/>
  <c r="AT277" i="7"/>
  <c r="AU277" i="7"/>
  <c r="AV277" i="7"/>
  <c r="AW277" i="7"/>
  <c r="AX277" i="7"/>
  <c r="AY277" i="7"/>
  <c r="AZ277" i="7"/>
  <c r="BA277" i="7"/>
  <c r="BB277" i="7"/>
  <c r="BC277" i="7"/>
  <c r="BD277" i="7"/>
  <c r="BE277" i="7"/>
  <c r="BF277" i="7"/>
  <c r="BG277" i="7"/>
  <c r="BH277" i="7"/>
  <c r="BI277" i="7"/>
  <c r="BJ277" i="7"/>
  <c r="BK277" i="7"/>
  <c r="BL277" i="7"/>
  <c r="BM277" i="7"/>
  <c r="BN277" i="7"/>
  <c r="BO277" i="7"/>
  <c r="BP277" i="7"/>
  <c r="BR277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L233" i="7"/>
  <c r="AM233" i="7"/>
  <c r="AN233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BB233" i="7"/>
  <c r="BC233" i="7"/>
  <c r="BD233" i="7"/>
  <c r="BE233" i="7"/>
  <c r="BF233" i="7"/>
  <c r="BG233" i="7"/>
  <c r="BH233" i="7"/>
  <c r="BI233" i="7"/>
  <c r="BJ233" i="7"/>
  <c r="BK233" i="7"/>
  <c r="BL233" i="7"/>
  <c r="BM233" i="7"/>
  <c r="BN233" i="7"/>
  <c r="BO233" i="7"/>
  <c r="BP233" i="7"/>
  <c r="BR233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AJ345" i="7"/>
  <c r="AK345" i="7"/>
  <c r="AL345" i="7"/>
  <c r="AM345" i="7"/>
  <c r="AN345" i="7"/>
  <c r="AO345" i="7"/>
  <c r="AP345" i="7"/>
  <c r="AQ345" i="7"/>
  <c r="AR345" i="7"/>
  <c r="AS345" i="7"/>
  <c r="AT345" i="7"/>
  <c r="AU345" i="7"/>
  <c r="AV345" i="7"/>
  <c r="AW345" i="7"/>
  <c r="AX345" i="7"/>
  <c r="AY345" i="7"/>
  <c r="AZ345" i="7"/>
  <c r="BC345" i="7"/>
  <c r="BD345" i="7"/>
  <c r="BE345" i="7"/>
  <c r="BF345" i="7"/>
  <c r="BG345" i="7"/>
  <c r="BH345" i="7"/>
  <c r="BI345" i="7"/>
  <c r="BJ345" i="7"/>
  <c r="BK345" i="7"/>
  <c r="BL345" i="7"/>
  <c r="BM345" i="7"/>
  <c r="BN345" i="7"/>
  <c r="BO345" i="7"/>
  <c r="BP345" i="7"/>
  <c r="BQ345" i="7" s="1"/>
  <c r="BR345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AJ346" i="7"/>
  <c r="AL346" i="7"/>
  <c r="AM346" i="7"/>
  <c r="AN346" i="7"/>
  <c r="AO346" i="7"/>
  <c r="AP346" i="7"/>
  <c r="AQ346" i="7"/>
  <c r="AR346" i="7"/>
  <c r="AS346" i="7"/>
  <c r="AT346" i="7"/>
  <c r="AU346" i="7"/>
  <c r="AV346" i="7"/>
  <c r="AW346" i="7"/>
  <c r="AX346" i="7"/>
  <c r="AY346" i="7"/>
  <c r="AZ346" i="7"/>
  <c r="BB346" i="7" s="1"/>
  <c r="BC346" i="7"/>
  <c r="BD346" i="7"/>
  <c r="BE346" i="7"/>
  <c r="BF346" i="7"/>
  <c r="BG346" i="7"/>
  <c r="BH346" i="7"/>
  <c r="BI346" i="7"/>
  <c r="BJ346" i="7"/>
  <c r="BK346" i="7"/>
  <c r="BL346" i="7"/>
  <c r="BM346" i="7"/>
  <c r="BN346" i="7"/>
  <c r="BO346" i="7"/>
  <c r="BP346" i="7"/>
  <c r="BQ346" i="7"/>
  <c r="BR346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AK347" i="7"/>
  <c r="AL347" i="7"/>
  <c r="AM347" i="7"/>
  <c r="AN347" i="7"/>
  <c r="AO347" i="7"/>
  <c r="AP347" i="7"/>
  <c r="AQ347" i="7"/>
  <c r="AR347" i="7"/>
  <c r="AS347" i="7"/>
  <c r="AT347" i="7"/>
  <c r="AU347" i="7"/>
  <c r="AV347" i="7"/>
  <c r="AW347" i="7"/>
  <c r="AX347" i="7"/>
  <c r="AY347" i="7"/>
  <c r="AZ347" i="7"/>
  <c r="BA347" i="7"/>
  <c r="BB347" i="7"/>
  <c r="BC347" i="7"/>
  <c r="BD347" i="7"/>
  <c r="BE347" i="7"/>
  <c r="BF347" i="7"/>
  <c r="BG347" i="7"/>
  <c r="BH347" i="7"/>
  <c r="BI347" i="7"/>
  <c r="BJ347" i="7"/>
  <c r="BK347" i="7"/>
  <c r="BL347" i="7"/>
  <c r="BM347" i="7"/>
  <c r="BN347" i="7"/>
  <c r="BO347" i="7"/>
  <c r="BP347" i="7"/>
  <c r="BQ347" i="7"/>
  <c r="BR347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AM348" i="7"/>
  <c r="AN348" i="7"/>
  <c r="AO348" i="7"/>
  <c r="AP348" i="7"/>
  <c r="AQ348" i="7"/>
  <c r="AR348" i="7"/>
  <c r="AS348" i="7"/>
  <c r="AT348" i="7"/>
  <c r="AU348" i="7"/>
  <c r="AV348" i="7"/>
  <c r="AW348" i="7"/>
  <c r="AX348" i="7"/>
  <c r="AY348" i="7"/>
  <c r="AZ348" i="7"/>
  <c r="BA348" i="7"/>
  <c r="BB348" i="7"/>
  <c r="BC348" i="7"/>
  <c r="BD348" i="7"/>
  <c r="BE348" i="7"/>
  <c r="BF348" i="7"/>
  <c r="BG348" i="7"/>
  <c r="BH348" i="7"/>
  <c r="BI348" i="7"/>
  <c r="BJ348" i="7"/>
  <c r="BK348" i="7"/>
  <c r="BL348" i="7"/>
  <c r="BM348" i="7"/>
  <c r="BN348" i="7"/>
  <c r="BO348" i="7"/>
  <c r="BP348" i="7"/>
  <c r="BR348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L202" i="7" s="1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BM202" i="7"/>
  <c r="BN202" i="7"/>
  <c r="BO202" i="7"/>
  <c r="BP202" i="7"/>
  <c r="BQ202" i="7"/>
  <c r="BR202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AJ349" i="7"/>
  <c r="AK349" i="7"/>
  <c r="AL349" i="7"/>
  <c r="AM349" i="7"/>
  <c r="AN349" i="7"/>
  <c r="AO349" i="7"/>
  <c r="AP349" i="7"/>
  <c r="AQ349" i="7"/>
  <c r="AR349" i="7"/>
  <c r="AS349" i="7"/>
  <c r="AT349" i="7"/>
  <c r="AU349" i="7"/>
  <c r="AV349" i="7"/>
  <c r="AW349" i="7"/>
  <c r="AX349" i="7"/>
  <c r="AY349" i="7"/>
  <c r="AZ349" i="7"/>
  <c r="BA349" i="7"/>
  <c r="BB349" i="7"/>
  <c r="BC349" i="7"/>
  <c r="BD349" i="7"/>
  <c r="BE349" i="7"/>
  <c r="BF349" i="7"/>
  <c r="BG349" i="7"/>
  <c r="BH349" i="7"/>
  <c r="BI349" i="7"/>
  <c r="BJ349" i="7"/>
  <c r="BK349" i="7"/>
  <c r="BL349" i="7"/>
  <c r="BM349" i="7"/>
  <c r="BN349" i="7"/>
  <c r="BO349" i="7"/>
  <c r="BP349" i="7"/>
  <c r="BR349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C203" i="7"/>
  <c r="BD203" i="7"/>
  <c r="BE203" i="7"/>
  <c r="BF203" i="7"/>
  <c r="BG203" i="7"/>
  <c r="BH203" i="7"/>
  <c r="BI203" i="7"/>
  <c r="BJ203" i="7"/>
  <c r="BK203" i="7"/>
  <c r="BL203" i="7"/>
  <c r="BM203" i="7"/>
  <c r="BN203" i="7"/>
  <c r="BO203" i="7"/>
  <c r="BP203" i="7"/>
  <c r="BQ203" i="7" s="1"/>
  <c r="BR203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 s="1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C204" i="7"/>
  <c r="BD204" i="7"/>
  <c r="BE204" i="7"/>
  <c r="BF204" i="7"/>
  <c r="BG204" i="7"/>
  <c r="BH204" i="7"/>
  <c r="BI204" i="7"/>
  <c r="BJ204" i="7"/>
  <c r="BK204" i="7"/>
  <c r="BL204" i="7"/>
  <c r="BM204" i="7"/>
  <c r="BN204" i="7"/>
  <c r="BO204" i="7"/>
  <c r="BP204" i="7"/>
  <c r="BQ204" i="7"/>
  <c r="BR204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L278" i="7"/>
  <c r="AM278" i="7"/>
  <c r="AN278" i="7"/>
  <c r="AO278" i="7"/>
  <c r="AP278" i="7"/>
  <c r="AQ278" i="7"/>
  <c r="AR278" i="7"/>
  <c r="AS278" i="7"/>
  <c r="AT278" i="7"/>
  <c r="AU278" i="7"/>
  <c r="AV278" i="7"/>
  <c r="AW278" i="7"/>
  <c r="AX278" i="7"/>
  <c r="AY278" i="7"/>
  <c r="AZ278" i="7"/>
  <c r="BC278" i="7"/>
  <c r="BD278" i="7"/>
  <c r="BE278" i="7"/>
  <c r="BF278" i="7"/>
  <c r="BG278" i="7"/>
  <c r="BH278" i="7"/>
  <c r="BI278" i="7"/>
  <c r="BJ278" i="7"/>
  <c r="BK278" i="7"/>
  <c r="BL278" i="7"/>
  <c r="BM278" i="7"/>
  <c r="BN278" i="7"/>
  <c r="BO278" i="7"/>
  <c r="BP278" i="7"/>
  <c r="BQ278" i="7"/>
  <c r="BR278" i="7"/>
  <c r="W350" i="7"/>
  <c r="X350" i="7"/>
  <c r="Y350" i="7"/>
  <c r="Z350" i="7"/>
  <c r="AA350" i="7"/>
  <c r="AB350" i="7"/>
  <c r="AC350" i="7"/>
  <c r="AD350" i="7"/>
  <c r="AE350" i="7"/>
  <c r="AF350" i="7"/>
  <c r="AG350" i="7"/>
  <c r="AH350" i="7"/>
  <c r="AI350" i="7"/>
  <c r="AJ350" i="7"/>
  <c r="AK350" i="7"/>
  <c r="AM350" i="7"/>
  <c r="AN350" i="7"/>
  <c r="AO350" i="7"/>
  <c r="AP350" i="7"/>
  <c r="AQ350" i="7"/>
  <c r="AR350" i="7"/>
  <c r="AS350" i="7"/>
  <c r="AT350" i="7"/>
  <c r="AU350" i="7"/>
  <c r="AV350" i="7"/>
  <c r="AW350" i="7"/>
  <c r="AX350" i="7"/>
  <c r="AY350" i="7"/>
  <c r="AZ350" i="7"/>
  <c r="BA350" i="7"/>
  <c r="BB350" i="7"/>
  <c r="BC350" i="7"/>
  <c r="BD350" i="7"/>
  <c r="BE350" i="7"/>
  <c r="BF350" i="7"/>
  <c r="BG350" i="7"/>
  <c r="BH350" i="7"/>
  <c r="BI350" i="7"/>
  <c r="BJ350" i="7"/>
  <c r="BK350" i="7"/>
  <c r="BL350" i="7"/>
  <c r="BM350" i="7"/>
  <c r="BN350" i="7"/>
  <c r="BO350" i="7"/>
  <c r="BP350" i="7"/>
  <c r="BR350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AJ351" i="7"/>
  <c r="AK351" i="7"/>
  <c r="AL351" i="7"/>
  <c r="AM351" i="7"/>
  <c r="AN351" i="7"/>
  <c r="AO351" i="7"/>
  <c r="AP351" i="7"/>
  <c r="AQ351" i="7"/>
  <c r="AR351" i="7"/>
  <c r="AS351" i="7"/>
  <c r="AT351" i="7"/>
  <c r="AU351" i="7"/>
  <c r="AV351" i="7"/>
  <c r="AW351" i="7"/>
  <c r="AX351" i="7"/>
  <c r="AY351" i="7"/>
  <c r="AZ351" i="7"/>
  <c r="BA351" i="7"/>
  <c r="BB351" i="7"/>
  <c r="BC351" i="7"/>
  <c r="BI351" i="7" s="1"/>
  <c r="BD351" i="7"/>
  <c r="BE351" i="7"/>
  <c r="BF351" i="7"/>
  <c r="BG351" i="7"/>
  <c r="BH351" i="7"/>
  <c r="BJ351" i="7"/>
  <c r="BK351" i="7"/>
  <c r="BL351" i="7"/>
  <c r="BM351" i="7"/>
  <c r="BN351" i="7"/>
  <c r="BO351" i="7"/>
  <c r="BP351" i="7"/>
  <c r="BR351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AJ352" i="7"/>
  <c r="AL352" i="7"/>
  <c r="AM352" i="7"/>
  <c r="AN352" i="7"/>
  <c r="AO352" i="7"/>
  <c r="AP352" i="7"/>
  <c r="AQ352" i="7"/>
  <c r="AR352" i="7"/>
  <c r="AS352" i="7"/>
  <c r="AT352" i="7"/>
  <c r="AU352" i="7"/>
  <c r="AV352" i="7"/>
  <c r="AW352" i="7"/>
  <c r="AX352" i="7"/>
  <c r="AY352" i="7"/>
  <c r="AZ352" i="7"/>
  <c r="BA352" i="7"/>
  <c r="BB352" i="7"/>
  <c r="BC352" i="7"/>
  <c r="BD352" i="7"/>
  <c r="BE352" i="7"/>
  <c r="BF352" i="7"/>
  <c r="BG352" i="7"/>
  <c r="BH352" i="7"/>
  <c r="BI352" i="7"/>
  <c r="BJ352" i="7"/>
  <c r="BK352" i="7"/>
  <c r="BL352" i="7"/>
  <c r="BM352" i="7"/>
  <c r="BN352" i="7"/>
  <c r="BO352" i="7"/>
  <c r="BP352" i="7"/>
  <c r="BR352" i="7" s="1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K234" i="7"/>
  <c r="AL234" i="7"/>
  <c r="AM234" i="7"/>
  <c r="AN234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BA234" i="7"/>
  <c r="BB234" i="7"/>
  <c r="BC234" i="7"/>
  <c r="BD234" i="7"/>
  <c r="BE234" i="7"/>
  <c r="BF234" i="7"/>
  <c r="BG234" i="7"/>
  <c r="BH234" i="7"/>
  <c r="BI234" i="7"/>
  <c r="BJ234" i="7"/>
  <c r="BK234" i="7"/>
  <c r="BL234" i="7"/>
  <c r="BM234" i="7"/>
  <c r="BN234" i="7"/>
  <c r="BO234" i="7"/>
  <c r="BP234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K279" i="7"/>
  <c r="AL279" i="7"/>
  <c r="AM279" i="7"/>
  <c r="AN279" i="7"/>
  <c r="AO279" i="7"/>
  <c r="AP279" i="7"/>
  <c r="AQ279" i="7"/>
  <c r="AR279" i="7"/>
  <c r="AS279" i="7"/>
  <c r="AT279" i="7"/>
  <c r="AU279" i="7"/>
  <c r="AV279" i="7"/>
  <c r="AW279" i="7"/>
  <c r="AX279" i="7"/>
  <c r="AY279" i="7"/>
  <c r="AZ279" i="7"/>
  <c r="BA279" i="7"/>
  <c r="BB279" i="7"/>
  <c r="BC279" i="7"/>
  <c r="BD279" i="7"/>
  <c r="BE279" i="7"/>
  <c r="BF279" i="7"/>
  <c r="BG279" i="7"/>
  <c r="BH279" i="7"/>
  <c r="BI279" i="7"/>
  <c r="BJ279" i="7"/>
  <c r="BK279" i="7"/>
  <c r="BL279" i="7"/>
  <c r="BM279" i="7"/>
  <c r="BN279" i="7"/>
  <c r="BO279" i="7"/>
  <c r="BP279" i="7"/>
  <c r="BQ279" i="7"/>
  <c r="BR279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AJ353" i="7"/>
  <c r="AK353" i="7"/>
  <c r="AL353" i="7"/>
  <c r="AM353" i="7"/>
  <c r="AN353" i="7"/>
  <c r="AO353" i="7"/>
  <c r="AP353" i="7"/>
  <c r="AQ353" i="7"/>
  <c r="AR353" i="7"/>
  <c r="AS353" i="7"/>
  <c r="AT353" i="7"/>
  <c r="AU353" i="7"/>
  <c r="AV353" i="7"/>
  <c r="AW353" i="7"/>
  <c r="AX353" i="7"/>
  <c r="AY353" i="7"/>
  <c r="AZ353" i="7"/>
  <c r="BB353" i="7"/>
  <c r="BC353" i="7"/>
  <c r="BD353" i="7"/>
  <c r="BE353" i="7"/>
  <c r="BF353" i="7"/>
  <c r="BG353" i="7"/>
  <c r="BH353" i="7"/>
  <c r="BI353" i="7"/>
  <c r="BJ353" i="7"/>
  <c r="BK353" i="7"/>
  <c r="BL353" i="7"/>
  <c r="BM353" i="7"/>
  <c r="BN353" i="7"/>
  <c r="BO353" i="7"/>
  <c r="BP353" i="7"/>
  <c r="BQ353" i="7" s="1"/>
  <c r="BR353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AJ354" i="7"/>
  <c r="AL354" i="7"/>
  <c r="AM354" i="7"/>
  <c r="AN354" i="7"/>
  <c r="AO354" i="7"/>
  <c r="AP354" i="7"/>
  <c r="AQ354" i="7"/>
  <c r="AR354" i="7"/>
  <c r="AS354" i="7"/>
  <c r="AT354" i="7"/>
  <c r="AU354" i="7"/>
  <c r="AV354" i="7"/>
  <c r="AW354" i="7"/>
  <c r="AX354" i="7"/>
  <c r="AY354" i="7"/>
  <c r="AZ354" i="7"/>
  <c r="BA354" i="7"/>
  <c r="BB354" i="7"/>
  <c r="BC354" i="7"/>
  <c r="BD354" i="7"/>
  <c r="BE354" i="7"/>
  <c r="BF354" i="7"/>
  <c r="BG354" i="7"/>
  <c r="BH354" i="7"/>
  <c r="BI354" i="7"/>
  <c r="BJ354" i="7"/>
  <c r="BK354" i="7"/>
  <c r="BL354" i="7"/>
  <c r="BM354" i="7"/>
  <c r="BN354" i="7"/>
  <c r="BO354" i="7"/>
  <c r="BP354" i="7"/>
  <c r="BQ354" i="7"/>
  <c r="BR354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AJ355" i="7"/>
  <c r="AK355" i="7"/>
  <c r="AL355" i="7"/>
  <c r="AM355" i="7"/>
  <c r="AN355" i="7"/>
  <c r="AO355" i="7"/>
  <c r="AP355" i="7"/>
  <c r="AQ355" i="7"/>
  <c r="AR355" i="7"/>
  <c r="AS355" i="7"/>
  <c r="AT355" i="7"/>
  <c r="AU355" i="7"/>
  <c r="AV355" i="7"/>
  <c r="AW355" i="7"/>
  <c r="AX355" i="7"/>
  <c r="AY355" i="7"/>
  <c r="AZ355" i="7"/>
  <c r="BB355" i="7"/>
  <c r="BC355" i="7"/>
  <c r="BD355" i="7"/>
  <c r="BE355" i="7"/>
  <c r="BF355" i="7"/>
  <c r="BG355" i="7"/>
  <c r="BH355" i="7"/>
  <c r="BI355" i="7"/>
  <c r="BJ355" i="7"/>
  <c r="BK355" i="7"/>
  <c r="BL355" i="7"/>
  <c r="BM355" i="7"/>
  <c r="BN355" i="7"/>
  <c r="BO355" i="7"/>
  <c r="BP355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AJ356" i="7"/>
  <c r="AK356" i="7"/>
  <c r="AL356" i="7"/>
  <c r="AM356" i="7"/>
  <c r="AN356" i="7"/>
  <c r="AO356" i="7"/>
  <c r="AP356" i="7"/>
  <c r="AQ356" i="7"/>
  <c r="AR356" i="7"/>
  <c r="AS356" i="7"/>
  <c r="AT356" i="7"/>
  <c r="AU356" i="7"/>
  <c r="AV356" i="7"/>
  <c r="AW356" i="7"/>
  <c r="AX356" i="7"/>
  <c r="AY356" i="7"/>
  <c r="AZ356" i="7"/>
  <c r="BA356" i="7"/>
  <c r="BB356" i="7"/>
  <c r="BC356" i="7"/>
  <c r="BD356" i="7"/>
  <c r="BE356" i="7"/>
  <c r="BF356" i="7"/>
  <c r="BG356" i="7"/>
  <c r="BH356" i="7"/>
  <c r="BI356" i="7"/>
  <c r="BJ356" i="7"/>
  <c r="BK356" i="7"/>
  <c r="BL356" i="7"/>
  <c r="BM356" i="7"/>
  <c r="BN356" i="7"/>
  <c r="BO356" i="7"/>
  <c r="BP356" i="7"/>
  <c r="BQ356" i="7"/>
  <c r="BR356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AJ357" i="7"/>
  <c r="AM357" i="7"/>
  <c r="AN357" i="7"/>
  <c r="AO357" i="7"/>
  <c r="AP357" i="7"/>
  <c r="AQ357" i="7"/>
  <c r="AR357" i="7"/>
  <c r="AS357" i="7"/>
  <c r="AT357" i="7"/>
  <c r="AU357" i="7"/>
  <c r="AV357" i="7"/>
  <c r="AW357" i="7"/>
  <c r="AX357" i="7"/>
  <c r="AY357" i="7"/>
  <c r="AZ357" i="7"/>
  <c r="BA357" i="7"/>
  <c r="BB357" i="7"/>
  <c r="BC357" i="7"/>
  <c r="BD357" i="7"/>
  <c r="BE357" i="7"/>
  <c r="BF357" i="7"/>
  <c r="BG357" i="7"/>
  <c r="BH357" i="7"/>
  <c r="BI357" i="7"/>
  <c r="BJ357" i="7"/>
  <c r="BK357" i="7"/>
  <c r="BL357" i="7"/>
  <c r="BM357" i="7"/>
  <c r="BN357" i="7"/>
  <c r="BO357" i="7"/>
  <c r="BP357" i="7"/>
  <c r="BQ357" i="7"/>
  <c r="BR357" i="7"/>
  <c r="W358" i="7"/>
  <c r="X358" i="7"/>
  <c r="Y358" i="7"/>
  <c r="Z358" i="7"/>
  <c r="AA358" i="7"/>
  <c r="AB358" i="7"/>
  <c r="AC358" i="7"/>
  <c r="AD358" i="7"/>
  <c r="AE358" i="7"/>
  <c r="AF358" i="7"/>
  <c r="AG358" i="7"/>
  <c r="AH358" i="7"/>
  <c r="AI358" i="7"/>
  <c r="AJ358" i="7"/>
  <c r="AL358" i="7"/>
  <c r="AM358" i="7"/>
  <c r="AN358" i="7"/>
  <c r="AO358" i="7"/>
  <c r="AP358" i="7"/>
  <c r="AQ358" i="7"/>
  <c r="AR358" i="7"/>
  <c r="AS358" i="7"/>
  <c r="AT358" i="7"/>
  <c r="AU358" i="7"/>
  <c r="AV358" i="7"/>
  <c r="AW358" i="7"/>
  <c r="AX358" i="7"/>
  <c r="AY358" i="7"/>
  <c r="AZ358" i="7"/>
  <c r="BA358" i="7"/>
  <c r="BB358" i="7"/>
  <c r="BC358" i="7"/>
  <c r="BD358" i="7"/>
  <c r="BE358" i="7"/>
  <c r="BF358" i="7"/>
  <c r="BG358" i="7"/>
  <c r="BH358" i="7"/>
  <c r="BI358" i="7"/>
  <c r="BJ358" i="7"/>
  <c r="BK358" i="7"/>
  <c r="BL358" i="7"/>
  <c r="BM358" i="7"/>
  <c r="BN358" i="7"/>
  <c r="BO358" i="7"/>
  <c r="BP358" i="7"/>
  <c r="BQ358" i="7"/>
  <c r="BR358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K235" i="7" s="1"/>
  <c r="AL235" i="7"/>
  <c r="AM235" i="7"/>
  <c r="AN235" i="7"/>
  <c r="AO235" i="7"/>
  <c r="AP235" i="7"/>
  <c r="AQ235" i="7"/>
  <c r="AR235" i="7"/>
  <c r="AS235" i="7"/>
  <c r="AT235" i="7"/>
  <c r="AU235" i="7"/>
  <c r="AV235" i="7"/>
  <c r="AW235" i="7"/>
  <c r="AX235" i="7"/>
  <c r="AY235" i="7"/>
  <c r="AZ235" i="7"/>
  <c r="BA235" i="7"/>
  <c r="BB235" i="7"/>
  <c r="BC235" i="7"/>
  <c r="BD235" i="7"/>
  <c r="BE235" i="7"/>
  <c r="BF235" i="7"/>
  <c r="BG235" i="7"/>
  <c r="BH235" i="7"/>
  <c r="BI235" i="7"/>
  <c r="BJ235" i="7"/>
  <c r="BK235" i="7"/>
  <c r="BL235" i="7"/>
  <c r="BM235" i="7"/>
  <c r="BN235" i="7"/>
  <c r="BO235" i="7"/>
  <c r="BP235" i="7"/>
  <c r="BQ235" i="7"/>
  <c r="BR235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AK359" i="7"/>
  <c r="AL359" i="7"/>
  <c r="AM359" i="7"/>
  <c r="AN359" i="7"/>
  <c r="AO359" i="7"/>
  <c r="AP359" i="7"/>
  <c r="AQ359" i="7"/>
  <c r="AR359" i="7"/>
  <c r="AS359" i="7"/>
  <c r="AT359" i="7"/>
  <c r="AU359" i="7"/>
  <c r="AV359" i="7"/>
  <c r="AW359" i="7"/>
  <c r="AX359" i="7"/>
  <c r="AY359" i="7"/>
  <c r="AZ359" i="7"/>
  <c r="BA359" i="7"/>
  <c r="BB359" i="7"/>
  <c r="BC359" i="7"/>
  <c r="BD359" i="7"/>
  <c r="BE359" i="7"/>
  <c r="BF359" i="7"/>
  <c r="BG359" i="7"/>
  <c r="BH359" i="7"/>
  <c r="BI359" i="7"/>
  <c r="BJ359" i="7"/>
  <c r="BK359" i="7"/>
  <c r="BL359" i="7"/>
  <c r="BM359" i="7"/>
  <c r="BN359" i="7"/>
  <c r="BO359" i="7"/>
  <c r="BP359" i="7"/>
  <c r="BQ359" i="7"/>
  <c r="BR359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AL360" i="7" s="1"/>
  <c r="AK360" i="7"/>
  <c r="AM360" i="7"/>
  <c r="AN360" i="7"/>
  <c r="AO360" i="7"/>
  <c r="AP360" i="7"/>
  <c r="AQ360" i="7"/>
  <c r="AR360" i="7"/>
  <c r="AS360" i="7"/>
  <c r="AT360" i="7"/>
  <c r="AU360" i="7"/>
  <c r="AV360" i="7"/>
  <c r="AW360" i="7"/>
  <c r="AX360" i="7"/>
  <c r="AY360" i="7"/>
  <c r="AZ360" i="7"/>
  <c r="BA360" i="7"/>
  <c r="BB360" i="7"/>
  <c r="BC360" i="7"/>
  <c r="BD360" i="7"/>
  <c r="BE360" i="7"/>
  <c r="BF360" i="7"/>
  <c r="BG360" i="7"/>
  <c r="BH360" i="7"/>
  <c r="BI360" i="7"/>
  <c r="BJ360" i="7"/>
  <c r="BK360" i="7"/>
  <c r="BL360" i="7"/>
  <c r="BM360" i="7"/>
  <c r="BN360" i="7"/>
  <c r="BO360" i="7"/>
  <c r="BP360" i="7"/>
  <c r="BR360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AM361" i="7"/>
  <c r="AN361" i="7"/>
  <c r="AO361" i="7"/>
  <c r="AP361" i="7"/>
  <c r="AQ361" i="7"/>
  <c r="AR361" i="7"/>
  <c r="AS361" i="7"/>
  <c r="AT361" i="7"/>
  <c r="AU361" i="7"/>
  <c r="AV361" i="7"/>
  <c r="AW361" i="7"/>
  <c r="AX361" i="7"/>
  <c r="AY361" i="7"/>
  <c r="AZ361" i="7"/>
  <c r="BA361" i="7"/>
  <c r="BB361" i="7"/>
  <c r="BC361" i="7"/>
  <c r="BD361" i="7"/>
  <c r="BE361" i="7"/>
  <c r="BF361" i="7"/>
  <c r="BG361" i="7"/>
  <c r="BH361" i="7"/>
  <c r="BI361" i="7"/>
  <c r="BJ361" i="7"/>
  <c r="BK361" i="7"/>
  <c r="BL361" i="7"/>
  <c r="BM361" i="7"/>
  <c r="BN361" i="7"/>
  <c r="BO361" i="7"/>
  <c r="BP361" i="7"/>
  <c r="BQ361" i="7" s="1"/>
  <c r="BR361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K280" i="7"/>
  <c r="AL280" i="7"/>
  <c r="AM280" i="7"/>
  <c r="AN280" i="7"/>
  <c r="AO280" i="7"/>
  <c r="AP280" i="7"/>
  <c r="AQ280" i="7"/>
  <c r="AR280" i="7"/>
  <c r="AS280" i="7"/>
  <c r="AT280" i="7"/>
  <c r="AU280" i="7"/>
  <c r="AV280" i="7"/>
  <c r="AW280" i="7"/>
  <c r="AX280" i="7"/>
  <c r="AY280" i="7"/>
  <c r="AZ280" i="7"/>
  <c r="BA280" i="7"/>
  <c r="BB280" i="7"/>
  <c r="BC280" i="7"/>
  <c r="BD280" i="7"/>
  <c r="BE280" i="7"/>
  <c r="BF280" i="7"/>
  <c r="BG280" i="7"/>
  <c r="BH280" i="7"/>
  <c r="BI280" i="7"/>
  <c r="BJ280" i="7"/>
  <c r="BK280" i="7"/>
  <c r="BL280" i="7"/>
  <c r="BM280" i="7"/>
  <c r="BN280" i="7"/>
  <c r="BO280" i="7"/>
  <c r="BP280" i="7"/>
  <c r="BQ280" i="7"/>
  <c r="BR280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AM362" i="7"/>
  <c r="AN362" i="7"/>
  <c r="AO362" i="7"/>
  <c r="AP362" i="7"/>
  <c r="AQ362" i="7"/>
  <c r="AR362" i="7"/>
  <c r="AS362" i="7"/>
  <c r="AT362" i="7"/>
  <c r="AU362" i="7"/>
  <c r="AV362" i="7"/>
  <c r="AW362" i="7"/>
  <c r="AX362" i="7"/>
  <c r="AY362" i="7"/>
  <c r="AZ362" i="7"/>
  <c r="BA362" i="7"/>
  <c r="BB362" i="7"/>
  <c r="BC362" i="7"/>
  <c r="BD362" i="7"/>
  <c r="BE362" i="7"/>
  <c r="BF362" i="7"/>
  <c r="BG362" i="7"/>
  <c r="BH362" i="7"/>
  <c r="BI362" i="7"/>
  <c r="BJ362" i="7"/>
  <c r="BK362" i="7"/>
  <c r="BL362" i="7"/>
  <c r="BM362" i="7"/>
  <c r="BN362" i="7"/>
  <c r="BO362" i="7"/>
  <c r="BP362" i="7"/>
  <c r="BQ362" i="7"/>
  <c r="BR362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AK363" i="7"/>
  <c r="AL363" i="7"/>
  <c r="AM363" i="7"/>
  <c r="AN363" i="7"/>
  <c r="AO363" i="7"/>
  <c r="AP363" i="7"/>
  <c r="AQ363" i="7"/>
  <c r="AR363" i="7"/>
  <c r="AS363" i="7"/>
  <c r="AT363" i="7"/>
  <c r="AU363" i="7"/>
  <c r="AV363" i="7"/>
  <c r="AW363" i="7"/>
  <c r="AX363" i="7"/>
  <c r="AY363" i="7"/>
  <c r="AZ363" i="7"/>
  <c r="BA363" i="7"/>
  <c r="BC363" i="7"/>
  <c r="BD363" i="7"/>
  <c r="BE363" i="7"/>
  <c r="BF363" i="7"/>
  <c r="BG363" i="7"/>
  <c r="BH363" i="7"/>
  <c r="BI363" i="7"/>
  <c r="BJ363" i="7"/>
  <c r="BK363" i="7"/>
  <c r="BL363" i="7"/>
  <c r="BM363" i="7"/>
  <c r="BN363" i="7"/>
  <c r="BO363" i="7"/>
  <c r="BP363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AM364" i="7"/>
  <c r="AN364" i="7"/>
  <c r="AO364" i="7"/>
  <c r="AP364" i="7"/>
  <c r="AQ364" i="7"/>
  <c r="AR364" i="7"/>
  <c r="AS364" i="7"/>
  <c r="AT364" i="7"/>
  <c r="AU364" i="7"/>
  <c r="AV364" i="7"/>
  <c r="AW364" i="7"/>
  <c r="AX364" i="7"/>
  <c r="AY364" i="7"/>
  <c r="AZ364" i="7"/>
  <c r="BC364" i="7"/>
  <c r="BD364" i="7"/>
  <c r="BE364" i="7"/>
  <c r="BF364" i="7"/>
  <c r="BG364" i="7"/>
  <c r="BH364" i="7"/>
  <c r="BI364" i="7"/>
  <c r="BJ364" i="7"/>
  <c r="BK364" i="7"/>
  <c r="BL364" i="7"/>
  <c r="BM364" i="7"/>
  <c r="BN364" i="7"/>
  <c r="BO364" i="7"/>
  <c r="BP364" i="7"/>
  <c r="BR364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AM365" i="7"/>
  <c r="AN365" i="7"/>
  <c r="AO365" i="7"/>
  <c r="AP365" i="7"/>
  <c r="AQ365" i="7"/>
  <c r="AR365" i="7"/>
  <c r="AS365" i="7"/>
  <c r="AT365" i="7"/>
  <c r="AU365" i="7"/>
  <c r="AV365" i="7"/>
  <c r="AW365" i="7"/>
  <c r="AX365" i="7"/>
  <c r="AY365" i="7"/>
  <c r="AZ365" i="7"/>
  <c r="BA365" i="7"/>
  <c r="BB365" i="7"/>
  <c r="BC365" i="7"/>
  <c r="BD365" i="7"/>
  <c r="BE365" i="7"/>
  <c r="BF365" i="7"/>
  <c r="BG365" i="7"/>
  <c r="BH365" i="7"/>
  <c r="BI365" i="7"/>
  <c r="BJ365" i="7"/>
  <c r="BK365" i="7"/>
  <c r="BL365" i="7"/>
  <c r="BM365" i="7"/>
  <c r="BN365" i="7"/>
  <c r="BO365" i="7"/>
  <c r="BP365" i="7"/>
  <c r="BR365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B184" i="7"/>
  <c r="BC184" i="7"/>
  <c r="BD184" i="7"/>
  <c r="BE184" i="7"/>
  <c r="BF184" i="7"/>
  <c r="BG184" i="7"/>
  <c r="BH184" i="7"/>
  <c r="BI184" i="7"/>
  <c r="BJ184" i="7"/>
  <c r="BK184" i="7"/>
  <c r="BL184" i="7"/>
  <c r="BM184" i="7"/>
  <c r="BN184" i="7"/>
  <c r="BO184" i="7"/>
  <c r="BP184" i="7"/>
  <c r="BR184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AL366" i="7"/>
  <c r="AM366" i="7"/>
  <c r="AN366" i="7"/>
  <c r="AO366" i="7"/>
  <c r="AP366" i="7"/>
  <c r="AQ366" i="7"/>
  <c r="AR366" i="7"/>
  <c r="AS366" i="7"/>
  <c r="AT366" i="7"/>
  <c r="AU366" i="7"/>
  <c r="AV366" i="7"/>
  <c r="AW366" i="7"/>
  <c r="AX366" i="7"/>
  <c r="AY366" i="7"/>
  <c r="AZ366" i="7"/>
  <c r="BA366" i="7"/>
  <c r="BB366" i="7"/>
  <c r="BC366" i="7"/>
  <c r="BD366" i="7"/>
  <c r="BE366" i="7"/>
  <c r="BF366" i="7"/>
  <c r="BG366" i="7"/>
  <c r="BH366" i="7"/>
  <c r="BI366" i="7"/>
  <c r="BJ366" i="7"/>
  <c r="BK366" i="7"/>
  <c r="BL366" i="7"/>
  <c r="BM366" i="7"/>
  <c r="BN366" i="7"/>
  <c r="BO366" i="7"/>
  <c r="BP366" i="7"/>
  <c r="BQ366" i="7" s="1"/>
  <c r="BR36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AS236" i="7"/>
  <c r="AT236" i="7"/>
  <c r="AU236" i="7"/>
  <c r="AV236" i="7"/>
  <c r="AW236" i="7"/>
  <c r="AX236" i="7"/>
  <c r="AY236" i="7"/>
  <c r="AZ236" i="7"/>
  <c r="BB236" i="7"/>
  <c r="BC236" i="7"/>
  <c r="BD236" i="7"/>
  <c r="BE236" i="7"/>
  <c r="BF236" i="7"/>
  <c r="BG236" i="7"/>
  <c r="BH236" i="7"/>
  <c r="BI236" i="7"/>
  <c r="BJ236" i="7"/>
  <c r="BK236" i="7"/>
  <c r="BL236" i="7"/>
  <c r="BM236" i="7"/>
  <c r="BN236" i="7"/>
  <c r="BO236" i="7"/>
  <c r="BP236" i="7"/>
  <c r="BQ236" i="7" s="1"/>
  <c r="BR236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AK367" i="7"/>
  <c r="AL367" i="7"/>
  <c r="AM367" i="7"/>
  <c r="AN367" i="7"/>
  <c r="AO367" i="7"/>
  <c r="AP367" i="7"/>
  <c r="AQ367" i="7"/>
  <c r="AR367" i="7"/>
  <c r="AS367" i="7"/>
  <c r="AT367" i="7"/>
  <c r="AU367" i="7"/>
  <c r="AV367" i="7"/>
  <c r="AW367" i="7"/>
  <c r="AX367" i="7"/>
  <c r="AY367" i="7"/>
  <c r="AZ367" i="7"/>
  <c r="BB367" i="7"/>
  <c r="BC367" i="7"/>
  <c r="BD367" i="7"/>
  <c r="BE367" i="7"/>
  <c r="BF367" i="7"/>
  <c r="BG367" i="7"/>
  <c r="BH367" i="7"/>
  <c r="BI367" i="7"/>
  <c r="BJ367" i="7"/>
  <c r="BK367" i="7"/>
  <c r="BL367" i="7"/>
  <c r="BM367" i="7"/>
  <c r="BN367" i="7"/>
  <c r="BO367" i="7"/>
  <c r="BP367" i="7"/>
  <c r="BQ367" i="7"/>
  <c r="BR367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AK368" i="7"/>
  <c r="AM368" i="7"/>
  <c r="AN368" i="7"/>
  <c r="AO368" i="7"/>
  <c r="AP368" i="7"/>
  <c r="AQ368" i="7"/>
  <c r="AR368" i="7"/>
  <c r="AS368" i="7"/>
  <c r="AT368" i="7"/>
  <c r="AU368" i="7"/>
  <c r="AV368" i="7"/>
  <c r="AW368" i="7"/>
  <c r="AX368" i="7"/>
  <c r="AY368" i="7"/>
  <c r="AZ368" i="7"/>
  <c r="BA368" i="7"/>
  <c r="BB368" i="7"/>
  <c r="BC368" i="7"/>
  <c r="BD368" i="7"/>
  <c r="BE368" i="7"/>
  <c r="BF368" i="7"/>
  <c r="BG368" i="7"/>
  <c r="BH368" i="7"/>
  <c r="BI368" i="7"/>
  <c r="BJ368" i="7"/>
  <c r="BK368" i="7"/>
  <c r="BL368" i="7"/>
  <c r="BM368" i="7"/>
  <c r="BN368" i="7"/>
  <c r="BO368" i="7"/>
  <c r="BP368" i="7"/>
  <c r="BQ368" i="7"/>
  <c r="BR368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J369" i="7"/>
  <c r="AL369" i="7"/>
  <c r="AM369" i="7"/>
  <c r="AN369" i="7"/>
  <c r="AO369" i="7"/>
  <c r="AP369" i="7"/>
  <c r="AQ369" i="7"/>
  <c r="AR369" i="7"/>
  <c r="AS369" i="7"/>
  <c r="AT369" i="7"/>
  <c r="AU369" i="7"/>
  <c r="AV369" i="7"/>
  <c r="AW369" i="7"/>
  <c r="AX369" i="7"/>
  <c r="AY369" i="7"/>
  <c r="AZ369" i="7"/>
  <c r="BB369" i="7"/>
  <c r="BC369" i="7"/>
  <c r="BD369" i="7"/>
  <c r="BE369" i="7"/>
  <c r="BF369" i="7"/>
  <c r="BG369" i="7"/>
  <c r="BH369" i="7"/>
  <c r="BI369" i="7"/>
  <c r="BJ369" i="7"/>
  <c r="BK369" i="7"/>
  <c r="BL369" i="7"/>
  <c r="BM369" i="7"/>
  <c r="BN369" i="7"/>
  <c r="BO369" i="7"/>
  <c r="BP369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AK370" i="7"/>
  <c r="AL370" i="7"/>
  <c r="AM370" i="7"/>
  <c r="AN370" i="7"/>
  <c r="AO370" i="7"/>
  <c r="AP370" i="7"/>
  <c r="AQ370" i="7"/>
  <c r="AR370" i="7"/>
  <c r="AS370" i="7"/>
  <c r="AT370" i="7"/>
  <c r="AU370" i="7"/>
  <c r="AV370" i="7"/>
  <c r="AW370" i="7"/>
  <c r="AX370" i="7"/>
  <c r="AY370" i="7"/>
  <c r="AZ370" i="7"/>
  <c r="BA370" i="7" s="1"/>
  <c r="BB370" i="7"/>
  <c r="BC370" i="7"/>
  <c r="BD370" i="7"/>
  <c r="BE370" i="7"/>
  <c r="BF370" i="7"/>
  <c r="BG370" i="7"/>
  <c r="BH370" i="7"/>
  <c r="BI370" i="7"/>
  <c r="BJ370" i="7"/>
  <c r="BK370" i="7"/>
  <c r="BL370" i="7"/>
  <c r="BM370" i="7"/>
  <c r="BN370" i="7"/>
  <c r="BO370" i="7"/>
  <c r="BP370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AL371" i="7"/>
  <c r="AM371" i="7"/>
  <c r="AN371" i="7"/>
  <c r="AO371" i="7"/>
  <c r="AP371" i="7"/>
  <c r="AQ371" i="7"/>
  <c r="AR371" i="7"/>
  <c r="AS371" i="7"/>
  <c r="AT371" i="7"/>
  <c r="AU371" i="7"/>
  <c r="AV371" i="7"/>
  <c r="AW371" i="7"/>
  <c r="AX371" i="7"/>
  <c r="AY371" i="7"/>
  <c r="AZ371" i="7"/>
  <c r="BB371" i="7" s="1"/>
  <c r="BA371" i="7"/>
  <c r="BC371" i="7"/>
  <c r="BD371" i="7"/>
  <c r="BE371" i="7"/>
  <c r="BF371" i="7"/>
  <c r="BG371" i="7"/>
  <c r="BH371" i="7"/>
  <c r="BI371" i="7"/>
  <c r="BJ371" i="7"/>
  <c r="BK371" i="7"/>
  <c r="BL371" i="7"/>
  <c r="BM371" i="7"/>
  <c r="BN371" i="7"/>
  <c r="BO371" i="7"/>
  <c r="BP37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L281" i="7" s="1"/>
  <c r="AK281" i="7"/>
  <c r="AM281" i="7"/>
  <c r="AN281" i="7"/>
  <c r="AO281" i="7"/>
  <c r="AP281" i="7"/>
  <c r="AQ281" i="7"/>
  <c r="AR281" i="7"/>
  <c r="AS281" i="7"/>
  <c r="AT281" i="7"/>
  <c r="AU281" i="7"/>
  <c r="AV281" i="7"/>
  <c r="AW281" i="7"/>
  <c r="AX281" i="7"/>
  <c r="AY281" i="7"/>
  <c r="AZ281" i="7"/>
  <c r="BC281" i="7"/>
  <c r="BD281" i="7"/>
  <c r="BE281" i="7"/>
  <c r="BF281" i="7"/>
  <c r="BG281" i="7"/>
  <c r="BH281" i="7"/>
  <c r="BI281" i="7"/>
  <c r="BJ281" i="7"/>
  <c r="BK281" i="7"/>
  <c r="BL281" i="7"/>
  <c r="BM281" i="7"/>
  <c r="BN281" i="7"/>
  <c r="BO281" i="7"/>
  <c r="BP281" i="7"/>
  <c r="BQ281" i="7"/>
  <c r="BR281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AK372" i="7"/>
  <c r="AL372" i="7"/>
  <c r="AM372" i="7"/>
  <c r="AN372" i="7"/>
  <c r="AO372" i="7"/>
  <c r="AP372" i="7"/>
  <c r="AQ372" i="7"/>
  <c r="AR372" i="7"/>
  <c r="AS372" i="7"/>
  <c r="AT372" i="7"/>
  <c r="AU372" i="7"/>
  <c r="AV372" i="7"/>
  <c r="AW372" i="7"/>
  <c r="AX372" i="7"/>
  <c r="AY372" i="7"/>
  <c r="AZ372" i="7"/>
  <c r="BA372" i="7"/>
  <c r="BB372" i="7"/>
  <c r="BC372" i="7"/>
  <c r="BD372" i="7"/>
  <c r="BE372" i="7"/>
  <c r="BF372" i="7"/>
  <c r="BG372" i="7"/>
  <c r="BH372" i="7"/>
  <c r="BI372" i="7"/>
  <c r="BJ372" i="7"/>
  <c r="BK372" i="7"/>
  <c r="BL372" i="7"/>
  <c r="BM372" i="7"/>
  <c r="BN372" i="7"/>
  <c r="BO372" i="7"/>
  <c r="BP372" i="7"/>
  <c r="BQ372" i="7"/>
  <c r="BR372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AK373" i="7"/>
  <c r="AL373" i="7"/>
  <c r="AM373" i="7"/>
  <c r="AN373" i="7"/>
  <c r="AO373" i="7"/>
  <c r="AP373" i="7"/>
  <c r="AQ373" i="7"/>
  <c r="AR373" i="7"/>
  <c r="AS373" i="7"/>
  <c r="AT373" i="7"/>
  <c r="AU373" i="7"/>
  <c r="AV373" i="7"/>
  <c r="AW373" i="7"/>
  <c r="AX373" i="7"/>
  <c r="AY373" i="7"/>
  <c r="AZ373" i="7"/>
  <c r="BA373" i="7"/>
  <c r="BB373" i="7"/>
  <c r="BC373" i="7"/>
  <c r="BD373" i="7"/>
  <c r="BE373" i="7"/>
  <c r="BF373" i="7"/>
  <c r="BG373" i="7"/>
  <c r="BH373" i="7"/>
  <c r="BI373" i="7"/>
  <c r="BJ373" i="7"/>
  <c r="BK373" i="7"/>
  <c r="BL373" i="7"/>
  <c r="BM373" i="7"/>
  <c r="BN373" i="7"/>
  <c r="BO373" i="7"/>
  <c r="BP373" i="7"/>
  <c r="BR373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K282" i="7"/>
  <c r="AL282" i="7"/>
  <c r="AM282" i="7"/>
  <c r="AN282" i="7"/>
  <c r="AO282" i="7"/>
  <c r="AP282" i="7"/>
  <c r="AQ282" i="7"/>
  <c r="AR282" i="7"/>
  <c r="AS282" i="7"/>
  <c r="AT282" i="7"/>
  <c r="AU282" i="7"/>
  <c r="AV282" i="7"/>
  <c r="AW282" i="7"/>
  <c r="AX282" i="7"/>
  <c r="AY282" i="7"/>
  <c r="AZ282" i="7"/>
  <c r="BA282" i="7"/>
  <c r="BB282" i="7"/>
  <c r="BC282" i="7"/>
  <c r="BD282" i="7"/>
  <c r="BE282" i="7"/>
  <c r="BF282" i="7"/>
  <c r="BG282" i="7"/>
  <c r="BH282" i="7"/>
  <c r="BI282" i="7"/>
  <c r="BJ282" i="7"/>
  <c r="BK282" i="7"/>
  <c r="BL282" i="7"/>
  <c r="BM282" i="7"/>
  <c r="BN282" i="7"/>
  <c r="BO282" i="7"/>
  <c r="BP282" i="7"/>
  <c r="BQ282" i="7"/>
  <c r="BR282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AK374" i="7"/>
  <c r="AL374" i="7"/>
  <c r="AM374" i="7"/>
  <c r="AN374" i="7"/>
  <c r="AO374" i="7"/>
  <c r="AP374" i="7"/>
  <c r="AQ374" i="7"/>
  <c r="AR374" i="7"/>
  <c r="AS374" i="7"/>
  <c r="AT374" i="7"/>
  <c r="AU374" i="7"/>
  <c r="AV374" i="7"/>
  <c r="AW374" i="7"/>
  <c r="AX374" i="7"/>
  <c r="AY374" i="7"/>
  <c r="AZ374" i="7"/>
  <c r="BC374" i="7"/>
  <c r="BD374" i="7"/>
  <c r="BE374" i="7"/>
  <c r="BF374" i="7"/>
  <c r="BG374" i="7"/>
  <c r="BH374" i="7"/>
  <c r="BI374" i="7"/>
  <c r="BJ374" i="7"/>
  <c r="BK374" i="7"/>
  <c r="BL374" i="7"/>
  <c r="BM374" i="7"/>
  <c r="BN374" i="7"/>
  <c r="BO374" i="7"/>
  <c r="BP374" i="7"/>
  <c r="BQ374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AK375" i="7" s="1"/>
  <c r="AL375" i="7"/>
  <c r="AM375" i="7"/>
  <c r="AN375" i="7"/>
  <c r="AO375" i="7"/>
  <c r="AP375" i="7"/>
  <c r="AQ375" i="7"/>
  <c r="AR375" i="7"/>
  <c r="AS375" i="7"/>
  <c r="AT375" i="7"/>
  <c r="AU375" i="7"/>
  <c r="AV375" i="7"/>
  <c r="AW375" i="7"/>
  <c r="AX375" i="7"/>
  <c r="AY375" i="7"/>
  <c r="AZ375" i="7"/>
  <c r="BA375" i="7"/>
  <c r="BB375" i="7"/>
  <c r="BC375" i="7"/>
  <c r="BD375" i="7"/>
  <c r="BE375" i="7"/>
  <c r="BF375" i="7"/>
  <c r="BG375" i="7"/>
  <c r="BH375" i="7"/>
  <c r="BI375" i="7"/>
  <c r="BJ375" i="7"/>
  <c r="BK375" i="7"/>
  <c r="BL375" i="7"/>
  <c r="BM375" i="7"/>
  <c r="BN375" i="7"/>
  <c r="BO375" i="7"/>
  <c r="BP375" i="7"/>
  <c r="BQ375" i="7"/>
  <c r="BR375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AK376" i="7"/>
  <c r="AL376" i="7"/>
  <c r="AM376" i="7"/>
  <c r="AN376" i="7"/>
  <c r="AO376" i="7"/>
  <c r="AP376" i="7"/>
  <c r="AQ376" i="7"/>
  <c r="AR376" i="7"/>
  <c r="AS376" i="7"/>
  <c r="AT376" i="7"/>
  <c r="AU376" i="7"/>
  <c r="AV376" i="7"/>
  <c r="AW376" i="7"/>
  <c r="AX376" i="7"/>
  <c r="AY376" i="7"/>
  <c r="AZ376" i="7"/>
  <c r="BA376" i="7"/>
  <c r="BB376" i="7"/>
  <c r="BC376" i="7"/>
  <c r="BD376" i="7"/>
  <c r="BE376" i="7"/>
  <c r="BF376" i="7"/>
  <c r="BG376" i="7"/>
  <c r="BH376" i="7"/>
  <c r="BI376" i="7"/>
  <c r="BJ376" i="7"/>
  <c r="BK376" i="7"/>
  <c r="BL376" i="7"/>
  <c r="BM376" i="7"/>
  <c r="BN376" i="7"/>
  <c r="BO376" i="7"/>
  <c r="BP376" i="7"/>
  <c r="BR376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AM377" i="7"/>
  <c r="AN377" i="7"/>
  <c r="AO377" i="7"/>
  <c r="AP377" i="7"/>
  <c r="AQ377" i="7"/>
  <c r="AR377" i="7"/>
  <c r="AS377" i="7"/>
  <c r="AT377" i="7"/>
  <c r="AU377" i="7"/>
  <c r="AV377" i="7"/>
  <c r="AW377" i="7"/>
  <c r="AX377" i="7"/>
  <c r="AY377" i="7"/>
  <c r="AZ377" i="7"/>
  <c r="BA377" i="7"/>
  <c r="BB377" i="7"/>
  <c r="BC377" i="7"/>
  <c r="BD377" i="7"/>
  <c r="BE377" i="7"/>
  <c r="BF377" i="7"/>
  <c r="BG377" i="7"/>
  <c r="BH377" i="7"/>
  <c r="BI377" i="7"/>
  <c r="BJ377" i="7"/>
  <c r="BK377" i="7"/>
  <c r="BL377" i="7"/>
  <c r="BM377" i="7"/>
  <c r="BN377" i="7"/>
  <c r="BO377" i="7"/>
  <c r="BP377" i="7"/>
  <c r="BQ377" i="7" s="1"/>
  <c r="BR377" i="7"/>
  <c r="W378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AJ378" i="7"/>
  <c r="AL378" i="7"/>
  <c r="AM378" i="7"/>
  <c r="AN378" i="7"/>
  <c r="AO378" i="7"/>
  <c r="AP378" i="7"/>
  <c r="AQ378" i="7"/>
  <c r="AR378" i="7"/>
  <c r="AS378" i="7"/>
  <c r="AT378" i="7"/>
  <c r="AU378" i="7"/>
  <c r="AV378" i="7"/>
  <c r="AW378" i="7"/>
  <c r="AX378" i="7"/>
  <c r="AY378" i="7"/>
  <c r="AZ378" i="7"/>
  <c r="BC378" i="7"/>
  <c r="BD378" i="7"/>
  <c r="BE378" i="7"/>
  <c r="BF378" i="7"/>
  <c r="BG378" i="7"/>
  <c r="BH378" i="7"/>
  <c r="BI378" i="7"/>
  <c r="BJ378" i="7"/>
  <c r="BK378" i="7"/>
  <c r="BL378" i="7"/>
  <c r="BM378" i="7"/>
  <c r="BN378" i="7"/>
  <c r="BO378" i="7"/>
  <c r="BP378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AK379" i="7"/>
  <c r="AL379" i="7"/>
  <c r="AM379" i="7"/>
  <c r="AN379" i="7"/>
  <c r="AO379" i="7"/>
  <c r="AP379" i="7"/>
  <c r="AQ379" i="7"/>
  <c r="AR379" i="7"/>
  <c r="AS379" i="7"/>
  <c r="AT379" i="7"/>
  <c r="AU379" i="7"/>
  <c r="AV379" i="7"/>
  <c r="AW379" i="7"/>
  <c r="AX379" i="7"/>
  <c r="AY379" i="7"/>
  <c r="AZ379" i="7"/>
  <c r="BC379" i="7"/>
  <c r="BD379" i="7"/>
  <c r="BE379" i="7"/>
  <c r="BF379" i="7"/>
  <c r="BG379" i="7"/>
  <c r="BH379" i="7"/>
  <c r="BI379" i="7"/>
  <c r="BJ379" i="7"/>
  <c r="BK379" i="7"/>
  <c r="BL379" i="7"/>
  <c r="BM379" i="7"/>
  <c r="BN379" i="7"/>
  <c r="BO379" i="7"/>
  <c r="BP379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AK380" i="7"/>
  <c r="AL380" i="7"/>
  <c r="AM380" i="7"/>
  <c r="AN380" i="7"/>
  <c r="AO380" i="7"/>
  <c r="AP380" i="7"/>
  <c r="AQ380" i="7"/>
  <c r="AR380" i="7"/>
  <c r="AS380" i="7"/>
  <c r="AT380" i="7"/>
  <c r="AU380" i="7"/>
  <c r="AV380" i="7"/>
  <c r="AW380" i="7"/>
  <c r="AX380" i="7"/>
  <c r="AY380" i="7"/>
  <c r="AZ380" i="7"/>
  <c r="BA380" i="7"/>
  <c r="BB380" i="7"/>
  <c r="BC380" i="7"/>
  <c r="BD380" i="7"/>
  <c r="BE380" i="7"/>
  <c r="BF380" i="7"/>
  <c r="BG380" i="7"/>
  <c r="BH380" i="7"/>
  <c r="BI380" i="7"/>
  <c r="BJ380" i="7"/>
  <c r="BK380" i="7"/>
  <c r="BL380" i="7"/>
  <c r="BM380" i="7"/>
  <c r="BN380" i="7"/>
  <c r="BO380" i="7"/>
  <c r="BP380" i="7"/>
  <c r="BQ380" i="7"/>
  <c r="BR380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K237" i="7"/>
  <c r="AL237" i="7"/>
  <c r="AM237" i="7"/>
  <c r="AN237" i="7"/>
  <c r="AO237" i="7"/>
  <c r="AP237" i="7"/>
  <c r="AQ237" i="7"/>
  <c r="AR237" i="7"/>
  <c r="AS237" i="7"/>
  <c r="AT237" i="7"/>
  <c r="AU237" i="7"/>
  <c r="AV237" i="7"/>
  <c r="AW237" i="7"/>
  <c r="AX237" i="7"/>
  <c r="AY237" i="7"/>
  <c r="AZ237" i="7"/>
  <c r="BC237" i="7"/>
  <c r="BD237" i="7"/>
  <c r="BE237" i="7"/>
  <c r="BF237" i="7"/>
  <c r="BG237" i="7"/>
  <c r="BH237" i="7"/>
  <c r="BI237" i="7"/>
  <c r="BJ237" i="7"/>
  <c r="BK237" i="7"/>
  <c r="BL237" i="7"/>
  <c r="BM237" i="7"/>
  <c r="BN237" i="7"/>
  <c r="BO237" i="7"/>
  <c r="BP237" i="7"/>
  <c r="BQ237" i="7"/>
  <c r="BR237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AK381" i="7" s="1"/>
  <c r="AL381" i="7"/>
  <c r="AM381" i="7"/>
  <c r="AN381" i="7"/>
  <c r="AO381" i="7"/>
  <c r="AP381" i="7"/>
  <c r="AQ381" i="7"/>
  <c r="AR381" i="7"/>
  <c r="AS381" i="7"/>
  <c r="AT381" i="7"/>
  <c r="AU381" i="7"/>
  <c r="AV381" i="7"/>
  <c r="AW381" i="7"/>
  <c r="AX381" i="7"/>
  <c r="AY381" i="7"/>
  <c r="AZ381" i="7"/>
  <c r="BB381" i="7"/>
  <c r="BC381" i="7"/>
  <c r="BD381" i="7"/>
  <c r="BE381" i="7"/>
  <c r="BF381" i="7"/>
  <c r="BG381" i="7"/>
  <c r="BH381" i="7"/>
  <c r="BI381" i="7"/>
  <c r="BJ381" i="7"/>
  <c r="BK381" i="7"/>
  <c r="BL381" i="7"/>
  <c r="BM381" i="7"/>
  <c r="BN381" i="7"/>
  <c r="BO381" i="7"/>
  <c r="BP381" i="7"/>
  <c r="BQ381" i="7"/>
  <c r="BR381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M283" i="7"/>
  <c r="AN283" i="7"/>
  <c r="AO283" i="7"/>
  <c r="AP283" i="7"/>
  <c r="AQ283" i="7"/>
  <c r="AR283" i="7"/>
  <c r="AS283" i="7"/>
  <c r="AT283" i="7"/>
  <c r="AU283" i="7"/>
  <c r="AV283" i="7"/>
  <c r="AW283" i="7"/>
  <c r="AX283" i="7"/>
  <c r="AY283" i="7"/>
  <c r="AZ283" i="7"/>
  <c r="BA283" i="7"/>
  <c r="BB283" i="7"/>
  <c r="BC283" i="7"/>
  <c r="BD283" i="7"/>
  <c r="BE283" i="7"/>
  <c r="BF283" i="7"/>
  <c r="BG283" i="7"/>
  <c r="BH283" i="7"/>
  <c r="BI283" i="7"/>
  <c r="BJ283" i="7"/>
  <c r="BK283" i="7"/>
  <c r="BL283" i="7"/>
  <c r="BM283" i="7"/>
  <c r="BN283" i="7"/>
  <c r="BO283" i="7"/>
  <c r="BP283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AK382" i="7" s="1"/>
  <c r="AL382" i="7"/>
  <c r="AM382" i="7"/>
  <c r="AN382" i="7"/>
  <c r="AO382" i="7"/>
  <c r="AP382" i="7"/>
  <c r="AQ382" i="7"/>
  <c r="AR382" i="7"/>
  <c r="AS382" i="7"/>
  <c r="AT382" i="7"/>
  <c r="AU382" i="7"/>
  <c r="AV382" i="7"/>
  <c r="AW382" i="7"/>
  <c r="AX382" i="7"/>
  <c r="AY382" i="7"/>
  <c r="AZ382" i="7"/>
  <c r="BA382" i="7"/>
  <c r="BB382" i="7"/>
  <c r="BC382" i="7"/>
  <c r="BD382" i="7"/>
  <c r="BE382" i="7"/>
  <c r="BF382" i="7"/>
  <c r="BG382" i="7"/>
  <c r="BH382" i="7"/>
  <c r="BI382" i="7"/>
  <c r="BJ382" i="7"/>
  <c r="BK382" i="7"/>
  <c r="BL382" i="7"/>
  <c r="BM382" i="7"/>
  <c r="BN382" i="7"/>
  <c r="BO382" i="7"/>
  <c r="BP382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AK383" i="7"/>
  <c r="AL383" i="7"/>
  <c r="AM383" i="7"/>
  <c r="AN383" i="7"/>
  <c r="AO383" i="7"/>
  <c r="AP383" i="7"/>
  <c r="AQ383" i="7"/>
  <c r="AR383" i="7"/>
  <c r="AS383" i="7"/>
  <c r="AT383" i="7"/>
  <c r="AU383" i="7"/>
  <c r="AV383" i="7"/>
  <c r="AW383" i="7"/>
  <c r="AX383" i="7"/>
  <c r="AY383" i="7"/>
  <c r="AZ383" i="7"/>
  <c r="BA383" i="7" s="1"/>
  <c r="BB383" i="7"/>
  <c r="BC383" i="7"/>
  <c r="BD383" i="7"/>
  <c r="BE383" i="7"/>
  <c r="BF383" i="7"/>
  <c r="BG383" i="7"/>
  <c r="BH383" i="7"/>
  <c r="BI383" i="7"/>
  <c r="BJ383" i="7"/>
  <c r="BK383" i="7"/>
  <c r="BL383" i="7"/>
  <c r="BM383" i="7"/>
  <c r="BN383" i="7"/>
  <c r="BO383" i="7"/>
  <c r="BP383" i="7"/>
  <c r="BQ383" i="7" s="1"/>
  <c r="BR383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AM384" i="7"/>
  <c r="AN384" i="7"/>
  <c r="AO384" i="7"/>
  <c r="AP384" i="7"/>
  <c r="AQ384" i="7"/>
  <c r="AR384" i="7"/>
  <c r="AS384" i="7"/>
  <c r="AT384" i="7"/>
  <c r="AU384" i="7"/>
  <c r="AV384" i="7"/>
  <c r="AW384" i="7"/>
  <c r="AX384" i="7"/>
  <c r="AY384" i="7"/>
  <c r="AZ384" i="7"/>
  <c r="BA384" i="7"/>
  <c r="BB384" i="7"/>
  <c r="BC384" i="7"/>
  <c r="BD384" i="7"/>
  <c r="BE384" i="7"/>
  <c r="BF384" i="7"/>
  <c r="BG384" i="7"/>
  <c r="BH384" i="7"/>
  <c r="BI384" i="7"/>
  <c r="BJ384" i="7"/>
  <c r="BK384" i="7"/>
  <c r="BL384" i="7"/>
  <c r="BM384" i="7"/>
  <c r="BN384" i="7"/>
  <c r="BO384" i="7"/>
  <c r="BP384" i="7"/>
  <c r="BQ384" i="7"/>
  <c r="BR384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AK385" i="7"/>
  <c r="AL385" i="7"/>
  <c r="AM385" i="7"/>
  <c r="AN385" i="7"/>
  <c r="AO385" i="7"/>
  <c r="AP385" i="7"/>
  <c r="AQ385" i="7"/>
  <c r="AR385" i="7"/>
  <c r="AS385" i="7"/>
  <c r="AT385" i="7"/>
  <c r="AU385" i="7"/>
  <c r="AV385" i="7"/>
  <c r="AW385" i="7"/>
  <c r="AX385" i="7"/>
  <c r="AY385" i="7"/>
  <c r="AZ385" i="7"/>
  <c r="BA385" i="7"/>
  <c r="BB385" i="7"/>
  <c r="BC385" i="7"/>
  <c r="BD385" i="7"/>
  <c r="BE385" i="7"/>
  <c r="BF385" i="7"/>
  <c r="BG385" i="7"/>
  <c r="BH385" i="7"/>
  <c r="BI385" i="7"/>
  <c r="BJ385" i="7"/>
  <c r="BK385" i="7"/>
  <c r="BL385" i="7"/>
  <c r="BM385" i="7"/>
  <c r="BN385" i="7"/>
  <c r="BO385" i="7"/>
  <c r="BP385" i="7"/>
  <c r="BQ385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AL386" i="7" s="1"/>
  <c r="AK386" i="7"/>
  <c r="AM386" i="7"/>
  <c r="AN386" i="7"/>
  <c r="AO386" i="7"/>
  <c r="AP386" i="7"/>
  <c r="AQ386" i="7"/>
  <c r="AR386" i="7"/>
  <c r="AS386" i="7"/>
  <c r="AT386" i="7"/>
  <c r="AU386" i="7"/>
  <c r="AV386" i="7"/>
  <c r="AW386" i="7"/>
  <c r="AX386" i="7"/>
  <c r="AY386" i="7"/>
  <c r="AZ386" i="7"/>
  <c r="BA386" i="7"/>
  <c r="BB386" i="7"/>
  <c r="BC386" i="7"/>
  <c r="BD386" i="7"/>
  <c r="BE386" i="7"/>
  <c r="BF386" i="7"/>
  <c r="BG386" i="7"/>
  <c r="BH386" i="7"/>
  <c r="BI386" i="7"/>
  <c r="BJ386" i="7"/>
  <c r="BK386" i="7"/>
  <c r="BL386" i="7"/>
  <c r="BM386" i="7"/>
  <c r="BN386" i="7"/>
  <c r="BO386" i="7"/>
  <c r="BP386" i="7"/>
  <c r="BQ386" i="7"/>
  <c r="BR386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AK387" i="7"/>
  <c r="AL387" i="7"/>
  <c r="AM387" i="7"/>
  <c r="AN387" i="7"/>
  <c r="AO387" i="7"/>
  <c r="AP387" i="7"/>
  <c r="AQ387" i="7"/>
  <c r="AR387" i="7"/>
  <c r="AS387" i="7"/>
  <c r="AT387" i="7"/>
  <c r="AU387" i="7"/>
  <c r="AV387" i="7"/>
  <c r="AW387" i="7"/>
  <c r="AX387" i="7"/>
  <c r="AY387" i="7"/>
  <c r="AZ387" i="7"/>
  <c r="BA387" i="7"/>
  <c r="BB387" i="7"/>
  <c r="BC387" i="7"/>
  <c r="BD387" i="7"/>
  <c r="BE387" i="7"/>
  <c r="BF387" i="7"/>
  <c r="BG387" i="7"/>
  <c r="BH387" i="7"/>
  <c r="BI387" i="7"/>
  <c r="BJ387" i="7"/>
  <c r="BK387" i="7"/>
  <c r="BL387" i="7"/>
  <c r="BM387" i="7"/>
  <c r="BN387" i="7"/>
  <c r="BO387" i="7"/>
  <c r="BP387" i="7"/>
  <c r="BQ387" i="7"/>
  <c r="BR387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J388" i="7"/>
  <c r="AL388" i="7"/>
  <c r="AM388" i="7"/>
  <c r="AN388" i="7"/>
  <c r="AO388" i="7"/>
  <c r="AP388" i="7"/>
  <c r="AQ388" i="7"/>
  <c r="AR388" i="7"/>
  <c r="AS388" i="7"/>
  <c r="AT388" i="7"/>
  <c r="AU388" i="7"/>
  <c r="AV388" i="7"/>
  <c r="AW388" i="7"/>
  <c r="AX388" i="7"/>
  <c r="AY388" i="7"/>
  <c r="AZ388" i="7"/>
  <c r="BA388" i="7"/>
  <c r="BB388" i="7"/>
  <c r="BC388" i="7"/>
  <c r="BD388" i="7"/>
  <c r="BE388" i="7"/>
  <c r="BF388" i="7"/>
  <c r="BG388" i="7"/>
  <c r="BH388" i="7"/>
  <c r="BI388" i="7"/>
  <c r="BJ388" i="7"/>
  <c r="BK388" i="7"/>
  <c r="BL388" i="7"/>
  <c r="BM388" i="7"/>
  <c r="BN388" i="7"/>
  <c r="BO388" i="7"/>
  <c r="BP388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K284" i="7"/>
  <c r="AL284" i="7"/>
  <c r="AM284" i="7"/>
  <c r="AN284" i="7"/>
  <c r="AO284" i="7"/>
  <c r="AP284" i="7"/>
  <c r="AQ284" i="7"/>
  <c r="AR284" i="7"/>
  <c r="AS284" i="7"/>
  <c r="AT284" i="7"/>
  <c r="AU284" i="7"/>
  <c r="AV284" i="7"/>
  <c r="AW284" i="7"/>
  <c r="AX284" i="7"/>
  <c r="AY284" i="7"/>
  <c r="AZ284" i="7"/>
  <c r="BC284" i="7"/>
  <c r="BD284" i="7"/>
  <c r="BE284" i="7"/>
  <c r="BF284" i="7"/>
  <c r="BG284" i="7"/>
  <c r="BH284" i="7"/>
  <c r="BI284" i="7"/>
  <c r="BJ284" i="7"/>
  <c r="BK284" i="7"/>
  <c r="BL284" i="7"/>
  <c r="BM284" i="7"/>
  <c r="BN284" i="7"/>
  <c r="BO284" i="7"/>
  <c r="BP284" i="7"/>
  <c r="BR284" i="7" s="1"/>
  <c r="BQ284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AK389" i="7"/>
  <c r="AL389" i="7"/>
  <c r="AM389" i="7"/>
  <c r="AN389" i="7"/>
  <c r="AO389" i="7"/>
  <c r="AP389" i="7"/>
  <c r="AQ389" i="7"/>
  <c r="AR389" i="7"/>
  <c r="AS389" i="7"/>
  <c r="AT389" i="7"/>
  <c r="AU389" i="7"/>
  <c r="AV389" i="7"/>
  <c r="AW389" i="7"/>
  <c r="AX389" i="7"/>
  <c r="AY389" i="7"/>
  <c r="AZ389" i="7"/>
  <c r="BA389" i="7"/>
  <c r="BB389" i="7"/>
  <c r="BC389" i="7"/>
  <c r="BD389" i="7"/>
  <c r="BE389" i="7"/>
  <c r="BF389" i="7"/>
  <c r="BG389" i="7"/>
  <c r="BH389" i="7"/>
  <c r="BI389" i="7"/>
  <c r="BJ389" i="7"/>
  <c r="BK389" i="7"/>
  <c r="BL389" i="7"/>
  <c r="BM389" i="7"/>
  <c r="BN389" i="7"/>
  <c r="BO389" i="7"/>
  <c r="BP389" i="7"/>
  <c r="BQ389" i="7"/>
  <c r="BR389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AM390" i="7"/>
  <c r="AN390" i="7"/>
  <c r="AO390" i="7"/>
  <c r="AP390" i="7"/>
  <c r="AQ390" i="7"/>
  <c r="AR390" i="7"/>
  <c r="AS390" i="7"/>
  <c r="AT390" i="7"/>
  <c r="AU390" i="7"/>
  <c r="AV390" i="7"/>
  <c r="AW390" i="7"/>
  <c r="AX390" i="7"/>
  <c r="AY390" i="7"/>
  <c r="AZ390" i="7"/>
  <c r="BB390" i="7"/>
  <c r="BC390" i="7"/>
  <c r="BD390" i="7"/>
  <c r="BE390" i="7"/>
  <c r="BF390" i="7"/>
  <c r="BG390" i="7"/>
  <c r="BH390" i="7"/>
  <c r="BI390" i="7"/>
  <c r="BJ390" i="7"/>
  <c r="BK390" i="7"/>
  <c r="BL390" i="7"/>
  <c r="BM390" i="7"/>
  <c r="BN390" i="7"/>
  <c r="BO390" i="7"/>
  <c r="BP390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AL391" i="7" s="1"/>
  <c r="AM391" i="7"/>
  <c r="AN391" i="7"/>
  <c r="AO391" i="7"/>
  <c r="AP391" i="7"/>
  <c r="AQ391" i="7"/>
  <c r="AR391" i="7"/>
  <c r="AS391" i="7"/>
  <c r="AT391" i="7"/>
  <c r="AU391" i="7"/>
  <c r="AV391" i="7"/>
  <c r="AW391" i="7"/>
  <c r="AX391" i="7"/>
  <c r="AY391" i="7"/>
  <c r="AZ391" i="7"/>
  <c r="BA391" i="7"/>
  <c r="BB391" i="7"/>
  <c r="BC391" i="7"/>
  <c r="BD391" i="7"/>
  <c r="BE391" i="7"/>
  <c r="BF391" i="7"/>
  <c r="BG391" i="7"/>
  <c r="BH391" i="7"/>
  <c r="BI391" i="7"/>
  <c r="BJ391" i="7"/>
  <c r="BK391" i="7"/>
  <c r="BL391" i="7"/>
  <c r="BM391" i="7"/>
  <c r="BN391" i="7"/>
  <c r="BO391" i="7"/>
  <c r="BP391" i="7"/>
  <c r="BQ391" i="7"/>
  <c r="BR391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AK392" i="7"/>
  <c r="AL392" i="7"/>
  <c r="AM392" i="7"/>
  <c r="AN392" i="7"/>
  <c r="AO392" i="7"/>
  <c r="AP392" i="7"/>
  <c r="AQ392" i="7"/>
  <c r="AR392" i="7"/>
  <c r="AS392" i="7"/>
  <c r="AT392" i="7"/>
  <c r="AU392" i="7"/>
  <c r="AV392" i="7"/>
  <c r="AW392" i="7"/>
  <c r="AX392" i="7"/>
  <c r="AY392" i="7"/>
  <c r="AZ392" i="7"/>
  <c r="BA392" i="7" s="1"/>
  <c r="BB392" i="7"/>
  <c r="BC392" i="7"/>
  <c r="BD392" i="7"/>
  <c r="BE392" i="7"/>
  <c r="BF392" i="7"/>
  <c r="BG392" i="7"/>
  <c r="BH392" i="7"/>
  <c r="BI392" i="7"/>
  <c r="BJ392" i="7"/>
  <c r="BK392" i="7"/>
  <c r="BL392" i="7"/>
  <c r="BM392" i="7"/>
  <c r="BN392" i="7"/>
  <c r="BO392" i="7"/>
  <c r="BP392" i="7"/>
  <c r="BQ392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J393" i="7"/>
  <c r="AL393" i="7"/>
  <c r="AM393" i="7"/>
  <c r="AN393" i="7"/>
  <c r="AO393" i="7"/>
  <c r="AP393" i="7"/>
  <c r="AQ393" i="7"/>
  <c r="AR393" i="7"/>
  <c r="AS393" i="7"/>
  <c r="AT393" i="7"/>
  <c r="AU393" i="7"/>
  <c r="AV393" i="7"/>
  <c r="AW393" i="7"/>
  <c r="AX393" i="7"/>
  <c r="AY393" i="7"/>
  <c r="AZ393" i="7"/>
  <c r="BB393" i="7"/>
  <c r="BC393" i="7"/>
  <c r="BD393" i="7"/>
  <c r="BE393" i="7"/>
  <c r="BF393" i="7"/>
  <c r="BG393" i="7"/>
  <c r="BH393" i="7"/>
  <c r="BI393" i="7"/>
  <c r="BJ393" i="7"/>
  <c r="BK393" i="7"/>
  <c r="BL393" i="7"/>
  <c r="BM393" i="7"/>
  <c r="BN393" i="7"/>
  <c r="BO393" i="7"/>
  <c r="BP393" i="7"/>
  <c r="BQ393" i="7"/>
  <c r="BR393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K285" i="7"/>
  <c r="AL285" i="7"/>
  <c r="AM285" i="7"/>
  <c r="AN285" i="7"/>
  <c r="AO285" i="7"/>
  <c r="AP285" i="7"/>
  <c r="AQ285" i="7"/>
  <c r="AR285" i="7"/>
  <c r="AS285" i="7"/>
  <c r="AT285" i="7"/>
  <c r="AU285" i="7"/>
  <c r="AV285" i="7"/>
  <c r="AW285" i="7"/>
  <c r="AX285" i="7"/>
  <c r="AY285" i="7"/>
  <c r="AZ285" i="7"/>
  <c r="BA285" i="7"/>
  <c r="BB285" i="7"/>
  <c r="BC285" i="7"/>
  <c r="BD285" i="7"/>
  <c r="BE285" i="7"/>
  <c r="BF285" i="7"/>
  <c r="BG285" i="7"/>
  <c r="BH285" i="7"/>
  <c r="BI285" i="7"/>
  <c r="BJ285" i="7"/>
  <c r="BK285" i="7"/>
  <c r="BL285" i="7"/>
  <c r="BM285" i="7"/>
  <c r="BN285" i="7"/>
  <c r="BO285" i="7"/>
  <c r="BP285" i="7"/>
  <c r="BQ285" i="7"/>
  <c r="BR285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L286" i="7"/>
  <c r="AM286" i="7"/>
  <c r="AN286" i="7"/>
  <c r="AO286" i="7"/>
  <c r="AP286" i="7"/>
  <c r="AQ286" i="7"/>
  <c r="AR286" i="7"/>
  <c r="AS286" i="7"/>
  <c r="AT286" i="7"/>
  <c r="AU286" i="7"/>
  <c r="AV286" i="7"/>
  <c r="AW286" i="7"/>
  <c r="AX286" i="7"/>
  <c r="AY286" i="7"/>
  <c r="AZ286" i="7"/>
  <c r="BA286" i="7"/>
  <c r="BB286" i="7"/>
  <c r="BC286" i="7"/>
  <c r="BD286" i="7"/>
  <c r="BE286" i="7"/>
  <c r="BF286" i="7"/>
  <c r="BG286" i="7"/>
  <c r="BH286" i="7"/>
  <c r="BI286" i="7"/>
  <c r="BJ286" i="7"/>
  <c r="BK286" i="7"/>
  <c r="BL286" i="7"/>
  <c r="BM286" i="7"/>
  <c r="BN286" i="7"/>
  <c r="BO286" i="7"/>
  <c r="BP286" i="7"/>
  <c r="BQ286" i="7" s="1"/>
  <c r="BR286" i="7"/>
  <c r="BP2" i="7"/>
  <c r="BO2" i="7"/>
  <c r="BN2" i="7"/>
  <c r="BM2" i="7"/>
  <c r="BL2" i="7"/>
  <c r="BK2" i="7"/>
  <c r="BH2" i="7"/>
  <c r="BG2" i="7"/>
  <c r="BF2" i="7"/>
  <c r="BE2" i="7"/>
  <c r="BD2" i="7"/>
  <c r="BC2" i="7"/>
  <c r="AZ2" i="7"/>
  <c r="AY2" i="7"/>
  <c r="AX2" i="7"/>
  <c r="AW2" i="7"/>
  <c r="AV2" i="7"/>
  <c r="AU2" i="7"/>
  <c r="AR2" i="7"/>
  <c r="AQ2" i="7"/>
  <c r="AP2" i="7"/>
  <c r="AO2" i="7"/>
  <c r="AN2" i="7"/>
  <c r="AM2" i="7"/>
  <c r="AJ2" i="7"/>
  <c r="AI2" i="7"/>
  <c r="AH2" i="7"/>
  <c r="AG2" i="7"/>
  <c r="AF2" i="7"/>
  <c r="AB2" i="7"/>
  <c r="AA2" i="7"/>
  <c r="Z2" i="7"/>
  <c r="Y2" i="7"/>
  <c r="X2" i="7"/>
  <c r="W2" i="7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BL3" i="8"/>
  <c r="BM3" i="8"/>
  <c r="BN3" i="8"/>
  <c r="BO3" i="8"/>
  <c r="BP3" i="8"/>
  <c r="BQ3" i="8"/>
  <c r="BR3" i="8"/>
  <c r="W4" i="8"/>
  <c r="X4" i="8"/>
  <c r="Y4" i="8"/>
  <c r="Z4" i="8"/>
  <c r="AA4" i="8"/>
  <c r="AB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K4" i="8"/>
  <c r="BL4" i="8"/>
  <c r="BM4" i="8"/>
  <c r="BN4" i="8"/>
  <c r="BO4" i="8"/>
  <c r="BP4" i="8"/>
  <c r="BQ4" i="8"/>
  <c r="BR4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C7" i="8"/>
  <c r="BD7" i="8"/>
  <c r="BE7" i="8"/>
  <c r="BF7" i="8"/>
  <c r="BG7" i="8"/>
  <c r="BH7" i="8"/>
  <c r="BI7" i="8" s="1"/>
  <c r="BJ7" i="8"/>
  <c r="BK7" i="8"/>
  <c r="BL7" i="8"/>
  <c r="BM7" i="8"/>
  <c r="BN7" i="8"/>
  <c r="BO7" i="8"/>
  <c r="BP7" i="8"/>
  <c r="BQ7" i="8"/>
  <c r="BR7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W9" i="8"/>
  <c r="X9" i="8"/>
  <c r="Y9" i="8"/>
  <c r="Z9" i="8"/>
  <c r="AA9" i="8"/>
  <c r="AB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 s="1"/>
  <c r="BJ10" i="8"/>
  <c r="BK10" i="8"/>
  <c r="BL10" i="8"/>
  <c r="BM10" i="8"/>
  <c r="BN10" i="8"/>
  <c r="BO10" i="8"/>
  <c r="BP10" i="8"/>
  <c r="BQ10" i="8"/>
  <c r="BR10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P2" i="8"/>
  <c r="BO2" i="8"/>
  <c r="BN2" i="8"/>
  <c r="BM2" i="8"/>
  <c r="BL2" i="8"/>
  <c r="BK2" i="8"/>
  <c r="BH2" i="8"/>
  <c r="BG2" i="8"/>
  <c r="BF2" i="8"/>
  <c r="BE2" i="8"/>
  <c r="BD2" i="8"/>
  <c r="BC2" i="8"/>
  <c r="AZ2" i="8"/>
  <c r="AY2" i="8"/>
  <c r="AX2" i="8"/>
  <c r="AW2" i="8"/>
  <c r="AV2" i="8"/>
  <c r="AU2" i="8"/>
  <c r="BB2" i="8" s="1"/>
  <c r="AR2" i="8"/>
  <c r="AQ2" i="8"/>
  <c r="AP2" i="8"/>
  <c r="AO2" i="8"/>
  <c r="AN2" i="8"/>
  <c r="AM2" i="8"/>
  <c r="AJ2" i="8"/>
  <c r="AI2" i="8"/>
  <c r="AH2" i="8"/>
  <c r="AG2" i="8"/>
  <c r="AF2" i="8"/>
  <c r="AE2" i="8"/>
  <c r="AK2" i="8" s="1"/>
  <c r="AB2" i="8"/>
  <c r="AA2" i="8"/>
  <c r="Z2" i="8"/>
  <c r="Y2" i="8"/>
  <c r="X2" i="8"/>
  <c r="W2" i="8"/>
  <c r="AA7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J4" i="9"/>
  <c r="BK4" i="9"/>
  <c r="BL4" i="9"/>
  <c r="BM4" i="9"/>
  <c r="BN4" i="9"/>
  <c r="BO4" i="9"/>
  <c r="BP4" i="9"/>
  <c r="BQ4" i="9"/>
  <c r="BR4" i="9"/>
  <c r="W5" i="9"/>
  <c r="X5" i="9"/>
  <c r="Y5" i="9"/>
  <c r="Z5" i="9"/>
  <c r="AA5" i="9"/>
  <c r="AB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W7" i="9"/>
  <c r="X7" i="9"/>
  <c r="Y7" i="9"/>
  <c r="Z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K7" i="9"/>
  <c r="BL7" i="9"/>
  <c r="BM7" i="9"/>
  <c r="BN7" i="9"/>
  <c r="BO7" i="9"/>
  <c r="BP7" i="9"/>
  <c r="BQ7" i="9"/>
  <c r="BR7" i="9"/>
  <c r="W8" i="9"/>
  <c r="X8" i="9"/>
  <c r="Y8" i="9"/>
  <c r="Z8" i="9"/>
  <c r="AA8" i="9"/>
  <c r="AB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U8" i="9"/>
  <c r="AV8" i="9"/>
  <c r="AW8" i="9"/>
  <c r="AX8" i="9"/>
  <c r="AY8" i="9"/>
  <c r="AZ8" i="9"/>
  <c r="BA8" i="9" s="1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R8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 s="1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 s="1"/>
  <c r="BJ9" i="9"/>
  <c r="BK9" i="9"/>
  <c r="BL9" i="9"/>
  <c r="BM9" i="9"/>
  <c r="BN9" i="9"/>
  <c r="BO9" i="9"/>
  <c r="BP9" i="9"/>
  <c r="BQ9" i="9"/>
  <c r="BR9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M10" i="9"/>
  <c r="AN10" i="9"/>
  <c r="AO10" i="9"/>
  <c r="AP10" i="9"/>
  <c r="AQ10" i="9"/>
  <c r="AR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P11" i="9"/>
  <c r="BQ11" i="9" s="1"/>
  <c r="BR11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P2" i="9"/>
  <c r="BO2" i="9"/>
  <c r="BN2" i="9"/>
  <c r="BM2" i="9"/>
  <c r="BL2" i="9"/>
  <c r="BK2" i="9"/>
  <c r="BH2" i="9"/>
  <c r="BG2" i="9"/>
  <c r="BF2" i="9"/>
  <c r="BE2" i="9"/>
  <c r="BD2" i="9"/>
  <c r="BC2" i="9"/>
  <c r="AZ2" i="9"/>
  <c r="AY2" i="9"/>
  <c r="AX2" i="9"/>
  <c r="AW2" i="9"/>
  <c r="AV2" i="9"/>
  <c r="AU2" i="9"/>
  <c r="AR2" i="9"/>
  <c r="AQ2" i="9"/>
  <c r="AP2" i="9"/>
  <c r="AO2" i="9"/>
  <c r="AN2" i="9"/>
  <c r="AM2" i="9"/>
  <c r="AJ2" i="9"/>
  <c r="AI2" i="9"/>
  <c r="AH2" i="9"/>
  <c r="AG2" i="9"/>
  <c r="AF2" i="9"/>
  <c r="AE2" i="9"/>
  <c r="AB2" i="9"/>
  <c r="AA2" i="9"/>
  <c r="Z2" i="9"/>
  <c r="Y2" i="9"/>
  <c r="X2" i="9"/>
  <c r="W2" i="9"/>
  <c r="AC19" i="10"/>
  <c r="AC2" i="10"/>
  <c r="AA3" i="10"/>
  <c r="AB3" i="10"/>
  <c r="AC3" i="10"/>
  <c r="AD3" i="10"/>
  <c r="AE3" i="10"/>
  <c r="AF3" i="10"/>
  <c r="AH3" i="10"/>
  <c r="AI3" i="10"/>
  <c r="AJ3" i="10"/>
  <c r="AK3" i="10"/>
  <c r="AL3" i="10"/>
  <c r="AM3" i="10"/>
  <c r="AN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BG3" i="10"/>
  <c r="BH3" i="10"/>
  <c r="BI3" i="10"/>
  <c r="BJ3" i="10"/>
  <c r="BK3" i="10"/>
  <c r="BL3" i="10"/>
  <c r="BO3" i="10"/>
  <c r="BP3" i="10"/>
  <c r="BQ3" i="10"/>
  <c r="BR3" i="10"/>
  <c r="BS3" i="10"/>
  <c r="BT3" i="10"/>
  <c r="AA4" i="10"/>
  <c r="AB4" i="10"/>
  <c r="AC4" i="10"/>
  <c r="AD4" i="10"/>
  <c r="AE4" i="10"/>
  <c r="AF4" i="10"/>
  <c r="AI4" i="10"/>
  <c r="AJ4" i="10"/>
  <c r="AK4" i="10"/>
  <c r="AL4" i="10"/>
  <c r="AM4" i="10"/>
  <c r="AN4" i="10"/>
  <c r="AQ4" i="10"/>
  <c r="AR4" i="10"/>
  <c r="AS4" i="10"/>
  <c r="AT4" i="10"/>
  <c r="AU4" i="10"/>
  <c r="AV4" i="10"/>
  <c r="AY4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BL4" i="10"/>
  <c r="BM4" i="10"/>
  <c r="BN4" i="10"/>
  <c r="BO4" i="10"/>
  <c r="BP4" i="10"/>
  <c r="BQ4" i="10"/>
  <c r="BR4" i="10"/>
  <c r="BS4" i="10"/>
  <c r="BT4" i="10"/>
  <c r="AA5" i="10"/>
  <c r="AB5" i="10"/>
  <c r="AC5" i="10"/>
  <c r="AD5" i="10"/>
  <c r="AE5" i="10"/>
  <c r="AF5" i="10"/>
  <c r="AG5" i="10" s="1"/>
  <c r="AH5" i="10"/>
  <c r="AI5" i="10"/>
  <c r="AJ5" i="10"/>
  <c r="AK5" i="10"/>
  <c r="AL5" i="10"/>
  <c r="AM5" i="10"/>
  <c r="AN5" i="10"/>
  <c r="AQ5" i="10"/>
  <c r="AR5" i="10"/>
  <c r="AS5" i="10"/>
  <c r="AT5" i="10"/>
  <c r="AU5" i="10"/>
  <c r="AV5" i="10"/>
  <c r="AY5" i="10"/>
  <c r="AZ5" i="10"/>
  <c r="BA5" i="10"/>
  <c r="BB5" i="10"/>
  <c r="BC5" i="10"/>
  <c r="BD5" i="10"/>
  <c r="BE5" i="10" s="1"/>
  <c r="BF5" i="10"/>
  <c r="BG5" i="10"/>
  <c r="BH5" i="10"/>
  <c r="BI5" i="10"/>
  <c r="BJ5" i="10"/>
  <c r="BK5" i="10"/>
  <c r="BL5" i="10"/>
  <c r="BN5" i="10"/>
  <c r="BO5" i="10"/>
  <c r="BP5" i="10"/>
  <c r="BQ5" i="10"/>
  <c r="BR5" i="10"/>
  <c r="BS5" i="10"/>
  <c r="BT5" i="10"/>
  <c r="BU5" i="10"/>
  <c r="BV5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Q6" i="10"/>
  <c r="AR6" i="10"/>
  <c r="AS6" i="10"/>
  <c r="AT6" i="10"/>
  <c r="AU6" i="10"/>
  <c r="AV6" i="10"/>
  <c r="AW6" i="10" s="1"/>
  <c r="AX6" i="10"/>
  <c r="AY6" i="10"/>
  <c r="AZ6" i="10"/>
  <c r="BA6" i="10"/>
  <c r="BB6" i="10"/>
  <c r="BC6" i="10"/>
  <c r="BD6" i="10"/>
  <c r="BE6" i="10" s="1"/>
  <c r="BF6" i="10"/>
  <c r="BG6" i="10"/>
  <c r="BH6" i="10"/>
  <c r="BI6" i="10"/>
  <c r="BJ6" i="10"/>
  <c r="BK6" i="10"/>
  <c r="BL6" i="10"/>
  <c r="BM6" i="10"/>
  <c r="BN6" i="10"/>
  <c r="BO6" i="10"/>
  <c r="BP6" i="10"/>
  <c r="BQ6" i="10"/>
  <c r="BR6" i="10"/>
  <c r="BS6" i="10"/>
  <c r="BT6" i="10"/>
  <c r="BU6" i="10"/>
  <c r="BV6" i="10"/>
  <c r="AA7" i="10"/>
  <c r="AB7" i="10"/>
  <c r="AC7" i="10"/>
  <c r="AD7" i="10"/>
  <c r="AE7" i="10"/>
  <c r="AF7" i="10"/>
  <c r="AI7" i="10"/>
  <c r="AJ7" i="10"/>
  <c r="AK7" i="10"/>
  <c r="AL7" i="10"/>
  <c r="AM7" i="10"/>
  <c r="AN7" i="10"/>
  <c r="AQ7" i="10"/>
  <c r="AR7" i="10"/>
  <c r="AS7" i="10"/>
  <c r="AT7" i="10"/>
  <c r="AU7" i="10"/>
  <c r="AV7" i="10"/>
  <c r="AW7" i="10" s="1"/>
  <c r="AX7" i="10"/>
  <c r="AY7" i="10"/>
  <c r="AZ7" i="10"/>
  <c r="BA7" i="10"/>
  <c r="BB7" i="10"/>
  <c r="BC7" i="10"/>
  <c r="BD7" i="10"/>
  <c r="BE7" i="10" s="1"/>
  <c r="BF7" i="10"/>
  <c r="BG7" i="10"/>
  <c r="BH7" i="10"/>
  <c r="BI7" i="10"/>
  <c r="BJ7" i="10"/>
  <c r="BK7" i="10"/>
  <c r="BL7" i="10"/>
  <c r="BO7" i="10"/>
  <c r="BP7" i="10"/>
  <c r="BQ7" i="10"/>
  <c r="BR7" i="10"/>
  <c r="BS7" i="10"/>
  <c r="BT7" i="10"/>
  <c r="AA8" i="10"/>
  <c r="AB8" i="10"/>
  <c r="AC8" i="10"/>
  <c r="AD8" i="10"/>
  <c r="AE8" i="10"/>
  <c r="AF8" i="10"/>
  <c r="AI8" i="10"/>
  <c r="AJ8" i="10"/>
  <c r="AK8" i="10"/>
  <c r="AL8" i="10"/>
  <c r="AM8" i="10"/>
  <c r="AN8" i="10"/>
  <c r="AQ8" i="10"/>
  <c r="AR8" i="10"/>
  <c r="AS8" i="10"/>
  <c r="AT8" i="10"/>
  <c r="AU8" i="10"/>
  <c r="AV8" i="10"/>
  <c r="AX8" i="10"/>
  <c r="AY8" i="10"/>
  <c r="AZ8" i="10"/>
  <c r="BA8" i="10"/>
  <c r="BB8" i="10"/>
  <c r="BC8" i="10"/>
  <c r="BD8" i="10"/>
  <c r="BG8" i="10"/>
  <c r="BH8" i="10"/>
  <c r="BI8" i="10"/>
  <c r="BJ8" i="10"/>
  <c r="BK8" i="10"/>
  <c r="BL8" i="10"/>
  <c r="BO8" i="10"/>
  <c r="BP8" i="10"/>
  <c r="BQ8" i="10"/>
  <c r="BR8" i="10"/>
  <c r="BS8" i="10"/>
  <c r="BT8" i="10"/>
  <c r="AA10" i="10"/>
  <c r="AB10" i="10"/>
  <c r="AC10" i="10"/>
  <c r="AD10" i="10"/>
  <c r="AE10" i="10"/>
  <c r="AF10" i="10"/>
  <c r="AI10" i="10"/>
  <c r="AJ10" i="10"/>
  <c r="AK10" i="10"/>
  <c r="AL10" i="10"/>
  <c r="AM10" i="10"/>
  <c r="AN10" i="10"/>
  <c r="AQ10" i="10"/>
  <c r="AR10" i="10"/>
  <c r="AS10" i="10"/>
  <c r="AT10" i="10"/>
  <c r="AU10" i="10"/>
  <c r="AV10" i="10"/>
  <c r="AW10" i="10" s="1"/>
  <c r="AX10" i="10"/>
  <c r="AY10" i="10"/>
  <c r="AZ10" i="10"/>
  <c r="BA10" i="10"/>
  <c r="BB10" i="10"/>
  <c r="BC10" i="10"/>
  <c r="BD10" i="10"/>
  <c r="BG10" i="10"/>
  <c r="BH10" i="10"/>
  <c r="BI10" i="10"/>
  <c r="BJ10" i="10"/>
  <c r="BK10" i="10"/>
  <c r="BL10" i="10"/>
  <c r="BO10" i="10"/>
  <c r="BP10" i="10"/>
  <c r="BQ10" i="10"/>
  <c r="BR10" i="10"/>
  <c r="BS10" i="10"/>
  <c r="BT10" i="10"/>
  <c r="BU10" i="10"/>
  <c r="BV10" i="10"/>
  <c r="AA11" i="10"/>
  <c r="AB11" i="10"/>
  <c r="AC11" i="10"/>
  <c r="AD11" i="10"/>
  <c r="AE11" i="10"/>
  <c r="AF11" i="10"/>
  <c r="AG11" i="10" s="1"/>
  <c r="AH11" i="10"/>
  <c r="AI11" i="10"/>
  <c r="AJ11" i="10"/>
  <c r="AK11" i="10"/>
  <c r="AL11" i="10"/>
  <c r="AM11" i="10"/>
  <c r="AN11" i="10"/>
  <c r="AO11" i="10" s="1"/>
  <c r="AP11" i="10"/>
  <c r="AQ11" i="10"/>
  <c r="AR11" i="10"/>
  <c r="AS11" i="10"/>
  <c r="AT11" i="10"/>
  <c r="AU11" i="10"/>
  <c r="AV11" i="10"/>
  <c r="AY11" i="10"/>
  <c r="AZ11" i="10"/>
  <c r="BA11" i="10"/>
  <c r="BB11" i="10"/>
  <c r="BC11" i="10"/>
  <c r="BD11" i="10"/>
  <c r="BG11" i="10"/>
  <c r="BH11" i="10"/>
  <c r="BI11" i="10"/>
  <c r="BJ11" i="10"/>
  <c r="BK11" i="10"/>
  <c r="BL11" i="10"/>
  <c r="BO11" i="10"/>
  <c r="BP11" i="10"/>
  <c r="BQ11" i="10"/>
  <c r="BR11" i="10"/>
  <c r="BS11" i="10"/>
  <c r="BT11" i="10"/>
  <c r="AA9" i="10"/>
  <c r="AB9" i="10"/>
  <c r="AC9" i="10"/>
  <c r="AD9" i="10"/>
  <c r="AE9" i="10"/>
  <c r="AF9" i="10"/>
  <c r="AI9" i="10"/>
  <c r="AJ9" i="10"/>
  <c r="AK9" i="10"/>
  <c r="AL9" i="10"/>
  <c r="AM9" i="10"/>
  <c r="AN9" i="10"/>
  <c r="AP9" i="10"/>
  <c r="AQ9" i="10"/>
  <c r="AR9" i="10"/>
  <c r="AS9" i="10"/>
  <c r="AT9" i="10"/>
  <c r="AU9" i="10"/>
  <c r="AV9" i="10"/>
  <c r="AY9" i="10"/>
  <c r="AZ9" i="10"/>
  <c r="BA9" i="10"/>
  <c r="BB9" i="10"/>
  <c r="BC9" i="10"/>
  <c r="BD9" i="10"/>
  <c r="BF9" i="10"/>
  <c r="BG9" i="10"/>
  <c r="BH9" i="10"/>
  <c r="BI9" i="10"/>
  <c r="BJ9" i="10"/>
  <c r="BK9" i="10"/>
  <c r="BL9" i="10"/>
  <c r="BO9" i="10"/>
  <c r="BP9" i="10"/>
  <c r="BQ9" i="10"/>
  <c r="BR9" i="10"/>
  <c r="BS9" i="10"/>
  <c r="BT9" i="10"/>
  <c r="AA12" i="10"/>
  <c r="AB12" i="10"/>
  <c r="AC12" i="10"/>
  <c r="AD12" i="10"/>
  <c r="AE12" i="10"/>
  <c r="AF12" i="10"/>
  <c r="AI12" i="10"/>
  <c r="AJ12" i="10"/>
  <c r="AK12" i="10"/>
  <c r="AL12" i="10"/>
  <c r="AM12" i="10"/>
  <c r="AN12" i="10"/>
  <c r="AQ12" i="10"/>
  <c r="AR12" i="10"/>
  <c r="AS12" i="10"/>
  <c r="AT12" i="10"/>
  <c r="AU12" i="10"/>
  <c r="AV12" i="10"/>
  <c r="AW12" i="10" s="1"/>
  <c r="AX12" i="10"/>
  <c r="AY12" i="10"/>
  <c r="AZ12" i="10"/>
  <c r="BA12" i="10"/>
  <c r="BB12" i="10"/>
  <c r="BC12" i="10"/>
  <c r="BD12" i="10"/>
  <c r="BF12" i="10"/>
  <c r="BG12" i="10"/>
  <c r="BH12" i="10"/>
  <c r="BI12" i="10"/>
  <c r="BJ12" i="10"/>
  <c r="BK12" i="10"/>
  <c r="BL12" i="10"/>
  <c r="BO12" i="10"/>
  <c r="BP12" i="10"/>
  <c r="BQ12" i="10"/>
  <c r="BR12" i="10"/>
  <c r="BS12" i="10"/>
  <c r="BT12" i="10"/>
  <c r="AA13" i="10"/>
  <c r="AB13" i="10"/>
  <c r="AC13" i="10"/>
  <c r="AD13" i="10"/>
  <c r="AE13" i="10"/>
  <c r="AF13" i="10"/>
  <c r="AI13" i="10"/>
  <c r="AJ13" i="10"/>
  <c r="AK13" i="10"/>
  <c r="AL13" i="10"/>
  <c r="AM13" i="10"/>
  <c r="AN13" i="10"/>
  <c r="AQ13" i="10"/>
  <c r="AR13" i="10"/>
  <c r="AS13" i="10"/>
  <c r="AT13" i="10"/>
  <c r="AU13" i="10"/>
  <c r="AV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AA15" i="10"/>
  <c r="AB15" i="10"/>
  <c r="AC15" i="10"/>
  <c r="AD15" i="10"/>
  <c r="AE15" i="10"/>
  <c r="AF15" i="10"/>
  <c r="AI15" i="10"/>
  <c r="AJ15" i="10"/>
  <c r="AK15" i="10"/>
  <c r="AL15" i="10"/>
  <c r="AM15" i="10"/>
  <c r="AN15" i="10"/>
  <c r="AQ15" i="10"/>
  <c r="AR15" i="10"/>
  <c r="AS15" i="10"/>
  <c r="AT15" i="10"/>
  <c r="AU15" i="10"/>
  <c r="AV15" i="10"/>
  <c r="AY15" i="10"/>
  <c r="AZ15" i="10"/>
  <c r="BA15" i="10"/>
  <c r="BB15" i="10"/>
  <c r="BC15" i="10"/>
  <c r="BD15" i="10"/>
  <c r="BG15" i="10"/>
  <c r="BH15" i="10"/>
  <c r="BI15" i="10"/>
  <c r="BJ15" i="10"/>
  <c r="BK15" i="10"/>
  <c r="BL15" i="10"/>
  <c r="BO15" i="10"/>
  <c r="BP15" i="10"/>
  <c r="BQ15" i="10"/>
  <c r="BR15" i="10"/>
  <c r="BS15" i="10"/>
  <c r="BT15" i="10"/>
  <c r="AA14" i="10"/>
  <c r="AB14" i="10"/>
  <c r="AC14" i="10"/>
  <c r="AD14" i="10"/>
  <c r="AE14" i="10"/>
  <c r="AF14" i="10"/>
  <c r="AI14" i="10"/>
  <c r="AJ14" i="10"/>
  <c r="AK14" i="10"/>
  <c r="AL14" i="10"/>
  <c r="AM14" i="10"/>
  <c r="AN14" i="10"/>
  <c r="AQ14" i="10"/>
  <c r="AR14" i="10"/>
  <c r="AS14" i="10"/>
  <c r="AT14" i="10"/>
  <c r="AU14" i="10"/>
  <c r="AW14" i="10" s="1"/>
  <c r="AV14" i="10"/>
  <c r="AX14" i="10"/>
  <c r="AY14" i="10"/>
  <c r="AZ14" i="10"/>
  <c r="BA14" i="10"/>
  <c r="BB14" i="10"/>
  <c r="BC14" i="10"/>
  <c r="BD14" i="10"/>
  <c r="BG14" i="10"/>
  <c r="BH14" i="10"/>
  <c r="BI14" i="10"/>
  <c r="BJ14" i="10"/>
  <c r="BK14" i="10"/>
  <c r="BL14" i="10"/>
  <c r="BO14" i="10"/>
  <c r="BP14" i="10"/>
  <c r="BQ14" i="10"/>
  <c r="BR14" i="10"/>
  <c r="BS14" i="10"/>
  <c r="BT14" i="10"/>
  <c r="AA16" i="10"/>
  <c r="AB16" i="10"/>
  <c r="AC16" i="10"/>
  <c r="AD16" i="10"/>
  <c r="AE16" i="10"/>
  <c r="AF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F16" i="10" s="1"/>
  <c r="BC16" i="10"/>
  <c r="BD16" i="10"/>
  <c r="BG16" i="10"/>
  <c r="BH16" i="10"/>
  <c r="BI16" i="10"/>
  <c r="BJ16" i="10"/>
  <c r="BK16" i="10"/>
  <c r="BL16" i="10"/>
  <c r="BN16" i="10" s="1"/>
  <c r="BO16" i="10"/>
  <c r="BP16" i="10"/>
  <c r="BQ16" i="10"/>
  <c r="BR16" i="10"/>
  <c r="BS16" i="10"/>
  <c r="BT16" i="10"/>
  <c r="AA17" i="10"/>
  <c r="AB17" i="10"/>
  <c r="AC17" i="10"/>
  <c r="AD17" i="10"/>
  <c r="AE17" i="10"/>
  <c r="AF17" i="10"/>
  <c r="AG17" i="10" s="1"/>
  <c r="AI17" i="10"/>
  <c r="AJ17" i="10"/>
  <c r="AK17" i="10"/>
  <c r="AL17" i="10"/>
  <c r="AM17" i="10"/>
  <c r="AO17" i="10" s="1"/>
  <c r="AN17" i="10"/>
  <c r="AP17" i="10"/>
  <c r="AQ17" i="10"/>
  <c r="AR17" i="10"/>
  <c r="AS17" i="10"/>
  <c r="AT17" i="10"/>
  <c r="AU17" i="10"/>
  <c r="AV17" i="10"/>
  <c r="AY17" i="10"/>
  <c r="AZ17" i="10"/>
  <c r="BA17" i="10"/>
  <c r="BB17" i="10"/>
  <c r="BC17" i="10"/>
  <c r="BD17" i="10"/>
  <c r="BE17" i="10" s="1"/>
  <c r="BF17" i="10"/>
  <c r="BG17" i="10"/>
  <c r="BH17" i="10"/>
  <c r="BI17" i="10"/>
  <c r="BJ17" i="10"/>
  <c r="BK17" i="10"/>
  <c r="BL17" i="10"/>
  <c r="BO17" i="10"/>
  <c r="BP17" i="10"/>
  <c r="BQ17" i="10"/>
  <c r="BR17" i="10"/>
  <c r="BS17" i="10"/>
  <c r="BT17" i="10"/>
  <c r="AA18" i="10"/>
  <c r="AB18" i="10"/>
  <c r="AC18" i="10"/>
  <c r="AD18" i="10"/>
  <c r="AE18" i="10"/>
  <c r="AF18" i="10"/>
  <c r="AH18" i="10" s="1"/>
  <c r="AI18" i="10"/>
  <c r="AJ18" i="10"/>
  <c r="AK18" i="10"/>
  <c r="AL18" i="10"/>
  <c r="AM18" i="10"/>
  <c r="AN18" i="10"/>
  <c r="AQ18" i="10"/>
  <c r="AR18" i="10"/>
  <c r="AS18" i="10"/>
  <c r="AT18" i="10"/>
  <c r="AU18" i="10"/>
  <c r="AV18" i="10"/>
  <c r="AY18" i="10"/>
  <c r="AZ18" i="10"/>
  <c r="BA18" i="10"/>
  <c r="BB18" i="10"/>
  <c r="BC18" i="10"/>
  <c r="BD18" i="10"/>
  <c r="BG18" i="10"/>
  <c r="BH18" i="10"/>
  <c r="BI18" i="10"/>
  <c r="BJ18" i="10"/>
  <c r="BK18" i="10"/>
  <c r="BL18" i="10"/>
  <c r="BO18" i="10"/>
  <c r="BP18" i="10"/>
  <c r="BQ18" i="10"/>
  <c r="BR18" i="10"/>
  <c r="BS18" i="10"/>
  <c r="BT18" i="10"/>
  <c r="AA20" i="10"/>
  <c r="AB20" i="10"/>
  <c r="AC20" i="10"/>
  <c r="AD20" i="10"/>
  <c r="AE20" i="10"/>
  <c r="AF20" i="10"/>
  <c r="AI20" i="10"/>
  <c r="AJ20" i="10"/>
  <c r="AK20" i="10"/>
  <c r="AL20" i="10"/>
  <c r="AM20" i="10"/>
  <c r="AN20" i="10"/>
  <c r="AQ20" i="10"/>
  <c r="AR20" i="10"/>
  <c r="AS20" i="10"/>
  <c r="AT20" i="10"/>
  <c r="AX20" i="10" s="1"/>
  <c r="AU20" i="10"/>
  <c r="AV20" i="10"/>
  <c r="AW20" i="10" s="1"/>
  <c r="AY20" i="10"/>
  <c r="AZ20" i="10"/>
  <c r="BA20" i="10"/>
  <c r="BB20" i="10"/>
  <c r="BC20" i="10"/>
  <c r="BD20" i="10"/>
  <c r="BG20" i="10"/>
  <c r="BH20" i="10"/>
  <c r="BI20" i="10"/>
  <c r="BJ20" i="10"/>
  <c r="BK20" i="10"/>
  <c r="BN20" i="10" s="1"/>
  <c r="BL20" i="10"/>
  <c r="BO20" i="10"/>
  <c r="BP20" i="10"/>
  <c r="BQ20" i="10"/>
  <c r="BR20" i="10"/>
  <c r="BS20" i="10"/>
  <c r="BT20" i="10"/>
  <c r="AA22" i="10"/>
  <c r="AB22" i="10"/>
  <c r="AC22" i="10"/>
  <c r="AD22" i="10"/>
  <c r="AE22" i="10"/>
  <c r="AF22" i="10"/>
  <c r="AI22" i="10"/>
  <c r="AJ22" i="10"/>
  <c r="AK22" i="10"/>
  <c r="AL22" i="10"/>
  <c r="AM22" i="10"/>
  <c r="AN22" i="10"/>
  <c r="AP22" i="10"/>
  <c r="AQ22" i="10"/>
  <c r="AR22" i="10"/>
  <c r="AS22" i="10"/>
  <c r="AT22" i="10"/>
  <c r="AU22" i="10"/>
  <c r="AV22" i="10"/>
  <c r="AY22" i="10"/>
  <c r="AZ22" i="10"/>
  <c r="BA22" i="10"/>
  <c r="BB22" i="10"/>
  <c r="BC22" i="10"/>
  <c r="BD22" i="10"/>
  <c r="BE22" i="10"/>
  <c r="BF22" i="10"/>
  <c r="BG22" i="10"/>
  <c r="BH22" i="10"/>
  <c r="BI22" i="10"/>
  <c r="BJ22" i="10"/>
  <c r="BK22" i="10"/>
  <c r="BL22" i="10"/>
  <c r="BN22" i="10"/>
  <c r="BO22" i="10"/>
  <c r="BP22" i="10"/>
  <c r="BQ22" i="10"/>
  <c r="BR22" i="10"/>
  <c r="BS22" i="10"/>
  <c r="BT22" i="10"/>
  <c r="BU22" i="10" s="1"/>
  <c r="BV22" i="10"/>
  <c r="AA19" i="10"/>
  <c r="AB19" i="10"/>
  <c r="AD19" i="10"/>
  <c r="AE19" i="10"/>
  <c r="AF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Y19" i="10"/>
  <c r="AZ19" i="10"/>
  <c r="BA19" i="10"/>
  <c r="BB19" i="10"/>
  <c r="BC19" i="10"/>
  <c r="BD19" i="10"/>
  <c r="BF19" i="10" s="1"/>
  <c r="BG19" i="10"/>
  <c r="BH19" i="10"/>
  <c r="BI19" i="10"/>
  <c r="BJ19" i="10"/>
  <c r="BK19" i="10"/>
  <c r="BL19" i="10"/>
  <c r="BO19" i="10"/>
  <c r="BP19" i="10"/>
  <c r="BQ19" i="10"/>
  <c r="BR19" i="10"/>
  <c r="BS19" i="10"/>
  <c r="BT19" i="10"/>
  <c r="AA23" i="10"/>
  <c r="AB23" i="10"/>
  <c r="AC23" i="10"/>
  <c r="AD23" i="10"/>
  <c r="AE23" i="10"/>
  <c r="AF23" i="10"/>
  <c r="AI23" i="10"/>
  <c r="AJ23" i="10"/>
  <c r="AK23" i="10"/>
  <c r="AL23" i="10"/>
  <c r="AM23" i="10"/>
  <c r="AO23" i="10" s="1"/>
  <c r="AN23" i="10"/>
  <c r="AP23" i="10"/>
  <c r="AQ23" i="10"/>
  <c r="AR23" i="10"/>
  <c r="AS23" i="10"/>
  <c r="AX23" i="10" s="1"/>
  <c r="AT23" i="10"/>
  <c r="AU23" i="10"/>
  <c r="AV23" i="10"/>
  <c r="AY23" i="10"/>
  <c r="AZ23" i="10"/>
  <c r="BA23" i="10"/>
  <c r="BB23" i="10"/>
  <c r="BC23" i="10"/>
  <c r="BD23" i="10"/>
  <c r="BG23" i="10"/>
  <c r="BH23" i="10"/>
  <c r="BI23" i="10"/>
  <c r="BJ23" i="10"/>
  <c r="BK23" i="10"/>
  <c r="BL23" i="10"/>
  <c r="BM23" i="10" s="1"/>
  <c r="BN23" i="10"/>
  <c r="BO23" i="10"/>
  <c r="BP23" i="10"/>
  <c r="BQ23" i="10"/>
  <c r="BR23" i="10"/>
  <c r="BS23" i="10"/>
  <c r="BT23" i="10"/>
  <c r="AA24" i="10"/>
  <c r="AB24" i="10"/>
  <c r="AC24" i="10"/>
  <c r="AD24" i="10"/>
  <c r="AE24" i="10"/>
  <c r="AF24" i="10"/>
  <c r="AH24" i="10" s="1"/>
  <c r="AI24" i="10"/>
  <c r="AJ24" i="10"/>
  <c r="AK24" i="10"/>
  <c r="AL24" i="10"/>
  <c r="AM24" i="10"/>
  <c r="AN24" i="10"/>
  <c r="AO24" i="10" s="1"/>
  <c r="AP24" i="10"/>
  <c r="AQ24" i="10"/>
  <c r="AR24" i="10"/>
  <c r="AS24" i="10"/>
  <c r="AT24" i="10"/>
  <c r="AU24" i="10"/>
  <c r="AV24" i="10"/>
  <c r="AY24" i="10"/>
  <c r="AZ24" i="10"/>
  <c r="BA24" i="10"/>
  <c r="BB24" i="10"/>
  <c r="BC24" i="10"/>
  <c r="BD24" i="10"/>
  <c r="BF24" i="10"/>
  <c r="BG24" i="10"/>
  <c r="BH24" i="10"/>
  <c r="BI24" i="10"/>
  <c r="BJ24" i="10"/>
  <c r="BK24" i="10"/>
  <c r="BL24" i="10"/>
  <c r="BO24" i="10"/>
  <c r="BP24" i="10"/>
  <c r="BQ24" i="10"/>
  <c r="BR24" i="10"/>
  <c r="BS24" i="10"/>
  <c r="BT24" i="10"/>
  <c r="BU24" i="10"/>
  <c r="BV24" i="10"/>
  <c r="AA21" i="10"/>
  <c r="AB21" i="10"/>
  <c r="AC21" i="10"/>
  <c r="AD21" i="10"/>
  <c r="AE21" i="10"/>
  <c r="AF21" i="10"/>
  <c r="AH21" i="10"/>
  <c r="AI21" i="10"/>
  <c r="AJ21" i="10"/>
  <c r="AK21" i="10"/>
  <c r="AL21" i="10"/>
  <c r="AM21" i="10"/>
  <c r="AN21" i="10"/>
  <c r="AQ21" i="10"/>
  <c r="AR21" i="10"/>
  <c r="AS21" i="10"/>
  <c r="AT21" i="10"/>
  <c r="AU21" i="10"/>
  <c r="AV21" i="10"/>
  <c r="AW21" i="10" s="1"/>
  <c r="AX21" i="10"/>
  <c r="AY21" i="10"/>
  <c r="AZ21" i="10"/>
  <c r="BA21" i="10"/>
  <c r="BB21" i="10"/>
  <c r="BC21" i="10"/>
  <c r="BD21" i="10"/>
  <c r="BF21" i="10"/>
  <c r="BG21" i="10"/>
  <c r="BH21" i="10"/>
  <c r="BI21" i="10"/>
  <c r="BJ21" i="10"/>
  <c r="BK21" i="10"/>
  <c r="BL21" i="10"/>
  <c r="BM21" i="10" s="1"/>
  <c r="BN21" i="10"/>
  <c r="BO21" i="10"/>
  <c r="BP21" i="10"/>
  <c r="BQ21" i="10"/>
  <c r="BR21" i="10"/>
  <c r="BS21" i="10"/>
  <c r="BT21" i="10"/>
  <c r="AA26" i="10"/>
  <c r="AB26" i="10"/>
  <c r="AC26" i="10"/>
  <c r="AD26" i="10"/>
  <c r="AE26" i="10"/>
  <c r="AF26" i="10"/>
  <c r="AI26" i="10"/>
  <c r="AJ26" i="10"/>
  <c r="AK26" i="10"/>
  <c r="AL26" i="10"/>
  <c r="AM26" i="10"/>
  <c r="AN26" i="10"/>
  <c r="AO26" i="10" s="1"/>
  <c r="AP26" i="10"/>
  <c r="AQ26" i="10"/>
  <c r="AR26" i="10"/>
  <c r="AS26" i="10"/>
  <c r="AT26" i="10"/>
  <c r="AU26" i="10"/>
  <c r="AV26" i="10"/>
  <c r="AY26" i="10"/>
  <c r="AZ26" i="10"/>
  <c r="BA26" i="10"/>
  <c r="BB26" i="10"/>
  <c r="BC26" i="10"/>
  <c r="BD26" i="10"/>
  <c r="BG26" i="10"/>
  <c r="BH26" i="10"/>
  <c r="BI26" i="10"/>
  <c r="BJ26" i="10"/>
  <c r="BK26" i="10"/>
  <c r="BL26" i="10"/>
  <c r="BO26" i="10"/>
  <c r="BP26" i="10"/>
  <c r="BQ26" i="10"/>
  <c r="BR26" i="10"/>
  <c r="BS26" i="10"/>
  <c r="BT26" i="10"/>
  <c r="BU26" i="10"/>
  <c r="AA25" i="10"/>
  <c r="AB25" i="10"/>
  <c r="AC25" i="10"/>
  <c r="AD25" i="10"/>
  <c r="AE25" i="10"/>
  <c r="AF25" i="10"/>
  <c r="AI25" i="10"/>
  <c r="AJ25" i="10"/>
  <c r="AK25" i="10"/>
  <c r="AL25" i="10"/>
  <c r="AM25" i="10"/>
  <c r="AN25" i="10"/>
  <c r="AQ25" i="10"/>
  <c r="AR25" i="10"/>
  <c r="AS25" i="10"/>
  <c r="AT25" i="10"/>
  <c r="AU25" i="10"/>
  <c r="AV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L25" i="10"/>
  <c r="BO25" i="10"/>
  <c r="BP25" i="10"/>
  <c r="BQ25" i="10"/>
  <c r="BR25" i="10"/>
  <c r="BS25" i="10"/>
  <c r="BT25" i="10"/>
  <c r="AA27" i="10"/>
  <c r="AB27" i="10"/>
  <c r="AH27" i="10" s="1"/>
  <c r="AC27" i="10"/>
  <c r="AD27" i="10"/>
  <c r="AE27" i="10"/>
  <c r="AF27" i="10"/>
  <c r="AI27" i="10"/>
  <c r="AJ27" i="10"/>
  <c r="AK27" i="10"/>
  <c r="AL27" i="10"/>
  <c r="AM27" i="10"/>
  <c r="AN27" i="10"/>
  <c r="AQ27" i="10"/>
  <c r="AR27" i="10"/>
  <c r="AS27" i="10"/>
  <c r="AT27" i="10"/>
  <c r="AU27" i="10"/>
  <c r="AV27" i="10"/>
  <c r="AY27" i="10"/>
  <c r="AZ27" i="10"/>
  <c r="BA27" i="10"/>
  <c r="BB27" i="10"/>
  <c r="BC27" i="10"/>
  <c r="BD27" i="10"/>
  <c r="BF27" i="10" s="1"/>
  <c r="BG27" i="10"/>
  <c r="BH27" i="10"/>
  <c r="BI27" i="10"/>
  <c r="BJ27" i="10"/>
  <c r="BK27" i="10"/>
  <c r="BL27" i="10"/>
  <c r="BM27" i="10"/>
  <c r="BN27" i="10"/>
  <c r="BO27" i="10"/>
  <c r="BP27" i="10"/>
  <c r="BQ27" i="10"/>
  <c r="BR27" i="10"/>
  <c r="BS27" i="10"/>
  <c r="BT27" i="10"/>
  <c r="BU27" i="10"/>
  <c r="BV27" i="10"/>
  <c r="BT2" i="10"/>
  <c r="BS2" i="10"/>
  <c r="BR2" i="10"/>
  <c r="BQ2" i="10"/>
  <c r="BP2" i="10"/>
  <c r="BO2" i="10"/>
  <c r="BL2" i="10"/>
  <c r="BK2" i="10"/>
  <c r="BJ2" i="10"/>
  <c r="BI2" i="10"/>
  <c r="BH2" i="10"/>
  <c r="BG2" i="10"/>
  <c r="BD2" i="10"/>
  <c r="BC2" i="10"/>
  <c r="BB2" i="10"/>
  <c r="BA2" i="10"/>
  <c r="AZ2" i="10"/>
  <c r="AY2" i="10"/>
  <c r="AV2" i="10"/>
  <c r="AU2" i="10"/>
  <c r="AT2" i="10"/>
  <c r="AS2" i="10"/>
  <c r="AR2" i="10"/>
  <c r="AQ2" i="10"/>
  <c r="AN2" i="10"/>
  <c r="AM2" i="10"/>
  <c r="AL2" i="10"/>
  <c r="AK2" i="10"/>
  <c r="AJ2" i="10"/>
  <c r="AI2" i="10"/>
  <c r="AF2" i="10"/>
  <c r="AE2" i="10"/>
  <c r="AD2" i="10"/>
  <c r="AB2" i="10"/>
  <c r="AA2" i="10"/>
  <c r="BK3" i="13"/>
  <c r="BL3" i="13"/>
  <c r="BM3" i="13"/>
  <c r="BN3" i="13"/>
  <c r="BO3" i="13"/>
  <c r="BP3" i="13"/>
  <c r="BK4" i="13"/>
  <c r="BL4" i="13"/>
  <c r="BM4" i="13"/>
  <c r="BN4" i="13"/>
  <c r="BO4" i="13"/>
  <c r="BP4" i="13"/>
  <c r="BK5" i="13"/>
  <c r="BL5" i="13"/>
  <c r="BM5" i="13"/>
  <c r="BN5" i="13"/>
  <c r="BO5" i="13"/>
  <c r="BP5" i="13"/>
  <c r="BK6" i="13"/>
  <c r="BL6" i="13"/>
  <c r="BM6" i="13"/>
  <c r="BN6" i="13"/>
  <c r="BO6" i="13"/>
  <c r="BP6" i="13"/>
  <c r="BK7" i="13"/>
  <c r="BL7" i="13"/>
  <c r="BM7" i="13"/>
  <c r="BN7" i="13"/>
  <c r="BO7" i="13"/>
  <c r="BP7" i="13"/>
  <c r="BK8" i="13"/>
  <c r="BL8" i="13"/>
  <c r="BM8" i="13"/>
  <c r="BN8" i="13"/>
  <c r="BO8" i="13"/>
  <c r="BP8" i="13"/>
  <c r="BK9" i="13"/>
  <c r="BL9" i="13"/>
  <c r="BM9" i="13"/>
  <c r="BN9" i="13"/>
  <c r="BO9" i="13"/>
  <c r="BP9" i="13"/>
  <c r="BK10" i="13"/>
  <c r="BL10" i="13"/>
  <c r="BM10" i="13"/>
  <c r="BN10" i="13"/>
  <c r="BO10" i="13"/>
  <c r="BP10" i="13"/>
  <c r="BK11" i="13"/>
  <c r="BL11" i="13"/>
  <c r="BM11" i="13"/>
  <c r="BN11" i="13"/>
  <c r="BO11" i="13"/>
  <c r="BP11" i="13"/>
  <c r="BK12" i="13"/>
  <c r="BL12" i="13"/>
  <c r="BM12" i="13"/>
  <c r="BN12" i="13"/>
  <c r="BO12" i="13"/>
  <c r="BP12" i="13"/>
  <c r="BK13" i="13"/>
  <c r="BL13" i="13"/>
  <c r="BM13" i="13"/>
  <c r="BN13" i="13"/>
  <c r="BO13" i="13"/>
  <c r="BP13" i="13"/>
  <c r="BK14" i="13"/>
  <c r="BL14" i="13"/>
  <c r="BM14" i="13"/>
  <c r="BN14" i="13"/>
  <c r="BO14" i="13"/>
  <c r="BP14" i="13"/>
  <c r="BK15" i="13"/>
  <c r="BL15" i="13"/>
  <c r="BM15" i="13"/>
  <c r="BN15" i="13"/>
  <c r="BO15" i="13"/>
  <c r="BP15" i="13"/>
  <c r="BK16" i="13"/>
  <c r="BL16" i="13"/>
  <c r="BM16" i="13"/>
  <c r="BN16" i="13"/>
  <c r="BO16" i="13"/>
  <c r="BP16" i="13"/>
  <c r="BK17" i="13"/>
  <c r="BL17" i="13"/>
  <c r="BM17" i="13"/>
  <c r="BN17" i="13"/>
  <c r="BO17" i="13"/>
  <c r="BP17" i="13"/>
  <c r="BK18" i="13"/>
  <c r="BL18" i="13"/>
  <c r="BM18" i="13"/>
  <c r="BN18" i="13"/>
  <c r="BO18" i="13"/>
  <c r="BP18" i="13"/>
  <c r="BK19" i="13"/>
  <c r="BL19" i="13"/>
  <c r="BM19" i="13"/>
  <c r="BN19" i="13"/>
  <c r="BO19" i="13"/>
  <c r="BP19" i="13"/>
  <c r="BK20" i="13"/>
  <c r="BL20" i="13"/>
  <c r="BM20" i="13"/>
  <c r="BN20" i="13"/>
  <c r="BO20" i="13"/>
  <c r="BP20" i="13"/>
  <c r="BK21" i="13"/>
  <c r="BL21" i="13"/>
  <c r="BM21" i="13"/>
  <c r="BN21" i="13"/>
  <c r="BO21" i="13"/>
  <c r="BP21" i="13"/>
  <c r="BK22" i="13"/>
  <c r="BL22" i="13"/>
  <c r="BM22" i="13"/>
  <c r="BN22" i="13"/>
  <c r="BO22" i="13"/>
  <c r="BP22" i="13"/>
  <c r="BK23" i="13"/>
  <c r="BL23" i="13"/>
  <c r="BM23" i="13"/>
  <c r="BN23" i="13"/>
  <c r="BO23" i="13"/>
  <c r="BP23" i="13"/>
  <c r="BK24" i="13"/>
  <c r="BL24" i="13"/>
  <c r="BM24" i="13"/>
  <c r="BN24" i="13"/>
  <c r="BO24" i="13"/>
  <c r="BP24" i="13"/>
  <c r="BK25" i="13"/>
  <c r="BL25" i="13"/>
  <c r="BM25" i="13"/>
  <c r="BN25" i="13"/>
  <c r="BO25" i="13"/>
  <c r="BP25" i="13"/>
  <c r="BK26" i="13"/>
  <c r="BL26" i="13"/>
  <c r="BM26" i="13"/>
  <c r="BN26" i="13"/>
  <c r="BO26" i="13"/>
  <c r="BP26" i="13"/>
  <c r="BK27" i="13"/>
  <c r="BL27" i="13"/>
  <c r="BM27" i="13"/>
  <c r="BN27" i="13"/>
  <c r="BO27" i="13"/>
  <c r="BP27" i="13"/>
  <c r="BK28" i="13"/>
  <c r="BL28" i="13"/>
  <c r="BM28" i="13"/>
  <c r="BN28" i="13"/>
  <c r="BO28" i="13"/>
  <c r="BP28" i="13"/>
  <c r="BK29" i="13"/>
  <c r="BL29" i="13"/>
  <c r="BM29" i="13"/>
  <c r="BN29" i="13"/>
  <c r="BO29" i="13"/>
  <c r="BP29" i="13"/>
  <c r="BK30" i="13"/>
  <c r="BL30" i="13"/>
  <c r="BM30" i="13"/>
  <c r="BN30" i="13"/>
  <c r="BO30" i="13"/>
  <c r="BP30" i="13"/>
  <c r="BK31" i="13"/>
  <c r="BL31" i="13"/>
  <c r="BM31" i="13"/>
  <c r="BN31" i="13"/>
  <c r="BO31" i="13"/>
  <c r="BP31" i="13"/>
  <c r="BK32" i="13"/>
  <c r="BL32" i="13"/>
  <c r="BM32" i="13"/>
  <c r="BN32" i="13"/>
  <c r="BO32" i="13"/>
  <c r="BP32" i="13"/>
  <c r="BK33" i="13"/>
  <c r="BL33" i="13"/>
  <c r="BM33" i="13"/>
  <c r="BN33" i="13"/>
  <c r="BO33" i="13"/>
  <c r="BP33" i="13"/>
  <c r="BK34" i="13"/>
  <c r="BL34" i="13"/>
  <c r="BM34" i="13"/>
  <c r="BN34" i="13"/>
  <c r="BO34" i="13"/>
  <c r="BP34" i="13"/>
  <c r="BK35" i="13"/>
  <c r="BL35" i="13"/>
  <c r="BM35" i="13"/>
  <c r="BN35" i="13"/>
  <c r="BO35" i="13"/>
  <c r="BP35" i="13"/>
  <c r="BK36" i="13"/>
  <c r="BL36" i="13"/>
  <c r="BM36" i="13"/>
  <c r="BN36" i="13"/>
  <c r="BO36" i="13"/>
  <c r="BP36" i="13"/>
  <c r="BK37" i="13"/>
  <c r="BL37" i="13"/>
  <c r="BM37" i="13"/>
  <c r="BN37" i="13"/>
  <c r="BO37" i="13"/>
  <c r="BP37" i="13"/>
  <c r="BK38" i="13"/>
  <c r="BL38" i="13"/>
  <c r="BM38" i="13"/>
  <c r="BN38" i="13"/>
  <c r="BO38" i="13"/>
  <c r="BP38" i="13"/>
  <c r="BK39" i="13"/>
  <c r="BL39" i="13"/>
  <c r="BM39" i="13"/>
  <c r="BN39" i="13"/>
  <c r="BO39" i="13"/>
  <c r="BP39" i="13"/>
  <c r="BK40" i="13"/>
  <c r="BL40" i="13"/>
  <c r="BM40" i="13"/>
  <c r="BN40" i="13"/>
  <c r="BO40" i="13"/>
  <c r="BP40" i="13"/>
  <c r="BK41" i="13"/>
  <c r="BL41" i="13"/>
  <c r="BM41" i="13"/>
  <c r="BN41" i="13"/>
  <c r="BO41" i="13"/>
  <c r="BP41" i="13"/>
  <c r="BK42" i="13"/>
  <c r="BL42" i="13"/>
  <c r="BM42" i="13"/>
  <c r="BN42" i="13"/>
  <c r="BO42" i="13"/>
  <c r="BP42" i="13"/>
  <c r="BK43" i="13"/>
  <c r="BL43" i="13"/>
  <c r="BM43" i="13"/>
  <c r="BN43" i="13"/>
  <c r="BO43" i="13"/>
  <c r="BP43" i="13"/>
  <c r="BK44" i="13"/>
  <c r="BL44" i="13"/>
  <c r="BM44" i="13"/>
  <c r="BN44" i="13"/>
  <c r="BO44" i="13"/>
  <c r="BP44" i="13"/>
  <c r="BK45" i="13"/>
  <c r="BL45" i="13"/>
  <c r="BM45" i="13"/>
  <c r="BN45" i="13"/>
  <c r="BO45" i="13"/>
  <c r="BP45" i="13"/>
  <c r="BK46" i="13"/>
  <c r="BL46" i="13"/>
  <c r="BM46" i="13"/>
  <c r="BN46" i="13"/>
  <c r="BO46" i="13"/>
  <c r="BP46" i="13"/>
  <c r="BK47" i="13"/>
  <c r="BL47" i="13"/>
  <c r="BM47" i="13"/>
  <c r="BN47" i="13"/>
  <c r="BO47" i="13"/>
  <c r="BP47" i="13"/>
  <c r="BK48" i="13"/>
  <c r="BL48" i="13"/>
  <c r="BM48" i="13"/>
  <c r="BN48" i="13"/>
  <c r="BO48" i="13"/>
  <c r="BP48" i="13"/>
  <c r="BK49" i="13"/>
  <c r="BL49" i="13"/>
  <c r="BM49" i="13"/>
  <c r="BN49" i="13"/>
  <c r="BO49" i="13"/>
  <c r="BP49" i="13"/>
  <c r="BK50" i="13"/>
  <c r="BL50" i="13"/>
  <c r="BM50" i="13"/>
  <c r="BN50" i="13"/>
  <c r="BO50" i="13"/>
  <c r="BP50" i="13"/>
  <c r="BK51" i="13"/>
  <c r="BL51" i="13"/>
  <c r="BM51" i="13"/>
  <c r="BN51" i="13"/>
  <c r="BO51" i="13"/>
  <c r="BP51" i="13"/>
  <c r="BK52" i="13"/>
  <c r="BL52" i="13"/>
  <c r="BM52" i="13"/>
  <c r="BN52" i="13"/>
  <c r="BO52" i="13"/>
  <c r="BP52" i="13"/>
  <c r="BK53" i="13"/>
  <c r="BL53" i="13"/>
  <c r="BM53" i="13"/>
  <c r="BN53" i="13"/>
  <c r="BO53" i="13"/>
  <c r="BP53" i="13"/>
  <c r="BK54" i="13"/>
  <c r="BL54" i="13"/>
  <c r="BM54" i="13"/>
  <c r="BN54" i="13"/>
  <c r="BO54" i="13"/>
  <c r="BP54" i="13"/>
  <c r="BK55" i="13"/>
  <c r="BL55" i="13"/>
  <c r="BM55" i="13"/>
  <c r="BN55" i="13"/>
  <c r="BO55" i="13"/>
  <c r="BP55" i="13"/>
  <c r="BK56" i="13"/>
  <c r="BL56" i="13"/>
  <c r="BM56" i="13"/>
  <c r="BN56" i="13"/>
  <c r="BO56" i="13"/>
  <c r="BP56" i="13"/>
  <c r="BK57" i="13"/>
  <c r="BL57" i="13"/>
  <c r="BM57" i="13"/>
  <c r="BN57" i="13"/>
  <c r="BO57" i="13"/>
  <c r="BP57" i="13"/>
  <c r="BK58" i="13"/>
  <c r="BL58" i="13"/>
  <c r="BM58" i="13"/>
  <c r="BN58" i="13"/>
  <c r="BO58" i="13"/>
  <c r="BP58" i="13"/>
  <c r="BK59" i="13"/>
  <c r="BL59" i="13"/>
  <c r="BM59" i="13"/>
  <c r="BN59" i="13"/>
  <c r="BO59" i="13"/>
  <c r="BP59" i="13"/>
  <c r="BK60" i="13"/>
  <c r="BL60" i="13"/>
  <c r="BM60" i="13"/>
  <c r="BN60" i="13"/>
  <c r="BO60" i="13"/>
  <c r="BP60" i="13"/>
  <c r="BK61" i="13"/>
  <c r="BL61" i="13"/>
  <c r="BM61" i="13"/>
  <c r="BN61" i="13"/>
  <c r="BO61" i="13"/>
  <c r="BP61" i="13"/>
  <c r="BK62" i="13"/>
  <c r="BL62" i="13"/>
  <c r="BM62" i="13"/>
  <c r="BN62" i="13"/>
  <c r="BO62" i="13"/>
  <c r="BP62" i="13"/>
  <c r="BK63" i="13"/>
  <c r="BL63" i="13"/>
  <c r="BM63" i="13"/>
  <c r="BN63" i="13"/>
  <c r="BO63" i="13"/>
  <c r="BP63" i="13"/>
  <c r="BK64" i="13"/>
  <c r="BL64" i="13"/>
  <c r="BM64" i="13"/>
  <c r="BN64" i="13"/>
  <c r="BO64" i="13"/>
  <c r="BP64" i="13"/>
  <c r="BK65" i="13"/>
  <c r="BL65" i="13"/>
  <c r="BM65" i="13"/>
  <c r="BN65" i="13"/>
  <c r="BO65" i="13"/>
  <c r="BP65" i="13"/>
  <c r="BK66" i="13"/>
  <c r="BL66" i="13"/>
  <c r="BM66" i="13"/>
  <c r="BN66" i="13"/>
  <c r="BO66" i="13"/>
  <c r="BP66" i="13"/>
  <c r="BK67" i="13"/>
  <c r="BL67" i="13"/>
  <c r="BM67" i="13"/>
  <c r="BN67" i="13"/>
  <c r="BO67" i="13"/>
  <c r="BP67" i="13"/>
  <c r="BK68" i="13"/>
  <c r="BL68" i="13"/>
  <c r="BM68" i="13"/>
  <c r="BN68" i="13"/>
  <c r="BO68" i="13"/>
  <c r="BP68" i="13"/>
  <c r="BK69" i="13"/>
  <c r="BL69" i="13"/>
  <c r="BM69" i="13"/>
  <c r="BN69" i="13"/>
  <c r="BO69" i="13"/>
  <c r="BP69" i="13"/>
  <c r="BK70" i="13"/>
  <c r="BL70" i="13"/>
  <c r="BM70" i="13"/>
  <c r="BN70" i="13"/>
  <c r="BO70" i="13"/>
  <c r="BP70" i="13"/>
  <c r="BK71" i="13"/>
  <c r="BL71" i="13"/>
  <c r="BM71" i="13"/>
  <c r="BN71" i="13"/>
  <c r="BO71" i="13"/>
  <c r="BP71" i="13"/>
  <c r="BK72" i="13"/>
  <c r="BL72" i="13"/>
  <c r="BM72" i="13"/>
  <c r="BN72" i="13"/>
  <c r="BO72" i="13"/>
  <c r="BP72" i="13"/>
  <c r="BK73" i="13"/>
  <c r="BL73" i="13"/>
  <c r="BM73" i="13"/>
  <c r="BN73" i="13"/>
  <c r="BO73" i="13"/>
  <c r="BP73" i="13"/>
  <c r="BK74" i="13"/>
  <c r="BL74" i="13"/>
  <c r="BM74" i="13"/>
  <c r="BN74" i="13"/>
  <c r="BO74" i="13"/>
  <c r="BP74" i="13"/>
  <c r="BK75" i="13"/>
  <c r="BL75" i="13"/>
  <c r="BM75" i="13"/>
  <c r="BN75" i="13"/>
  <c r="BO75" i="13"/>
  <c r="BP75" i="13"/>
  <c r="BK76" i="13"/>
  <c r="BL76" i="13"/>
  <c r="BM76" i="13"/>
  <c r="BN76" i="13"/>
  <c r="BO76" i="13"/>
  <c r="BP76" i="13"/>
  <c r="BK77" i="13"/>
  <c r="BL77" i="13"/>
  <c r="BM77" i="13"/>
  <c r="BN77" i="13"/>
  <c r="BO77" i="13"/>
  <c r="BP77" i="13"/>
  <c r="BK78" i="13"/>
  <c r="BL78" i="13"/>
  <c r="BM78" i="13"/>
  <c r="BN78" i="13"/>
  <c r="BO78" i="13"/>
  <c r="BP78" i="13"/>
  <c r="BK79" i="13"/>
  <c r="BL79" i="13"/>
  <c r="BM79" i="13"/>
  <c r="BN79" i="13"/>
  <c r="BO79" i="13"/>
  <c r="BP79" i="13"/>
  <c r="BK80" i="13"/>
  <c r="BL80" i="13"/>
  <c r="BM80" i="13"/>
  <c r="BN80" i="13"/>
  <c r="BO80" i="13"/>
  <c r="BP80" i="13"/>
  <c r="BK81" i="13"/>
  <c r="BL81" i="13"/>
  <c r="BM81" i="13"/>
  <c r="BN81" i="13"/>
  <c r="BO81" i="13"/>
  <c r="BP81" i="13"/>
  <c r="BK82" i="13"/>
  <c r="BL82" i="13"/>
  <c r="BM82" i="13"/>
  <c r="BN82" i="13"/>
  <c r="BO82" i="13"/>
  <c r="BP82" i="13"/>
  <c r="BK83" i="13"/>
  <c r="BL83" i="13"/>
  <c r="BM83" i="13"/>
  <c r="BN83" i="13"/>
  <c r="BO83" i="13"/>
  <c r="BP83" i="13"/>
  <c r="BK84" i="13"/>
  <c r="BL84" i="13"/>
  <c r="BM84" i="13"/>
  <c r="BN84" i="13"/>
  <c r="BO84" i="13"/>
  <c r="BP84" i="13"/>
  <c r="BK85" i="13"/>
  <c r="BL85" i="13"/>
  <c r="BM85" i="13"/>
  <c r="BN85" i="13"/>
  <c r="BO85" i="13"/>
  <c r="BP85" i="13"/>
  <c r="BK86" i="13"/>
  <c r="BL86" i="13"/>
  <c r="BM86" i="13"/>
  <c r="BN86" i="13"/>
  <c r="BO86" i="13"/>
  <c r="BP86" i="13"/>
  <c r="BK87" i="13"/>
  <c r="BL87" i="13"/>
  <c r="BM87" i="13"/>
  <c r="BN87" i="13"/>
  <c r="BO87" i="13"/>
  <c r="BP87" i="13"/>
  <c r="BK88" i="13"/>
  <c r="BL88" i="13"/>
  <c r="BM88" i="13"/>
  <c r="BN88" i="13"/>
  <c r="BO88" i="13"/>
  <c r="BP88" i="13"/>
  <c r="BK89" i="13"/>
  <c r="BL89" i="13"/>
  <c r="BM89" i="13"/>
  <c r="BN89" i="13"/>
  <c r="BO89" i="13"/>
  <c r="BP89" i="13"/>
  <c r="BK90" i="13"/>
  <c r="BL90" i="13"/>
  <c r="BM90" i="13"/>
  <c r="BN90" i="13"/>
  <c r="BO90" i="13"/>
  <c r="BP90" i="13"/>
  <c r="BK91" i="13"/>
  <c r="BL91" i="13"/>
  <c r="BM91" i="13"/>
  <c r="BN91" i="13"/>
  <c r="BO91" i="13"/>
  <c r="BP91" i="13"/>
  <c r="BK92" i="13"/>
  <c r="BL92" i="13"/>
  <c r="BM92" i="13"/>
  <c r="BN92" i="13"/>
  <c r="BO92" i="13"/>
  <c r="BP92" i="13"/>
  <c r="BK93" i="13"/>
  <c r="BL93" i="13"/>
  <c r="BM93" i="13"/>
  <c r="BN93" i="13"/>
  <c r="BO93" i="13"/>
  <c r="BP93" i="13"/>
  <c r="BK94" i="13"/>
  <c r="BL94" i="13"/>
  <c r="BM94" i="13"/>
  <c r="BN94" i="13"/>
  <c r="BO94" i="13"/>
  <c r="BP94" i="13"/>
  <c r="BK95" i="13"/>
  <c r="BL95" i="13"/>
  <c r="BM95" i="13"/>
  <c r="BN95" i="13"/>
  <c r="BO95" i="13"/>
  <c r="BP95" i="13"/>
  <c r="BK96" i="13"/>
  <c r="BL96" i="13"/>
  <c r="BM96" i="13"/>
  <c r="BN96" i="13"/>
  <c r="BO96" i="13"/>
  <c r="BP96" i="13"/>
  <c r="BK97" i="13"/>
  <c r="BL97" i="13"/>
  <c r="BM97" i="13"/>
  <c r="BN97" i="13"/>
  <c r="BO97" i="13"/>
  <c r="BP97" i="13"/>
  <c r="BK98" i="13"/>
  <c r="BL98" i="13"/>
  <c r="BM98" i="13"/>
  <c r="BN98" i="13"/>
  <c r="BO98" i="13"/>
  <c r="BP98" i="13"/>
  <c r="BK99" i="13"/>
  <c r="BL99" i="13"/>
  <c r="BM99" i="13"/>
  <c r="BN99" i="13"/>
  <c r="BO99" i="13"/>
  <c r="BP99" i="13"/>
  <c r="BK100" i="13"/>
  <c r="BL100" i="13"/>
  <c r="BM100" i="13"/>
  <c r="BN100" i="13"/>
  <c r="BO100" i="13"/>
  <c r="BP100" i="13"/>
  <c r="BK101" i="13"/>
  <c r="BL101" i="13"/>
  <c r="BM101" i="13"/>
  <c r="BN101" i="13"/>
  <c r="BO101" i="13"/>
  <c r="BP101" i="13"/>
  <c r="BK102" i="13"/>
  <c r="BL102" i="13"/>
  <c r="BM102" i="13"/>
  <c r="BN102" i="13"/>
  <c r="BO102" i="13"/>
  <c r="BP102" i="13"/>
  <c r="BK103" i="13"/>
  <c r="BL103" i="13"/>
  <c r="BM103" i="13"/>
  <c r="BN103" i="13"/>
  <c r="BO103" i="13"/>
  <c r="BP103" i="13"/>
  <c r="BK104" i="13"/>
  <c r="BL104" i="13"/>
  <c r="BM104" i="13"/>
  <c r="BN104" i="13"/>
  <c r="BO104" i="13"/>
  <c r="BP104" i="13"/>
  <c r="BK105" i="13"/>
  <c r="BL105" i="13"/>
  <c r="BM105" i="13"/>
  <c r="BN105" i="13"/>
  <c r="BO105" i="13"/>
  <c r="BP105" i="13"/>
  <c r="BK106" i="13"/>
  <c r="BL106" i="13"/>
  <c r="BM106" i="13"/>
  <c r="BN106" i="13"/>
  <c r="BO106" i="13"/>
  <c r="BP106" i="13"/>
  <c r="BK107" i="13"/>
  <c r="BL107" i="13"/>
  <c r="BM107" i="13"/>
  <c r="BN107" i="13"/>
  <c r="BO107" i="13"/>
  <c r="BP107" i="13"/>
  <c r="BK108" i="13"/>
  <c r="BL108" i="13"/>
  <c r="BM108" i="13"/>
  <c r="BN108" i="13"/>
  <c r="BO108" i="13"/>
  <c r="BP108" i="13"/>
  <c r="BK109" i="13"/>
  <c r="BL109" i="13"/>
  <c r="BM109" i="13"/>
  <c r="BN109" i="13"/>
  <c r="BO109" i="13"/>
  <c r="BP109" i="13"/>
  <c r="BK110" i="13"/>
  <c r="BL110" i="13"/>
  <c r="BM110" i="13"/>
  <c r="BN110" i="13"/>
  <c r="BO110" i="13"/>
  <c r="BP110" i="13"/>
  <c r="BK111" i="13"/>
  <c r="BL111" i="13"/>
  <c r="BM111" i="13"/>
  <c r="BN111" i="13"/>
  <c r="BO111" i="13"/>
  <c r="BP111" i="13"/>
  <c r="BK112" i="13"/>
  <c r="BL112" i="13"/>
  <c r="BM112" i="13"/>
  <c r="BN112" i="13"/>
  <c r="BO112" i="13"/>
  <c r="BP112" i="13"/>
  <c r="BK113" i="13"/>
  <c r="BL113" i="13"/>
  <c r="BM113" i="13"/>
  <c r="BN113" i="13"/>
  <c r="BO113" i="13"/>
  <c r="BP113" i="13"/>
  <c r="BK114" i="13"/>
  <c r="BL114" i="13"/>
  <c r="BM114" i="13"/>
  <c r="BN114" i="13"/>
  <c r="BO114" i="13"/>
  <c r="BP114" i="13"/>
  <c r="BK115" i="13"/>
  <c r="BL115" i="13"/>
  <c r="BM115" i="13"/>
  <c r="BN115" i="13"/>
  <c r="BO115" i="13"/>
  <c r="BP115" i="13"/>
  <c r="BK116" i="13"/>
  <c r="BL116" i="13"/>
  <c r="BM116" i="13"/>
  <c r="BN116" i="13"/>
  <c r="BO116" i="13"/>
  <c r="BP116" i="13"/>
  <c r="BK117" i="13"/>
  <c r="BL117" i="13"/>
  <c r="BM117" i="13"/>
  <c r="BN117" i="13"/>
  <c r="BO117" i="13"/>
  <c r="BP117" i="13"/>
  <c r="BK118" i="13"/>
  <c r="BL118" i="13"/>
  <c r="BM118" i="13"/>
  <c r="BN118" i="13"/>
  <c r="BO118" i="13"/>
  <c r="BP118" i="13"/>
  <c r="BK119" i="13"/>
  <c r="BL119" i="13"/>
  <c r="BM119" i="13"/>
  <c r="BN119" i="13"/>
  <c r="BO119" i="13"/>
  <c r="BP119" i="13"/>
  <c r="BK120" i="13"/>
  <c r="BL120" i="13"/>
  <c r="BM120" i="13"/>
  <c r="BN120" i="13"/>
  <c r="BO120" i="13"/>
  <c r="BP120" i="13"/>
  <c r="BK121" i="13"/>
  <c r="BL121" i="13"/>
  <c r="BM121" i="13"/>
  <c r="BN121" i="13"/>
  <c r="BO121" i="13"/>
  <c r="BP121" i="13"/>
  <c r="BK122" i="13"/>
  <c r="BL122" i="13"/>
  <c r="BM122" i="13"/>
  <c r="BN122" i="13"/>
  <c r="BO122" i="13"/>
  <c r="BP122" i="13"/>
  <c r="BK123" i="13"/>
  <c r="BL123" i="13"/>
  <c r="BM123" i="13"/>
  <c r="BN123" i="13"/>
  <c r="BO123" i="13"/>
  <c r="BP123" i="13"/>
  <c r="BL2" i="13"/>
  <c r="BM2" i="13"/>
  <c r="BN2" i="13"/>
  <c r="BO2" i="13"/>
  <c r="BP2" i="13"/>
  <c r="BK2" i="13"/>
  <c r="AU3" i="13"/>
  <c r="AV3" i="13"/>
  <c r="AW3" i="13"/>
  <c r="AX3" i="13"/>
  <c r="AY3" i="13"/>
  <c r="AZ3" i="13"/>
  <c r="AU4" i="13"/>
  <c r="AV4" i="13"/>
  <c r="AW4" i="13"/>
  <c r="AX4" i="13"/>
  <c r="AY4" i="13"/>
  <c r="AZ4" i="13"/>
  <c r="AU5" i="13"/>
  <c r="AV5" i="13"/>
  <c r="AW5" i="13"/>
  <c r="AX5" i="13"/>
  <c r="AY5" i="13"/>
  <c r="AZ5" i="13"/>
  <c r="AU6" i="13"/>
  <c r="AV6" i="13"/>
  <c r="AW6" i="13"/>
  <c r="AX6" i="13"/>
  <c r="AY6" i="13"/>
  <c r="AZ6" i="13"/>
  <c r="AU7" i="13"/>
  <c r="AV7" i="13"/>
  <c r="AW7" i="13"/>
  <c r="AX7" i="13"/>
  <c r="AY7" i="13"/>
  <c r="AZ7" i="13"/>
  <c r="AU8" i="13"/>
  <c r="AV8" i="13"/>
  <c r="AW8" i="13"/>
  <c r="AX8" i="13"/>
  <c r="AY8" i="13"/>
  <c r="AZ8" i="13"/>
  <c r="AU9" i="13"/>
  <c r="AV9" i="13"/>
  <c r="AW9" i="13"/>
  <c r="AX9" i="13"/>
  <c r="AY9" i="13"/>
  <c r="AZ9" i="13"/>
  <c r="AU10" i="13"/>
  <c r="AV10" i="13"/>
  <c r="AW10" i="13"/>
  <c r="AX10" i="13"/>
  <c r="AY10" i="13"/>
  <c r="AZ10" i="13"/>
  <c r="AU11" i="13"/>
  <c r="AV11" i="13"/>
  <c r="AW11" i="13"/>
  <c r="AX11" i="13"/>
  <c r="AY11" i="13"/>
  <c r="AZ11" i="13"/>
  <c r="AU12" i="13"/>
  <c r="AV12" i="13"/>
  <c r="AW12" i="13"/>
  <c r="AX12" i="13"/>
  <c r="AY12" i="13"/>
  <c r="AZ12" i="13"/>
  <c r="AU13" i="13"/>
  <c r="AV13" i="13"/>
  <c r="AW13" i="13"/>
  <c r="AX13" i="13"/>
  <c r="AY13" i="13"/>
  <c r="AZ13" i="13"/>
  <c r="AU14" i="13"/>
  <c r="AV14" i="13"/>
  <c r="AW14" i="13"/>
  <c r="AX14" i="13"/>
  <c r="AY14" i="13"/>
  <c r="AZ14" i="13"/>
  <c r="AU15" i="13"/>
  <c r="AV15" i="13"/>
  <c r="AW15" i="13"/>
  <c r="AX15" i="13"/>
  <c r="AY15" i="13"/>
  <c r="AZ15" i="13"/>
  <c r="AU16" i="13"/>
  <c r="AV16" i="13"/>
  <c r="AW16" i="13"/>
  <c r="AX16" i="13"/>
  <c r="AY16" i="13"/>
  <c r="AZ16" i="13"/>
  <c r="AU17" i="13"/>
  <c r="AV17" i="13"/>
  <c r="AW17" i="13"/>
  <c r="AX17" i="13"/>
  <c r="AY17" i="13"/>
  <c r="AZ17" i="13"/>
  <c r="AU18" i="13"/>
  <c r="AV18" i="13"/>
  <c r="AW18" i="13"/>
  <c r="AX18" i="13"/>
  <c r="AY18" i="13"/>
  <c r="AZ18" i="13"/>
  <c r="AU19" i="13"/>
  <c r="AV19" i="13"/>
  <c r="AW19" i="13"/>
  <c r="AX19" i="13"/>
  <c r="AY19" i="13"/>
  <c r="AZ19" i="13"/>
  <c r="AU20" i="13"/>
  <c r="AV20" i="13"/>
  <c r="AW20" i="13"/>
  <c r="AX20" i="13"/>
  <c r="AY20" i="13"/>
  <c r="AZ20" i="13"/>
  <c r="AU21" i="13"/>
  <c r="AV21" i="13"/>
  <c r="AW21" i="13"/>
  <c r="AX21" i="13"/>
  <c r="AY21" i="13"/>
  <c r="AZ21" i="13"/>
  <c r="AU22" i="13"/>
  <c r="BA22" i="13" s="1"/>
  <c r="AV22" i="13"/>
  <c r="AW22" i="13"/>
  <c r="AX22" i="13"/>
  <c r="AY22" i="13"/>
  <c r="AZ22" i="13"/>
  <c r="AU23" i="13"/>
  <c r="AV23" i="13"/>
  <c r="AW23" i="13"/>
  <c r="AX23" i="13"/>
  <c r="AY23" i="13"/>
  <c r="AZ23" i="13"/>
  <c r="AU24" i="13"/>
  <c r="AV24" i="13"/>
  <c r="AW24" i="13"/>
  <c r="AX24" i="13"/>
  <c r="AY24" i="13"/>
  <c r="AZ24" i="13"/>
  <c r="AU25" i="13"/>
  <c r="AV25" i="13"/>
  <c r="AW25" i="13"/>
  <c r="AX25" i="13"/>
  <c r="AY25" i="13"/>
  <c r="AZ25" i="13"/>
  <c r="AU26" i="13"/>
  <c r="AV26" i="13"/>
  <c r="AW26" i="13"/>
  <c r="AX26" i="13"/>
  <c r="AY26" i="13"/>
  <c r="AZ26" i="13"/>
  <c r="AU27" i="13"/>
  <c r="AV27" i="13"/>
  <c r="AW27" i="13"/>
  <c r="AX27" i="13"/>
  <c r="AY27" i="13"/>
  <c r="AZ27" i="13"/>
  <c r="AU28" i="13"/>
  <c r="AV28" i="13"/>
  <c r="AW28" i="13"/>
  <c r="AX28" i="13"/>
  <c r="AY28" i="13"/>
  <c r="AZ28" i="13"/>
  <c r="AU29" i="13"/>
  <c r="AV29" i="13"/>
  <c r="AW29" i="13"/>
  <c r="AX29" i="13"/>
  <c r="AY29" i="13"/>
  <c r="AZ29" i="13"/>
  <c r="AU30" i="13"/>
  <c r="AV30" i="13"/>
  <c r="AW30" i="13"/>
  <c r="AX30" i="13"/>
  <c r="AY30" i="13"/>
  <c r="AZ30" i="13"/>
  <c r="AU31" i="13"/>
  <c r="AV31" i="13"/>
  <c r="AW31" i="13"/>
  <c r="AX31" i="13"/>
  <c r="AY31" i="13"/>
  <c r="AZ31" i="13"/>
  <c r="AU32" i="13"/>
  <c r="AV32" i="13"/>
  <c r="AW32" i="13"/>
  <c r="AX32" i="13"/>
  <c r="AY32" i="13"/>
  <c r="AZ32" i="13"/>
  <c r="AU33" i="13"/>
  <c r="AV33" i="13"/>
  <c r="AW33" i="13"/>
  <c r="AX33" i="13"/>
  <c r="AY33" i="13"/>
  <c r="AZ33" i="13"/>
  <c r="AU34" i="13"/>
  <c r="BA34" i="13" s="1"/>
  <c r="AV34" i="13"/>
  <c r="AW34" i="13"/>
  <c r="AX34" i="13"/>
  <c r="AY34" i="13"/>
  <c r="AZ34" i="13"/>
  <c r="AU35" i="13"/>
  <c r="AV35" i="13"/>
  <c r="AW35" i="13"/>
  <c r="AX35" i="13"/>
  <c r="AY35" i="13"/>
  <c r="AZ35" i="13"/>
  <c r="AU36" i="13"/>
  <c r="AV36" i="13"/>
  <c r="AW36" i="13"/>
  <c r="AX36" i="13"/>
  <c r="AY36" i="13"/>
  <c r="AZ36" i="13"/>
  <c r="AU37" i="13"/>
  <c r="AV37" i="13"/>
  <c r="AW37" i="13"/>
  <c r="AX37" i="13"/>
  <c r="AY37" i="13"/>
  <c r="AZ37" i="13"/>
  <c r="AU38" i="13"/>
  <c r="AV38" i="13"/>
  <c r="AW38" i="13"/>
  <c r="AX38" i="13"/>
  <c r="AY38" i="13"/>
  <c r="AZ38" i="13"/>
  <c r="AU39" i="13"/>
  <c r="BA39" i="13" s="1"/>
  <c r="AV39" i="13"/>
  <c r="AW39" i="13"/>
  <c r="AX39" i="13"/>
  <c r="AY39" i="13"/>
  <c r="AZ39" i="13"/>
  <c r="AU40" i="13"/>
  <c r="AV40" i="13"/>
  <c r="AW40" i="13"/>
  <c r="AX40" i="13"/>
  <c r="AY40" i="13"/>
  <c r="AZ40" i="13"/>
  <c r="AU41" i="13"/>
  <c r="AV41" i="13"/>
  <c r="AW41" i="13"/>
  <c r="AX41" i="13"/>
  <c r="AY41" i="13"/>
  <c r="AZ41" i="13"/>
  <c r="AU42" i="13"/>
  <c r="AV42" i="13"/>
  <c r="AW42" i="13"/>
  <c r="AX42" i="13"/>
  <c r="AY42" i="13"/>
  <c r="AZ42" i="13"/>
  <c r="AU43" i="13"/>
  <c r="AV43" i="13"/>
  <c r="AW43" i="13"/>
  <c r="AX43" i="13"/>
  <c r="AY43" i="13"/>
  <c r="AZ43" i="13"/>
  <c r="AU44" i="13"/>
  <c r="AV44" i="13"/>
  <c r="AW44" i="13"/>
  <c r="AX44" i="13"/>
  <c r="AY44" i="13"/>
  <c r="AZ44" i="13"/>
  <c r="AU45" i="13"/>
  <c r="AV45" i="13"/>
  <c r="AW45" i="13"/>
  <c r="AX45" i="13"/>
  <c r="AY45" i="13"/>
  <c r="AZ45" i="13"/>
  <c r="AU46" i="13"/>
  <c r="AV46" i="13"/>
  <c r="AW46" i="13"/>
  <c r="AX46" i="13"/>
  <c r="AY46" i="13"/>
  <c r="AZ46" i="13"/>
  <c r="AU47" i="13"/>
  <c r="AV47" i="13"/>
  <c r="AW47" i="13"/>
  <c r="AX47" i="13"/>
  <c r="AY47" i="13"/>
  <c r="AZ47" i="13"/>
  <c r="AU48" i="13"/>
  <c r="AV48" i="13"/>
  <c r="AW48" i="13"/>
  <c r="AX48" i="13"/>
  <c r="AY48" i="13"/>
  <c r="AZ48" i="13"/>
  <c r="AU49" i="13"/>
  <c r="AV49" i="13"/>
  <c r="AW49" i="13"/>
  <c r="AX49" i="13"/>
  <c r="AY49" i="13"/>
  <c r="AZ49" i="13"/>
  <c r="AU50" i="13"/>
  <c r="AV50" i="13"/>
  <c r="AW50" i="13"/>
  <c r="AX50" i="13"/>
  <c r="AY50" i="13"/>
  <c r="AZ50" i="13"/>
  <c r="AU51" i="13"/>
  <c r="AV51" i="13"/>
  <c r="AW51" i="13"/>
  <c r="AX51" i="13"/>
  <c r="AY51" i="13"/>
  <c r="AZ51" i="13"/>
  <c r="AU52" i="13"/>
  <c r="AV52" i="13"/>
  <c r="AW52" i="13"/>
  <c r="AX52" i="13"/>
  <c r="AY52" i="13"/>
  <c r="AZ52" i="13"/>
  <c r="AU53" i="13"/>
  <c r="AV53" i="13"/>
  <c r="AW53" i="13"/>
  <c r="AX53" i="13"/>
  <c r="AY53" i="13"/>
  <c r="AZ53" i="13"/>
  <c r="AU54" i="13"/>
  <c r="AV54" i="13"/>
  <c r="AW54" i="13"/>
  <c r="AX54" i="13"/>
  <c r="AY54" i="13"/>
  <c r="AZ54" i="13"/>
  <c r="AU55" i="13"/>
  <c r="AV55" i="13"/>
  <c r="AW55" i="13"/>
  <c r="AX55" i="13"/>
  <c r="AY55" i="13"/>
  <c r="AZ55" i="13"/>
  <c r="AU56" i="13"/>
  <c r="AV56" i="13"/>
  <c r="AW56" i="13"/>
  <c r="AX56" i="13"/>
  <c r="AY56" i="13"/>
  <c r="AZ56" i="13"/>
  <c r="AU57" i="13"/>
  <c r="AV57" i="13"/>
  <c r="AW57" i="13"/>
  <c r="AX57" i="13"/>
  <c r="AY57" i="13"/>
  <c r="AZ57" i="13"/>
  <c r="AU58" i="13"/>
  <c r="AV58" i="13"/>
  <c r="AW58" i="13"/>
  <c r="AX58" i="13"/>
  <c r="AY58" i="13"/>
  <c r="AZ58" i="13"/>
  <c r="AU59" i="13"/>
  <c r="AV59" i="13"/>
  <c r="AW59" i="13"/>
  <c r="AX59" i="13"/>
  <c r="AY59" i="13"/>
  <c r="AZ59" i="13"/>
  <c r="AU60" i="13"/>
  <c r="AV60" i="13"/>
  <c r="AW60" i="13"/>
  <c r="AX60" i="13"/>
  <c r="AY60" i="13"/>
  <c r="AZ60" i="13"/>
  <c r="AU61" i="13"/>
  <c r="BA61" i="13" s="1"/>
  <c r="AV61" i="13"/>
  <c r="AW61" i="13"/>
  <c r="AX61" i="13"/>
  <c r="AY61" i="13"/>
  <c r="AZ61" i="13"/>
  <c r="AU62" i="13"/>
  <c r="AV62" i="13"/>
  <c r="AW62" i="13"/>
  <c r="AX62" i="13"/>
  <c r="AY62" i="13"/>
  <c r="AZ62" i="13"/>
  <c r="AU63" i="13"/>
  <c r="AV63" i="13"/>
  <c r="AW63" i="13"/>
  <c r="AX63" i="13"/>
  <c r="AY63" i="13"/>
  <c r="AZ63" i="13"/>
  <c r="AU64" i="13"/>
  <c r="AV64" i="13"/>
  <c r="AW64" i="13"/>
  <c r="AX64" i="13"/>
  <c r="AY64" i="13"/>
  <c r="AZ64" i="13"/>
  <c r="AU65" i="13"/>
  <c r="AV65" i="13"/>
  <c r="AW65" i="13"/>
  <c r="AX65" i="13"/>
  <c r="AY65" i="13"/>
  <c r="AZ65" i="13"/>
  <c r="AU66" i="13"/>
  <c r="AV66" i="13"/>
  <c r="AW66" i="13"/>
  <c r="AX66" i="13"/>
  <c r="AY66" i="13"/>
  <c r="AZ66" i="13"/>
  <c r="AU67" i="13"/>
  <c r="AV67" i="13"/>
  <c r="AW67" i="13"/>
  <c r="AX67" i="13"/>
  <c r="AY67" i="13"/>
  <c r="AZ67" i="13"/>
  <c r="AU68" i="13"/>
  <c r="AV68" i="13"/>
  <c r="AW68" i="13"/>
  <c r="AX68" i="13"/>
  <c r="AY68" i="13"/>
  <c r="AZ68" i="13"/>
  <c r="AU69" i="13"/>
  <c r="AV69" i="13"/>
  <c r="AW69" i="13"/>
  <c r="AX69" i="13"/>
  <c r="AY69" i="13"/>
  <c r="AZ69" i="13"/>
  <c r="AU70" i="13"/>
  <c r="AV70" i="13"/>
  <c r="AW70" i="13"/>
  <c r="AX70" i="13"/>
  <c r="AY70" i="13"/>
  <c r="AZ70" i="13"/>
  <c r="AU71" i="13"/>
  <c r="AV71" i="13"/>
  <c r="AW71" i="13"/>
  <c r="AX71" i="13"/>
  <c r="AY71" i="13"/>
  <c r="AZ71" i="13"/>
  <c r="AU72" i="13"/>
  <c r="AV72" i="13"/>
  <c r="AW72" i="13"/>
  <c r="AX72" i="13"/>
  <c r="AY72" i="13"/>
  <c r="AZ72" i="13"/>
  <c r="AU73" i="13"/>
  <c r="AV73" i="13"/>
  <c r="AW73" i="13"/>
  <c r="AX73" i="13"/>
  <c r="AY73" i="13"/>
  <c r="AZ73" i="13"/>
  <c r="AU74" i="13"/>
  <c r="AV74" i="13"/>
  <c r="AW74" i="13"/>
  <c r="AX74" i="13"/>
  <c r="AY74" i="13"/>
  <c r="AZ74" i="13"/>
  <c r="AU75" i="13"/>
  <c r="AV75" i="13"/>
  <c r="AW75" i="13"/>
  <c r="AX75" i="13"/>
  <c r="AY75" i="13"/>
  <c r="AZ75" i="13"/>
  <c r="AU76" i="13"/>
  <c r="AV76" i="13"/>
  <c r="AW76" i="13"/>
  <c r="AX76" i="13"/>
  <c r="AY76" i="13"/>
  <c r="AZ76" i="13"/>
  <c r="AU77" i="13"/>
  <c r="AV77" i="13"/>
  <c r="AW77" i="13"/>
  <c r="AX77" i="13"/>
  <c r="AY77" i="13"/>
  <c r="AZ77" i="13"/>
  <c r="AU78" i="13"/>
  <c r="AV78" i="13"/>
  <c r="AW78" i="13"/>
  <c r="AX78" i="13"/>
  <c r="AY78" i="13"/>
  <c r="AZ78" i="13"/>
  <c r="AU79" i="13"/>
  <c r="AV79" i="13"/>
  <c r="AW79" i="13"/>
  <c r="AX79" i="13"/>
  <c r="AY79" i="13"/>
  <c r="AZ79" i="13"/>
  <c r="AU80" i="13"/>
  <c r="AV80" i="13"/>
  <c r="AW80" i="13"/>
  <c r="AX80" i="13"/>
  <c r="AY80" i="13"/>
  <c r="AZ80" i="13"/>
  <c r="AU81" i="13"/>
  <c r="AV81" i="13"/>
  <c r="AW81" i="13"/>
  <c r="AX81" i="13"/>
  <c r="AY81" i="13"/>
  <c r="AZ81" i="13"/>
  <c r="AU82" i="13"/>
  <c r="AV82" i="13"/>
  <c r="AW82" i="13"/>
  <c r="AX82" i="13"/>
  <c r="AY82" i="13"/>
  <c r="AZ82" i="13"/>
  <c r="AU83" i="13"/>
  <c r="AV83" i="13"/>
  <c r="AW83" i="13"/>
  <c r="AX83" i="13"/>
  <c r="AY83" i="13"/>
  <c r="AZ83" i="13"/>
  <c r="AU84" i="13"/>
  <c r="AV84" i="13"/>
  <c r="AW84" i="13"/>
  <c r="AX84" i="13"/>
  <c r="AY84" i="13"/>
  <c r="AZ84" i="13"/>
  <c r="AU85" i="13"/>
  <c r="AV85" i="13"/>
  <c r="AW85" i="13"/>
  <c r="AX85" i="13"/>
  <c r="AY85" i="13"/>
  <c r="AZ85" i="13"/>
  <c r="AU86" i="13"/>
  <c r="AV86" i="13"/>
  <c r="AW86" i="13"/>
  <c r="AX86" i="13"/>
  <c r="AY86" i="13"/>
  <c r="AZ86" i="13"/>
  <c r="AU87" i="13"/>
  <c r="AV87" i="13"/>
  <c r="AW87" i="13"/>
  <c r="AX87" i="13"/>
  <c r="AY87" i="13"/>
  <c r="AZ87" i="13"/>
  <c r="AU88" i="13"/>
  <c r="AV88" i="13"/>
  <c r="AW88" i="13"/>
  <c r="AX88" i="13"/>
  <c r="AY88" i="13"/>
  <c r="AZ88" i="13"/>
  <c r="AU89" i="13"/>
  <c r="AV89" i="13"/>
  <c r="AW89" i="13"/>
  <c r="AX89" i="13"/>
  <c r="AY89" i="13"/>
  <c r="AZ89" i="13"/>
  <c r="AU90" i="13"/>
  <c r="AV90" i="13"/>
  <c r="AW90" i="13"/>
  <c r="AX90" i="13"/>
  <c r="AY90" i="13"/>
  <c r="AZ90" i="13"/>
  <c r="AU91" i="13"/>
  <c r="AV91" i="13"/>
  <c r="AW91" i="13"/>
  <c r="AX91" i="13"/>
  <c r="AY91" i="13"/>
  <c r="AZ91" i="13"/>
  <c r="AU92" i="13"/>
  <c r="AV92" i="13"/>
  <c r="AW92" i="13"/>
  <c r="AX92" i="13"/>
  <c r="AY92" i="13"/>
  <c r="AZ92" i="13"/>
  <c r="AU93" i="13"/>
  <c r="AV93" i="13"/>
  <c r="AW93" i="13"/>
  <c r="AX93" i="13"/>
  <c r="AY93" i="13"/>
  <c r="AZ93" i="13"/>
  <c r="AU94" i="13"/>
  <c r="AV94" i="13"/>
  <c r="AW94" i="13"/>
  <c r="AX94" i="13"/>
  <c r="AY94" i="13"/>
  <c r="AZ94" i="13"/>
  <c r="AU95" i="13"/>
  <c r="AV95" i="13"/>
  <c r="AW95" i="13"/>
  <c r="AX95" i="13"/>
  <c r="AY95" i="13"/>
  <c r="AZ95" i="13"/>
  <c r="AU96" i="13"/>
  <c r="AV96" i="13"/>
  <c r="AW96" i="13"/>
  <c r="AX96" i="13"/>
  <c r="AY96" i="13"/>
  <c r="AZ96" i="13"/>
  <c r="AU97" i="13"/>
  <c r="AV97" i="13"/>
  <c r="AW97" i="13"/>
  <c r="AX97" i="13"/>
  <c r="AY97" i="13"/>
  <c r="AZ97" i="13"/>
  <c r="AU98" i="13"/>
  <c r="AV98" i="13"/>
  <c r="AW98" i="13"/>
  <c r="AX98" i="13"/>
  <c r="AY98" i="13"/>
  <c r="AZ98" i="13"/>
  <c r="AU99" i="13"/>
  <c r="AV99" i="13"/>
  <c r="AW99" i="13"/>
  <c r="AX99" i="13"/>
  <c r="AY99" i="13"/>
  <c r="AZ99" i="13"/>
  <c r="AU100" i="13"/>
  <c r="AV100" i="13"/>
  <c r="AW100" i="13"/>
  <c r="AX100" i="13"/>
  <c r="AY100" i="13"/>
  <c r="AZ100" i="13"/>
  <c r="AU101" i="13"/>
  <c r="BA101" i="13" s="1"/>
  <c r="AV101" i="13"/>
  <c r="AW101" i="13"/>
  <c r="AX101" i="13"/>
  <c r="AY101" i="13"/>
  <c r="AZ101" i="13"/>
  <c r="AU102" i="13"/>
  <c r="AV102" i="13"/>
  <c r="AW102" i="13"/>
  <c r="AX102" i="13"/>
  <c r="AY102" i="13"/>
  <c r="AZ102" i="13"/>
  <c r="AU103" i="13"/>
  <c r="AV103" i="13"/>
  <c r="AW103" i="13"/>
  <c r="AX103" i="13"/>
  <c r="AY103" i="13"/>
  <c r="AZ103" i="13"/>
  <c r="AU104" i="13"/>
  <c r="AV104" i="13"/>
  <c r="AW104" i="13"/>
  <c r="AX104" i="13"/>
  <c r="AY104" i="13"/>
  <c r="AZ104" i="13"/>
  <c r="AU105" i="13"/>
  <c r="AV105" i="13"/>
  <c r="AW105" i="13"/>
  <c r="AX105" i="13"/>
  <c r="AY105" i="13"/>
  <c r="AZ105" i="13"/>
  <c r="AU106" i="13"/>
  <c r="AV106" i="13"/>
  <c r="AW106" i="13"/>
  <c r="AX106" i="13"/>
  <c r="AY106" i="13"/>
  <c r="AZ106" i="13"/>
  <c r="AU107" i="13"/>
  <c r="AV107" i="13"/>
  <c r="AW107" i="13"/>
  <c r="AX107" i="13"/>
  <c r="AY107" i="13"/>
  <c r="AZ107" i="13"/>
  <c r="AU108" i="13"/>
  <c r="AV108" i="13"/>
  <c r="AW108" i="13"/>
  <c r="AX108" i="13"/>
  <c r="AY108" i="13"/>
  <c r="AZ108" i="13"/>
  <c r="AU109" i="13"/>
  <c r="AV109" i="13"/>
  <c r="AW109" i="13"/>
  <c r="AX109" i="13"/>
  <c r="AY109" i="13"/>
  <c r="AZ109" i="13"/>
  <c r="AU110" i="13"/>
  <c r="AV110" i="13"/>
  <c r="AW110" i="13"/>
  <c r="AX110" i="13"/>
  <c r="AY110" i="13"/>
  <c r="AZ110" i="13"/>
  <c r="AU111" i="13"/>
  <c r="AV111" i="13"/>
  <c r="AW111" i="13"/>
  <c r="AX111" i="13"/>
  <c r="AY111" i="13"/>
  <c r="AZ111" i="13"/>
  <c r="AU112" i="13"/>
  <c r="AV112" i="13"/>
  <c r="AW112" i="13"/>
  <c r="AX112" i="13"/>
  <c r="AY112" i="13"/>
  <c r="AZ112" i="13"/>
  <c r="AU113" i="13"/>
  <c r="AV113" i="13"/>
  <c r="AW113" i="13"/>
  <c r="AX113" i="13"/>
  <c r="AY113" i="13"/>
  <c r="AZ113" i="13"/>
  <c r="AU114" i="13"/>
  <c r="AV114" i="13"/>
  <c r="AW114" i="13"/>
  <c r="AX114" i="13"/>
  <c r="AY114" i="13"/>
  <c r="AZ114" i="13"/>
  <c r="AU115" i="13"/>
  <c r="AV115" i="13"/>
  <c r="AW115" i="13"/>
  <c r="AX115" i="13"/>
  <c r="AY115" i="13"/>
  <c r="AZ115" i="13"/>
  <c r="AU116" i="13"/>
  <c r="AV116" i="13"/>
  <c r="AW116" i="13"/>
  <c r="AX116" i="13"/>
  <c r="AY116" i="13"/>
  <c r="AZ116" i="13"/>
  <c r="AU117" i="13"/>
  <c r="AV117" i="13"/>
  <c r="AW117" i="13"/>
  <c r="AX117" i="13"/>
  <c r="AY117" i="13"/>
  <c r="AZ117" i="13"/>
  <c r="AU118" i="13"/>
  <c r="AV118" i="13"/>
  <c r="AW118" i="13"/>
  <c r="AX118" i="13"/>
  <c r="AY118" i="13"/>
  <c r="AZ118" i="13"/>
  <c r="AU119" i="13"/>
  <c r="AV119" i="13"/>
  <c r="AW119" i="13"/>
  <c r="AX119" i="13"/>
  <c r="AY119" i="13"/>
  <c r="AZ119" i="13"/>
  <c r="AU120" i="13"/>
  <c r="AV120" i="13"/>
  <c r="AW120" i="13"/>
  <c r="AX120" i="13"/>
  <c r="AY120" i="13"/>
  <c r="AZ120" i="13"/>
  <c r="AU121" i="13"/>
  <c r="AV121" i="13"/>
  <c r="AW121" i="13"/>
  <c r="AX121" i="13"/>
  <c r="AY121" i="13"/>
  <c r="AZ121" i="13"/>
  <c r="AU122" i="13"/>
  <c r="AV122" i="13"/>
  <c r="AW122" i="13"/>
  <c r="AX122" i="13"/>
  <c r="AY122" i="13"/>
  <c r="AZ122" i="13"/>
  <c r="AU123" i="13"/>
  <c r="BA123" i="13" s="1"/>
  <c r="AV123" i="13"/>
  <c r="AW123" i="13"/>
  <c r="AX123" i="13"/>
  <c r="AY123" i="13"/>
  <c r="AZ123" i="13"/>
  <c r="AV2" i="13"/>
  <c r="AW2" i="13"/>
  <c r="AX2" i="13"/>
  <c r="AY2" i="13"/>
  <c r="AZ2" i="13"/>
  <c r="AU2" i="13"/>
  <c r="AE3" i="13"/>
  <c r="AF3" i="13"/>
  <c r="AG3" i="13"/>
  <c r="AH3" i="13"/>
  <c r="AI3" i="13"/>
  <c r="AJ3" i="13"/>
  <c r="AE4" i="13"/>
  <c r="AF4" i="13"/>
  <c r="AG4" i="13"/>
  <c r="AH4" i="13"/>
  <c r="AI4" i="13"/>
  <c r="AJ4" i="13"/>
  <c r="AE5" i="13"/>
  <c r="AF5" i="13"/>
  <c r="AG5" i="13"/>
  <c r="AH5" i="13"/>
  <c r="AI5" i="13"/>
  <c r="AJ5" i="13"/>
  <c r="AE6" i="13"/>
  <c r="AF6" i="13"/>
  <c r="AG6" i="13"/>
  <c r="AH6" i="13"/>
  <c r="AI6" i="13"/>
  <c r="AJ6" i="13"/>
  <c r="AE7" i="13"/>
  <c r="AF7" i="13"/>
  <c r="AG7" i="13"/>
  <c r="AH7" i="13"/>
  <c r="AI7" i="13"/>
  <c r="AJ7" i="13"/>
  <c r="AE8" i="13"/>
  <c r="AF8" i="13"/>
  <c r="AG8" i="13"/>
  <c r="AH8" i="13"/>
  <c r="AI8" i="13"/>
  <c r="AJ8" i="13"/>
  <c r="AE9" i="13"/>
  <c r="AF9" i="13"/>
  <c r="AG9" i="13"/>
  <c r="AH9" i="13"/>
  <c r="AI9" i="13"/>
  <c r="AJ9" i="13"/>
  <c r="AE10" i="13"/>
  <c r="AF10" i="13"/>
  <c r="AG10" i="13"/>
  <c r="AH10" i="13"/>
  <c r="AI10" i="13"/>
  <c r="AJ10" i="13"/>
  <c r="AE11" i="13"/>
  <c r="AF11" i="13"/>
  <c r="AG11" i="13"/>
  <c r="AH11" i="13"/>
  <c r="AI11" i="13"/>
  <c r="AJ11" i="13"/>
  <c r="AE12" i="13"/>
  <c r="AF12" i="13"/>
  <c r="AG12" i="13"/>
  <c r="AH12" i="13"/>
  <c r="AI12" i="13"/>
  <c r="AJ12" i="13"/>
  <c r="AE13" i="13"/>
  <c r="AF13" i="13"/>
  <c r="AG13" i="13"/>
  <c r="AH13" i="13"/>
  <c r="AI13" i="13"/>
  <c r="AJ13" i="13"/>
  <c r="AE14" i="13"/>
  <c r="AF14" i="13"/>
  <c r="AG14" i="13"/>
  <c r="AH14" i="13"/>
  <c r="AI14" i="13"/>
  <c r="AJ14" i="13"/>
  <c r="AE15" i="13"/>
  <c r="AF15" i="13"/>
  <c r="AG15" i="13"/>
  <c r="AH15" i="13"/>
  <c r="AI15" i="13"/>
  <c r="AJ15" i="13"/>
  <c r="AE16" i="13"/>
  <c r="AF16" i="13"/>
  <c r="AG16" i="13"/>
  <c r="AH16" i="13"/>
  <c r="AI16" i="13"/>
  <c r="AJ16" i="13"/>
  <c r="AE17" i="13"/>
  <c r="AF17" i="13"/>
  <c r="AG17" i="13"/>
  <c r="AH17" i="13"/>
  <c r="AI17" i="13"/>
  <c r="AJ17" i="13"/>
  <c r="AE18" i="13"/>
  <c r="AF18" i="13"/>
  <c r="AG18" i="13"/>
  <c r="AH18" i="13"/>
  <c r="AI18" i="13"/>
  <c r="AJ18" i="13"/>
  <c r="AE19" i="13"/>
  <c r="AF19" i="13"/>
  <c r="AG19" i="13"/>
  <c r="AH19" i="13"/>
  <c r="AI19" i="13"/>
  <c r="AJ19" i="13"/>
  <c r="AE20" i="13"/>
  <c r="AF20" i="13"/>
  <c r="AG20" i="13"/>
  <c r="AH20" i="13"/>
  <c r="AI20" i="13"/>
  <c r="AJ20" i="13"/>
  <c r="AE21" i="13"/>
  <c r="AF21" i="13"/>
  <c r="AG21" i="13"/>
  <c r="AH21" i="13"/>
  <c r="AI21" i="13"/>
  <c r="AJ21" i="13"/>
  <c r="AE22" i="13"/>
  <c r="AF22" i="13"/>
  <c r="AG22" i="13"/>
  <c r="AH22" i="13"/>
  <c r="AI22" i="13"/>
  <c r="AJ22" i="13"/>
  <c r="AE23" i="13"/>
  <c r="AF23" i="13"/>
  <c r="AG23" i="13"/>
  <c r="AH23" i="13"/>
  <c r="AI23" i="13"/>
  <c r="AJ23" i="13"/>
  <c r="AE24" i="13"/>
  <c r="AF24" i="13"/>
  <c r="AG24" i="13"/>
  <c r="AH24" i="13"/>
  <c r="AI24" i="13"/>
  <c r="AJ24" i="13"/>
  <c r="AE25" i="13"/>
  <c r="AF25" i="13"/>
  <c r="AG25" i="13"/>
  <c r="AH25" i="13"/>
  <c r="AI25" i="13"/>
  <c r="AJ25" i="13"/>
  <c r="AE26" i="13"/>
  <c r="AF26" i="13"/>
  <c r="AG26" i="13"/>
  <c r="AH26" i="13"/>
  <c r="AI26" i="13"/>
  <c r="AJ26" i="13"/>
  <c r="AE27" i="13"/>
  <c r="AF27" i="13"/>
  <c r="AG27" i="13"/>
  <c r="AH27" i="13"/>
  <c r="AI27" i="13"/>
  <c r="AJ27" i="13"/>
  <c r="AE28" i="13"/>
  <c r="AF28" i="13"/>
  <c r="AG28" i="13"/>
  <c r="AH28" i="13"/>
  <c r="AI28" i="13"/>
  <c r="AJ28" i="13"/>
  <c r="AE29" i="13"/>
  <c r="AF29" i="13"/>
  <c r="AG29" i="13"/>
  <c r="AH29" i="13"/>
  <c r="AI29" i="13"/>
  <c r="AJ29" i="13"/>
  <c r="AE30" i="13"/>
  <c r="AF30" i="13"/>
  <c r="AG30" i="13"/>
  <c r="AH30" i="13"/>
  <c r="AI30" i="13"/>
  <c r="AJ30" i="13"/>
  <c r="AE31" i="13"/>
  <c r="AF31" i="13"/>
  <c r="AG31" i="13"/>
  <c r="AH31" i="13"/>
  <c r="AI31" i="13"/>
  <c r="AJ31" i="13"/>
  <c r="AE32" i="13"/>
  <c r="AF32" i="13"/>
  <c r="AG32" i="13"/>
  <c r="AH32" i="13"/>
  <c r="AI32" i="13"/>
  <c r="AJ32" i="13"/>
  <c r="AE33" i="13"/>
  <c r="AF33" i="13"/>
  <c r="AG33" i="13"/>
  <c r="AH33" i="13"/>
  <c r="AI33" i="13"/>
  <c r="AJ33" i="13"/>
  <c r="AE34" i="13"/>
  <c r="AF34" i="13"/>
  <c r="AG34" i="13"/>
  <c r="AH34" i="13"/>
  <c r="AI34" i="13"/>
  <c r="AJ34" i="13"/>
  <c r="AE35" i="13"/>
  <c r="AF35" i="13"/>
  <c r="AG35" i="13"/>
  <c r="AH35" i="13"/>
  <c r="AI35" i="13"/>
  <c r="AJ35" i="13"/>
  <c r="AE36" i="13"/>
  <c r="AF36" i="13"/>
  <c r="AG36" i="13"/>
  <c r="AH36" i="13"/>
  <c r="AI36" i="13"/>
  <c r="AJ36" i="13"/>
  <c r="AE37" i="13"/>
  <c r="AF37" i="13"/>
  <c r="AG37" i="13"/>
  <c r="AH37" i="13"/>
  <c r="AI37" i="13"/>
  <c r="AJ37" i="13"/>
  <c r="AE38" i="13"/>
  <c r="AF38" i="13"/>
  <c r="AG38" i="13"/>
  <c r="AH38" i="13"/>
  <c r="AI38" i="13"/>
  <c r="AJ38" i="13"/>
  <c r="AE39" i="13"/>
  <c r="AF39" i="13"/>
  <c r="AG39" i="13"/>
  <c r="AH39" i="13"/>
  <c r="AI39" i="13"/>
  <c r="AJ39" i="13"/>
  <c r="AE40" i="13"/>
  <c r="AF40" i="13"/>
  <c r="AG40" i="13"/>
  <c r="AH40" i="13"/>
  <c r="AI40" i="13"/>
  <c r="AJ40" i="13"/>
  <c r="AE41" i="13"/>
  <c r="AF41" i="13"/>
  <c r="AG41" i="13"/>
  <c r="AH41" i="13"/>
  <c r="AI41" i="13"/>
  <c r="AJ41" i="13"/>
  <c r="AE42" i="13"/>
  <c r="AF42" i="13"/>
  <c r="AG42" i="13"/>
  <c r="AH42" i="13"/>
  <c r="AI42" i="13"/>
  <c r="AJ42" i="13"/>
  <c r="AE43" i="13"/>
  <c r="AF43" i="13"/>
  <c r="AG43" i="13"/>
  <c r="AH43" i="13"/>
  <c r="AI43" i="13"/>
  <c r="AJ43" i="13"/>
  <c r="AE44" i="13"/>
  <c r="AF44" i="13"/>
  <c r="AG44" i="13"/>
  <c r="AH44" i="13"/>
  <c r="AI44" i="13"/>
  <c r="AJ44" i="13"/>
  <c r="AE45" i="13"/>
  <c r="AF45" i="13"/>
  <c r="AG45" i="13"/>
  <c r="AH45" i="13"/>
  <c r="AI45" i="13"/>
  <c r="AJ45" i="13"/>
  <c r="AE46" i="13"/>
  <c r="AF46" i="13"/>
  <c r="AG46" i="13"/>
  <c r="AH46" i="13"/>
  <c r="AI46" i="13"/>
  <c r="AJ46" i="13"/>
  <c r="AE47" i="13"/>
  <c r="AF47" i="13"/>
  <c r="AG47" i="13"/>
  <c r="AH47" i="13"/>
  <c r="AI47" i="13"/>
  <c r="AJ47" i="13"/>
  <c r="AE48" i="13"/>
  <c r="AF48" i="13"/>
  <c r="AG48" i="13"/>
  <c r="AH48" i="13"/>
  <c r="AI48" i="13"/>
  <c r="AJ48" i="13"/>
  <c r="AE49" i="13"/>
  <c r="AF49" i="13"/>
  <c r="AG49" i="13"/>
  <c r="AH49" i="13"/>
  <c r="AI49" i="13"/>
  <c r="AJ49" i="13"/>
  <c r="AE50" i="13"/>
  <c r="AF50" i="13"/>
  <c r="AG50" i="13"/>
  <c r="AH50" i="13"/>
  <c r="AI50" i="13"/>
  <c r="AJ50" i="13"/>
  <c r="AE51" i="13"/>
  <c r="AF51" i="13"/>
  <c r="AG51" i="13"/>
  <c r="AH51" i="13"/>
  <c r="AI51" i="13"/>
  <c r="AJ51" i="13"/>
  <c r="AE52" i="13"/>
  <c r="AF52" i="13"/>
  <c r="AG52" i="13"/>
  <c r="AH52" i="13"/>
  <c r="AI52" i="13"/>
  <c r="AJ52" i="13"/>
  <c r="AE53" i="13"/>
  <c r="AF53" i="13"/>
  <c r="AG53" i="13"/>
  <c r="AH53" i="13"/>
  <c r="AI53" i="13"/>
  <c r="AJ53" i="13"/>
  <c r="AE54" i="13"/>
  <c r="AF54" i="13"/>
  <c r="AG54" i="13"/>
  <c r="AH54" i="13"/>
  <c r="AI54" i="13"/>
  <c r="AJ54" i="13"/>
  <c r="AE55" i="13"/>
  <c r="AF55" i="13"/>
  <c r="AG55" i="13"/>
  <c r="AH55" i="13"/>
  <c r="AI55" i="13"/>
  <c r="AJ55" i="13"/>
  <c r="AE56" i="13"/>
  <c r="AF56" i="13"/>
  <c r="AG56" i="13"/>
  <c r="AH56" i="13"/>
  <c r="AI56" i="13"/>
  <c r="AJ56" i="13"/>
  <c r="AE57" i="13"/>
  <c r="AF57" i="13"/>
  <c r="AG57" i="13"/>
  <c r="AH57" i="13"/>
  <c r="AI57" i="13"/>
  <c r="AJ57" i="13"/>
  <c r="AE58" i="13"/>
  <c r="AF58" i="13"/>
  <c r="AG58" i="13"/>
  <c r="AH58" i="13"/>
  <c r="AI58" i="13"/>
  <c r="AJ58" i="13"/>
  <c r="AE59" i="13"/>
  <c r="AF59" i="13"/>
  <c r="AG59" i="13"/>
  <c r="AH59" i="13"/>
  <c r="AI59" i="13"/>
  <c r="AJ59" i="13"/>
  <c r="AE60" i="13"/>
  <c r="AF60" i="13"/>
  <c r="AG60" i="13"/>
  <c r="AH60" i="13"/>
  <c r="AI60" i="13"/>
  <c r="AJ60" i="13"/>
  <c r="AE61" i="13"/>
  <c r="AF61" i="13"/>
  <c r="AG61" i="13"/>
  <c r="AH61" i="13"/>
  <c r="AI61" i="13"/>
  <c r="AJ61" i="13"/>
  <c r="AE62" i="13"/>
  <c r="AF62" i="13"/>
  <c r="AG62" i="13"/>
  <c r="AH62" i="13"/>
  <c r="AI62" i="13"/>
  <c r="AJ62" i="13"/>
  <c r="AE63" i="13"/>
  <c r="AF63" i="13"/>
  <c r="AG63" i="13"/>
  <c r="AH63" i="13"/>
  <c r="AI63" i="13"/>
  <c r="AJ63" i="13"/>
  <c r="AE64" i="13"/>
  <c r="AF64" i="13"/>
  <c r="AG64" i="13"/>
  <c r="AH64" i="13"/>
  <c r="AI64" i="13"/>
  <c r="AJ64" i="13"/>
  <c r="AE65" i="13"/>
  <c r="AF65" i="13"/>
  <c r="AG65" i="13"/>
  <c r="AH65" i="13"/>
  <c r="AI65" i="13"/>
  <c r="AJ65" i="13"/>
  <c r="AE66" i="13"/>
  <c r="AF66" i="13"/>
  <c r="AG66" i="13"/>
  <c r="AH66" i="13"/>
  <c r="AI66" i="13"/>
  <c r="AJ66" i="13"/>
  <c r="AE67" i="13"/>
  <c r="AF67" i="13"/>
  <c r="AG67" i="13"/>
  <c r="AH67" i="13"/>
  <c r="AI67" i="13"/>
  <c r="AJ67" i="13"/>
  <c r="AE68" i="13"/>
  <c r="AF68" i="13"/>
  <c r="AG68" i="13"/>
  <c r="AH68" i="13"/>
  <c r="AI68" i="13"/>
  <c r="AJ68" i="13"/>
  <c r="AE69" i="13"/>
  <c r="AF69" i="13"/>
  <c r="AG69" i="13"/>
  <c r="AH69" i="13"/>
  <c r="AI69" i="13"/>
  <c r="AJ69" i="13"/>
  <c r="AE70" i="13"/>
  <c r="AF70" i="13"/>
  <c r="AG70" i="13"/>
  <c r="AH70" i="13"/>
  <c r="AI70" i="13"/>
  <c r="AJ70" i="13"/>
  <c r="AE71" i="13"/>
  <c r="AF71" i="13"/>
  <c r="AG71" i="13"/>
  <c r="AH71" i="13"/>
  <c r="AI71" i="13"/>
  <c r="AJ71" i="13"/>
  <c r="AE72" i="13"/>
  <c r="AF72" i="13"/>
  <c r="AG72" i="13"/>
  <c r="AH72" i="13"/>
  <c r="AI72" i="13"/>
  <c r="AJ72" i="13"/>
  <c r="AE73" i="13"/>
  <c r="AF73" i="13"/>
  <c r="AG73" i="13"/>
  <c r="AH73" i="13"/>
  <c r="AI73" i="13"/>
  <c r="AJ73" i="13"/>
  <c r="AE74" i="13"/>
  <c r="AF74" i="13"/>
  <c r="AG74" i="13"/>
  <c r="AH74" i="13"/>
  <c r="AI74" i="13"/>
  <c r="AJ74" i="13"/>
  <c r="AE75" i="13"/>
  <c r="AF75" i="13"/>
  <c r="AG75" i="13"/>
  <c r="AH75" i="13"/>
  <c r="AI75" i="13"/>
  <c r="AJ75" i="13"/>
  <c r="AE76" i="13"/>
  <c r="AF76" i="13"/>
  <c r="AG76" i="13"/>
  <c r="AH76" i="13"/>
  <c r="AI76" i="13"/>
  <c r="AJ76" i="13"/>
  <c r="AE77" i="13"/>
  <c r="AF77" i="13"/>
  <c r="AG77" i="13"/>
  <c r="AH77" i="13"/>
  <c r="AI77" i="13"/>
  <c r="AJ77" i="13"/>
  <c r="AE78" i="13"/>
  <c r="AF78" i="13"/>
  <c r="AG78" i="13"/>
  <c r="AH78" i="13"/>
  <c r="AI78" i="13"/>
  <c r="AJ78" i="13"/>
  <c r="AE79" i="13"/>
  <c r="AF79" i="13"/>
  <c r="AG79" i="13"/>
  <c r="AH79" i="13"/>
  <c r="AI79" i="13"/>
  <c r="AJ79" i="13"/>
  <c r="AE80" i="13"/>
  <c r="AF80" i="13"/>
  <c r="AG80" i="13"/>
  <c r="AH80" i="13"/>
  <c r="AI80" i="13"/>
  <c r="AJ80" i="13"/>
  <c r="AE81" i="13"/>
  <c r="AF81" i="13"/>
  <c r="AG81" i="13"/>
  <c r="AH81" i="13"/>
  <c r="AI81" i="13"/>
  <c r="AJ81" i="13"/>
  <c r="AE82" i="13"/>
  <c r="AF82" i="13"/>
  <c r="AG82" i="13"/>
  <c r="AH82" i="13"/>
  <c r="AI82" i="13"/>
  <c r="AJ82" i="13"/>
  <c r="AE83" i="13"/>
  <c r="AF83" i="13"/>
  <c r="AG83" i="13"/>
  <c r="AH83" i="13"/>
  <c r="AI83" i="13"/>
  <c r="AJ83" i="13"/>
  <c r="AE84" i="13"/>
  <c r="AF84" i="13"/>
  <c r="AG84" i="13"/>
  <c r="AH84" i="13"/>
  <c r="AI84" i="13"/>
  <c r="AJ84" i="13"/>
  <c r="AE85" i="13"/>
  <c r="AF85" i="13"/>
  <c r="AG85" i="13"/>
  <c r="AH85" i="13"/>
  <c r="AI85" i="13"/>
  <c r="AJ85" i="13"/>
  <c r="AE86" i="13"/>
  <c r="AF86" i="13"/>
  <c r="AG86" i="13"/>
  <c r="AH86" i="13"/>
  <c r="AI86" i="13"/>
  <c r="AJ86" i="13"/>
  <c r="AE87" i="13"/>
  <c r="AF87" i="13"/>
  <c r="AG87" i="13"/>
  <c r="AH87" i="13"/>
  <c r="AI87" i="13"/>
  <c r="AJ87" i="13"/>
  <c r="AE88" i="13"/>
  <c r="AF88" i="13"/>
  <c r="AG88" i="13"/>
  <c r="AH88" i="13"/>
  <c r="AI88" i="13"/>
  <c r="AJ88" i="13"/>
  <c r="AE89" i="13"/>
  <c r="AF89" i="13"/>
  <c r="AG89" i="13"/>
  <c r="AH89" i="13"/>
  <c r="AI89" i="13"/>
  <c r="AJ89" i="13"/>
  <c r="AE90" i="13"/>
  <c r="AF90" i="13"/>
  <c r="AG90" i="13"/>
  <c r="AH90" i="13"/>
  <c r="AI90" i="13"/>
  <c r="AJ90" i="13"/>
  <c r="AE91" i="13"/>
  <c r="AF91" i="13"/>
  <c r="AG91" i="13"/>
  <c r="AH91" i="13"/>
  <c r="AI91" i="13"/>
  <c r="AJ91" i="13"/>
  <c r="AE92" i="13"/>
  <c r="AF92" i="13"/>
  <c r="AG92" i="13"/>
  <c r="AH92" i="13"/>
  <c r="AI92" i="13"/>
  <c r="AJ92" i="13"/>
  <c r="AE93" i="13"/>
  <c r="AF93" i="13"/>
  <c r="AG93" i="13"/>
  <c r="AH93" i="13"/>
  <c r="AI93" i="13"/>
  <c r="AJ93" i="13"/>
  <c r="AE94" i="13"/>
  <c r="AF94" i="13"/>
  <c r="AG94" i="13"/>
  <c r="AH94" i="13"/>
  <c r="AI94" i="13"/>
  <c r="AJ94" i="13"/>
  <c r="AE95" i="13"/>
  <c r="AF95" i="13"/>
  <c r="AG95" i="13"/>
  <c r="AH95" i="13"/>
  <c r="AI95" i="13"/>
  <c r="AJ95" i="13"/>
  <c r="AE96" i="13"/>
  <c r="AF96" i="13"/>
  <c r="AG96" i="13"/>
  <c r="AH96" i="13"/>
  <c r="AI96" i="13"/>
  <c r="AJ96" i="13"/>
  <c r="AE97" i="13"/>
  <c r="AF97" i="13"/>
  <c r="AG97" i="13"/>
  <c r="AH97" i="13"/>
  <c r="AI97" i="13"/>
  <c r="AJ97" i="13"/>
  <c r="AE98" i="13"/>
  <c r="AF98" i="13"/>
  <c r="AG98" i="13"/>
  <c r="AH98" i="13"/>
  <c r="AI98" i="13"/>
  <c r="AJ98" i="13"/>
  <c r="AE99" i="13"/>
  <c r="AF99" i="13"/>
  <c r="AG99" i="13"/>
  <c r="AH99" i="13"/>
  <c r="AI99" i="13"/>
  <c r="AJ99" i="13"/>
  <c r="AE100" i="13"/>
  <c r="AF100" i="13"/>
  <c r="AG100" i="13"/>
  <c r="AH100" i="13"/>
  <c r="AI100" i="13"/>
  <c r="AJ100" i="13"/>
  <c r="AE101" i="13"/>
  <c r="AF101" i="13"/>
  <c r="AG101" i="13"/>
  <c r="AH101" i="13"/>
  <c r="AI101" i="13"/>
  <c r="AJ101" i="13"/>
  <c r="AE102" i="13"/>
  <c r="AF102" i="13"/>
  <c r="AG102" i="13"/>
  <c r="AH102" i="13"/>
  <c r="AI102" i="13"/>
  <c r="AJ102" i="13"/>
  <c r="AE103" i="13"/>
  <c r="AF103" i="13"/>
  <c r="AG103" i="13"/>
  <c r="AH103" i="13"/>
  <c r="AI103" i="13"/>
  <c r="AJ103" i="13"/>
  <c r="AE104" i="13"/>
  <c r="AF104" i="13"/>
  <c r="AG104" i="13"/>
  <c r="AH104" i="13"/>
  <c r="AI104" i="13"/>
  <c r="AJ104" i="13"/>
  <c r="AE105" i="13"/>
  <c r="AF105" i="13"/>
  <c r="AG105" i="13"/>
  <c r="AH105" i="13"/>
  <c r="AI105" i="13"/>
  <c r="AJ105" i="13"/>
  <c r="AE106" i="13"/>
  <c r="AF106" i="13"/>
  <c r="AG106" i="13"/>
  <c r="AH106" i="13"/>
  <c r="AI106" i="13"/>
  <c r="AJ106" i="13"/>
  <c r="AE107" i="13"/>
  <c r="AF107" i="13"/>
  <c r="AG107" i="13"/>
  <c r="AH107" i="13"/>
  <c r="AI107" i="13"/>
  <c r="AJ107" i="13"/>
  <c r="AE108" i="13"/>
  <c r="AF108" i="13"/>
  <c r="AG108" i="13"/>
  <c r="AH108" i="13"/>
  <c r="AI108" i="13"/>
  <c r="AJ108" i="13"/>
  <c r="AE109" i="13"/>
  <c r="AF109" i="13"/>
  <c r="AG109" i="13"/>
  <c r="AH109" i="13"/>
  <c r="AI109" i="13"/>
  <c r="AJ109" i="13"/>
  <c r="AE110" i="13"/>
  <c r="AF110" i="13"/>
  <c r="AG110" i="13"/>
  <c r="AH110" i="13"/>
  <c r="AI110" i="13"/>
  <c r="AJ110" i="13"/>
  <c r="AE111" i="13"/>
  <c r="AF111" i="13"/>
  <c r="AG111" i="13"/>
  <c r="AH111" i="13"/>
  <c r="AI111" i="13"/>
  <c r="AJ111" i="13"/>
  <c r="AE112" i="13"/>
  <c r="AF112" i="13"/>
  <c r="AG112" i="13"/>
  <c r="AH112" i="13"/>
  <c r="AI112" i="13"/>
  <c r="AJ112" i="13"/>
  <c r="AE113" i="13"/>
  <c r="AF113" i="13"/>
  <c r="AG113" i="13"/>
  <c r="AH113" i="13"/>
  <c r="AI113" i="13"/>
  <c r="AJ113" i="13"/>
  <c r="AE114" i="13"/>
  <c r="AF114" i="13"/>
  <c r="AG114" i="13"/>
  <c r="AH114" i="13"/>
  <c r="AI114" i="13"/>
  <c r="AJ114" i="13"/>
  <c r="AE115" i="13"/>
  <c r="AF115" i="13"/>
  <c r="AG115" i="13"/>
  <c r="AH115" i="13"/>
  <c r="AI115" i="13"/>
  <c r="AJ115" i="13"/>
  <c r="AE116" i="13"/>
  <c r="AF116" i="13"/>
  <c r="AG116" i="13"/>
  <c r="AH116" i="13"/>
  <c r="AI116" i="13"/>
  <c r="AJ116" i="13"/>
  <c r="AE117" i="13"/>
  <c r="AF117" i="13"/>
  <c r="AG117" i="13"/>
  <c r="AH117" i="13"/>
  <c r="AI117" i="13"/>
  <c r="AJ117" i="13"/>
  <c r="AE118" i="13"/>
  <c r="AF118" i="13"/>
  <c r="AG118" i="13"/>
  <c r="AH118" i="13"/>
  <c r="AI118" i="13"/>
  <c r="AJ118" i="13"/>
  <c r="AE119" i="13"/>
  <c r="AF119" i="13"/>
  <c r="AG119" i="13"/>
  <c r="AH119" i="13"/>
  <c r="AI119" i="13"/>
  <c r="AJ119" i="13"/>
  <c r="AE120" i="13"/>
  <c r="AF120" i="13"/>
  <c r="AG120" i="13"/>
  <c r="AH120" i="13"/>
  <c r="AI120" i="13"/>
  <c r="AJ120" i="13"/>
  <c r="AE121" i="13"/>
  <c r="AF121" i="13"/>
  <c r="AG121" i="13"/>
  <c r="AH121" i="13"/>
  <c r="AI121" i="13"/>
  <c r="AJ121" i="13"/>
  <c r="AE122" i="13"/>
  <c r="AF122" i="13"/>
  <c r="AG122" i="13"/>
  <c r="AH122" i="13"/>
  <c r="AI122" i="13"/>
  <c r="AJ122" i="13"/>
  <c r="AE123" i="13"/>
  <c r="AF123" i="13"/>
  <c r="AG123" i="13"/>
  <c r="AH123" i="13"/>
  <c r="AI123" i="13"/>
  <c r="AJ123" i="13"/>
  <c r="AF2" i="13"/>
  <c r="AG2" i="13"/>
  <c r="AH2" i="13"/>
  <c r="AI2" i="13"/>
  <c r="AJ2" i="13"/>
  <c r="AE2" i="13"/>
  <c r="AT36" i="13"/>
  <c r="AT42" i="13"/>
  <c r="AT43" i="13"/>
  <c r="AT46" i="13"/>
  <c r="AT61" i="13"/>
  <c r="AT63" i="13"/>
  <c r="AT64" i="13"/>
  <c r="AT69" i="13"/>
  <c r="AT71" i="13"/>
  <c r="AT73" i="13"/>
  <c r="AT74" i="13"/>
  <c r="AT76" i="13"/>
  <c r="AT77" i="13"/>
  <c r="AT80" i="13"/>
  <c r="AT82" i="13"/>
  <c r="AT84" i="13"/>
  <c r="AT85" i="13"/>
  <c r="AT88" i="13"/>
  <c r="AT90" i="13"/>
  <c r="AT93" i="13"/>
  <c r="AT94" i="13"/>
  <c r="AT95" i="13"/>
  <c r="AT96" i="13"/>
  <c r="AT97" i="13"/>
  <c r="AT98" i="13"/>
  <c r="AT99" i="13"/>
  <c r="AT100" i="13"/>
  <c r="AT101" i="13"/>
  <c r="AT102" i="13"/>
  <c r="AT105" i="13"/>
  <c r="AT106" i="13"/>
  <c r="AT107" i="13"/>
  <c r="AT108" i="13"/>
  <c r="AT110" i="13"/>
  <c r="AT111" i="13"/>
  <c r="AT113" i="13"/>
  <c r="AT114" i="13"/>
  <c r="AT117" i="13"/>
  <c r="AT120" i="13"/>
  <c r="AT121" i="13"/>
  <c r="AT122" i="13"/>
  <c r="AT123" i="13"/>
  <c r="AT2" i="13"/>
  <c r="AS2" i="13"/>
  <c r="AS11" i="13"/>
  <c r="AS13" i="13"/>
  <c r="AS14" i="13"/>
  <c r="AS16" i="13"/>
  <c r="AS17" i="13"/>
  <c r="AS18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1" i="13"/>
  <c r="AS42" i="13"/>
  <c r="AS43" i="13"/>
  <c r="AS44" i="13"/>
  <c r="AS45" i="13"/>
  <c r="AS46" i="13"/>
  <c r="AS47" i="13"/>
  <c r="AS48" i="13"/>
  <c r="AS49" i="13"/>
  <c r="AS52" i="13"/>
  <c r="AS54" i="13"/>
  <c r="AS56" i="13"/>
  <c r="AS57" i="13"/>
  <c r="AS58" i="13"/>
  <c r="AS61" i="13"/>
  <c r="AS63" i="13"/>
  <c r="AS64" i="13"/>
  <c r="AS65" i="13"/>
  <c r="AS67" i="13"/>
  <c r="AS69" i="13"/>
  <c r="AS70" i="13"/>
  <c r="AS71" i="13"/>
  <c r="AS72" i="13"/>
  <c r="AS73" i="13"/>
  <c r="AS74" i="13"/>
  <c r="AS76" i="13"/>
  <c r="AS77" i="13"/>
  <c r="AS80" i="13"/>
  <c r="AS82" i="13"/>
  <c r="AS84" i="13"/>
  <c r="AS85" i="13"/>
  <c r="AS86" i="13"/>
  <c r="AS88" i="13"/>
  <c r="AS89" i="13"/>
  <c r="AS90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103" i="13"/>
  <c r="AL104" i="13"/>
  <c r="AL105" i="13"/>
  <c r="AL106" i="13"/>
  <c r="AL107" i="13"/>
  <c r="AL108" i="13"/>
  <c r="AL109" i="13"/>
  <c r="AL110" i="13"/>
  <c r="AL111" i="13"/>
  <c r="AL2" i="13"/>
  <c r="AK2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102" i="13"/>
  <c r="AK103" i="13"/>
  <c r="AK104" i="13"/>
  <c r="AK105" i="13"/>
  <c r="AK106" i="13"/>
  <c r="AK107" i="13"/>
  <c r="AK108" i="13"/>
  <c r="AK109" i="13"/>
  <c r="AK110" i="13"/>
  <c r="AK111" i="13"/>
  <c r="AK112" i="13"/>
  <c r="AK113" i="13"/>
  <c r="AK114" i="13"/>
  <c r="AK115" i="13"/>
  <c r="AK116" i="13"/>
  <c r="AK117" i="13"/>
  <c r="AK118" i="13"/>
  <c r="AK119" i="13"/>
  <c r="AK120" i="13"/>
  <c r="AK121" i="13"/>
  <c r="AK122" i="13"/>
  <c r="AK123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W2" i="13"/>
  <c r="BQ32" i="13"/>
  <c r="BR32" i="13"/>
  <c r="BQ23" i="13"/>
  <c r="BR23" i="13"/>
  <c r="BQ30" i="13"/>
  <c r="BR30" i="13"/>
  <c r="BQ28" i="13"/>
  <c r="BR28" i="13"/>
  <c r="BQ11" i="13"/>
  <c r="BR11" i="13"/>
  <c r="BQ14" i="13"/>
  <c r="BR14" i="13"/>
  <c r="BQ33" i="13"/>
  <c r="BR33" i="13"/>
  <c r="BQ17" i="13"/>
  <c r="BR17" i="13"/>
  <c r="BQ21" i="13"/>
  <c r="BR21" i="13"/>
  <c r="BQ13" i="13"/>
  <c r="BR13" i="13"/>
  <c r="BQ22" i="13"/>
  <c r="BR22" i="13"/>
  <c r="BQ39" i="13"/>
  <c r="BR39" i="13"/>
  <c r="BR26" i="13"/>
  <c r="BQ45" i="13"/>
  <c r="BR45" i="13"/>
  <c r="BQ44" i="13"/>
  <c r="BR44" i="13"/>
  <c r="BQ48" i="13"/>
  <c r="BR48" i="13"/>
  <c r="BQ18" i="13"/>
  <c r="BR18" i="13"/>
  <c r="BQ20" i="13"/>
  <c r="BR20" i="13"/>
  <c r="BR43" i="13"/>
  <c r="BR24" i="13"/>
  <c r="BR31" i="13"/>
  <c r="BR19" i="13"/>
  <c r="BR55" i="13"/>
  <c r="BC91" i="13"/>
  <c r="BA3" i="13"/>
  <c r="BI111" i="13"/>
  <c r="BI123" i="13"/>
  <c r="BI114" i="13"/>
  <c r="BI122" i="13"/>
  <c r="BD96" i="13"/>
  <c r="BE96" i="13"/>
  <c r="BF96" i="13"/>
  <c r="BG96" i="13"/>
  <c r="BH96" i="13"/>
  <c r="BD82" i="13"/>
  <c r="BE82" i="13"/>
  <c r="BF82" i="13"/>
  <c r="BG82" i="13"/>
  <c r="BH82" i="13"/>
  <c r="BD93" i="13"/>
  <c r="BE93" i="13"/>
  <c r="BF93" i="13"/>
  <c r="BG93" i="13"/>
  <c r="BH93" i="13"/>
  <c r="BD98" i="13"/>
  <c r="BE98" i="13"/>
  <c r="BF98" i="13"/>
  <c r="BG98" i="13"/>
  <c r="BH98" i="13"/>
  <c r="BD95" i="13"/>
  <c r="BE95" i="13"/>
  <c r="BF95" i="13"/>
  <c r="BG95" i="13"/>
  <c r="BH95" i="13"/>
  <c r="BD94" i="13"/>
  <c r="BE94" i="13"/>
  <c r="BF94" i="13"/>
  <c r="BG94" i="13"/>
  <c r="BH94" i="13"/>
  <c r="BD84" i="13"/>
  <c r="BE84" i="13"/>
  <c r="BF84" i="13"/>
  <c r="BG84" i="13"/>
  <c r="BH84" i="13"/>
  <c r="BD100" i="13"/>
  <c r="BE100" i="13"/>
  <c r="BF100" i="13"/>
  <c r="BG100" i="13"/>
  <c r="BH100" i="13"/>
  <c r="BD99" i="13"/>
  <c r="BE99" i="13"/>
  <c r="BF99" i="13"/>
  <c r="BG99" i="13"/>
  <c r="BH99" i="13"/>
  <c r="BD74" i="13"/>
  <c r="BE74" i="13"/>
  <c r="BF74" i="13"/>
  <c r="BG74" i="13"/>
  <c r="BH74" i="13"/>
  <c r="BD90" i="13"/>
  <c r="BE90" i="13"/>
  <c r="BF90" i="13"/>
  <c r="BG90" i="13"/>
  <c r="BH90" i="13"/>
  <c r="BD63" i="13"/>
  <c r="BE63" i="13"/>
  <c r="BF63" i="13"/>
  <c r="BG63" i="13"/>
  <c r="BH63" i="13"/>
  <c r="BD73" i="13"/>
  <c r="BE73" i="13"/>
  <c r="BF73" i="13"/>
  <c r="BG73" i="13"/>
  <c r="BH73" i="13"/>
  <c r="BD97" i="13"/>
  <c r="BE97" i="13"/>
  <c r="BF97" i="13"/>
  <c r="BG97" i="13"/>
  <c r="BH97" i="13"/>
  <c r="BD102" i="13"/>
  <c r="BE102" i="13"/>
  <c r="BF102" i="13"/>
  <c r="BG102" i="13"/>
  <c r="BH102" i="13"/>
  <c r="BD77" i="13"/>
  <c r="BE77" i="13"/>
  <c r="BF77" i="13"/>
  <c r="BG77" i="13"/>
  <c r="BH77" i="13"/>
  <c r="BD42" i="13"/>
  <c r="BE42" i="13"/>
  <c r="BF42" i="13"/>
  <c r="BG42" i="13"/>
  <c r="BH42" i="13"/>
  <c r="BD43" i="13"/>
  <c r="BE43" i="13"/>
  <c r="BF43" i="13"/>
  <c r="BG43" i="13"/>
  <c r="BH43" i="13"/>
  <c r="BD88" i="13"/>
  <c r="BE88" i="13"/>
  <c r="BF88" i="13"/>
  <c r="BG88" i="13"/>
  <c r="BH88" i="13"/>
  <c r="BD64" i="13"/>
  <c r="BE64" i="13"/>
  <c r="BF64" i="13"/>
  <c r="BG64" i="13"/>
  <c r="BH64" i="13"/>
  <c r="BD36" i="13"/>
  <c r="BE36" i="13"/>
  <c r="BF36" i="13"/>
  <c r="BG36" i="13"/>
  <c r="BH36" i="13"/>
  <c r="BD24" i="13"/>
  <c r="BE24" i="13"/>
  <c r="BF24" i="13"/>
  <c r="BG24" i="13"/>
  <c r="BH24" i="13"/>
  <c r="BD85" i="13"/>
  <c r="BE85" i="13"/>
  <c r="BF85" i="13"/>
  <c r="BG85" i="13"/>
  <c r="BH85" i="13"/>
  <c r="BD46" i="13"/>
  <c r="BE46" i="13"/>
  <c r="BF46" i="13"/>
  <c r="BG46" i="13"/>
  <c r="BH46" i="13"/>
  <c r="BD35" i="13"/>
  <c r="BE35" i="13"/>
  <c r="BF35" i="13"/>
  <c r="BG35" i="13"/>
  <c r="BH35" i="13"/>
  <c r="BD76" i="13"/>
  <c r="BE76" i="13"/>
  <c r="BF76" i="13"/>
  <c r="BG76" i="13"/>
  <c r="BH76" i="13"/>
  <c r="BD38" i="13"/>
  <c r="BE38" i="13"/>
  <c r="BF38" i="13"/>
  <c r="BG38" i="13"/>
  <c r="BH38" i="13"/>
  <c r="BD31" i="13"/>
  <c r="BE31" i="13"/>
  <c r="BF31" i="13"/>
  <c r="BG31" i="13"/>
  <c r="BH31" i="13"/>
  <c r="BD29" i="13"/>
  <c r="BE29" i="13"/>
  <c r="BF29" i="13"/>
  <c r="BG29" i="13"/>
  <c r="BH29" i="13"/>
  <c r="BD41" i="13"/>
  <c r="BE41" i="13"/>
  <c r="BF41" i="13"/>
  <c r="BG41" i="13"/>
  <c r="BH41" i="13"/>
  <c r="BD69" i="13"/>
  <c r="BE69" i="13"/>
  <c r="BF69" i="13"/>
  <c r="BG69" i="13"/>
  <c r="BH69" i="13"/>
  <c r="BD34" i="13"/>
  <c r="BE34" i="13"/>
  <c r="BF34" i="13"/>
  <c r="BG34" i="13"/>
  <c r="BH34" i="13"/>
  <c r="BD61" i="13"/>
  <c r="BE61" i="13"/>
  <c r="BF61" i="13"/>
  <c r="BG61" i="13"/>
  <c r="BH61" i="13"/>
  <c r="BD71" i="13"/>
  <c r="BE71" i="13"/>
  <c r="BF71" i="13"/>
  <c r="BG71" i="13"/>
  <c r="BH71" i="13"/>
  <c r="BD101" i="13"/>
  <c r="BE101" i="13"/>
  <c r="BF101" i="13"/>
  <c r="BG101" i="13"/>
  <c r="BH101" i="13"/>
  <c r="BD32" i="13"/>
  <c r="BE32" i="13"/>
  <c r="BF32" i="13"/>
  <c r="BG32" i="13"/>
  <c r="BH32" i="13"/>
  <c r="BD23" i="13"/>
  <c r="BE23" i="13"/>
  <c r="BF23" i="13"/>
  <c r="BG23" i="13"/>
  <c r="BH23" i="13"/>
  <c r="BD65" i="13"/>
  <c r="BE65" i="13"/>
  <c r="BF65" i="13"/>
  <c r="BG65" i="13"/>
  <c r="BH65" i="13"/>
  <c r="BD37" i="13"/>
  <c r="BE37" i="13"/>
  <c r="BF37" i="13"/>
  <c r="BG37" i="13"/>
  <c r="BH37" i="13"/>
  <c r="BD106" i="13"/>
  <c r="BE106" i="13"/>
  <c r="BF106" i="13"/>
  <c r="BG106" i="13"/>
  <c r="BH106" i="13"/>
  <c r="BD80" i="13"/>
  <c r="BE80" i="13"/>
  <c r="BF80" i="13"/>
  <c r="BG80" i="13"/>
  <c r="BH80" i="13"/>
  <c r="BD52" i="13"/>
  <c r="BE52" i="13"/>
  <c r="BF52" i="13"/>
  <c r="BG52" i="13"/>
  <c r="BH52" i="13"/>
  <c r="BD47" i="13"/>
  <c r="BE47" i="13"/>
  <c r="BF47" i="13"/>
  <c r="BG47" i="13"/>
  <c r="BH47" i="13"/>
  <c r="BD30" i="13"/>
  <c r="BE30" i="13"/>
  <c r="BF30" i="13"/>
  <c r="BG30" i="13"/>
  <c r="BH30" i="13"/>
  <c r="BD28" i="13"/>
  <c r="BE28" i="13"/>
  <c r="BF28" i="13"/>
  <c r="BG28" i="13"/>
  <c r="BH28" i="13"/>
  <c r="BD27" i="13"/>
  <c r="BE27" i="13"/>
  <c r="BF27" i="13"/>
  <c r="BG27" i="13"/>
  <c r="BH27" i="13"/>
  <c r="BD11" i="13"/>
  <c r="BE11" i="13"/>
  <c r="BF11" i="13"/>
  <c r="BG11" i="13"/>
  <c r="BH11" i="13"/>
  <c r="BD14" i="13"/>
  <c r="BE14" i="13"/>
  <c r="BF14" i="13"/>
  <c r="BG14" i="13"/>
  <c r="BH14" i="13"/>
  <c r="BD33" i="13"/>
  <c r="BE33" i="13"/>
  <c r="BF33" i="13"/>
  <c r="BG33" i="13"/>
  <c r="BH33" i="13"/>
  <c r="BD17" i="13"/>
  <c r="BE17" i="13"/>
  <c r="BF17" i="13"/>
  <c r="BG17" i="13"/>
  <c r="BH17" i="13"/>
  <c r="BD89" i="13"/>
  <c r="BE89" i="13"/>
  <c r="BF89" i="13"/>
  <c r="BG89" i="13"/>
  <c r="BH89" i="13"/>
  <c r="BD21" i="13"/>
  <c r="BE21" i="13"/>
  <c r="BF21" i="13"/>
  <c r="BG21" i="13"/>
  <c r="BH21" i="13"/>
  <c r="BD58" i="13"/>
  <c r="BE58" i="13"/>
  <c r="BF58" i="13"/>
  <c r="BG58" i="13"/>
  <c r="BH58" i="13"/>
  <c r="BD56" i="13"/>
  <c r="BE56" i="13"/>
  <c r="BF56" i="13"/>
  <c r="BG56" i="13"/>
  <c r="BH56" i="13"/>
  <c r="BD13" i="13"/>
  <c r="BE13" i="13"/>
  <c r="BF13" i="13"/>
  <c r="BG13" i="13"/>
  <c r="BH13" i="13"/>
  <c r="BD105" i="13"/>
  <c r="BE105" i="13"/>
  <c r="BF105" i="13"/>
  <c r="BG105" i="13"/>
  <c r="BH105" i="13"/>
  <c r="BD22" i="13"/>
  <c r="BE22" i="13"/>
  <c r="BF22" i="13"/>
  <c r="BG22" i="13"/>
  <c r="BH22" i="13"/>
  <c r="BD57" i="13"/>
  <c r="BE57" i="13"/>
  <c r="BF57" i="13"/>
  <c r="BG57" i="13"/>
  <c r="BH57" i="13"/>
  <c r="BD72" i="13"/>
  <c r="BE72" i="13"/>
  <c r="BF72" i="13"/>
  <c r="BG72" i="13"/>
  <c r="BH72" i="13"/>
  <c r="BD39" i="13"/>
  <c r="BE39" i="13"/>
  <c r="BF39" i="13"/>
  <c r="BG39" i="13"/>
  <c r="BH39" i="13"/>
  <c r="BD26" i="13"/>
  <c r="BE26" i="13"/>
  <c r="BF26" i="13"/>
  <c r="BG26" i="13"/>
  <c r="BH26" i="13"/>
  <c r="BD111" i="13"/>
  <c r="BE111" i="13"/>
  <c r="BF111" i="13"/>
  <c r="BG111" i="13"/>
  <c r="BH111" i="13"/>
  <c r="BD45" i="13"/>
  <c r="BE45" i="13"/>
  <c r="BF45" i="13"/>
  <c r="BG45" i="13"/>
  <c r="BH45" i="13"/>
  <c r="BD44" i="13"/>
  <c r="BE44" i="13"/>
  <c r="BF44" i="13"/>
  <c r="BG44" i="13"/>
  <c r="BH44" i="13"/>
  <c r="BD48" i="13"/>
  <c r="BE48" i="13"/>
  <c r="BF48" i="13"/>
  <c r="BG48" i="13"/>
  <c r="BH48" i="13"/>
  <c r="BD104" i="13"/>
  <c r="BE104" i="13"/>
  <c r="BF104" i="13"/>
  <c r="BG104" i="13"/>
  <c r="BH104" i="13"/>
  <c r="BD18" i="13"/>
  <c r="BE18" i="13"/>
  <c r="BF18" i="13"/>
  <c r="BG18" i="13"/>
  <c r="BH18" i="13"/>
  <c r="BD110" i="13"/>
  <c r="BE110" i="13"/>
  <c r="BF110" i="13"/>
  <c r="BG110" i="13"/>
  <c r="BH110" i="13"/>
  <c r="BD123" i="13"/>
  <c r="BE123" i="13"/>
  <c r="BF123" i="13"/>
  <c r="BG123" i="13"/>
  <c r="BH123" i="13"/>
  <c r="BD113" i="13"/>
  <c r="BE113" i="13"/>
  <c r="BF113" i="13"/>
  <c r="BG113" i="13"/>
  <c r="BH113" i="13"/>
  <c r="BD107" i="13"/>
  <c r="BE107" i="13"/>
  <c r="BF107" i="13"/>
  <c r="BG107" i="13"/>
  <c r="BH107" i="13"/>
  <c r="BD2" i="13"/>
  <c r="BE2" i="13"/>
  <c r="BF2" i="13"/>
  <c r="BG2" i="13"/>
  <c r="BH2" i="13"/>
  <c r="BD108" i="13"/>
  <c r="BE108" i="13"/>
  <c r="BF108" i="13"/>
  <c r="BG108" i="13"/>
  <c r="BH108" i="13"/>
  <c r="BD20" i="13"/>
  <c r="BE20" i="13"/>
  <c r="BF20" i="13"/>
  <c r="BG20" i="13"/>
  <c r="BH20" i="13"/>
  <c r="BD54" i="13"/>
  <c r="BE54" i="13"/>
  <c r="BF54" i="13"/>
  <c r="BG54" i="13"/>
  <c r="BH54" i="13"/>
  <c r="BD114" i="13"/>
  <c r="BE114" i="13"/>
  <c r="BF114" i="13"/>
  <c r="BG114" i="13"/>
  <c r="BH114" i="13"/>
  <c r="BD122" i="13"/>
  <c r="BE122" i="13"/>
  <c r="BF122" i="13"/>
  <c r="BG122" i="13"/>
  <c r="BH122" i="13"/>
  <c r="BD120" i="13"/>
  <c r="BE120" i="13"/>
  <c r="BF120" i="13"/>
  <c r="BG120" i="13"/>
  <c r="BH120" i="13"/>
  <c r="BD117" i="13"/>
  <c r="BE117" i="13"/>
  <c r="BF117" i="13"/>
  <c r="BG117" i="13"/>
  <c r="BH117" i="13"/>
  <c r="BD121" i="13"/>
  <c r="BE121" i="13"/>
  <c r="BF121" i="13"/>
  <c r="BG121" i="13"/>
  <c r="BH121" i="13"/>
  <c r="BD116" i="13"/>
  <c r="BE116" i="13"/>
  <c r="BF116" i="13"/>
  <c r="BG116" i="13"/>
  <c r="BH116" i="13"/>
  <c r="BD118" i="13"/>
  <c r="BE118" i="13"/>
  <c r="BF118" i="13"/>
  <c r="BG118" i="13"/>
  <c r="BH118" i="13"/>
  <c r="BD119" i="13"/>
  <c r="BE119" i="13"/>
  <c r="BF119" i="13"/>
  <c r="BG119" i="13"/>
  <c r="BH119" i="13"/>
  <c r="BD16" i="13"/>
  <c r="BE16" i="13"/>
  <c r="BF16" i="13"/>
  <c r="BG16" i="13"/>
  <c r="BH16" i="13"/>
  <c r="BD103" i="13"/>
  <c r="BE103" i="13"/>
  <c r="BF103" i="13"/>
  <c r="BG103" i="13"/>
  <c r="BH103" i="13"/>
  <c r="BD15" i="13"/>
  <c r="BE15" i="13"/>
  <c r="BF15" i="13"/>
  <c r="BG15" i="13"/>
  <c r="BH15" i="13"/>
  <c r="BD25" i="13"/>
  <c r="BE25" i="13"/>
  <c r="BF25" i="13"/>
  <c r="BG25" i="13"/>
  <c r="BH25" i="13"/>
  <c r="BD115" i="13"/>
  <c r="BE115" i="13"/>
  <c r="BF115" i="13"/>
  <c r="BG115" i="13"/>
  <c r="BH115" i="13"/>
  <c r="BD112" i="13"/>
  <c r="BE112" i="13"/>
  <c r="BF112" i="13"/>
  <c r="BG112" i="13"/>
  <c r="BH112" i="13"/>
  <c r="BD12" i="13"/>
  <c r="BE12" i="13"/>
  <c r="BF12" i="13"/>
  <c r="BG12" i="13"/>
  <c r="BH12" i="13"/>
  <c r="BD109" i="13"/>
  <c r="BE109" i="13"/>
  <c r="BF109" i="13"/>
  <c r="BG109" i="13"/>
  <c r="BH109" i="13"/>
  <c r="BD67" i="13"/>
  <c r="BE67" i="13"/>
  <c r="BF67" i="13"/>
  <c r="BG67" i="13"/>
  <c r="BH67" i="13"/>
  <c r="BD49" i="13"/>
  <c r="BE49" i="13"/>
  <c r="BF49" i="13"/>
  <c r="BG49" i="13"/>
  <c r="BH49" i="13"/>
  <c r="BD40" i="13"/>
  <c r="BE40" i="13"/>
  <c r="BF40" i="13"/>
  <c r="BG40" i="13"/>
  <c r="BH40" i="13"/>
  <c r="BD8" i="13"/>
  <c r="BE8" i="13"/>
  <c r="BF8" i="13"/>
  <c r="BG8" i="13"/>
  <c r="BH8" i="13"/>
  <c r="BD7" i="13"/>
  <c r="BE7" i="13"/>
  <c r="BF7" i="13"/>
  <c r="BG7" i="13"/>
  <c r="BH7" i="13"/>
  <c r="BD6" i="13"/>
  <c r="BE6" i="13"/>
  <c r="BF6" i="13"/>
  <c r="BG6" i="13"/>
  <c r="BH6" i="13"/>
  <c r="BD4" i="13"/>
  <c r="BE4" i="13"/>
  <c r="BF4" i="13"/>
  <c r="BG4" i="13"/>
  <c r="BH4" i="13"/>
  <c r="BD70" i="13"/>
  <c r="BE70" i="13"/>
  <c r="BF70" i="13"/>
  <c r="BG70" i="13"/>
  <c r="BH70" i="13"/>
  <c r="BD50" i="13"/>
  <c r="BE50" i="13"/>
  <c r="BF50" i="13"/>
  <c r="BG50" i="13"/>
  <c r="BH50" i="13"/>
  <c r="BD10" i="13"/>
  <c r="BE10" i="13"/>
  <c r="BF10" i="13"/>
  <c r="BG10" i="13"/>
  <c r="BH10" i="13"/>
  <c r="BD53" i="13"/>
  <c r="BE53" i="13"/>
  <c r="BF53" i="13"/>
  <c r="BG53" i="13"/>
  <c r="BH53" i="13"/>
  <c r="BD59" i="13"/>
  <c r="BE59" i="13"/>
  <c r="BF59" i="13"/>
  <c r="BG59" i="13"/>
  <c r="BH59" i="13"/>
  <c r="BD86" i="13"/>
  <c r="BE86" i="13"/>
  <c r="BF86" i="13"/>
  <c r="BG86" i="13"/>
  <c r="BH86" i="13"/>
  <c r="BD19" i="13"/>
  <c r="BE19" i="13"/>
  <c r="BF19" i="13"/>
  <c r="BG19" i="13"/>
  <c r="BH19" i="13"/>
  <c r="BD78" i="13"/>
  <c r="BE78" i="13"/>
  <c r="BF78" i="13"/>
  <c r="BG78" i="13"/>
  <c r="BH78" i="13"/>
  <c r="BD5" i="13"/>
  <c r="BE5" i="13"/>
  <c r="BF5" i="13"/>
  <c r="BG5" i="13"/>
  <c r="BH5" i="13"/>
  <c r="BD51" i="13"/>
  <c r="BE51" i="13"/>
  <c r="BF51" i="13"/>
  <c r="BG51" i="13"/>
  <c r="BH51" i="13"/>
  <c r="BD3" i="13"/>
  <c r="BE3" i="13"/>
  <c r="BF3" i="13"/>
  <c r="BG3" i="13"/>
  <c r="BH3" i="13"/>
  <c r="BD9" i="13"/>
  <c r="BE9" i="13"/>
  <c r="BF9" i="13"/>
  <c r="BG9" i="13"/>
  <c r="BH9" i="13"/>
  <c r="BD55" i="13"/>
  <c r="BE55" i="13"/>
  <c r="BF55" i="13"/>
  <c r="BG55" i="13"/>
  <c r="BH55" i="13"/>
  <c r="BD62" i="13"/>
  <c r="BE62" i="13"/>
  <c r="BF62" i="13"/>
  <c r="BG62" i="13"/>
  <c r="BH62" i="13"/>
  <c r="BD60" i="13"/>
  <c r="BE60" i="13"/>
  <c r="BF60" i="13"/>
  <c r="BG60" i="13"/>
  <c r="BH60" i="13"/>
  <c r="BD81" i="13"/>
  <c r="BE81" i="13"/>
  <c r="BF81" i="13"/>
  <c r="BG81" i="13"/>
  <c r="BH81" i="13"/>
  <c r="BD68" i="13"/>
  <c r="BE68" i="13"/>
  <c r="BF68" i="13"/>
  <c r="BG68" i="13"/>
  <c r="BH68" i="13"/>
  <c r="BD75" i="13"/>
  <c r="BE75" i="13"/>
  <c r="BF75" i="13"/>
  <c r="BG75" i="13"/>
  <c r="BH75" i="13"/>
  <c r="BD66" i="13"/>
  <c r="BE66" i="13"/>
  <c r="BF66" i="13"/>
  <c r="BG66" i="13"/>
  <c r="BH66" i="13"/>
  <c r="BD79" i="13"/>
  <c r="BE79" i="13"/>
  <c r="BF79" i="13"/>
  <c r="BG79" i="13"/>
  <c r="BH79" i="13"/>
  <c r="BD83" i="13"/>
  <c r="BE83" i="13"/>
  <c r="BF83" i="13"/>
  <c r="BG83" i="13"/>
  <c r="BH83" i="13"/>
  <c r="BD87" i="13"/>
  <c r="BE87" i="13"/>
  <c r="BF87" i="13"/>
  <c r="BG87" i="13"/>
  <c r="BH87" i="13"/>
  <c r="BD92" i="13"/>
  <c r="BE92" i="13"/>
  <c r="BF92" i="13"/>
  <c r="BG92" i="13"/>
  <c r="BH92" i="13"/>
  <c r="BD91" i="13"/>
  <c r="BE91" i="13"/>
  <c r="BF91" i="13"/>
  <c r="BG91" i="13"/>
  <c r="BH91" i="13"/>
  <c r="BC96" i="13"/>
  <c r="BC82" i="13"/>
  <c r="BC93" i="13"/>
  <c r="BC98" i="13"/>
  <c r="BC95" i="13"/>
  <c r="BC94" i="13"/>
  <c r="BC84" i="13"/>
  <c r="BC100" i="13"/>
  <c r="BC99" i="13"/>
  <c r="BC74" i="13"/>
  <c r="BC90" i="13"/>
  <c r="BC63" i="13"/>
  <c r="BC73" i="13"/>
  <c r="BC97" i="13"/>
  <c r="BC102" i="13"/>
  <c r="BC77" i="13"/>
  <c r="BC42" i="13"/>
  <c r="BC43" i="13"/>
  <c r="BC88" i="13"/>
  <c r="BC64" i="13"/>
  <c r="BC36" i="13"/>
  <c r="BC24" i="13"/>
  <c r="BC85" i="13"/>
  <c r="BC46" i="13"/>
  <c r="BC35" i="13"/>
  <c r="BC76" i="13"/>
  <c r="BC38" i="13"/>
  <c r="BC31" i="13"/>
  <c r="BC29" i="13"/>
  <c r="BC41" i="13"/>
  <c r="BC69" i="13"/>
  <c r="BC34" i="13"/>
  <c r="BC61" i="13"/>
  <c r="BC71" i="13"/>
  <c r="BC101" i="13"/>
  <c r="BC32" i="13"/>
  <c r="BC23" i="13"/>
  <c r="BC65" i="13"/>
  <c r="BC37" i="13"/>
  <c r="BC106" i="13"/>
  <c r="BC80" i="13"/>
  <c r="BC52" i="13"/>
  <c r="BC47" i="13"/>
  <c r="BC30" i="13"/>
  <c r="BC28" i="13"/>
  <c r="BC27" i="13"/>
  <c r="BC11" i="13"/>
  <c r="BC14" i="13"/>
  <c r="BC33" i="13"/>
  <c r="BC17" i="13"/>
  <c r="BC89" i="13"/>
  <c r="BC21" i="13"/>
  <c r="BC58" i="13"/>
  <c r="BC56" i="13"/>
  <c r="BC13" i="13"/>
  <c r="BC105" i="13"/>
  <c r="BC22" i="13"/>
  <c r="BC57" i="13"/>
  <c r="BC72" i="13"/>
  <c r="BC39" i="13"/>
  <c r="BC26" i="13"/>
  <c r="BC111" i="13"/>
  <c r="BJ111" i="13" s="1"/>
  <c r="BC45" i="13"/>
  <c r="BC44" i="13"/>
  <c r="BC48" i="13"/>
  <c r="BC104" i="13"/>
  <c r="BC18" i="13"/>
  <c r="BC110" i="13"/>
  <c r="BC123" i="13"/>
  <c r="BJ123" i="13" s="1"/>
  <c r="BC113" i="13"/>
  <c r="BC107" i="13"/>
  <c r="BC2" i="13"/>
  <c r="BC108" i="13"/>
  <c r="BC20" i="13"/>
  <c r="BC54" i="13"/>
  <c r="BC114" i="13"/>
  <c r="BJ114" i="13" s="1"/>
  <c r="BC122" i="13"/>
  <c r="BJ122" i="13" s="1"/>
  <c r="BC120" i="13"/>
  <c r="BC117" i="13"/>
  <c r="BC121" i="13"/>
  <c r="BC116" i="13"/>
  <c r="BC118" i="13"/>
  <c r="BC119" i="13"/>
  <c r="BC16" i="13"/>
  <c r="BC103" i="13"/>
  <c r="BC15" i="13"/>
  <c r="BC25" i="13"/>
  <c r="BC115" i="13"/>
  <c r="BC112" i="13"/>
  <c r="BC12" i="13"/>
  <c r="BC109" i="13"/>
  <c r="BC67" i="13"/>
  <c r="BC49" i="13"/>
  <c r="BC40" i="13"/>
  <c r="BC8" i="13"/>
  <c r="BC7" i="13"/>
  <c r="BC6" i="13"/>
  <c r="BC4" i="13"/>
  <c r="BC70" i="13"/>
  <c r="BC50" i="13"/>
  <c r="BC10" i="13"/>
  <c r="BC53" i="13"/>
  <c r="BC59" i="13"/>
  <c r="BC86" i="13"/>
  <c r="BC19" i="13"/>
  <c r="BC78" i="13"/>
  <c r="BC5" i="13"/>
  <c r="BC51" i="13"/>
  <c r="BC3" i="13"/>
  <c r="BC9" i="13"/>
  <c r="BC55" i="13"/>
  <c r="BC62" i="13"/>
  <c r="BC60" i="13"/>
  <c r="BC81" i="13"/>
  <c r="BC68" i="13"/>
  <c r="BC75" i="13"/>
  <c r="BC66" i="13"/>
  <c r="BC79" i="13"/>
  <c r="BC83" i="13"/>
  <c r="BC87" i="13"/>
  <c r="BC92" i="13"/>
  <c r="AM91" i="13"/>
  <c r="AM96" i="13"/>
  <c r="AN96" i="13"/>
  <c r="AO96" i="13"/>
  <c r="AP96" i="13"/>
  <c r="AQ96" i="13"/>
  <c r="AR96" i="13"/>
  <c r="AM82" i="13"/>
  <c r="AN82" i="13"/>
  <c r="AO82" i="13"/>
  <c r="AP82" i="13"/>
  <c r="AQ82" i="13"/>
  <c r="AR82" i="13"/>
  <c r="AM93" i="13"/>
  <c r="AN93" i="13"/>
  <c r="AO93" i="13"/>
  <c r="AP93" i="13"/>
  <c r="AQ93" i="13"/>
  <c r="AR93" i="13"/>
  <c r="AM98" i="13"/>
  <c r="AN98" i="13"/>
  <c r="AO98" i="13"/>
  <c r="AP98" i="13"/>
  <c r="AQ98" i="13"/>
  <c r="AR98" i="13"/>
  <c r="AM95" i="13"/>
  <c r="AN95" i="13"/>
  <c r="AO95" i="13"/>
  <c r="AP95" i="13"/>
  <c r="AQ95" i="13"/>
  <c r="AR95" i="13"/>
  <c r="AM94" i="13"/>
  <c r="AN94" i="13"/>
  <c r="AO94" i="13"/>
  <c r="AP94" i="13"/>
  <c r="AQ94" i="13"/>
  <c r="AR94" i="13"/>
  <c r="AM84" i="13"/>
  <c r="AN84" i="13"/>
  <c r="AO84" i="13"/>
  <c r="AP84" i="13"/>
  <c r="AQ84" i="13"/>
  <c r="AR84" i="13"/>
  <c r="AM100" i="13"/>
  <c r="AN100" i="13"/>
  <c r="AO100" i="13"/>
  <c r="AP100" i="13"/>
  <c r="AQ100" i="13"/>
  <c r="AR100" i="13"/>
  <c r="AM99" i="13"/>
  <c r="AN99" i="13"/>
  <c r="AO99" i="13"/>
  <c r="AP99" i="13"/>
  <c r="AQ99" i="13"/>
  <c r="AR99" i="13"/>
  <c r="AM74" i="13"/>
  <c r="AN74" i="13"/>
  <c r="AO74" i="13"/>
  <c r="AP74" i="13"/>
  <c r="AQ74" i="13"/>
  <c r="AR74" i="13"/>
  <c r="AM90" i="13"/>
  <c r="AN90" i="13"/>
  <c r="AO90" i="13"/>
  <c r="AP90" i="13"/>
  <c r="AQ90" i="13"/>
  <c r="AR90" i="13"/>
  <c r="AM63" i="13"/>
  <c r="AN63" i="13"/>
  <c r="AO63" i="13"/>
  <c r="AP63" i="13"/>
  <c r="AQ63" i="13"/>
  <c r="AR63" i="13"/>
  <c r="AM73" i="13"/>
  <c r="AN73" i="13"/>
  <c r="AO73" i="13"/>
  <c r="AP73" i="13"/>
  <c r="AQ73" i="13"/>
  <c r="AR73" i="13"/>
  <c r="AM97" i="13"/>
  <c r="AN97" i="13"/>
  <c r="AO97" i="13"/>
  <c r="AP97" i="13"/>
  <c r="AQ97" i="13"/>
  <c r="AR97" i="13"/>
  <c r="AM102" i="13"/>
  <c r="AN102" i="13"/>
  <c r="AO102" i="13"/>
  <c r="AP102" i="13"/>
  <c r="AQ102" i="13"/>
  <c r="AR102" i="13"/>
  <c r="AM77" i="13"/>
  <c r="AN77" i="13"/>
  <c r="AO77" i="13"/>
  <c r="AP77" i="13"/>
  <c r="AQ77" i="13"/>
  <c r="AR77" i="13"/>
  <c r="AM42" i="13"/>
  <c r="AN42" i="13"/>
  <c r="AO42" i="13"/>
  <c r="AP42" i="13"/>
  <c r="AQ42" i="13"/>
  <c r="AR42" i="13"/>
  <c r="AM43" i="13"/>
  <c r="AN43" i="13"/>
  <c r="AO43" i="13"/>
  <c r="AP43" i="13"/>
  <c r="AQ43" i="13"/>
  <c r="AR43" i="13"/>
  <c r="AM88" i="13"/>
  <c r="AN88" i="13"/>
  <c r="AO88" i="13"/>
  <c r="AP88" i="13"/>
  <c r="AQ88" i="13"/>
  <c r="AR88" i="13"/>
  <c r="AM64" i="13"/>
  <c r="AN64" i="13"/>
  <c r="AO64" i="13"/>
  <c r="AP64" i="13"/>
  <c r="AQ64" i="13"/>
  <c r="AR64" i="13"/>
  <c r="AM36" i="13"/>
  <c r="AN36" i="13"/>
  <c r="AO36" i="13"/>
  <c r="AP36" i="13"/>
  <c r="AQ36" i="13"/>
  <c r="AR36" i="13"/>
  <c r="AM24" i="13"/>
  <c r="AN24" i="13"/>
  <c r="AO24" i="13"/>
  <c r="AP24" i="13"/>
  <c r="AQ24" i="13"/>
  <c r="AR24" i="13"/>
  <c r="AM85" i="13"/>
  <c r="AN85" i="13"/>
  <c r="AO85" i="13"/>
  <c r="AP85" i="13"/>
  <c r="AQ85" i="13"/>
  <c r="AR85" i="13"/>
  <c r="AM46" i="13"/>
  <c r="AN46" i="13"/>
  <c r="AO46" i="13"/>
  <c r="AP46" i="13"/>
  <c r="AQ46" i="13"/>
  <c r="AR46" i="13"/>
  <c r="AM35" i="13"/>
  <c r="AN35" i="13"/>
  <c r="AO35" i="13"/>
  <c r="AP35" i="13"/>
  <c r="AQ35" i="13"/>
  <c r="AR35" i="13"/>
  <c r="AM76" i="13"/>
  <c r="AN76" i="13"/>
  <c r="AO76" i="13"/>
  <c r="AP76" i="13"/>
  <c r="AQ76" i="13"/>
  <c r="AR76" i="13"/>
  <c r="AM38" i="13"/>
  <c r="AN38" i="13"/>
  <c r="AO38" i="13"/>
  <c r="AP38" i="13"/>
  <c r="AQ38" i="13"/>
  <c r="AR38" i="13"/>
  <c r="AM31" i="13"/>
  <c r="AN31" i="13"/>
  <c r="AO31" i="13"/>
  <c r="AP31" i="13"/>
  <c r="AQ31" i="13"/>
  <c r="AR31" i="13"/>
  <c r="AM29" i="13"/>
  <c r="AN29" i="13"/>
  <c r="AO29" i="13"/>
  <c r="AP29" i="13"/>
  <c r="AQ29" i="13"/>
  <c r="AR29" i="13"/>
  <c r="AM41" i="13"/>
  <c r="AN41" i="13"/>
  <c r="AO41" i="13"/>
  <c r="AP41" i="13"/>
  <c r="AQ41" i="13"/>
  <c r="AR41" i="13"/>
  <c r="AM69" i="13"/>
  <c r="AN69" i="13"/>
  <c r="AO69" i="13"/>
  <c r="AP69" i="13"/>
  <c r="AQ69" i="13"/>
  <c r="AR69" i="13"/>
  <c r="AM34" i="13"/>
  <c r="AN34" i="13"/>
  <c r="AO34" i="13"/>
  <c r="AP34" i="13"/>
  <c r="AQ34" i="13"/>
  <c r="AR34" i="13"/>
  <c r="AM61" i="13"/>
  <c r="AN61" i="13"/>
  <c r="AO61" i="13"/>
  <c r="AP61" i="13"/>
  <c r="AQ61" i="13"/>
  <c r="AR61" i="13"/>
  <c r="AM71" i="13"/>
  <c r="AN71" i="13"/>
  <c r="AO71" i="13"/>
  <c r="AP71" i="13"/>
  <c r="AQ71" i="13"/>
  <c r="AR71" i="13"/>
  <c r="AM101" i="13"/>
  <c r="AN101" i="13"/>
  <c r="AO101" i="13"/>
  <c r="AP101" i="13"/>
  <c r="AQ101" i="13"/>
  <c r="AR101" i="13"/>
  <c r="AM32" i="13"/>
  <c r="AN32" i="13"/>
  <c r="AO32" i="13"/>
  <c r="AP32" i="13"/>
  <c r="AQ32" i="13"/>
  <c r="AR32" i="13"/>
  <c r="AM23" i="13"/>
  <c r="AN23" i="13"/>
  <c r="AO23" i="13"/>
  <c r="AP23" i="13"/>
  <c r="AQ23" i="13"/>
  <c r="AR23" i="13"/>
  <c r="AM65" i="13"/>
  <c r="AN65" i="13"/>
  <c r="AO65" i="13"/>
  <c r="AP65" i="13"/>
  <c r="AQ65" i="13"/>
  <c r="AR65" i="13"/>
  <c r="AM37" i="13"/>
  <c r="AN37" i="13"/>
  <c r="AO37" i="13"/>
  <c r="AP37" i="13"/>
  <c r="AQ37" i="13"/>
  <c r="AR37" i="13"/>
  <c r="AM106" i="13"/>
  <c r="AN106" i="13"/>
  <c r="AO106" i="13"/>
  <c r="AP106" i="13"/>
  <c r="AQ106" i="13"/>
  <c r="AR106" i="13"/>
  <c r="AM80" i="13"/>
  <c r="AN80" i="13"/>
  <c r="AO80" i="13"/>
  <c r="AP80" i="13"/>
  <c r="AQ80" i="13"/>
  <c r="AR80" i="13"/>
  <c r="AM52" i="13"/>
  <c r="AN52" i="13"/>
  <c r="AO52" i="13"/>
  <c r="AP52" i="13"/>
  <c r="AQ52" i="13"/>
  <c r="AR52" i="13"/>
  <c r="AM47" i="13"/>
  <c r="AN47" i="13"/>
  <c r="AO47" i="13"/>
  <c r="AP47" i="13"/>
  <c r="AQ47" i="13"/>
  <c r="AR47" i="13"/>
  <c r="AM30" i="13"/>
  <c r="AN30" i="13"/>
  <c r="AO30" i="13"/>
  <c r="AP30" i="13"/>
  <c r="AQ30" i="13"/>
  <c r="AR30" i="13"/>
  <c r="AM28" i="13"/>
  <c r="AN28" i="13"/>
  <c r="AO28" i="13"/>
  <c r="AP28" i="13"/>
  <c r="AQ28" i="13"/>
  <c r="AR28" i="13"/>
  <c r="AM27" i="13"/>
  <c r="AN27" i="13"/>
  <c r="AO27" i="13"/>
  <c r="AP27" i="13"/>
  <c r="AQ27" i="13"/>
  <c r="AR27" i="13"/>
  <c r="AM11" i="13"/>
  <c r="AN11" i="13"/>
  <c r="AO11" i="13"/>
  <c r="AP11" i="13"/>
  <c r="AQ11" i="13"/>
  <c r="AR11" i="13"/>
  <c r="AM14" i="13"/>
  <c r="AN14" i="13"/>
  <c r="AO14" i="13"/>
  <c r="AP14" i="13"/>
  <c r="AQ14" i="13"/>
  <c r="AR14" i="13"/>
  <c r="AM33" i="13"/>
  <c r="AN33" i="13"/>
  <c r="AO33" i="13"/>
  <c r="AP33" i="13"/>
  <c r="AQ33" i="13"/>
  <c r="AR33" i="13"/>
  <c r="AM17" i="13"/>
  <c r="AN17" i="13"/>
  <c r="AO17" i="13"/>
  <c r="AP17" i="13"/>
  <c r="AQ17" i="13"/>
  <c r="AR17" i="13"/>
  <c r="AM89" i="13"/>
  <c r="AN89" i="13"/>
  <c r="AO89" i="13"/>
  <c r="AP89" i="13"/>
  <c r="AQ89" i="13"/>
  <c r="AR89" i="13"/>
  <c r="AM21" i="13"/>
  <c r="AN21" i="13"/>
  <c r="AO21" i="13"/>
  <c r="AP21" i="13"/>
  <c r="AQ21" i="13"/>
  <c r="AR21" i="13"/>
  <c r="AM58" i="13"/>
  <c r="AN58" i="13"/>
  <c r="AO58" i="13"/>
  <c r="AP58" i="13"/>
  <c r="AQ58" i="13"/>
  <c r="AR58" i="13"/>
  <c r="AM56" i="13"/>
  <c r="AN56" i="13"/>
  <c r="AO56" i="13"/>
  <c r="AP56" i="13"/>
  <c r="AQ56" i="13"/>
  <c r="AR56" i="13"/>
  <c r="AM13" i="13"/>
  <c r="AN13" i="13"/>
  <c r="AO13" i="13"/>
  <c r="AP13" i="13"/>
  <c r="AQ13" i="13"/>
  <c r="AR13" i="13"/>
  <c r="AM105" i="13"/>
  <c r="AN105" i="13"/>
  <c r="AO105" i="13"/>
  <c r="AP105" i="13"/>
  <c r="AQ105" i="13"/>
  <c r="AR105" i="13"/>
  <c r="AM22" i="13"/>
  <c r="AN22" i="13"/>
  <c r="AO22" i="13"/>
  <c r="AP22" i="13"/>
  <c r="AQ22" i="13"/>
  <c r="AR22" i="13"/>
  <c r="AM57" i="13"/>
  <c r="AN57" i="13"/>
  <c r="AO57" i="13"/>
  <c r="AP57" i="13"/>
  <c r="AQ57" i="13"/>
  <c r="AR57" i="13"/>
  <c r="AM72" i="13"/>
  <c r="AN72" i="13"/>
  <c r="AO72" i="13"/>
  <c r="AP72" i="13"/>
  <c r="AQ72" i="13"/>
  <c r="AR72" i="13"/>
  <c r="AM39" i="13"/>
  <c r="AN39" i="13"/>
  <c r="AO39" i="13"/>
  <c r="AP39" i="13"/>
  <c r="AQ39" i="13"/>
  <c r="AR39" i="13"/>
  <c r="AM26" i="13"/>
  <c r="AN26" i="13"/>
  <c r="AO26" i="13"/>
  <c r="AP26" i="13"/>
  <c r="AQ26" i="13"/>
  <c r="AR26" i="13"/>
  <c r="AM111" i="13"/>
  <c r="AN111" i="13"/>
  <c r="AO111" i="13"/>
  <c r="AP111" i="13"/>
  <c r="AQ111" i="13"/>
  <c r="AR111" i="13"/>
  <c r="AM45" i="13"/>
  <c r="AN45" i="13"/>
  <c r="AO45" i="13"/>
  <c r="AP45" i="13"/>
  <c r="AQ45" i="13"/>
  <c r="AR45" i="13"/>
  <c r="AM44" i="13"/>
  <c r="AN44" i="13"/>
  <c r="AO44" i="13"/>
  <c r="AP44" i="13"/>
  <c r="AQ44" i="13"/>
  <c r="AR44" i="13"/>
  <c r="AM48" i="13"/>
  <c r="AN48" i="13"/>
  <c r="AO48" i="13"/>
  <c r="AP48" i="13"/>
  <c r="AQ48" i="13"/>
  <c r="AR48" i="13"/>
  <c r="AM104" i="13"/>
  <c r="AN104" i="13"/>
  <c r="AO104" i="13"/>
  <c r="AP104" i="13"/>
  <c r="AQ104" i="13"/>
  <c r="AR104" i="13"/>
  <c r="AM18" i="13"/>
  <c r="AN18" i="13"/>
  <c r="AO18" i="13"/>
  <c r="AP18" i="13"/>
  <c r="AQ18" i="13"/>
  <c r="AR18" i="13"/>
  <c r="AM110" i="13"/>
  <c r="AN110" i="13"/>
  <c r="AO110" i="13"/>
  <c r="AP110" i="13"/>
  <c r="AQ110" i="13"/>
  <c r="AR110" i="13"/>
  <c r="AM123" i="13"/>
  <c r="AN123" i="13"/>
  <c r="AO123" i="13"/>
  <c r="AP123" i="13"/>
  <c r="AQ123" i="13"/>
  <c r="AR123" i="13"/>
  <c r="AM113" i="13"/>
  <c r="AN113" i="13"/>
  <c r="AO113" i="13"/>
  <c r="AP113" i="13"/>
  <c r="AQ113" i="13"/>
  <c r="AR113" i="13"/>
  <c r="AM107" i="13"/>
  <c r="AN107" i="13"/>
  <c r="AO107" i="13"/>
  <c r="AP107" i="13"/>
  <c r="AQ107" i="13"/>
  <c r="AR107" i="13"/>
  <c r="AM2" i="13"/>
  <c r="AN2" i="13"/>
  <c r="AO2" i="13"/>
  <c r="AP2" i="13"/>
  <c r="AQ2" i="13"/>
  <c r="AR2" i="13"/>
  <c r="AM108" i="13"/>
  <c r="AN108" i="13"/>
  <c r="AO108" i="13"/>
  <c r="AP108" i="13"/>
  <c r="AQ108" i="13"/>
  <c r="AR108" i="13"/>
  <c r="AM20" i="13"/>
  <c r="AN20" i="13"/>
  <c r="AO20" i="13"/>
  <c r="AP20" i="13"/>
  <c r="AQ20" i="13"/>
  <c r="AR20" i="13"/>
  <c r="AM54" i="13"/>
  <c r="AN54" i="13"/>
  <c r="AO54" i="13"/>
  <c r="AP54" i="13"/>
  <c r="AQ54" i="13"/>
  <c r="AR54" i="13"/>
  <c r="AM114" i="13"/>
  <c r="AN114" i="13"/>
  <c r="AO114" i="13"/>
  <c r="AP114" i="13"/>
  <c r="AQ114" i="13"/>
  <c r="AR114" i="13"/>
  <c r="AM122" i="13"/>
  <c r="AN122" i="13"/>
  <c r="AO122" i="13"/>
  <c r="AP122" i="13"/>
  <c r="AQ122" i="13"/>
  <c r="AR122" i="13"/>
  <c r="AM120" i="13"/>
  <c r="AN120" i="13"/>
  <c r="AO120" i="13"/>
  <c r="AP120" i="13"/>
  <c r="AQ120" i="13"/>
  <c r="AR120" i="13"/>
  <c r="AM117" i="13"/>
  <c r="AN117" i="13"/>
  <c r="AO117" i="13"/>
  <c r="AP117" i="13"/>
  <c r="AQ117" i="13"/>
  <c r="AR117" i="13"/>
  <c r="AM121" i="13"/>
  <c r="AN121" i="13"/>
  <c r="AO121" i="13"/>
  <c r="AP121" i="13"/>
  <c r="AQ121" i="13"/>
  <c r="AR121" i="13"/>
  <c r="AM116" i="13"/>
  <c r="AN116" i="13"/>
  <c r="AO116" i="13"/>
  <c r="AP116" i="13"/>
  <c r="AQ116" i="13"/>
  <c r="AR116" i="13"/>
  <c r="AM118" i="13"/>
  <c r="AN118" i="13"/>
  <c r="AO118" i="13"/>
  <c r="AP118" i="13"/>
  <c r="AQ118" i="13"/>
  <c r="AR118" i="13"/>
  <c r="AM119" i="13"/>
  <c r="AN119" i="13"/>
  <c r="AO119" i="13"/>
  <c r="AP119" i="13"/>
  <c r="AQ119" i="13"/>
  <c r="AR119" i="13"/>
  <c r="AM16" i="13"/>
  <c r="AN16" i="13"/>
  <c r="AO16" i="13"/>
  <c r="AP16" i="13"/>
  <c r="AQ16" i="13"/>
  <c r="AR16" i="13"/>
  <c r="AM103" i="13"/>
  <c r="AN103" i="13"/>
  <c r="AO103" i="13"/>
  <c r="AP103" i="13"/>
  <c r="AQ103" i="13"/>
  <c r="AR103" i="13"/>
  <c r="AM15" i="13"/>
  <c r="AN15" i="13"/>
  <c r="AO15" i="13"/>
  <c r="AP15" i="13"/>
  <c r="AQ15" i="13"/>
  <c r="AR15" i="13"/>
  <c r="AM25" i="13"/>
  <c r="AN25" i="13"/>
  <c r="AO25" i="13"/>
  <c r="AP25" i="13"/>
  <c r="AQ25" i="13"/>
  <c r="AR25" i="13"/>
  <c r="AM115" i="13"/>
  <c r="AN115" i="13"/>
  <c r="AO115" i="13"/>
  <c r="AP115" i="13"/>
  <c r="AQ115" i="13"/>
  <c r="AR115" i="13"/>
  <c r="AM112" i="13"/>
  <c r="AN112" i="13"/>
  <c r="AO112" i="13"/>
  <c r="AP112" i="13"/>
  <c r="AQ112" i="13"/>
  <c r="AR112" i="13"/>
  <c r="AM12" i="13"/>
  <c r="AN12" i="13"/>
  <c r="AO12" i="13"/>
  <c r="AP12" i="13"/>
  <c r="AQ12" i="13"/>
  <c r="AR12" i="13"/>
  <c r="AM109" i="13"/>
  <c r="AN109" i="13"/>
  <c r="AO109" i="13"/>
  <c r="AP109" i="13"/>
  <c r="AQ109" i="13"/>
  <c r="AR109" i="13"/>
  <c r="AM67" i="13"/>
  <c r="AN67" i="13"/>
  <c r="AO67" i="13"/>
  <c r="AP67" i="13"/>
  <c r="AQ67" i="13"/>
  <c r="AR67" i="13"/>
  <c r="AM49" i="13"/>
  <c r="AN49" i="13"/>
  <c r="AO49" i="13"/>
  <c r="AP49" i="13"/>
  <c r="AQ49" i="13"/>
  <c r="AR49" i="13"/>
  <c r="AM40" i="13"/>
  <c r="AN40" i="13"/>
  <c r="AO40" i="13"/>
  <c r="AP40" i="13"/>
  <c r="AQ40" i="13"/>
  <c r="AR40" i="13"/>
  <c r="AM8" i="13"/>
  <c r="AN8" i="13"/>
  <c r="AO8" i="13"/>
  <c r="AP8" i="13"/>
  <c r="AQ8" i="13"/>
  <c r="AR8" i="13"/>
  <c r="AM7" i="13"/>
  <c r="AN7" i="13"/>
  <c r="AO7" i="13"/>
  <c r="AP7" i="13"/>
  <c r="AQ7" i="13"/>
  <c r="AR7" i="13"/>
  <c r="AM6" i="13"/>
  <c r="AN6" i="13"/>
  <c r="AO6" i="13"/>
  <c r="AP6" i="13"/>
  <c r="AQ6" i="13"/>
  <c r="AR6" i="13"/>
  <c r="AM4" i="13"/>
  <c r="AN4" i="13"/>
  <c r="AO4" i="13"/>
  <c r="AP4" i="13"/>
  <c r="AQ4" i="13"/>
  <c r="AR4" i="13"/>
  <c r="AM70" i="13"/>
  <c r="AN70" i="13"/>
  <c r="AO70" i="13"/>
  <c r="AP70" i="13"/>
  <c r="AQ70" i="13"/>
  <c r="AR70" i="13"/>
  <c r="AM50" i="13"/>
  <c r="AN50" i="13"/>
  <c r="AO50" i="13"/>
  <c r="AP50" i="13"/>
  <c r="AQ50" i="13"/>
  <c r="AR50" i="13"/>
  <c r="AM10" i="13"/>
  <c r="AN10" i="13"/>
  <c r="AO10" i="13"/>
  <c r="AP10" i="13"/>
  <c r="AQ10" i="13"/>
  <c r="AR10" i="13"/>
  <c r="AM53" i="13"/>
  <c r="AN53" i="13"/>
  <c r="AO53" i="13"/>
  <c r="AP53" i="13"/>
  <c r="AQ53" i="13"/>
  <c r="AR53" i="13"/>
  <c r="AM59" i="13"/>
  <c r="AN59" i="13"/>
  <c r="AO59" i="13"/>
  <c r="AP59" i="13"/>
  <c r="AQ59" i="13"/>
  <c r="AR59" i="13"/>
  <c r="AM86" i="13"/>
  <c r="AN86" i="13"/>
  <c r="AO86" i="13"/>
  <c r="AP86" i="13"/>
  <c r="AQ86" i="13"/>
  <c r="AR86" i="13"/>
  <c r="AM19" i="13"/>
  <c r="AN19" i="13"/>
  <c r="AO19" i="13"/>
  <c r="AP19" i="13"/>
  <c r="AQ19" i="13"/>
  <c r="AR19" i="13"/>
  <c r="AM78" i="13"/>
  <c r="AN78" i="13"/>
  <c r="AO78" i="13"/>
  <c r="AP78" i="13"/>
  <c r="AQ78" i="13"/>
  <c r="AR78" i="13"/>
  <c r="AM5" i="13"/>
  <c r="AN5" i="13"/>
  <c r="AO5" i="13"/>
  <c r="AP5" i="13"/>
  <c r="AQ5" i="13"/>
  <c r="AR5" i="13"/>
  <c r="AM51" i="13"/>
  <c r="AN51" i="13"/>
  <c r="AO51" i="13"/>
  <c r="AP51" i="13"/>
  <c r="AQ51" i="13"/>
  <c r="AR51" i="13"/>
  <c r="AM3" i="13"/>
  <c r="AN3" i="13"/>
  <c r="AO3" i="13"/>
  <c r="AP3" i="13"/>
  <c r="AQ3" i="13"/>
  <c r="AR3" i="13"/>
  <c r="AM9" i="13"/>
  <c r="AN9" i="13"/>
  <c r="AO9" i="13"/>
  <c r="AP9" i="13"/>
  <c r="AQ9" i="13"/>
  <c r="AR9" i="13"/>
  <c r="AM55" i="13"/>
  <c r="AN55" i="13"/>
  <c r="AO55" i="13"/>
  <c r="AP55" i="13"/>
  <c r="AQ55" i="13"/>
  <c r="AR55" i="13"/>
  <c r="AM62" i="13"/>
  <c r="AN62" i="13"/>
  <c r="AO62" i="13"/>
  <c r="AP62" i="13"/>
  <c r="AQ62" i="13"/>
  <c r="AR62" i="13"/>
  <c r="AM60" i="13"/>
  <c r="AN60" i="13"/>
  <c r="AO60" i="13"/>
  <c r="AP60" i="13"/>
  <c r="AQ60" i="13"/>
  <c r="AR60" i="13"/>
  <c r="AM81" i="13"/>
  <c r="AN81" i="13"/>
  <c r="AO81" i="13"/>
  <c r="AP81" i="13"/>
  <c r="AQ81" i="13"/>
  <c r="AR81" i="13"/>
  <c r="AM68" i="13"/>
  <c r="AN68" i="13"/>
  <c r="AO68" i="13"/>
  <c r="AP68" i="13"/>
  <c r="AQ68" i="13"/>
  <c r="AR68" i="13"/>
  <c r="AM75" i="13"/>
  <c r="AN75" i="13"/>
  <c r="AO75" i="13"/>
  <c r="AP75" i="13"/>
  <c r="AQ75" i="13"/>
  <c r="AR75" i="13"/>
  <c r="AM66" i="13"/>
  <c r="AN66" i="13"/>
  <c r="AO66" i="13"/>
  <c r="AP66" i="13"/>
  <c r="AQ66" i="13"/>
  <c r="AR66" i="13"/>
  <c r="AM79" i="13"/>
  <c r="AN79" i="13"/>
  <c r="AO79" i="13"/>
  <c r="AP79" i="13"/>
  <c r="AQ79" i="13"/>
  <c r="AR79" i="13"/>
  <c r="AM83" i="13"/>
  <c r="AN83" i="13"/>
  <c r="AO83" i="13"/>
  <c r="AP83" i="13"/>
  <c r="AQ83" i="13"/>
  <c r="AR83" i="13"/>
  <c r="AM87" i="13"/>
  <c r="AN87" i="13"/>
  <c r="AO87" i="13"/>
  <c r="AP87" i="13"/>
  <c r="AQ87" i="13"/>
  <c r="AR87" i="13"/>
  <c r="AM92" i="13"/>
  <c r="AN92" i="13"/>
  <c r="AO92" i="13"/>
  <c r="AP92" i="13"/>
  <c r="AQ92" i="13"/>
  <c r="AR92" i="13"/>
  <c r="AR91" i="13"/>
  <c r="AN91" i="13"/>
  <c r="AO91" i="13"/>
  <c r="AP91" i="13"/>
  <c r="AQ91" i="13"/>
  <c r="AB89" i="13"/>
  <c r="AB87" i="13"/>
  <c r="AB86" i="13"/>
  <c r="AB85" i="13"/>
  <c r="AB90" i="13"/>
  <c r="AB83" i="13"/>
  <c r="AB84" i="13"/>
  <c r="AB81" i="13"/>
  <c r="AB80" i="13"/>
  <c r="AB79" i="13"/>
  <c r="AB92" i="13"/>
  <c r="AB82" i="13"/>
  <c r="AB91" i="13"/>
  <c r="AB93" i="13"/>
  <c r="AB78" i="13"/>
  <c r="AB94" i="13"/>
  <c r="AB77" i="13"/>
  <c r="AB75" i="13"/>
  <c r="AB76" i="13"/>
  <c r="AB73" i="13"/>
  <c r="AB74" i="13"/>
  <c r="AB72" i="13"/>
  <c r="AB70" i="13"/>
  <c r="AB71" i="13"/>
  <c r="AB95" i="13"/>
  <c r="AB68" i="13"/>
  <c r="AB69" i="13"/>
  <c r="AB66" i="13"/>
  <c r="AB65" i="13"/>
  <c r="AB67" i="13"/>
  <c r="AB96" i="13"/>
  <c r="AB63" i="13"/>
  <c r="AB64" i="13"/>
  <c r="AB62" i="13"/>
  <c r="AB97" i="13"/>
  <c r="AB61" i="13"/>
  <c r="AB60" i="13"/>
  <c r="AB59" i="13"/>
  <c r="AB98" i="13"/>
  <c r="AB58" i="13"/>
  <c r="AB3" i="13"/>
  <c r="AB57" i="13"/>
  <c r="AB56" i="13"/>
  <c r="AB55" i="13"/>
  <c r="AB99" i="13"/>
  <c r="AB54" i="13"/>
  <c r="AB53" i="13"/>
  <c r="AB52" i="13"/>
  <c r="AB51" i="13"/>
  <c r="AB50" i="13"/>
  <c r="AB100" i="13"/>
  <c r="AB48" i="13"/>
  <c r="AB49" i="13"/>
  <c r="AB4" i="13"/>
  <c r="AB47" i="13"/>
  <c r="AB46" i="13"/>
  <c r="AB101" i="13"/>
  <c r="AB45" i="13"/>
  <c r="AB44" i="13"/>
  <c r="AB43" i="13"/>
  <c r="AB5" i="13"/>
  <c r="AB102" i="13"/>
  <c r="AB40" i="13"/>
  <c r="AB6" i="13"/>
  <c r="AB42" i="13"/>
  <c r="AB103" i="13"/>
  <c r="AB41" i="13"/>
  <c r="AB39" i="13"/>
  <c r="AB38" i="13"/>
  <c r="AB37" i="13"/>
  <c r="AB36" i="13"/>
  <c r="AB7" i="13"/>
  <c r="AB8" i="13"/>
  <c r="AB33" i="13"/>
  <c r="AB35" i="13"/>
  <c r="AB34" i="13"/>
  <c r="AB104" i="13"/>
  <c r="AB10" i="13"/>
  <c r="AB25" i="13"/>
  <c r="AB26" i="13"/>
  <c r="AB30" i="13"/>
  <c r="AB32" i="13"/>
  <c r="AB31" i="13"/>
  <c r="AB9" i="13"/>
  <c r="AB22" i="13"/>
  <c r="AB29" i="13"/>
  <c r="AB28" i="13"/>
  <c r="AB16" i="13"/>
  <c r="AB19" i="13"/>
  <c r="AB20" i="13"/>
  <c r="AB11" i="13"/>
  <c r="AB21" i="13"/>
  <c r="AB27" i="13"/>
  <c r="AB17" i="13"/>
  <c r="AB24" i="13"/>
  <c r="AB105" i="13"/>
  <c r="AB23" i="13"/>
  <c r="AB13" i="13"/>
  <c r="AB18" i="13"/>
  <c r="AB12" i="13"/>
  <c r="AB15" i="13"/>
  <c r="AB14" i="13"/>
  <c r="AB106" i="13"/>
  <c r="AB2" i="13"/>
  <c r="AB107" i="13"/>
  <c r="AB108" i="13"/>
  <c r="AB109" i="13"/>
  <c r="AB112" i="13"/>
  <c r="AB110" i="13"/>
  <c r="AB113" i="13"/>
  <c r="AB118" i="13"/>
  <c r="AB119" i="13"/>
  <c r="AB115" i="13"/>
  <c r="AB116" i="13"/>
  <c r="AB123" i="13"/>
  <c r="AB111" i="13"/>
  <c r="AB120" i="13"/>
  <c r="AB114" i="13"/>
  <c r="AB117" i="13"/>
  <c r="AB121" i="13"/>
  <c r="AB122" i="13"/>
  <c r="AA89" i="13"/>
  <c r="AA87" i="13"/>
  <c r="AA86" i="13"/>
  <c r="AA85" i="13"/>
  <c r="AA90" i="13"/>
  <c r="AA83" i="13"/>
  <c r="AA84" i="13"/>
  <c r="AA81" i="13"/>
  <c r="AA80" i="13"/>
  <c r="AA79" i="13"/>
  <c r="AA92" i="13"/>
  <c r="AA82" i="13"/>
  <c r="AA91" i="13"/>
  <c r="AA93" i="13"/>
  <c r="AA78" i="13"/>
  <c r="AA94" i="13"/>
  <c r="AA77" i="13"/>
  <c r="AA75" i="13"/>
  <c r="AA76" i="13"/>
  <c r="AA73" i="13"/>
  <c r="AA74" i="13"/>
  <c r="AA72" i="13"/>
  <c r="AA70" i="13"/>
  <c r="AA71" i="13"/>
  <c r="AA95" i="13"/>
  <c r="AA68" i="13"/>
  <c r="AA69" i="13"/>
  <c r="AA66" i="13"/>
  <c r="AA65" i="13"/>
  <c r="AA67" i="13"/>
  <c r="AA96" i="13"/>
  <c r="AA63" i="13"/>
  <c r="AA64" i="13"/>
  <c r="AA62" i="13"/>
  <c r="AA97" i="13"/>
  <c r="AA61" i="13"/>
  <c r="AA60" i="13"/>
  <c r="AA59" i="13"/>
  <c r="AA98" i="13"/>
  <c r="AA58" i="13"/>
  <c r="AA3" i="13"/>
  <c r="AA57" i="13"/>
  <c r="AA56" i="13"/>
  <c r="AA55" i="13"/>
  <c r="AA99" i="13"/>
  <c r="AA54" i="13"/>
  <c r="AA53" i="13"/>
  <c r="AA52" i="13"/>
  <c r="AA51" i="13"/>
  <c r="AA50" i="13"/>
  <c r="AA100" i="13"/>
  <c r="AA48" i="13"/>
  <c r="AA49" i="13"/>
  <c r="AA4" i="13"/>
  <c r="AA47" i="13"/>
  <c r="AA46" i="13"/>
  <c r="AA101" i="13"/>
  <c r="AA45" i="13"/>
  <c r="AA44" i="13"/>
  <c r="AA43" i="13"/>
  <c r="AA5" i="13"/>
  <c r="AA102" i="13"/>
  <c r="AA40" i="13"/>
  <c r="AA6" i="13"/>
  <c r="AA42" i="13"/>
  <c r="AA103" i="13"/>
  <c r="AA41" i="13"/>
  <c r="AA39" i="13"/>
  <c r="AA38" i="13"/>
  <c r="AA37" i="13"/>
  <c r="AA36" i="13"/>
  <c r="AA7" i="13"/>
  <c r="AA8" i="13"/>
  <c r="AA33" i="13"/>
  <c r="AA35" i="13"/>
  <c r="AA34" i="13"/>
  <c r="AA104" i="13"/>
  <c r="AA10" i="13"/>
  <c r="AA25" i="13"/>
  <c r="AA26" i="13"/>
  <c r="AA30" i="13"/>
  <c r="AA32" i="13"/>
  <c r="AA31" i="13"/>
  <c r="AA9" i="13"/>
  <c r="AA22" i="13"/>
  <c r="AA29" i="13"/>
  <c r="AA28" i="13"/>
  <c r="AA16" i="13"/>
  <c r="AA19" i="13"/>
  <c r="AA20" i="13"/>
  <c r="AA11" i="13"/>
  <c r="AA21" i="13"/>
  <c r="AA27" i="13"/>
  <c r="AA17" i="13"/>
  <c r="AA24" i="13"/>
  <c r="AA105" i="13"/>
  <c r="AA23" i="13"/>
  <c r="AA13" i="13"/>
  <c r="AA18" i="13"/>
  <c r="AA12" i="13"/>
  <c r="AA15" i="13"/>
  <c r="AA14" i="13"/>
  <c r="AA106" i="13"/>
  <c r="AA2" i="13"/>
  <c r="AA107" i="13"/>
  <c r="AA108" i="13"/>
  <c r="AA109" i="13"/>
  <c r="AA112" i="13"/>
  <c r="AA110" i="13"/>
  <c r="AA113" i="13"/>
  <c r="AA118" i="13"/>
  <c r="AA119" i="13"/>
  <c r="AA115" i="13"/>
  <c r="AA116" i="13"/>
  <c r="AA123" i="13"/>
  <c r="AA111" i="13"/>
  <c r="AA120" i="13"/>
  <c r="AA114" i="13"/>
  <c r="AA117" i="13"/>
  <c r="AA121" i="13"/>
  <c r="AA122" i="13"/>
  <c r="Z89" i="13"/>
  <c r="Z87" i="13"/>
  <c r="Z86" i="13"/>
  <c r="Z85" i="13"/>
  <c r="Z90" i="13"/>
  <c r="Z83" i="13"/>
  <c r="Z84" i="13"/>
  <c r="Z81" i="13"/>
  <c r="Z80" i="13"/>
  <c r="Z79" i="13"/>
  <c r="Z92" i="13"/>
  <c r="Z82" i="13"/>
  <c r="Z91" i="13"/>
  <c r="Z93" i="13"/>
  <c r="Z78" i="13"/>
  <c r="Z94" i="13"/>
  <c r="Z77" i="13"/>
  <c r="Z75" i="13"/>
  <c r="Z76" i="13"/>
  <c r="Z73" i="13"/>
  <c r="Z74" i="13"/>
  <c r="Z72" i="13"/>
  <c r="Z70" i="13"/>
  <c r="Z71" i="13"/>
  <c r="Z95" i="13"/>
  <c r="Z68" i="13"/>
  <c r="Z69" i="13"/>
  <c r="Z66" i="13"/>
  <c r="Z65" i="13"/>
  <c r="Z67" i="13"/>
  <c r="Z96" i="13"/>
  <c r="Z63" i="13"/>
  <c r="Z64" i="13"/>
  <c r="Z62" i="13"/>
  <c r="Z97" i="13"/>
  <c r="Z61" i="13"/>
  <c r="Z60" i="13"/>
  <c r="Z59" i="13"/>
  <c r="Z98" i="13"/>
  <c r="Z58" i="13"/>
  <c r="Z3" i="13"/>
  <c r="Z57" i="13"/>
  <c r="Z56" i="13"/>
  <c r="Z55" i="13"/>
  <c r="Z99" i="13"/>
  <c r="Z54" i="13"/>
  <c r="Z53" i="13"/>
  <c r="Z52" i="13"/>
  <c r="Z51" i="13"/>
  <c r="Z50" i="13"/>
  <c r="Z100" i="13"/>
  <c r="Z48" i="13"/>
  <c r="Z49" i="13"/>
  <c r="Z4" i="13"/>
  <c r="Z47" i="13"/>
  <c r="Z46" i="13"/>
  <c r="Z101" i="13"/>
  <c r="Z45" i="13"/>
  <c r="Z44" i="13"/>
  <c r="Z43" i="13"/>
  <c r="Z5" i="13"/>
  <c r="Z102" i="13"/>
  <c r="Z40" i="13"/>
  <c r="Z6" i="13"/>
  <c r="Z42" i="13"/>
  <c r="Z103" i="13"/>
  <c r="Z41" i="13"/>
  <c r="Z39" i="13"/>
  <c r="Z38" i="13"/>
  <c r="Z37" i="13"/>
  <c r="Z36" i="13"/>
  <c r="Z7" i="13"/>
  <c r="Z8" i="13"/>
  <c r="Z33" i="13"/>
  <c r="Z35" i="13"/>
  <c r="Z34" i="13"/>
  <c r="Z104" i="13"/>
  <c r="Z10" i="13"/>
  <c r="Z25" i="13"/>
  <c r="Z26" i="13"/>
  <c r="Z30" i="13"/>
  <c r="Z32" i="13"/>
  <c r="Z31" i="13"/>
  <c r="Z9" i="13"/>
  <c r="Z22" i="13"/>
  <c r="Z29" i="13"/>
  <c r="Z28" i="13"/>
  <c r="Z16" i="13"/>
  <c r="Z19" i="13"/>
  <c r="Z20" i="13"/>
  <c r="Z11" i="13"/>
  <c r="Z21" i="13"/>
  <c r="Z27" i="13"/>
  <c r="Z17" i="13"/>
  <c r="Z24" i="13"/>
  <c r="Z105" i="13"/>
  <c r="Z23" i="13"/>
  <c r="Z13" i="13"/>
  <c r="Z18" i="13"/>
  <c r="Z12" i="13"/>
  <c r="Z15" i="13"/>
  <c r="Z14" i="13"/>
  <c r="Z106" i="13"/>
  <c r="Z2" i="13"/>
  <c r="Z107" i="13"/>
  <c r="Z108" i="13"/>
  <c r="Z109" i="13"/>
  <c r="Z112" i="13"/>
  <c r="Z110" i="13"/>
  <c r="Z113" i="13"/>
  <c r="Z118" i="13"/>
  <c r="Z119" i="13"/>
  <c r="Z115" i="13"/>
  <c r="Z116" i="13"/>
  <c r="Z123" i="13"/>
  <c r="Z111" i="13"/>
  <c r="Z120" i="13"/>
  <c r="Z114" i="13"/>
  <c r="Z117" i="13"/>
  <c r="Z121" i="13"/>
  <c r="Z122" i="13"/>
  <c r="Y89" i="13"/>
  <c r="Y87" i="13"/>
  <c r="Y86" i="13"/>
  <c r="Y85" i="13"/>
  <c r="Y90" i="13"/>
  <c r="Y83" i="13"/>
  <c r="Y84" i="13"/>
  <c r="Y81" i="13"/>
  <c r="Y80" i="13"/>
  <c r="Y79" i="13"/>
  <c r="Y92" i="13"/>
  <c r="Y82" i="13"/>
  <c r="Y91" i="13"/>
  <c r="Y93" i="13"/>
  <c r="Y78" i="13"/>
  <c r="Y94" i="13"/>
  <c r="Y77" i="13"/>
  <c r="Y75" i="13"/>
  <c r="Y76" i="13"/>
  <c r="Y73" i="13"/>
  <c r="Y74" i="13"/>
  <c r="Y72" i="13"/>
  <c r="Y70" i="13"/>
  <c r="Y71" i="13"/>
  <c r="Y95" i="13"/>
  <c r="Y68" i="13"/>
  <c r="Y69" i="13"/>
  <c r="Y66" i="13"/>
  <c r="Y65" i="13"/>
  <c r="Y67" i="13"/>
  <c r="Y96" i="13"/>
  <c r="Y63" i="13"/>
  <c r="Y64" i="13"/>
  <c r="Y62" i="13"/>
  <c r="Y97" i="13"/>
  <c r="Y61" i="13"/>
  <c r="Y60" i="13"/>
  <c r="Y59" i="13"/>
  <c r="Y98" i="13"/>
  <c r="Y58" i="13"/>
  <c r="Y3" i="13"/>
  <c r="Y57" i="13"/>
  <c r="Y56" i="13"/>
  <c r="Y55" i="13"/>
  <c r="Y99" i="13"/>
  <c r="Y54" i="13"/>
  <c r="Y53" i="13"/>
  <c r="Y52" i="13"/>
  <c r="Y51" i="13"/>
  <c r="Y50" i="13"/>
  <c r="Y100" i="13"/>
  <c r="Y48" i="13"/>
  <c r="Y49" i="13"/>
  <c r="Y4" i="13"/>
  <c r="Y47" i="13"/>
  <c r="Y46" i="13"/>
  <c r="Y101" i="13"/>
  <c r="Y45" i="13"/>
  <c r="Y44" i="13"/>
  <c r="Y43" i="13"/>
  <c r="Y5" i="13"/>
  <c r="Y102" i="13"/>
  <c r="Y40" i="13"/>
  <c r="Y6" i="13"/>
  <c r="Y42" i="13"/>
  <c r="Y103" i="13"/>
  <c r="Y41" i="13"/>
  <c r="Y39" i="13"/>
  <c r="Y38" i="13"/>
  <c r="Y37" i="13"/>
  <c r="Y36" i="13"/>
  <c r="Y7" i="13"/>
  <c r="Y8" i="13"/>
  <c r="Y33" i="13"/>
  <c r="Y35" i="13"/>
  <c r="Y34" i="13"/>
  <c r="Y104" i="13"/>
  <c r="Y10" i="13"/>
  <c r="Y25" i="13"/>
  <c r="Y26" i="13"/>
  <c r="Y30" i="13"/>
  <c r="Y32" i="13"/>
  <c r="Y31" i="13"/>
  <c r="Y9" i="13"/>
  <c r="Y22" i="13"/>
  <c r="Y29" i="13"/>
  <c r="Y28" i="13"/>
  <c r="Y16" i="13"/>
  <c r="Y19" i="13"/>
  <c r="Y20" i="13"/>
  <c r="Y11" i="13"/>
  <c r="Y21" i="13"/>
  <c r="Y27" i="13"/>
  <c r="Y17" i="13"/>
  <c r="Y24" i="13"/>
  <c r="Y105" i="13"/>
  <c r="Y23" i="13"/>
  <c r="Y13" i="13"/>
  <c r="Y18" i="13"/>
  <c r="Y12" i="13"/>
  <c r="Y15" i="13"/>
  <c r="Y14" i="13"/>
  <c r="Y106" i="13"/>
  <c r="Y2" i="13"/>
  <c r="Y107" i="13"/>
  <c r="Y108" i="13"/>
  <c r="Y109" i="13"/>
  <c r="Y112" i="13"/>
  <c r="Y110" i="13"/>
  <c r="Y113" i="13"/>
  <c r="Y118" i="13"/>
  <c r="Y119" i="13"/>
  <c r="Y115" i="13"/>
  <c r="Y116" i="13"/>
  <c r="Y123" i="13"/>
  <c r="Y111" i="13"/>
  <c r="Y120" i="13"/>
  <c r="Y114" i="13"/>
  <c r="Y117" i="13"/>
  <c r="Y121" i="13"/>
  <c r="Y122" i="13"/>
  <c r="X89" i="13"/>
  <c r="X87" i="13"/>
  <c r="X86" i="13"/>
  <c r="X85" i="13"/>
  <c r="X90" i="13"/>
  <c r="X83" i="13"/>
  <c r="X84" i="13"/>
  <c r="X81" i="13"/>
  <c r="X80" i="13"/>
  <c r="X79" i="13"/>
  <c r="X92" i="13"/>
  <c r="X82" i="13"/>
  <c r="X91" i="13"/>
  <c r="X93" i="13"/>
  <c r="X78" i="13"/>
  <c r="X94" i="13"/>
  <c r="X77" i="13"/>
  <c r="X75" i="13"/>
  <c r="X76" i="13"/>
  <c r="X73" i="13"/>
  <c r="X74" i="13"/>
  <c r="X72" i="13"/>
  <c r="X70" i="13"/>
  <c r="X71" i="13"/>
  <c r="X95" i="13"/>
  <c r="X68" i="13"/>
  <c r="X69" i="13"/>
  <c r="X66" i="13"/>
  <c r="X65" i="13"/>
  <c r="X67" i="13"/>
  <c r="X96" i="13"/>
  <c r="X63" i="13"/>
  <c r="X64" i="13"/>
  <c r="X62" i="13"/>
  <c r="X97" i="13"/>
  <c r="X61" i="13"/>
  <c r="X60" i="13"/>
  <c r="X59" i="13"/>
  <c r="X98" i="13"/>
  <c r="X58" i="13"/>
  <c r="X3" i="13"/>
  <c r="X57" i="13"/>
  <c r="X56" i="13"/>
  <c r="X55" i="13"/>
  <c r="X99" i="13"/>
  <c r="X54" i="13"/>
  <c r="X53" i="13"/>
  <c r="X52" i="13"/>
  <c r="X51" i="13"/>
  <c r="X50" i="13"/>
  <c r="X100" i="13"/>
  <c r="X48" i="13"/>
  <c r="X49" i="13"/>
  <c r="X4" i="13"/>
  <c r="X47" i="13"/>
  <c r="X46" i="13"/>
  <c r="X101" i="13"/>
  <c r="X45" i="13"/>
  <c r="X44" i="13"/>
  <c r="X43" i="13"/>
  <c r="X5" i="13"/>
  <c r="X102" i="13"/>
  <c r="X40" i="13"/>
  <c r="X6" i="13"/>
  <c r="X42" i="13"/>
  <c r="X103" i="13"/>
  <c r="X41" i="13"/>
  <c r="X39" i="13"/>
  <c r="X38" i="13"/>
  <c r="X37" i="13"/>
  <c r="X36" i="13"/>
  <c r="X7" i="13"/>
  <c r="X8" i="13"/>
  <c r="X33" i="13"/>
  <c r="X35" i="13"/>
  <c r="X34" i="13"/>
  <c r="X104" i="13"/>
  <c r="X10" i="13"/>
  <c r="X25" i="13"/>
  <c r="X26" i="13"/>
  <c r="X30" i="13"/>
  <c r="X32" i="13"/>
  <c r="X31" i="13"/>
  <c r="X9" i="13"/>
  <c r="X22" i="13"/>
  <c r="X29" i="13"/>
  <c r="X28" i="13"/>
  <c r="X16" i="13"/>
  <c r="X19" i="13"/>
  <c r="X20" i="13"/>
  <c r="X11" i="13"/>
  <c r="X21" i="13"/>
  <c r="X27" i="13"/>
  <c r="X17" i="13"/>
  <c r="X24" i="13"/>
  <c r="X105" i="13"/>
  <c r="X23" i="13"/>
  <c r="X13" i="13"/>
  <c r="X18" i="13"/>
  <c r="X12" i="13"/>
  <c r="X15" i="13"/>
  <c r="X14" i="13"/>
  <c r="X106" i="13"/>
  <c r="X2" i="13"/>
  <c r="X107" i="13"/>
  <c r="X108" i="13"/>
  <c r="X109" i="13"/>
  <c r="X112" i="13"/>
  <c r="X110" i="13"/>
  <c r="X113" i="13"/>
  <c r="X118" i="13"/>
  <c r="X119" i="13"/>
  <c r="X115" i="13"/>
  <c r="X116" i="13"/>
  <c r="X123" i="13"/>
  <c r="X111" i="13"/>
  <c r="X120" i="13"/>
  <c r="X114" i="13"/>
  <c r="X117" i="13"/>
  <c r="X121" i="13"/>
  <c r="X122" i="13"/>
  <c r="W89" i="13"/>
  <c r="W87" i="13"/>
  <c r="W86" i="13"/>
  <c r="W85" i="13"/>
  <c r="W90" i="13"/>
  <c r="W83" i="13"/>
  <c r="W84" i="13"/>
  <c r="W81" i="13"/>
  <c r="W80" i="13"/>
  <c r="W79" i="13"/>
  <c r="W92" i="13"/>
  <c r="W82" i="13"/>
  <c r="W91" i="13"/>
  <c r="W93" i="13"/>
  <c r="W78" i="13"/>
  <c r="W94" i="13"/>
  <c r="W77" i="13"/>
  <c r="W75" i="13"/>
  <c r="W76" i="13"/>
  <c r="W73" i="13"/>
  <c r="W74" i="13"/>
  <c r="W72" i="13"/>
  <c r="W70" i="13"/>
  <c r="W71" i="13"/>
  <c r="W95" i="13"/>
  <c r="W68" i="13"/>
  <c r="W69" i="13"/>
  <c r="W66" i="13"/>
  <c r="W65" i="13"/>
  <c r="W67" i="13"/>
  <c r="W96" i="13"/>
  <c r="W63" i="13"/>
  <c r="W64" i="13"/>
  <c r="W62" i="13"/>
  <c r="W97" i="13"/>
  <c r="W61" i="13"/>
  <c r="W60" i="13"/>
  <c r="W59" i="13"/>
  <c r="W98" i="13"/>
  <c r="W58" i="13"/>
  <c r="W3" i="13"/>
  <c r="W57" i="13"/>
  <c r="W56" i="13"/>
  <c r="W55" i="13"/>
  <c r="W99" i="13"/>
  <c r="W54" i="13"/>
  <c r="W53" i="13"/>
  <c r="W52" i="13"/>
  <c r="W51" i="13"/>
  <c r="W50" i="13"/>
  <c r="W100" i="13"/>
  <c r="W48" i="13"/>
  <c r="W49" i="13"/>
  <c r="W4" i="13"/>
  <c r="W47" i="13"/>
  <c r="W46" i="13"/>
  <c r="W101" i="13"/>
  <c r="W45" i="13"/>
  <c r="W44" i="13"/>
  <c r="W43" i="13"/>
  <c r="W5" i="13"/>
  <c r="W102" i="13"/>
  <c r="W40" i="13"/>
  <c r="W6" i="13"/>
  <c r="W42" i="13"/>
  <c r="W103" i="13"/>
  <c r="W41" i="13"/>
  <c r="W39" i="13"/>
  <c r="W38" i="13"/>
  <c r="W37" i="13"/>
  <c r="W36" i="13"/>
  <c r="W7" i="13"/>
  <c r="W8" i="13"/>
  <c r="W33" i="13"/>
  <c r="W35" i="13"/>
  <c r="W34" i="13"/>
  <c r="W104" i="13"/>
  <c r="W10" i="13"/>
  <c r="W25" i="13"/>
  <c r="W26" i="13"/>
  <c r="W30" i="13"/>
  <c r="W32" i="13"/>
  <c r="W31" i="13"/>
  <c r="W9" i="13"/>
  <c r="W22" i="13"/>
  <c r="W29" i="13"/>
  <c r="W28" i="13"/>
  <c r="W16" i="13"/>
  <c r="W19" i="13"/>
  <c r="W20" i="13"/>
  <c r="W11" i="13"/>
  <c r="W21" i="13"/>
  <c r="W27" i="13"/>
  <c r="W17" i="13"/>
  <c r="W24" i="13"/>
  <c r="W105" i="13"/>
  <c r="W23" i="13"/>
  <c r="W13" i="13"/>
  <c r="W18" i="13"/>
  <c r="W12" i="13"/>
  <c r="W15" i="13"/>
  <c r="W14" i="13"/>
  <c r="W106" i="13"/>
  <c r="W107" i="13"/>
  <c r="W108" i="13"/>
  <c r="W109" i="13"/>
  <c r="W112" i="13"/>
  <c r="W110" i="13"/>
  <c r="W113" i="13"/>
  <c r="W118" i="13"/>
  <c r="W119" i="13"/>
  <c r="W115" i="13"/>
  <c r="W116" i="13"/>
  <c r="W123" i="13"/>
  <c r="W111" i="13"/>
  <c r="W120" i="13"/>
  <c r="W114" i="13"/>
  <c r="W117" i="13"/>
  <c r="W121" i="13"/>
  <c r="W122" i="13"/>
  <c r="AB88" i="13"/>
  <c r="AA88" i="13"/>
  <c r="X88" i="13"/>
  <c r="Y88" i="13"/>
  <c r="Z88" i="13"/>
  <c r="W88" i="13"/>
  <c r="AC11" i="7" l="1"/>
  <c r="AD11" i="7"/>
  <c r="AC24" i="7"/>
  <c r="AC601" i="7"/>
  <c r="BI28" i="7"/>
  <c r="AC606" i="7"/>
  <c r="AD606" i="7"/>
  <c r="BQ609" i="7"/>
  <c r="AS206" i="7"/>
  <c r="BQ565" i="7"/>
  <c r="BA142" i="7"/>
  <c r="BA521" i="7"/>
  <c r="AK487" i="7"/>
  <c r="BQ139" i="7"/>
  <c r="BB598" i="7"/>
  <c r="AS294" i="7"/>
  <c r="BA190" i="7"/>
  <c r="AC68" i="7"/>
  <c r="AL111" i="7"/>
  <c r="BI124" i="7"/>
  <c r="BA294" i="7"/>
  <c r="AS401" i="7"/>
  <c r="AK219" i="7"/>
  <c r="BA239" i="7"/>
  <c r="BB239" i="7"/>
  <c r="AK145" i="7"/>
  <c r="AK554" i="7"/>
  <c r="AC248" i="7"/>
  <c r="BI480" i="7"/>
  <c r="BI410" i="7"/>
  <c r="AC219" i="7"/>
  <c r="BA219" i="7"/>
  <c r="AK414" i="7"/>
  <c r="AK111" i="7"/>
  <c r="AC191" i="7"/>
  <c r="AD191" i="7"/>
  <c r="BQ219" i="7"/>
  <c r="BA416" i="7"/>
  <c r="AD408" i="7"/>
  <c r="BA28" i="13"/>
  <c r="BA42" i="13"/>
  <c r="BA43" i="13"/>
  <c r="BA63" i="13"/>
  <c r="BA82" i="13"/>
  <c r="BA85" i="13"/>
  <c r="AK13" i="7"/>
  <c r="AK588" i="7"/>
  <c r="AC313" i="7"/>
  <c r="BA46" i="13"/>
  <c r="BA74" i="13"/>
  <c r="BA84" i="13"/>
  <c r="BA90" i="13"/>
  <c r="BA106" i="13"/>
  <c r="BA139" i="7"/>
  <c r="AK446" i="7"/>
  <c r="AL446" i="7"/>
  <c r="BA41" i="13"/>
  <c r="BA64" i="13"/>
  <c r="BA72" i="13"/>
  <c r="BA77" i="13"/>
  <c r="BA88" i="13"/>
  <c r="BA96" i="13"/>
  <c r="BA100" i="13"/>
  <c r="BA111" i="13"/>
  <c r="AC6" i="7"/>
  <c r="AT6" i="7"/>
  <c r="BI105" i="7"/>
  <c r="BA338" i="7"/>
  <c r="BA32" i="13"/>
  <c r="BA44" i="13"/>
  <c r="BA58" i="13"/>
  <c r="BA69" i="13"/>
  <c r="BA71" i="13"/>
  <c r="BA89" i="13"/>
  <c r="BA97" i="13"/>
  <c r="BA99" i="13"/>
  <c r="BA104" i="13"/>
  <c r="AC13" i="7"/>
  <c r="AK7" i="7"/>
  <c r="AS416" i="7"/>
  <c r="BA339" i="7"/>
  <c r="BB339" i="7"/>
  <c r="BQ274" i="7"/>
  <c r="BA342" i="7"/>
  <c r="AK344" i="7"/>
  <c r="BQ277" i="7"/>
  <c r="AK233" i="7"/>
  <c r="BA233" i="7"/>
  <c r="BQ233" i="7"/>
  <c r="BB345" i="7"/>
  <c r="AK346" i="7"/>
  <c r="BQ348" i="7"/>
  <c r="AK202" i="7"/>
  <c r="BQ349" i="7"/>
  <c r="AK278" i="7"/>
  <c r="AL350" i="7"/>
  <c r="BQ350" i="7"/>
  <c r="BQ351" i="7"/>
  <c r="BA353" i="7"/>
  <c r="AK354" i="7"/>
  <c r="BA355" i="7"/>
  <c r="AK358" i="7"/>
  <c r="BQ360" i="7"/>
  <c r="BB363" i="7"/>
  <c r="BA49" i="13"/>
  <c r="BA73" i="13"/>
  <c r="BA102" i="13"/>
  <c r="BA105" i="13"/>
  <c r="AL13" i="7"/>
  <c r="BJ9" i="7"/>
  <c r="BR416" i="7"/>
  <c r="BI417" i="7"/>
  <c r="BQ364" i="7"/>
  <c r="BQ365" i="7"/>
  <c r="BA184" i="7"/>
  <c r="BQ184" i="7"/>
  <c r="BA236" i="7"/>
  <c r="BA367" i="7"/>
  <c r="AL368" i="7"/>
  <c r="AK369" i="7"/>
  <c r="BA369" i="7"/>
  <c r="AK371" i="7"/>
  <c r="BQ373" i="7"/>
  <c r="BR374" i="7"/>
  <c r="BQ376" i="7"/>
  <c r="AK378" i="7"/>
  <c r="BR379" i="7"/>
  <c r="BA381" i="7"/>
  <c r="BR385" i="7"/>
  <c r="AK388" i="7"/>
  <c r="BA390" i="7"/>
  <c r="BR392" i="7"/>
  <c r="AK393" i="7"/>
  <c r="BA393" i="7"/>
  <c r="AK286" i="7"/>
  <c r="AH16" i="10"/>
  <c r="BA14" i="13"/>
  <c r="BA18" i="13"/>
  <c r="BA27" i="13"/>
  <c r="BA33" i="13"/>
  <c r="BA36" i="13"/>
  <c r="BA45" i="13"/>
  <c r="BA57" i="13"/>
  <c r="BA67" i="13"/>
  <c r="BA76" i="13"/>
  <c r="BA93" i="13"/>
  <c r="BA110" i="13"/>
  <c r="BI21" i="7"/>
  <c r="AK2" i="7"/>
  <c r="AL2" i="7"/>
  <c r="AC4" i="8"/>
  <c r="AS8" i="8"/>
  <c r="BA2" i="8"/>
  <c r="AL2" i="8"/>
  <c r="BI4" i="9"/>
  <c r="AC5" i="9"/>
  <c r="AT8" i="9"/>
  <c r="BQ8" i="9"/>
  <c r="BV4" i="10"/>
  <c r="AH7" i="10"/>
  <c r="BN8" i="10"/>
  <c r="AH10" i="10"/>
  <c r="BF10" i="10"/>
  <c r="BF11" i="10"/>
  <c r="AO9" i="10"/>
  <c r="AG12" i="10"/>
  <c r="AH13" i="10"/>
  <c r="BN17" i="10"/>
  <c r="BN24" i="10"/>
  <c r="BA11" i="13"/>
  <c r="BA13" i="13"/>
  <c r="BA30" i="13"/>
  <c r="BA56" i="13"/>
  <c r="AP21" i="10"/>
  <c r="BE21" i="10"/>
  <c r="BV26" i="10"/>
  <c r="BR69" i="13"/>
  <c r="BR73" i="13"/>
  <c r="BR76" i="13"/>
  <c r="BR77" i="13"/>
  <c r="BR88" i="13"/>
  <c r="BB2" i="13"/>
  <c r="BA2" i="13"/>
  <c r="BB3" i="13"/>
  <c r="BA17" i="13"/>
  <c r="BA21" i="13"/>
  <c r="BA23" i="13"/>
  <c r="BA24" i="13"/>
  <c r="BA26" i="13"/>
  <c r="BA29" i="13"/>
  <c r="BA31" i="13"/>
  <c r="BA35" i="13"/>
  <c r="BA38" i="13"/>
  <c r="BA40" i="13"/>
  <c r="BA48" i="13"/>
  <c r="BA65" i="13"/>
  <c r="BA21" i="7"/>
  <c r="BA7" i="7"/>
  <c r="AL112" i="13"/>
  <c r="AL113" i="13"/>
  <c r="AL114" i="13"/>
  <c r="AL115" i="13"/>
  <c r="AL116" i="13"/>
  <c r="AL117" i="13"/>
  <c r="AL118" i="13"/>
  <c r="AL119" i="13"/>
  <c r="AL120" i="13"/>
  <c r="AL121" i="13"/>
  <c r="AL122" i="13"/>
  <c r="AL123" i="13"/>
  <c r="AT3" i="13"/>
  <c r="AT4" i="13"/>
  <c r="AT5" i="13"/>
  <c r="AT6" i="13"/>
  <c r="AT7" i="13"/>
  <c r="AT8" i="13"/>
  <c r="AT9" i="13"/>
  <c r="AT10" i="13"/>
  <c r="AT11" i="13"/>
  <c r="AT12" i="13"/>
  <c r="AT13" i="13"/>
  <c r="AT14" i="13"/>
  <c r="AT15" i="13"/>
  <c r="AT16" i="13"/>
  <c r="AT17" i="13"/>
  <c r="AT18" i="13"/>
  <c r="AT19" i="13"/>
  <c r="AT20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7" i="13"/>
  <c r="AT38" i="13"/>
  <c r="AT39" i="13"/>
  <c r="AT40" i="13"/>
  <c r="AT41" i="13"/>
  <c r="AT44" i="13"/>
  <c r="AT45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T60" i="13"/>
  <c r="AT62" i="13"/>
  <c r="AT65" i="13"/>
  <c r="AT66" i="13"/>
  <c r="AT67" i="13"/>
  <c r="AT68" i="13"/>
  <c r="AT70" i="13"/>
  <c r="AT72" i="13"/>
  <c r="AT75" i="13"/>
  <c r="AT78" i="13"/>
  <c r="AT79" i="13"/>
  <c r="AT81" i="13"/>
  <c r="AT83" i="13"/>
  <c r="AT86" i="13"/>
  <c r="AT87" i="13"/>
  <c r="AT89" i="13"/>
  <c r="AT91" i="13"/>
  <c r="AT92" i="13"/>
  <c r="AT103" i="13"/>
  <c r="AT104" i="13"/>
  <c r="AT109" i="13"/>
  <c r="AT112" i="13"/>
  <c r="AT115" i="13"/>
  <c r="AT116" i="13"/>
  <c r="AT118" i="13"/>
  <c r="AT119" i="13"/>
  <c r="AS3" i="13"/>
  <c r="AS4" i="13"/>
  <c r="AS5" i="13"/>
  <c r="AS6" i="13"/>
  <c r="AS7" i="13"/>
  <c r="AS8" i="13"/>
  <c r="AS9" i="13"/>
  <c r="AS10" i="13"/>
  <c r="AS12" i="13"/>
  <c r="AS15" i="13"/>
  <c r="AS19" i="13"/>
  <c r="AS40" i="13"/>
  <c r="AS50" i="13"/>
  <c r="AS51" i="13"/>
  <c r="AS53" i="13"/>
  <c r="AS55" i="13"/>
  <c r="AS59" i="13"/>
  <c r="AS60" i="13"/>
  <c r="AS62" i="13"/>
  <c r="AS66" i="13"/>
  <c r="AS68" i="13"/>
  <c r="AS75" i="13"/>
  <c r="AS78" i="13"/>
  <c r="AS79" i="13"/>
  <c r="AS81" i="13"/>
  <c r="AS83" i="13"/>
  <c r="AS87" i="13"/>
  <c r="AS91" i="13"/>
  <c r="AS92" i="13"/>
  <c r="AL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2" i="13"/>
  <c r="AC2" i="13"/>
  <c r="BJ90" i="13"/>
  <c r="BJ63" i="13"/>
  <c r="BJ73" i="13"/>
  <c r="BJ97" i="13"/>
  <c r="BJ102" i="13"/>
  <c r="BJ77" i="13"/>
  <c r="BJ89" i="13"/>
  <c r="BJ21" i="13"/>
  <c r="BJ58" i="13"/>
  <c r="BJ56" i="13"/>
  <c r="BJ13" i="13"/>
  <c r="BJ105" i="13"/>
  <c r="BJ22" i="13"/>
  <c r="BJ57" i="13"/>
  <c r="BJ72" i="13"/>
  <c r="BJ39" i="13"/>
  <c r="BJ26" i="13"/>
  <c r="BI90" i="13"/>
  <c r="BI63" i="13"/>
  <c r="BI73" i="13"/>
  <c r="BI97" i="13"/>
  <c r="BI102" i="13"/>
  <c r="BI77" i="13"/>
  <c r="BI42" i="13"/>
  <c r="BI43" i="13"/>
  <c r="BI88" i="13"/>
  <c r="BI64" i="13"/>
  <c r="BI36" i="13"/>
  <c r="BI24" i="13"/>
  <c r="BI85" i="13"/>
  <c r="BI46" i="13"/>
  <c r="BI35" i="13"/>
  <c r="BI89" i="13"/>
  <c r="BI21" i="13"/>
  <c r="BI58" i="13"/>
  <c r="BI56" i="13"/>
  <c r="BI13" i="13"/>
  <c r="BI105" i="13"/>
  <c r="BI22" i="13"/>
  <c r="BI57" i="13"/>
  <c r="BI72" i="13"/>
  <c r="BI39" i="13"/>
  <c r="BI26" i="13"/>
  <c r="BI45" i="13"/>
  <c r="BI44" i="13"/>
  <c r="BI48" i="13"/>
  <c r="BI104" i="13"/>
  <c r="BI18" i="13"/>
  <c r="BI110" i="13"/>
  <c r="BI113" i="13"/>
  <c r="BI107" i="13"/>
  <c r="BI2" i="13"/>
  <c r="BI108" i="13"/>
  <c r="BI20" i="13"/>
  <c r="BI54" i="13"/>
  <c r="BJ42" i="13"/>
  <c r="BJ43" i="13"/>
  <c r="BJ88" i="13"/>
  <c r="BJ64" i="13"/>
  <c r="BJ36" i="13"/>
  <c r="BJ24" i="13"/>
  <c r="BJ85" i="13"/>
  <c r="BJ46" i="13"/>
  <c r="BJ35" i="13"/>
  <c r="BJ76" i="13"/>
  <c r="BI76" i="13"/>
  <c r="AS21" i="7"/>
  <c r="AS6" i="7"/>
  <c r="BQ416" i="7"/>
  <c r="BJ45" i="13"/>
  <c r="BJ44" i="13"/>
  <c r="BJ48" i="13"/>
  <c r="BJ104" i="13"/>
  <c r="BJ18" i="13"/>
  <c r="BJ110" i="13"/>
  <c r="BJ113" i="13"/>
  <c r="BJ107" i="13"/>
  <c r="BJ2" i="13"/>
  <c r="BJ108" i="13"/>
  <c r="BJ20" i="13"/>
  <c r="BJ54" i="13"/>
  <c r="BI15" i="7"/>
  <c r="AS12" i="7"/>
  <c r="AK66" i="7"/>
  <c r="BA343" i="7"/>
  <c r="BA346" i="7"/>
  <c r="BQ352" i="7"/>
  <c r="AC524" i="7"/>
  <c r="AS119" i="7"/>
  <c r="AC288" i="7"/>
  <c r="BI288" i="7"/>
  <c r="AC188" i="7"/>
  <c r="AC542" i="7"/>
  <c r="BI542" i="7"/>
  <c r="BQ379" i="7"/>
  <c r="BA345" i="7"/>
  <c r="AK352" i="7"/>
  <c r="AK391" i="7"/>
  <c r="AK178" i="7"/>
  <c r="BA406" i="7"/>
  <c r="AK298" i="7"/>
  <c r="BA407" i="7"/>
  <c r="BA214" i="7"/>
  <c r="BQ214" i="7"/>
  <c r="BB215" i="7"/>
  <c r="BA215" i="7"/>
  <c r="AK366" i="7"/>
  <c r="BI12" i="7"/>
  <c r="BJ480" i="7"/>
  <c r="AK36" i="7"/>
  <c r="AL36" i="7"/>
  <c r="AS608" i="7"/>
  <c r="AT608" i="7"/>
  <c r="BR584" i="7"/>
  <c r="BQ584" i="7"/>
  <c r="AT560" i="7"/>
  <c r="AS560" i="7"/>
  <c r="AS208" i="7"/>
  <c r="AT208" i="7"/>
  <c r="BI128" i="7"/>
  <c r="BJ128" i="7"/>
  <c r="AS239" i="7"/>
  <c r="AT239" i="7"/>
  <c r="AK533" i="7"/>
  <c r="AL533" i="7"/>
  <c r="BJ211" i="7"/>
  <c r="BI211" i="7"/>
  <c r="BB404" i="7"/>
  <c r="BA404" i="7"/>
  <c r="BQ404" i="7"/>
  <c r="BR404" i="7"/>
  <c r="BQ248" i="7"/>
  <c r="BR248" i="7"/>
  <c r="AL480" i="7"/>
  <c r="AK480" i="7"/>
  <c r="BB488" i="7"/>
  <c r="BA488" i="7"/>
  <c r="AK467" i="7"/>
  <c r="AL467" i="7"/>
  <c r="BA467" i="7"/>
  <c r="BB467" i="7"/>
  <c r="BB232" i="7"/>
  <c r="BA232" i="7"/>
  <c r="BQ355" i="7"/>
  <c r="BR355" i="7"/>
  <c r="BR369" i="7"/>
  <c r="BQ369" i="7"/>
  <c r="BB281" i="7"/>
  <c r="BA281" i="7"/>
  <c r="BA374" i="7"/>
  <c r="BB374" i="7"/>
  <c r="AK377" i="7"/>
  <c r="AL377" i="7"/>
  <c r="BA378" i="7"/>
  <c r="BB378" i="7"/>
  <c r="BA379" i="7"/>
  <c r="BB379" i="7"/>
  <c r="BQ283" i="7"/>
  <c r="BR283" i="7"/>
  <c r="BR382" i="7"/>
  <c r="BQ382" i="7"/>
  <c r="BA284" i="7"/>
  <c r="BB284" i="7"/>
  <c r="BR390" i="7"/>
  <c r="BQ390" i="7"/>
  <c r="BI618" i="7"/>
  <c r="AC20" i="7"/>
  <c r="BI91" i="7"/>
  <c r="BJ83" i="7"/>
  <c r="BI616" i="7"/>
  <c r="BQ406" i="7"/>
  <c r="BA598" i="7"/>
  <c r="AK63" i="7"/>
  <c r="AC525" i="7"/>
  <c r="BQ550" i="7"/>
  <c r="AS529" i="7"/>
  <c r="BI529" i="7"/>
  <c r="AC100" i="7"/>
  <c r="BQ570" i="7"/>
  <c r="BI93" i="7"/>
  <c r="AC208" i="7"/>
  <c r="BI208" i="7"/>
  <c r="AS124" i="7"/>
  <c r="AC398" i="7"/>
  <c r="AK398" i="7"/>
  <c r="AK502" i="7"/>
  <c r="BQ253" i="7"/>
  <c r="AC132" i="7"/>
  <c r="BA487" i="7"/>
  <c r="AK415" i="7"/>
  <c r="AS111" i="7"/>
  <c r="AK416" i="7"/>
  <c r="AL417" i="7"/>
  <c r="BA417" i="7"/>
  <c r="BQ488" i="7"/>
  <c r="AK418" i="7"/>
  <c r="BR418" i="7"/>
  <c r="BR162" i="7"/>
  <c r="AS617" i="7"/>
  <c r="AC12" i="7"/>
  <c r="AD12" i="7"/>
  <c r="AK23" i="7"/>
  <c r="AL23" i="7"/>
  <c r="AK11" i="7"/>
  <c r="AL11" i="7"/>
  <c r="AT96" i="7"/>
  <c r="AS96" i="7"/>
  <c r="BJ586" i="7"/>
  <c r="BI586" i="7"/>
  <c r="BJ48" i="7"/>
  <c r="BI48" i="7"/>
  <c r="BR601" i="7"/>
  <c r="BQ601" i="7"/>
  <c r="BQ28" i="7"/>
  <c r="BR28" i="7"/>
  <c r="BJ595" i="7"/>
  <c r="BI595" i="7"/>
  <c r="BB50" i="7"/>
  <c r="BA50" i="7"/>
  <c r="AT82" i="7"/>
  <c r="AS82" i="7"/>
  <c r="AD127" i="7"/>
  <c r="AC127" i="7"/>
  <c r="AK207" i="7"/>
  <c r="AL207" i="7"/>
  <c r="AL239" i="7"/>
  <c r="AK239" i="7"/>
  <c r="AD533" i="7"/>
  <c r="AC533" i="7"/>
  <c r="BR175" i="7"/>
  <c r="BQ175" i="7"/>
  <c r="AK214" i="7"/>
  <c r="AL214" i="7"/>
  <c r="AS214" i="7"/>
  <c r="AT214" i="7"/>
  <c r="AK426" i="7"/>
  <c r="AL426" i="7"/>
  <c r="BR314" i="7"/>
  <c r="BQ314" i="7"/>
  <c r="BI467" i="7"/>
  <c r="BJ467" i="7"/>
  <c r="BR341" i="7"/>
  <c r="BQ341" i="7"/>
  <c r="BR276" i="7"/>
  <c r="BQ276" i="7"/>
  <c r="BQ344" i="7"/>
  <c r="BR344" i="7"/>
  <c r="AL348" i="7"/>
  <c r="AK348" i="7"/>
  <c r="AL203" i="7"/>
  <c r="AK203" i="7"/>
  <c r="BA203" i="7"/>
  <c r="BB203" i="7"/>
  <c r="BB204" i="7"/>
  <c r="BA204" i="7"/>
  <c r="BA278" i="7"/>
  <c r="BB278" i="7"/>
  <c r="BR234" i="7"/>
  <c r="BQ234" i="7"/>
  <c r="AL357" i="7"/>
  <c r="AK357" i="7"/>
  <c r="AL361" i="7"/>
  <c r="AK361" i="7"/>
  <c r="AL205" i="7"/>
  <c r="AK205" i="7"/>
  <c r="AK362" i="7"/>
  <c r="AL362" i="7"/>
  <c r="BQ363" i="7"/>
  <c r="BR363" i="7"/>
  <c r="AL364" i="7"/>
  <c r="AK364" i="7"/>
  <c r="BA364" i="7"/>
  <c r="BB364" i="7"/>
  <c r="AL365" i="7"/>
  <c r="AK365" i="7"/>
  <c r="BR370" i="7"/>
  <c r="BQ370" i="7"/>
  <c r="BR371" i="7"/>
  <c r="BQ371" i="7"/>
  <c r="BR378" i="7"/>
  <c r="BQ378" i="7"/>
  <c r="BB237" i="7"/>
  <c r="BA237" i="7"/>
  <c r="AK283" i="7"/>
  <c r="AL283" i="7"/>
  <c r="AK384" i="7"/>
  <c r="AL384" i="7"/>
  <c r="BR388" i="7"/>
  <c r="BQ388" i="7"/>
  <c r="AL390" i="7"/>
  <c r="AK390" i="7"/>
  <c r="AG7" i="10"/>
  <c r="BM22" i="10"/>
  <c r="AG3" i="10"/>
  <c r="BN3" i="10"/>
  <c r="BE16" i="10"/>
  <c r="BE26" i="10"/>
  <c r="BV15" i="10"/>
  <c r="AG16" i="10"/>
  <c r="BV7" i="10"/>
  <c r="AP7" i="10"/>
  <c r="AO7" i="10"/>
  <c r="AO25" i="10"/>
  <c r="AP25" i="10"/>
  <c r="AX27" i="10"/>
  <c r="AW27" i="10"/>
  <c r="BM17" i="10"/>
  <c r="AW23" i="10"/>
  <c r="AH12" i="10"/>
  <c r="AH14" i="10"/>
  <c r="AH17" i="10"/>
  <c r="AP14" i="10"/>
  <c r="AO3" i="10"/>
  <c r="BM26" i="10"/>
  <c r="BN26" i="10"/>
  <c r="AH22" i="10"/>
  <c r="BE10" i="10"/>
  <c r="BM20" i="10"/>
  <c r="AW8" i="10"/>
  <c r="AG10" i="10"/>
  <c r="AP8" i="10"/>
  <c r="BF20" i="10"/>
  <c r="BE27" i="10"/>
  <c r="AG13" i="10"/>
  <c r="AG18" i="10"/>
  <c r="BE24" i="10"/>
  <c r="BM24" i="10"/>
  <c r="AG21" i="10"/>
  <c r="AO21" i="10"/>
  <c r="BF26" i="10"/>
  <c r="AX25" i="10"/>
  <c r="AO20" i="10"/>
  <c r="AP20" i="10"/>
  <c r="K27" i="10"/>
  <c r="L27" i="10"/>
  <c r="K3" i="10"/>
  <c r="L3" i="10"/>
  <c r="L4" i="10"/>
  <c r="K4" i="10"/>
  <c r="K5" i="10"/>
  <c r="L5" i="10"/>
  <c r="K6" i="10"/>
  <c r="L6" i="10"/>
  <c r="K7" i="10"/>
  <c r="L7" i="10"/>
  <c r="K8" i="10"/>
  <c r="L8" i="10"/>
  <c r="K10" i="10"/>
  <c r="L10" i="10"/>
  <c r="K11" i="10"/>
  <c r="L11" i="10"/>
  <c r="K9" i="10"/>
  <c r="L9" i="10"/>
  <c r="K12" i="10"/>
  <c r="L12" i="10"/>
  <c r="K13" i="10"/>
  <c r="L13" i="10"/>
  <c r="K15" i="10"/>
  <c r="L15" i="10"/>
  <c r="K14" i="10"/>
  <c r="L14" i="10"/>
  <c r="K16" i="10"/>
  <c r="L16" i="10"/>
  <c r="K17" i="10"/>
  <c r="L17" i="10"/>
  <c r="K18" i="10"/>
  <c r="L18" i="10"/>
  <c r="L20" i="10"/>
  <c r="K20" i="10"/>
  <c r="K22" i="10"/>
  <c r="L22" i="10"/>
  <c r="K19" i="10"/>
  <c r="L19" i="10"/>
  <c r="K23" i="10"/>
  <c r="L23" i="10"/>
  <c r="K24" i="10"/>
  <c r="L24" i="10"/>
  <c r="K21" i="10"/>
  <c r="L21" i="10"/>
  <c r="K26" i="10"/>
  <c r="L26" i="10"/>
  <c r="K25" i="10"/>
  <c r="L25" i="10"/>
  <c r="K2" i="10"/>
  <c r="L2" i="10"/>
  <c r="BU7" i="10"/>
  <c r="BU15" i="10"/>
  <c r="AW13" i="10"/>
  <c r="BE11" i="10"/>
  <c r="AX17" i="10"/>
  <c r="AG24" i="10"/>
  <c r="AW17" i="10"/>
  <c r="AX9" i="10"/>
  <c r="AO14" i="10"/>
  <c r="BV12" i="10"/>
  <c r="BU12" i="10"/>
  <c r="BN15" i="10"/>
  <c r="BM15" i="10"/>
  <c r="BU16" i="10"/>
  <c r="BV16" i="10"/>
  <c r="BM18" i="10"/>
  <c r="BN18" i="10"/>
  <c r="BU18" i="10"/>
  <c r="BV18" i="10"/>
  <c r="AG23" i="10"/>
  <c r="AH23" i="10"/>
  <c r="AH15" i="10"/>
  <c r="BE20" i="10"/>
  <c r="BE9" i="10"/>
  <c r="AO8" i="10"/>
  <c r="AO22" i="10"/>
  <c r="AH4" i="10"/>
  <c r="AG4" i="10"/>
  <c r="BM25" i="10"/>
  <c r="BN25" i="10"/>
  <c r="AP27" i="10"/>
  <c r="AO27" i="10"/>
  <c r="AP12" i="10"/>
  <c r="BE12" i="10"/>
  <c r="AG22" i="10"/>
  <c r="BM8" i="10"/>
  <c r="BE19" i="10"/>
  <c r="BV14" i="10"/>
  <c r="BV3" i="10"/>
  <c r="BU3" i="10"/>
  <c r="AW4" i="10"/>
  <c r="AX4" i="10"/>
  <c r="AP6" i="10"/>
  <c r="AO6" i="10"/>
  <c r="AX11" i="10"/>
  <c r="AW11" i="10"/>
  <c r="BU20" i="10"/>
  <c r="BV20" i="10"/>
  <c r="BV21" i="10"/>
  <c r="BU21" i="10"/>
  <c r="BU25" i="10"/>
  <c r="BV25" i="10"/>
  <c r="BM3" i="10"/>
  <c r="BU4" i="10"/>
  <c r="BM5" i="10"/>
  <c r="AG14" i="10"/>
  <c r="AG15" i="10"/>
  <c r="BN14" i="10"/>
  <c r="BM16" i="10"/>
  <c r="AO12" i="10"/>
  <c r="BF23" i="10"/>
  <c r="BV23" i="10"/>
  <c r="AW25" i="10"/>
  <c r="AG27" i="10"/>
  <c r="AW5" i="10"/>
  <c r="AX5" i="10"/>
  <c r="BM9" i="10"/>
  <c r="BN9" i="10"/>
  <c r="BU9" i="10"/>
  <c r="BV9" i="10"/>
  <c r="BM12" i="10"/>
  <c r="BN12" i="10"/>
  <c r="AP15" i="10"/>
  <c r="AO15" i="10"/>
  <c r="AX15" i="10"/>
  <c r="AW15" i="10"/>
  <c r="BU17" i="10"/>
  <c r="BV17" i="10"/>
  <c r="AG20" i="10"/>
  <c r="AH20" i="10"/>
  <c r="BV19" i="10"/>
  <c r="BU19" i="10"/>
  <c r="BU14" i="10"/>
  <c r="BE23" i="10"/>
  <c r="BU23" i="10"/>
  <c r="AW9" i="10"/>
  <c r="BM14" i="10"/>
  <c r="AO4" i="10"/>
  <c r="AP4" i="10"/>
  <c r="AO5" i="10"/>
  <c r="AP5" i="10"/>
  <c r="AH8" i="10"/>
  <c r="AG8" i="10"/>
  <c r="BE8" i="10"/>
  <c r="BF8" i="10"/>
  <c r="AO10" i="10"/>
  <c r="AP10" i="10"/>
  <c r="BM11" i="10"/>
  <c r="BN11" i="10"/>
  <c r="BU11" i="10"/>
  <c r="BV11" i="10"/>
  <c r="AH9" i="10"/>
  <c r="AG9" i="10"/>
  <c r="AP13" i="10"/>
  <c r="AO13" i="10"/>
  <c r="BU13" i="10"/>
  <c r="BV13" i="10"/>
  <c r="BE14" i="10"/>
  <c r="BF14" i="10"/>
  <c r="AX22" i="10"/>
  <c r="AW22" i="10"/>
  <c r="AG19" i="10"/>
  <c r="AH19" i="10"/>
  <c r="AX19" i="10"/>
  <c r="AW19" i="10"/>
  <c r="BM19" i="10"/>
  <c r="BN19" i="10"/>
  <c r="AH26" i="10"/>
  <c r="AG26" i="10"/>
  <c r="AW26" i="10"/>
  <c r="AX26" i="10"/>
  <c r="AH25" i="10"/>
  <c r="AG25" i="10"/>
  <c r="AD15" i="7"/>
  <c r="AC15" i="7"/>
  <c r="BA3" i="7"/>
  <c r="BB3" i="7"/>
  <c r="BA23" i="7"/>
  <c r="BB23" i="7"/>
  <c r="BA5" i="7"/>
  <c r="BB5" i="7"/>
  <c r="AS166" i="7"/>
  <c r="AT166" i="7"/>
  <c r="AC395" i="7"/>
  <c r="AD395" i="7"/>
  <c r="AK167" i="7"/>
  <c r="AL167" i="7"/>
  <c r="AL188" i="7"/>
  <c r="AK188" i="7"/>
  <c r="AC53" i="7"/>
  <c r="AD53" i="7"/>
  <c r="AL570" i="7"/>
  <c r="AK570" i="7"/>
  <c r="BI108" i="7"/>
  <c r="BJ108" i="7"/>
  <c r="BI563" i="7"/>
  <c r="BJ563" i="7"/>
  <c r="AD128" i="7"/>
  <c r="AC128" i="7"/>
  <c r="AD168" i="7"/>
  <c r="AC168" i="7"/>
  <c r="BQ502" i="7"/>
  <c r="BR502" i="7"/>
  <c r="BI477" i="7"/>
  <c r="BJ477" i="7"/>
  <c r="BB508" i="7"/>
  <c r="BA508" i="7"/>
  <c r="BA298" i="7"/>
  <c r="BB298" i="7"/>
  <c r="AD407" i="7"/>
  <c r="AC407" i="7"/>
  <c r="BQ215" i="7"/>
  <c r="BR215" i="7"/>
  <c r="AD111" i="7"/>
  <c r="AC111" i="7"/>
  <c r="BR417" i="7"/>
  <c r="BQ417" i="7"/>
  <c r="AL302" i="7"/>
  <c r="AK302" i="7"/>
  <c r="BJ262" i="7"/>
  <c r="BI262" i="7"/>
  <c r="BB470" i="7"/>
  <c r="BA470" i="7"/>
  <c r="AT275" i="7"/>
  <c r="AS275" i="7"/>
  <c r="AL184" i="7"/>
  <c r="AK184" i="7"/>
  <c r="BR2" i="7"/>
  <c r="BQ2" i="7"/>
  <c r="BJ2" i="7"/>
  <c r="BI2" i="7"/>
  <c r="BB2" i="7"/>
  <c r="BA2" i="7"/>
  <c r="AT2" i="7"/>
  <c r="AS2" i="7"/>
  <c r="AD2" i="7"/>
  <c r="AC2" i="7"/>
  <c r="BJ4" i="8"/>
  <c r="BI4" i="8"/>
  <c r="AK5" i="8"/>
  <c r="AL5" i="8"/>
  <c r="BB7" i="8"/>
  <c r="BA7" i="8"/>
  <c r="AC9" i="8"/>
  <c r="AD9" i="8"/>
  <c r="BR2" i="8"/>
  <c r="BQ2" i="8"/>
  <c r="BJ2" i="8"/>
  <c r="BI2" i="8"/>
  <c r="AT2" i="8"/>
  <c r="AS2" i="8"/>
  <c r="AD2" i="8"/>
  <c r="AC2" i="8"/>
  <c r="BI7" i="9"/>
  <c r="BJ7" i="9"/>
  <c r="AD8" i="9"/>
  <c r="AC8" i="9"/>
  <c r="AK10" i="9"/>
  <c r="AL10" i="9"/>
  <c r="AT10" i="9"/>
  <c r="AS10" i="9"/>
  <c r="AL11" i="9"/>
  <c r="AK11" i="9"/>
  <c r="BR2" i="9"/>
  <c r="BQ2" i="9"/>
  <c r="BI2" i="9"/>
  <c r="BJ2" i="9"/>
  <c r="BA2" i="9"/>
  <c r="BB2" i="9"/>
  <c r="AS2" i="9"/>
  <c r="AT2" i="9"/>
  <c r="AL2" i="9"/>
  <c r="AK2" i="9"/>
  <c r="AC2" i="9"/>
  <c r="AD2" i="9"/>
  <c r="BM7" i="10"/>
  <c r="BN7" i="10"/>
  <c r="BV8" i="10"/>
  <c r="BU8" i="10"/>
  <c r="BM10" i="10"/>
  <c r="BN10" i="10"/>
  <c r="BF15" i="10"/>
  <c r="BE15" i="10"/>
  <c r="AP18" i="10"/>
  <c r="AO18" i="10"/>
  <c r="AX18" i="10"/>
  <c r="AW18" i="10"/>
  <c r="BF18" i="10"/>
  <c r="BE18" i="10"/>
  <c r="AX24" i="10"/>
  <c r="AW24" i="10"/>
  <c r="BV2" i="10"/>
  <c r="BU2" i="10"/>
  <c r="BN2" i="10"/>
  <c r="BM2" i="10"/>
  <c r="BF2" i="10"/>
  <c r="BE2" i="10"/>
  <c r="AX2" i="10"/>
  <c r="AW2" i="10"/>
  <c r="AP2" i="10"/>
  <c r="AO2" i="10"/>
  <c r="AH2" i="10"/>
  <c r="AG2" i="10"/>
  <c r="BQ34" i="13"/>
  <c r="BR34" i="13"/>
  <c r="BQ47" i="13"/>
  <c r="BR47" i="13"/>
  <c r="BQ52" i="13"/>
  <c r="BR52" i="13"/>
  <c r="BQ56" i="13"/>
  <c r="BR56" i="13"/>
  <c r="BQ58" i="13"/>
  <c r="BR58" i="13"/>
  <c r="BQ61" i="13"/>
  <c r="BR61" i="13"/>
  <c r="BQ71" i="13"/>
  <c r="BR71" i="13"/>
  <c r="BQ72" i="13"/>
  <c r="BR72" i="13"/>
  <c r="BQ101" i="13"/>
  <c r="BR101" i="13"/>
  <c r="BQ104" i="13"/>
  <c r="BR104" i="13"/>
  <c r="BQ106" i="13"/>
  <c r="BR106" i="13"/>
  <c r="BQ107" i="13"/>
  <c r="BR107" i="13"/>
  <c r="BQ108" i="13"/>
  <c r="BR108" i="13"/>
  <c r="BQ111" i="13"/>
  <c r="BR111" i="13"/>
  <c r="BQ113" i="13"/>
  <c r="BR113" i="13"/>
  <c r="BQ114" i="13"/>
  <c r="BR114" i="13"/>
  <c r="BQ122" i="13"/>
  <c r="BR122" i="13"/>
  <c r="BQ123" i="13"/>
  <c r="BR123" i="13"/>
  <c r="BR2" i="13"/>
  <c r="BQ2" i="13"/>
  <c r="BB9" i="13"/>
  <c r="BA9" i="13"/>
  <c r="BA12" i="13"/>
  <c r="BB12" i="13"/>
  <c r="BA15" i="13"/>
  <c r="BB15" i="13"/>
  <c r="BB16" i="13"/>
  <c r="BA16" i="13"/>
  <c r="BA20" i="13"/>
  <c r="BB20" i="13"/>
  <c r="BA25" i="13"/>
  <c r="BB25" i="13"/>
  <c r="BB54" i="13"/>
  <c r="BA54" i="13"/>
  <c r="BA55" i="13"/>
  <c r="BB55" i="13"/>
  <c r="BB60" i="13"/>
  <c r="BA60" i="13"/>
  <c r="BB62" i="13"/>
  <c r="BA62" i="13"/>
  <c r="BB66" i="13"/>
  <c r="BA66" i="13"/>
  <c r="BB68" i="13"/>
  <c r="BA68" i="13"/>
  <c r="BA75" i="13"/>
  <c r="BB75" i="13"/>
  <c r="BB79" i="13"/>
  <c r="BA79" i="13"/>
  <c r="BA81" i="13"/>
  <c r="BB81" i="13"/>
  <c r="BA83" i="13"/>
  <c r="BB83" i="13"/>
  <c r="BB87" i="13"/>
  <c r="BA87" i="13"/>
  <c r="BB91" i="13"/>
  <c r="BA91" i="13"/>
  <c r="BA92" i="13"/>
  <c r="BB92" i="13"/>
  <c r="BA103" i="13"/>
  <c r="BB103" i="13"/>
  <c r="BA108" i="13"/>
  <c r="BB108" i="13"/>
  <c r="BA109" i="13"/>
  <c r="BB109" i="13"/>
  <c r="BB112" i="13"/>
  <c r="BA112" i="13"/>
  <c r="BA114" i="13"/>
  <c r="BB114" i="13"/>
  <c r="BA115" i="13"/>
  <c r="BB115" i="13"/>
  <c r="BA116" i="13"/>
  <c r="BB116" i="13"/>
  <c r="BA117" i="13"/>
  <c r="BB117" i="13"/>
  <c r="BA118" i="13"/>
  <c r="BB118" i="13"/>
  <c r="BA119" i="13"/>
  <c r="BB119" i="13"/>
  <c r="BA120" i="13"/>
  <c r="BB120" i="13"/>
  <c r="BA121" i="13"/>
  <c r="BB121" i="13"/>
  <c r="BB122" i="13"/>
  <c r="BA122" i="13"/>
  <c r="BQ73" i="13"/>
  <c r="BQ77" i="13"/>
  <c r="BQ43" i="13"/>
  <c r="BQ88" i="13"/>
  <c r="BQ76" i="13"/>
  <c r="BQ31" i="13"/>
  <c r="BQ69" i="13"/>
  <c r="BQ26" i="13"/>
  <c r="BQ19" i="13"/>
  <c r="BQ55" i="13"/>
  <c r="BB106" i="13"/>
  <c r="BB96" i="13"/>
  <c r="BB82" i="13"/>
  <c r="BB84" i="13"/>
  <c r="BB100" i="13"/>
  <c r="BB99" i="13"/>
  <c r="BB74" i="13"/>
  <c r="BB90" i="13"/>
  <c r="BB63" i="13"/>
  <c r="BB73" i="13"/>
  <c r="BB97" i="13"/>
  <c r="BB102" i="13"/>
  <c r="BB77" i="13"/>
  <c r="BB42" i="13"/>
  <c r="BB43" i="13"/>
  <c r="BB88" i="13"/>
  <c r="BB64" i="13"/>
  <c r="BB36" i="13"/>
  <c r="BB24" i="13"/>
  <c r="BB85" i="13"/>
  <c r="BB46" i="13"/>
  <c r="BB35" i="13"/>
  <c r="BB76" i="13"/>
  <c r="BB38" i="13"/>
  <c r="BB31" i="13"/>
  <c r="BB29" i="13"/>
  <c r="BB41" i="13"/>
  <c r="BB69" i="13"/>
  <c r="BB34" i="13"/>
  <c r="BB61" i="13"/>
  <c r="BB71" i="13"/>
  <c r="BB101" i="13"/>
  <c r="BB32" i="13"/>
  <c r="BB23" i="13"/>
  <c r="BB65" i="13"/>
  <c r="BB30" i="13"/>
  <c r="BB28" i="13"/>
  <c r="BB27" i="13"/>
  <c r="BB11" i="13"/>
  <c r="BB14" i="13"/>
  <c r="BB33" i="13"/>
  <c r="BB17" i="13"/>
  <c r="BB89" i="13"/>
  <c r="BB21" i="13"/>
  <c r="BB58" i="13"/>
  <c r="BB56" i="13"/>
  <c r="BB13" i="13"/>
  <c r="BB105" i="13"/>
  <c r="BB22" i="13"/>
  <c r="BB57" i="13"/>
  <c r="BB72" i="13"/>
  <c r="BB39" i="13"/>
  <c r="BB26" i="13"/>
  <c r="BB111" i="13"/>
  <c r="BB45" i="13"/>
  <c r="BB44" i="13"/>
  <c r="BB48" i="13"/>
  <c r="BB104" i="13"/>
  <c r="BB18" i="13"/>
  <c r="BB110" i="13"/>
  <c r="BB123" i="13"/>
  <c r="BB67" i="13"/>
  <c r="BB49" i="13"/>
  <c r="BB40" i="13"/>
  <c r="BB8" i="13"/>
  <c r="BA8" i="13"/>
  <c r="BQ24" i="13"/>
  <c r="BB93" i="13"/>
  <c r="BQ96" i="13"/>
  <c r="BR96" i="13"/>
  <c r="BQ82" i="13"/>
  <c r="BR82" i="13"/>
  <c r="BQ93" i="13"/>
  <c r="BR93" i="13"/>
  <c r="BQ98" i="13"/>
  <c r="BR98" i="13"/>
  <c r="BQ95" i="13"/>
  <c r="BR95" i="13"/>
  <c r="BQ94" i="13"/>
  <c r="BR94" i="13"/>
  <c r="BQ84" i="13"/>
  <c r="BR84" i="13"/>
  <c r="BQ100" i="13"/>
  <c r="BR100" i="13"/>
  <c r="BQ99" i="13"/>
  <c r="BR99" i="13"/>
  <c r="BQ74" i="13"/>
  <c r="BR74" i="13"/>
  <c r="BQ90" i="13"/>
  <c r="BR90" i="13"/>
  <c r="BQ63" i="13"/>
  <c r="BR63" i="13"/>
  <c r="BR97" i="13"/>
  <c r="BQ97" i="13"/>
  <c r="BR102" i="13"/>
  <c r="BQ102" i="13"/>
  <c r="BQ42" i="13"/>
  <c r="BR42" i="13"/>
  <c r="BQ64" i="13"/>
  <c r="BR64" i="13"/>
  <c r="BQ36" i="13"/>
  <c r="BR36" i="13"/>
  <c r="BQ85" i="13"/>
  <c r="BR85" i="13"/>
  <c r="BR46" i="13"/>
  <c r="BQ46" i="13"/>
  <c r="BR38" i="13"/>
  <c r="BQ38" i="13"/>
  <c r="BR29" i="13"/>
  <c r="BQ29" i="13"/>
  <c r="BQ41" i="13"/>
  <c r="BR41" i="13"/>
  <c r="BR120" i="13"/>
  <c r="BQ120" i="13"/>
  <c r="BQ117" i="13"/>
  <c r="BR117" i="13"/>
  <c r="BQ121" i="13"/>
  <c r="BR121" i="13"/>
  <c r="BQ116" i="13"/>
  <c r="BR116" i="13"/>
  <c r="BQ118" i="13"/>
  <c r="BR118" i="13"/>
  <c r="BR119" i="13"/>
  <c r="BQ119" i="13"/>
  <c r="BQ16" i="13"/>
  <c r="BR16" i="13"/>
  <c r="BQ103" i="13"/>
  <c r="BR103" i="13"/>
  <c r="BQ15" i="13"/>
  <c r="BR15" i="13"/>
  <c r="BQ25" i="13"/>
  <c r="BR25" i="13"/>
  <c r="BQ115" i="13"/>
  <c r="BR115" i="13"/>
  <c r="BR112" i="13"/>
  <c r="BQ112" i="13"/>
  <c r="BQ12" i="13"/>
  <c r="BR12" i="13"/>
  <c r="BQ109" i="13"/>
  <c r="BR109" i="13"/>
  <c r="BQ67" i="13"/>
  <c r="BR67" i="13"/>
  <c r="BQ49" i="13"/>
  <c r="BR49" i="13"/>
  <c r="BR40" i="13"/>
  <c r="BQ40" i="13"/>
  <c r="BR8" i="13"/>
  <c r="BQ8" i="13"/>
  <c r="BR7" i="13"/>
  <c r="BQ7" i="13"/>
  <c r="BQ6" i="13"/>
  <c r="BR6" i="13"/>
  <c r="BR4" i="13"/>
  <c r="BQ4" i="13"/>
  <c r="BQ70" i="13"/>
  <c r="BR70" i="13"/>
  <c r="BR50" i="13"/>
  <c r="BQ50" i="13"/>
  <c r="BQ10" i="13"/>
  <c r="BR10" i="13"/>
  <c r="BQ53" i="13"/>
  <c r="BR53" i="13"/>
  <c r="BR59" i="13"/>
  <c r="BQ59" i="13"/>
  <c r="BQ86" i="13"/>
  <c r="BR86" i="13"/>
  <c r="BQ51" i="13"/>
  <c r="BR51" i="13"/>
  <c r="BQ9" i="13"/>
  <c r="BR9" i="13"/>
  <c r="BR62" i="13"/>
  <c r="BQ62" i="13"/>
  <c r="BR60" i="13"/>
  <c r="BQ60" i="13"/>
  <c r="BR81" i="13"/>
  <c r="BQ81" i="13"/>
  <c r="BR68" i="13"/>
  <c r="BQ68" i="13"/>
  <c r="BQ75" i="13"/>
  <c r="BR75" i="13"/>
  <c r="BQ66" i="13"/>
  <c r="BR66" i="13"/>
  <c r="BQ79" i="13"/>
  <c r="BR79" i="13"/>
  <c r="BQ83" i="13"/>
  <c r="BR83" i="13"/>
  <c r="BR87" i="13"/>
  <c r="BQ87" i="13"/>
  <c r="BR92" i="13"/>
  <c r="BQ92" i="13"/>
  <c r="BJ91" i="13"/>
  <c r="BI91" i="13"/>
  <c r="BI38" i="13"/>
  <c r="BJ38" i="13"/>
  <c r="BI31" i="13"/>
  <c r="BJ31" i="13"/>
  <c r="BI29" i="13"/>
  <c r="BJ29" i="13"/>
  <c r="BI41" i="13"/>
  <c r="BJ41" i="13"/>
  <c r="BJ69" i="13"/>
  <c r="BI69" i="13"/>
  <c r="BJ34" i="13"/>
  <c r="BI34" i="13"/>
  <c r="BJ61" i="13"/>
  <c r="BI61" i="13"/>
  <c r="BJ71" i="13"/>
  <c r="BI71" i="13"/>
  <c r="BJ101" i="13"/>
  <c r="BI101" i="13"/>
  <c r="BI32" i="13"/>
  <c r="BJ32" i="13"/>
  <c r="BJ23" i="13"/>
  <c r="BI23" i="13"/>
  <c r="BI65" i="13"/>
  <c r="BJ65" i="13"/>
  <c r="BJ37" i="13"/>
  <c r="BI37" i="13"/>
  <c r="BJ106" i="13"/>
  <c r="BI106" i="13"/>
  <c r="BJ80" i="13"/>
  <c r="BI80" i="13"/>
  <c r="BJ52" i="13"/>
  <c r="BI52" i="13"/>
  <c r="BJ47" i="13"/>
  <c r="BI47" i="13"/>
  <c r="BJ30" i="13"/>
  <c r="BI30" i="13"/>
  <c r="BJ28" i="13"/>
  <c r="BI28" i="13"/>
  <c r="BI27" i="13"/>
  <c r="BJ27" i="13"/>
  <c r="BJ11" i="13"/>
  <c r="BI11" i="13"/>
  <c r="BJ14" i="13"/>
  <c r="BI14" i="13"/>
  <c r="BJ33" i="13"/>
  <c r="BI33" i="13"/>
  <c r="BJ17" i="13"/>
  <c r="BI17" i="13"/>
  <c r="BJ120" i="13"/>
  <c r="BI120" i="13"/>
  <c r="BJ117" i="13"/>
  <c r="BI117" i="13"/>
  <c r="BJ121" i="13"/>
  <c r="BI121" i="13"/>
  <c r="BI116" i="13"/>
  <c r="BJ116" i="13"/>
  <c r="BI118" i="13"/>
  <c r="BJ118" i="13"/>
  <c r="BI119" i="13"/>
  <c r="BJ119" i="13"/>
  <c r="BJ16" i="13"/>
  <c r="BI16" i="13"/>
  <c r="BJ103" i="13"/>
  <c r="BI103" i="13"/>
  <c r="BJ15" i="13"/>
  <c r="BI15" i="13"/>
  <c r="BJ25" i="13"/>
  <c r="BI25" i="13"/>
  <c r="BI115" i="13"/>
  <c r="BJ115" i="13"/>
  <c r="BI112" i="13"/>
  <c r="BJ112" i="13"/>
  <c r="BI12" i="13"/>
  <c r="BJ12" i="13"/>
  <c r="BJ109" i="13"/>
  <c r="BI109" i="13"/>
  <c r="BJ67" i="13"/>
  <c r="BI67" i="13"/>
  <c r="BJ49" i="13"/>
  <c r="BI49" i="13"/>
  <c r="BJ40" i="13"/>
  <c r="BI40" i="13"/>
  <c r="BJ8" i="13"/>
  <c r="BI8" i="13"/>
  <c r="BI7" i="13"/>
  <c r="BJ7" i="13"/>
  <c r="BI6" i="13"/>
  <c r="BJ6" i="13"/>
  <c r="BJ4" i="13"/>
  <c r="BI4" i="13"/>
  <c r="BI70" i="13"/>
  <c r="BJ70" i="13"/>
  <c r="BI50" i="13"/>
  <c r="BJ50" i="13"/>
  <c r="BJ10" i="13"/>
  <c r="BI10" i="13"/>
  <c r="BJ53" i="13"/>
  <c r="BI53" i="13"/>
  <c r="BJ59" i="13"/>
  <c r="BI59" i="13"/>
  <c r="BI86" i="13"/>
  <c r="BJ86" i="13"/>
  <c r="BJ19" i="13"/>
  <c r="BI19" i="13"/>
  <c r="BJ78" i="13"/>
  <c r="BI78" i="13"/>
  <c r="BI5" i="13"/>
  <c r="BJ5" i="13"/>
  <c r="BI51" i="13"/>
  <c r="BJ51" i="13"/>
  <c r="BJ3" i="13"/>
  <c r="BI3" i="13"/>
  <c r="BI9" i="13"/>
  <c r="BJ9" i="13"/>
  <c r="BI55" i="13"/>
  <c r="BJ55" i="13"/>
  <c r="BI62" i="13"/>
  <c r="BJ62" i="13"/>
  <c r="BI60" i="13"/>
  <c r="BJ60" i="13"/>
  <c r="BI81" i="13"/>
  <c r="BJ81" i="13"/>
  <c r="BI68" i="13"/>
  <c r="BJ68" i="13"/>
  <c r="BI75" i="13"/>
  <c r="BJ75" i="13"/>
  <c r="BI66" i="13"/>
  <c r="BJ66" i="13"/>
  <c r="BI79" i="13"/>
  <c r="BJ79" i="13"/>
  <c r="BI83" i="13"/>
  <c r="BJ83" i="13"/>
  <c r="BI87" i="13"/>
  <c r="BJ87" i="13"/>
  <c r="BJ92" i="13"/>
  <c r="BI92" i="13"/>
  <c r="BB98" i="13"/>
  <c r="BA98" i="13"/>
  <c r="BB95" i="13"/>
  <c r="BA95" i="13"/>
  <c r="BB94" i="13"/>
  <c r="BA94" i="13"/>
  <c r="BB37" i="13"/>
  <c r="BA37" i="13"/>
  <c r="BB80" i="13"/>
  <c r="BA80" i="13"/>
  <c r="BB52" i="13"/>
  <c r="BA52" i="13"/>
  <c r="BB47" i="13"/>
  <c r="BA47" i="13"/>
  <c r="BQ35" i="13"/>
  <c r="BR35" i="13"/>
  <c r="BQ65" i="13"/>
  <c r="BR65" i="13"/>
  <c r="BR37" i="13"/>
  <c r="BQ37" i="13"/>
  <c r="BQ80" i="13"/>
  <c r="BR80" i="13"/>
  <c r="BR27" i="13"/>
  <c r="BQ27" i="13"/>
  <c r="BR89" i="13"/>
  <c r="BQ89" i="13"/>
  <c r="BQ105" i="13"/>
  <c r="BR105" i="13"/>
  <c r="BQ57" i="13"/>
  <c r="BR57" i="13"/>
  <c r="BQ110" i="13"/>
  <c r="BR110" i="13"/>
  <c r="BR54" i="13"/>
  <c r="BQ54" i="13"/>
  <c r="BR78" i="13"/>
  <c r="BQ78" i="13"/>
  <c r="BR5" i="13"/>
  <c r="BQ5" i="13"/>
  <c r="BQ3" i="13"/>
  <c r="BR3" i="13"/>
  <c r="BR91" i="13"/>
  <c r="BQ91" i="13"/>
  <c r="BI96" i="13"/>
  <c r="BJ96" i="13"/>
  <c r="BJ82" i="13"/>
  <c r="BI82" i="13"/>
  <c r="BJ93" i="13"/>
  <c r="BI93" i="13"/>
  <c r="BJ98" i="13"/>
  <c r="BI98" i="13"/>
  <c r="BJ95" i="13"/>
  <c r="BI95" i="13"/>
  <c r="BJ94" i="13"/>
  <c r="BI94" i="13"/>
  <c r="BJ84" i="13"/>
  <c r="BI84" i="13"/>
  <c r="BJ100" i="13"/>
  <c r="BI100" i="13"/>
  <c r="BJ99" i="13"/>
  <c r="BI99" i="13"/>
  <c r="BI74" i="13"/>
  <c r="BJ74" i="13"/>
  <c r="BB113" i="13"/>
  <c r="BA113" i="13"/>
  <c r="BB107" i="13"/>
  <c r="BA107" i="13"/>
  <c r="BB7" i="13"/>
  <c r="BA7" i="13"/>
  <c r="BA6" i="13"/>
  <c r="BB6" i="13"/>
  <c r="BB4" i="13"/>
  <c r="BA4" i="13"/>
  <c r="BA70" i="13"/>
  <c r="BB70" i="13"/>
  <c r="BA50" i="13"/>
  <c r="BB50" i="13"/>
  <c r="BA10" i="13"/>
  <c r="BB10" i="13"/>
  <c r="BB53" i="13"/>
  <c r="BA53" i="13"/>
  <c r="BA59" i="13"/>
  <c r="BB59" i="13"/>
  <c r="BA86" i="13"/>
  <c r="BB86" i="13"/>
  <c r="BA19" i="13"/>
  <c r="BB19" i="13"/>
  <c r="BA78" i="13"/>
  <c r="BB78" i="13"/>
  <c r="BA5" i="13"/>
  <c r="BB5" i="13"/>
  <c r="BA51" i="13"/>
  <c r="BB51" i="13"/>
</calcChain>
</file>

<file path=xl/sharedStrings.xml><?xml version="1.0" encoding="utf-8"?>
<sst xmlns="http://schemas.openxmlformats.org/spreadsheetml/2006/main" count="1318" uniqueCount="877">
  <si>
    <t>cod_edad</t>
  </si>
  <si>
    <t>2017</t>
  </si>
  <si>
    <t>Hombres_2017</t>
  </si>
  <si>
    <t>Mujeres_2017</t>
  </si>
  <si>
    <t>2018</t>
  </si>
  <si>
    <t>Hombres_2018</t>
  </si>
  <si>
    <t>Mujeres_2018</t>
  </si>
  <si>
    <t>2019</t>
  </si>
  <si>
    <t>Hombres_2019</t>
  </si>
  <si>
    <t>Mujeres_2019</t>
  </si>
  <si>
    <t>2020</t>
  </si>
  <si>
    <t>Hombres_2020</t>
  </si>
  <si>
    <t>Mujeres_2020</t>
  </si>
  <si>
    <t>2021</t>
  </si>
  <si>
    <t>Hombres_2021</t>
  </si>
  <si>
    <t>Mujeres_2021</t>
  </si>
  <si>
    <t>2022</t>
  </si>
  <si>
    <t>Hombres_2022</t>
  </si>
  <si>
    <t>Mujeres_2022</t>
  </si>
  <si>
    <t>2023</t>
  </si>
  <si>
    <t>Hombres_2023</t>
  </si>
  <si>
    <t>Mujeres_2023</t>
  </si>
  <si>
    <t>4</t>
  </si>
  <si>
    <t>3</t>
  </si>
  <si>
    <t>2</t>
  </si>
  <si>
    <t>1</t>
  </si>
  <si>
    <t>9</t>
  </si>
  <si>
    <t>prov_res</t>
  </si>
  <si>
    <t>09</t>
  </si>
  <si>
    <t>17</t>
  </si>
  <si>
    <t>13</t>
  </si>
  <si>
    <t>12</t>
  </si>
  <si>
    <t>01</t>
  </si>
  <si>
    <t>07</t>
  </si>
  <si>
    <t>18</t>
  </si>
  <si>
    <t>06</t>
  </si>
  <si>
    <t>10</t>
  </si>
  <si>
    <t>11</t>
  </si>
  <si>
    <t>23</t>
  </si>
  <si>
    <t>05</t>
  </si>
  <si>
    <t>24</t>
  </si>
  <si>
    <t>08</t>
  </si>
  <si>
    <t>03</t>
  </si>
  <si>
    <t>02</t>
  </si>
  <si>
    <t>04</t>
  </si>
  <si>
    <t>14</t>
  </si>
  <si>
    <t>16</t>
  </si>
  <si>
    <t>21</t>
  </si>
  <si>
    <t>19</t>
  </si>
  <si>
    <t>15</t>
  </si>
  <si>
    <t>22</t>
  </si>
  <si>
    <t>88</t>
  </si>
  <si>
    <t>20</t>
  </si>
  <si>
    <t>90</t>
  </si>
  <si>
    <t>niv_inst</t>
  </si>
  <si>
    <t>0</t>
  </si>
  <si>
    <t>5</t>
  </si>
  <si>
    <t>7</t>
  </si>
  <si>
    <t>6</t>
  </si>
  <si>
    <t>8</t>
  </si>
  <si>
    <t>etnia</t>
  </si>
  <si>
    <t>causa</t>
  </si>
  <si>
    <t>I21</t>
  </si>
  <si>
    <t>J18</t>
  </si>
  <si>
    <t>E11</t>
  </si>
  <si>
    <t>E14</t>
  </si>
  <si>
    <t>K74</t>
  </si>
  <si>
    <t>C16</t>
  </si>
  <si>
    <t>I11</t>
  </si>
  <si>
    <t>J44</t>
  </si>
  <si>
    <t>N18</t>
  </si>
  <si>
    <t>I10</t>
  </si>
  <si>
    <t>I50</t>
  </si>
  <si>
    <t>I64</t>
  </si>
  <si>
    <t>C61</t>
  </si>
  <si>
    <t>C34</t>
  </si>
  <si>
    <t>I67</t>
  </si>
  <si>
    <t>I61</t>
  </si>
  <si>
    <t>J84</t>
  </si>
  <si>
    <t>J15</t>
  </si>
  <si>
    <t>I63</t>
  </si>
  <si>
    <t>C22</t>
  </si>
  <si>
    <t>C50</t>
  </si>
  <si>
    <t>C18</t>
  </si>
  <si>
    <t>I12</t>
  </si>
  <si>
    <t>I60</t>
  </si>
  <si>
    <t>C25</t>
  </si>
  <si>
    <t>G30</t>
  </si>
  <si>
    <t>C53</t>
  </si>
  <si>
    <t>C71</t>
  </si>
  <si>
    <t>I69</t>
  </si>
  <si>
    <t>K70</t>
  </si>
  <si>
    <t>K92</t>
  </si>
  <si>
    <t>I25</t>
  </si>
  <si>
    <t>C85</t>
  </si>
  <si>
    <t>C91</t>
  </si>
  <si>
    <t>C80</t>
  </si>
  <si>
    <t>E10</t>
  </si>
  <si>
    <t>C55</t>
  </si>
  <si>
    <t>N39</t>
  </si>
  <si>
    <t>N19</t>
  </si>
  <si>
    <t>C92</t>
  </si>
  <si>
    <t>C56</t>
  </si>
  <si>
    <t>I13</t>
  </si>
  <si>
    <t>G20</t>
  </si>
  <si>
    <t>K56</t>
  </si>
  <si>
    <t>I48</t>
  </si>
  <si>
    <t>K85</t>
  </si>
  <si>
    <t>G40</t>
  </si>
  <si>
    <t>K65</t>
  </si>
  <si>
    <t>J81</t>
  </si>
  <si>
    <t>J42</t>
  </si>
  <si>
    <t>Q24</t>
  </si>
  <si>
    <t>K55</t>
  </si>
  <si>
    <t>C24</t>
  </si>
  <si>
    <t>D64</t>
  </si>
  <si>
    <t>C73</t>
  </si>
  <si>
    <t>N17</t>
  </si>
  <si>
    <t>C67</t>
  </si>
  <si>
    <t>I62</t>
  </si>
  <si>
    <t>C64</t>
  </si>
  <si>
    <t>C44</t>
  </si>
  <si>
    <t>K80</t>
  </si>
  <si>
    <t>I26</t>
  </si>
  <si>
    <t>C90</t>
  </si>
  <si>
    <t>K25</t>
  </si>
  <si>
    <t>I42</t>
  </si>
  <si>
    <t>C15</t>
  </si>
  <si>
    <t>C20</t>
  </si>
  <si>
    <t>I71</t>
  </si>
  <si>
    <t>L89</t>
  </si>
  <si>
    <t>D37</t>
  </si>
  <si>
    <t>J98</t>
  </si>
  <si>
    <t>K72</t>
  </si>
  <si>
    <t>E87</t>
  </si>
  <si>
    <t>C23</t>
  </si>
  <si>
    <t>C83</t>
  </si>
  <si>
    <t>K83</t>
  </si>
  <si>
    <t>Q25</t>
  </si>
  <si>
    <t>I27</t>
  </si>
  <si>
    <t>J96</t>
  </si>
  <si>
    <t>D43</t>
  </si>
  <si>
    <t>C95</t>
  </si>
  <si>
    <t>I35</t>
  </si>
  <si>
    <t>K76</t>
  </si>
  <si>
    <t>Q21</t>
  </si>
  <si>
    <t>X45</t>
  </si>
  <si>
    <t>C43</t>
  </si>
  <si>
    <t>J90</t>
  </si>
  <si>
    <t>C41</t>
  </si>
  <si>
    <t>N40</t>
  </si>
  <si>
    <t>M32</t>
  </si>
  <si>
    <t>I20</t>
  </si>
  <si>
    <t>C49</t>
  </si>
  <si>
    <t>M06</t>
  </si>
  <si>
    <t>I49</t>
  </si>
  <si>
    <t>J69</t>
  </si>
  <si>
    <t>Q89</t>
  </si>
  <si>
    <t>C54</t>
  </si>
  <si>
    <t>I51</t>
  </si>
  <si>
    <t>K81</t>
  </si>
  <si>
    <t>C32</t>
  </si>
  <si>
    <t>D38</t>
  </si>
  <si>
    <t>C76</t>
  </si>
  <si>
    <t>D48</t>
  </si>
  <si>
    <t>D53</t>
  </si>
  <si>
    <t>D69</t>
  </si>
  <si>
    <t>K63</t>
  </si>
  <si>
    <t>F03</t>
  </si>
  <si>
    <t>E78</t>
  </si>
  <si>
    <t>J20</t>
  </si>
  <si>
    <t>Q79</t>
  </si>
  <si>
    <t>K35</t>
  </si>
  <si>
    <t>E66</t>
  </si>
  <si>
    <t>G12</t>
  </si>
  <si>
    <t>K29</t>
  </si>
  <si>
    <t>J43</t>
  </si>
  <si>
    <t>E86</t>
  </si>
  <si>
    <t>Q20</t>
  </si>
  <si>
    <t>E03</t>
  </si>
  <si>
    <t>I24</t>
  </si>
  <si>
    <t>I34</t>
  </si>
  <si>
    <t>C17</t>
  </si>
  <si>
    <t>C48</t>
  </si>
  <si>
    <t>C62</t>
  </si>
  <si>
    <t>E12</t>
  </si>
  <si>
    <t>Q90</t>
  </si>
  <si>
    <t>I05</t>
  </si>
  <si>
    <t>K57</t>
  </si>
  <si>
    <t>C81</t>
  </si>
  <si>
    <t>L08</t>
  </si>
  <si>
    <t>D61</t>
  </si>
  <si>
    <t>K40</t>
  </si>
  <si>
    <t>Q03</t>
  </si>
  <si>
    <t>D46</t>
  </si>
  <si>
    <t>I44</t>
  </si>
  <si>
    <t>C19</t>
  </si>
  <si>
    <t>M19</t>
  </si>
  <si>
    <t>K75</t>
  </si>
  <si>
    <t>G31</t>
  </si>
  <si>
    <t>Q04</t>
  </si>
  <si>
    <t>G03</t>
  </si>
  <si>
    <t>G04</t>
  </si>
  <si>
    <t>I38</t>
  </si>
  <si>
    <t>I70</t>
  </si>
  <si>
    <t>J80</t>
  </si>
  <si>
    <t>Q22</t>
  </si>
  <si>
    <t>J45</t>
  </si>
  <si>
    <t>G00</t>
  </si>
  <si>
    <t>I80</t>
  </si>
  <si>
    <t>I74</t>
  </si>
  <si>
    <t>C38</t>
  </si>
  <si>
    <t>C40</t>
  </si>
  <si>
    <t>M15</t>
  </si>
  <si>
    <t>C60</t>
  </si>
  <si>
    <t>Q28</t>
  </si>
  <si>
    <t>G41</t>
  </si>
  <si>
    <t>G61</t>
  </si>
  <si>
    <t>I33</t>
  </si>
  <si>
    <t>Q00</t>
  </si>
  <si>
    <t>C02</t>
  </si>
  <si>
    <t>D50</t>
  </si>
  <si>
    <t>I08</t>
  </si>
  <si>
    <t>I31</t>
  </si>
  <si>
    <t>J11</t>
  </si>
  <si>
    <t>K27</t>
  </si>
  <si>
    <t>M72</t>
  </si>
  <si>
    <t>Q23</t>
  </si>
  <si>
    <t>D59</t>
  </si>
  <si>
    <t>I85</t>
  </si>
  <si>
    <t>J94</t>
  </si>
  <si>
    <t>K22</t>
  </si>
  <si>
    <t>C69</t>
  </si>
  <si>
    <t>Q91</t>
  </si>
  <si>
    <t>C26</t>
  </si>
  <si>
    <t>E88</t>
  </si>
  <si>
    <t>F01</t>
  </si>
  <si>
    <t>I82</t>
  </si>
  <si>
    <t>K26</t>
  </si>
  <si>
    <t>K71</t>
  </si>
  <si>
    <t>M34</t>
  </si>
  <si>
    <t>C21</t>
  </si>
  <si>
    <t>C51</t>
  </si>
  <si>
    <t>C84</t>
  </si>
  <si>
    <t>E84</t>
  </si>
  <si>
    <t>I87</t>
  </si>
  <si>
    <t>J47</t>
  </si>
  <si>
    <t>Q33</t>
  </si>
  <si>
    <t>C82</t>
  </si>
  <si>
    <t>D40</t>
  </si>
  <si>
    <t>D68</t>
  </si>
  <si>
    <t>K43</t>
  </si>
  <si>
    <t>N12</t>
  </si>
  <si>
    <t>Q39</t>
  </si>
  <si>
    <t>Q43</t>
  </si>
  <si>
    <t>C14</t>
  </si>
  <si>
    <t>C72</t>
  </si>
  <si>
    <t>I46</t>
  </si>
  <si>
    <t>N13</t>
  </si>
  <si>
    <t>G35</t>
  </si>
  <si>
    <t>I72</t>
  </si>
  <si>
    <t>J40</t>
  </si>
  <si>
    <t>K31</t>
  </si>
  <si>
    <t>M05</t>
  </si>
  <si>
    <t>M81</t>
  </si>
  <si>
    <t>Q02</t>
  </si>
  <si>
    <t>C45</t>
  </si>
  <si>
    <t>I47</t>
  </si>
  <si>
    <t>K46</t>
  </si>
  <si>
    <t>Q87</t>
  </si>
  <si>
    <t>R95</t>
  </si>
  <si>
    <t>C07</t>
  </si>
  <si>
    <t>D39</t>
  </si>
  <si>
    <t>D41</t>
  </si>
  <si>
    <t>I73</t>
  </si>
  <si>
    <t>Q41</t>
  </si>
  <si>
    <t>D65</t>
  </si>
  <si>
    <t>G62</t>
  </si>
  <si>
    <t>I77</t>
  </si>
  <si>
    <t>J22</t>
  </si>
  <si>
    <t>Q26</t>
  </si>
  <si>
    <t>Q61</t>
  </si>
  <si>
    <t>C01</t>
  </si>
  <si>
    <t>D44</t>
  </si>
  <si>
    <t>D47</t>
  </si>
  <si>
    <t>I83</t>
  </si>
  <si>
    <t>K44</t>
  </si>
  <si>
    <t>K82</t>
  </si>
  <si>
    <t>M86</t>
  </si>
  <si>
    <t>C75</t>
  </si>
  <si>
    <t>D75</t>
  </si>
  <si>
    <t>I15</t>
  </si>
  <si>
    <t>J21</t>
  </si>
  <si>
    <t>K42</t>
  </si>
  <si>
    <t>K59</t>
  </si>
  <si>
    <t>M31</t>
  </si>
  <si>
    <t>Q44</t>
  </si>
  <si>
    <t>C94</t>
  </si>
  <si>
    <t>G11</t>
  </si>
  <si>
    <t>N20</t>
  </si>
  <si>
    <t>Q99</t>
  </si>
  <si>
    <t>C03</t>
  </si>
  <si>
    <t>C11</t>
  </si>
  <si>
    <t>C31</t>
  </si>
  <si>
    <t>C46</t>
  </si>
  <si>
    <t>D13</t>
  </si>
  <si>
    <t>D32</t>
  </si>
  <si>
    <t>E05</t>
  </si>
  <si>
    <t>F19</t>
  </si>
  <si>
    <t>G10</t>
  </si>
  <si>
    <t>J38</t>
  </si>
  <si>
    <t>J85</t>
  </si>
  <si>
    <t>J93</t>
  </si>
  <si>
    <t>K66</t>
  </si>
  <si>
    <t>L03</t>
  </si>
  <si>
    <t>L93</t>
  </si>
  <si>
    <t>M00</t>
  </si>
  <si>
    <t>M13</t>
  </si>
  <si>
    <t>M62</t>
  </si>
  <si>
    <t>C09</t>
  </si>
  <si>
    <t>C10</t>
  </si>
  <si>
    <t>C57</t>
  </si>
  <si>
    <t>C74</t>
  </si>
  <si>
    <t>G06</t>
  </si>
  <si>
    <t>J12</t>
  </si>
  <si>
    <t>J86</t>
  </si>
  <si>
    <t>M16</t>
  </si>
  <si>
    <t>N11</t>
  </si>
  <si>
    <t>C30</t>
  </si>
  <si>
    <t>C52</t>
  </si>
  <si>
    <t>C96</t>
  </si>
  <si>
    <t>D35</t>
  </si>
  <si>
    <t>D84</t>
  </si>
  <si>
    <t>E76</t>
  </si>
  <si>
    <t>G37</t>
  </si>
  <si>
    <t>I89</t>
  </si>
  <si>
    <t>K73</t>
  </si>
  <si>
    <t>Q07</t>
  </si>
  <si>
    <t>Q60</t>
  </si>
  <si>
    <t>C68</t>
  </si>
  <si>
    <t>D70</t>
  </si>
  <si>
    <t>E04</t>
  </si>
  <si>
    <t>E13</t>
  </si>
  <si>
    <t>I06</t>
  </si>
  <si>
    <t>I07</t>
  </si>
  <si>
    <t>I95</t>
  </si>
  <si>
    <t>I99</t>
  </si>
  <si>
    <t>J41</t>
  </si>
  <si>
    <t>K51</t>
  </si>
  <si>
    <t>K86</t>
  </si>
  <si>
    <t>L10</t>
  </si>
  <si>
    <t>L51</t>
  </si>
  <si>
    <t>M33</t>
  </si>
  <si>
    <t>Q05</t>
  </si>
  <si>
    <t>Q27</t>
  </si>
  <si>
    <t>C00</t>
  </si>
  <si>
    <t>C04</t>
  </si>
  <si>
    <t>C05</t>
  </si>
  <si>
    <t>C88</t>
  </si>
  <si>
    <t>D45</t>
  </si>
  <si>
    <t>I22</t>
  </si>
  <si>
    <t>J39</t>
  </si>
  <si>
    <t>K21</t>
  </si>
  <si>
    <t>L02</t>
  </si>
  <si>
    <t>N03</t>
  </si>
  <si>
    <t>N05</t>
  </si>
  <si>
    <t>N28</t>
  </si>
  <si>
    <t>N49</t>
  </si>
  <si>
    <t>Q01</t>
  </si>
  <si>
    <t>Q06</t>
  </si>
  <si>
    <t>C33</t>
  </si>
  <si>
    <t>C70</t>
  </si>
  <si>
    <t>D15</t>
  </si>
  <si>
    <t>D36</t>
  </si>
  <si>
    <t>D42</t>
  </si>
  <si>
    <t>D66</t>
  </si>
  <si>
    <t>J46</t>
  </si>
  <si>
    <t>K41</t>
  </si>
  <si>
    <t>K50</t>
  </si>
  <si>
    <t>L97</t>
  </si>
  <si>
    <t>M80</t>
  </si>
  <si>
    <t>N10</t>
  </si>
  <si>
    <t>N15</t>
  </si>
  <si>
    <t>N32</t>
  </si>
  <si>
    <t>Q31</t>
  </si>
  <si>
    <t>Q42</t>
  </si>
  <si>
    <t>Q77</t>
  </si>
  <si>
    <t>C06</t>
  </si>
  <si>
    <t>C08</t>
  </si>
  <si>
    <t>C37</t>
  </si>
  <si>
    <t>C65</t>
  </si>
  <si>
    <t>D33</t>
  </si>
  <si>
    <t>D57</t>
  </si>
  <si>
    <t>D58</t>
  </si>
  <si>
    <t>D73</t>
  </si>
  <si>
    <t>E24</t>
  </si>
  <si>
    <t>E72</t>
  </si>
  <si>
    <t>E85</t>
  </si>
  <si>
    <t>G60</t>
  </si>
  <si>
    <t>H66</t>
  </si>
  <si>
    <t>I30</t>
  </si>
  <si>
    <t>I45</t>
  </si>
  <si>
    <t>I88</t>
  </si>
  <si>
    <t>J13</t>
  </si>
  <si>
    <t>J36</t>
  </si>
  <si>
    <t>J68</t>
  </si>
  <si>
    <t>K12</t>
  </si>
  <si>
    <t>K52</t>
  </si>
  <si>
    <t>K61</t>
  </si>
  <si>
    <t>L98</t>
  </si>
  <si>
    <t>M10</t>
  </si>
  <si>
    <t>N30</t>
  </si>
  <si>
    <t>N41</t>
  </si>
  <si>
    <t>N81</t>
  </si>
  <si>
    <t>Q75</t>
  </si>
  <si>
    <t>Q78</t>
  </si>
  <si>
    <t>C39</t>
  </si>
  <si>
    <t>C47</t>
  </si>
  <si>
    <t>C66</t>
  </si>
  <si>
    <t>D14</t>
  </si>
  <si>
    <t>D25</t>
  </si>
  <si>
    <t>D26</t>
  </si>
  <si>
    <t>D29</t>
  </si>
  <si>
    <t>D60</t>
  </si>
  <si>
    <t>D76</t>
  </si>
  <si>
    <t>E22</t>
  </si>
  <si>
    <t>E23</t>
  </si>
  <si>
    <t>E83</t>
  </si>
  <si>
    <t>G09</t>
  </si>
  <si>
    <t>I01</t>
  </si>
  <si>
    <t>I09</t>
  </si>
  <si>
    <t>I37</t>
  </si>
  <si>
    <t>J64</t>
  </si>
  <si>
    <t>K37</t>
  </si>
  <si>
    <t>M17</t>
  </si>
  <si>
    <t>M50</t>
  </si>
  <si>
    <t>N00</t>
  </si>
  <si>
    <t>N04</t>
  </si>
  <si>
    <t>N36</t>
  </si>
  <si>
    <t>Q38</t>
  </si>
  <si>
    <t>Q45</t>
  </si>
  <si>
    <t>Q63</t>
  </si>
  <si>
    <t>Q76</t>
  </si>
  <si>
    <t>Q85</t>
  </si>
  <si>
    <t>X44</t>
  </si>
  <si>
    <t>C13</t>
  </si>
  <si>
    <t>D12</t>
  </si>
  <si>
    <t>D18</t>
  </si>
  <si>
    <t>D83</t>
  </si>
  <si>
    <t>D89</t>
  </si>
  <si>
    <t>E32</t>
  </si>
  <si>
    <t>E64</t>
  </si>
  <si>
    <t>E75</t>
  </si>
  <si>
    <t>F21</t>
  </si>
  <si>
    <t>F41</t>
  </si>
  <si>
    <t>F44</t>
  </si>
  <si>
    <t>I40</t>
  </si>
  <si>
    <t>I78</t>
  </si>
  <si>
    <t>I86</t>
  </si>
  <si>
    <t>J10</t>
  </si>
  <si>
    <t>J67</t>
  </si>
  <si>
    <t>J92</t>
  </si>
  <si>
    <t>K28</t>
  </si>
  <si>
    <t>K38</t>
  </si>
  <si>
    <t>K64</t>
  </si>
  <si>
    <t>L90</t>
  </si>
  <si>
    <t>M35</t>
  </si>
  <si>
    <t>M46</t>
  </si>
  <si>
    <t>M47</t>
  </si>
  <si>
    <t>M51</t>
  </si>
  <si>
    <t>M79</t>
  </si>
  <si>
    <t>M84</t>
  </si>
  <si>
    <t>M85</t>
  </si>
  <si>
    <t>N25</t>
  </si>
  <si>
    <t>N71</t>
  </si>
  <si>
    <t>N73</t>
  </si>
  <si>
    <t>N83</t>
  </si>
  <si>
    <t>Q32</t>
  </si>
  <si>
    <t>Q36</t>
  </si>
  <si>
    <t>Q40</t>
  </si>
  <si>
    <t>Q62</t>
  </si>
  <si>
    <t>Q64</t>
  </si>
  <si>
    <t>Q74</t>
  </si>
  <si>
    <t>Q92</t>
  </si>
  <si>
    <t>X42</t>
  </si>
  <si>
    <t>C58</t>
  </si>
  <si>
    <t>C63</t>
  </si>
  <si>
    <t>C79</t>
  </si>
  <si>
    <t>C86</t>
  </si>
  <si>
    <t>C93</t>
  </si>
  <si>
    <t>D10</t>
  </si>
  <si>
    <t>D17</t>
  </si>
  <si>
    <t>D20</t>
  </si>
  <si>
    <t>D21</t>
  </si>
  <si>
    <t>D23</t>
  </si>
  <si>
    <t>D24</t>
  </si>
  <si>
    <t>D30</t>
  </si>
  <si>
    <t>D51</t>
  </si>
  <si>
    <t>D52</t>
  </si>
  <si>
    <t>D62</t>
  </si>
  <si>
    <t>D67</t>
  </si>
  <si>
    <t>D71</t>
  </si>
  <si>
    <t>D72</t>
  </si>
  <si>
    <t>D74</t>
  </si>
  <si>
    <t>D80</t>
  </si>
  <si>
    <t>D82</t>
  </si>
  <si>
    <t>D86</t>
  </si>
  <si>
    <t>E07</t>
  </si>
  <si>
    <t>E63</t>
  </si>
  <si>
    <t>E70</t>
  </si>
  <si>
    <t>E71</t>
  </si>
  <si>
    <t>E74</t>
  </si>
  <si>
    <t>E77</t>
  </si>
  <si>
    <t>E80</t>
  </si>
  <si>
    <t>F05</t>
  </si>
  <si>
    <t>F11</t>
  </si>
  <si>
    <t>F17</t>
  </si>
  <si>
    <t>G21</t>
  </si>
  <si>
    <t>G23</t>
  </si>
  <si>
    <t>G25</t>
  </si>
  <si>
    <t>G36</t>
  </si>
  <si>
    <t>G44</t>
  </si>
  <si>
    <t>G45</t>
  </si>
  <si>
    <t>G47</t>
  </si>
  <si>
    <t>G51</t>
  </si>
  <si>
    <t>G52</t>
  </si>
  <si>
    <t>H54</t>
  </si>
  <si>
    <t>H83</t>
  </si>
  <si>
    <t>I00</t>
  </si>
  <si>
    <t>I28</t>
  </si>
  <si>
    <t>I36</t>
  </si>
  <si>
    <t>I65</t>
  </si>
  <si>
    <t>J32</t>
  </si>
  <si>
    <t>J65</t>
  </si>
  <si>
    <t>K07</t>
  </si>
  <si>
    <t>K08</t>
  </si>
  <si>
    <t>K20</t>
  </si>
  <si>
    <t>K45</t>
  </si>
  <si>
    <t>K90</t>
  </si>
  <si>
    <t>K91</t>
  </si>
  <si>
    <t>L01</t>
  </si>
  <si>
    <t>L04</t>
  </si>
  <si>
    <t>L40</t>
  </si>
  <si>
    <t>L50</t>
  </si>
  <si>
    <t>L88</t>
  </si>
  <si>
    <t>L95</t>
  </si>
  <si>
    <t>M18</t>
  </si>
  <si>
    <t>M30</t>
  </si>
  <si>
    <t>M41</t>
  </si>
  <si>
    <t>M45</t>
  </si>
  <si>
    <t>M54</t>
  </si>
  <si>
    <t>M89</t>
  </si>
  <si>
    <t>N01</t>
  </si>
  <si>
    <t>N02</t>
  </si>
  <si>
    <t>N21</t>
  </si>
  <si>
    <t>N42</t>
  </si>
  <si>
    <t>N44</t>
  </si>
  <si>
    <t>N61</t>
  </si>
  <si>
    <t>N63</t>
  </si>
  <si>
    <t>N70</t>
  </si>
  <si>
    <t>N76</t>
  </si>
  <si>
    <t>N82</t>
  </si>
  <si>
    <t>Q11</t>
  </si>
  <si>
    <t>Q34</t>
  </si>
  <si>
    <t>Q55</t>
  </si>
  <si>
    <t>Q65</t>
  </si>
  <si>
    <t>Q66</t>
  </si>
  <si>
    <t>Q80</t>
  </si>
  <si>
    <t>Q81</t>
  </si>
  <si>
    <t>Q84</t>
  </si>
  <si>
    <t>Q86</t>
  </si>
  <si>
    <t>Q93</t>
  </si>
  <si>
    <t>Q96</t>
  </si>
  <si>
    <t>X41</t>
  </si>
  <si>
    <t>E34</t>
  </si>
  <si>
    <t>G24</t>
  </si>
  <si>
    <t>K62</t>
  </si>
  <si>
    <t>F32</t>
  </si>
  <si>
    <t>C12</t>
  </si>
  <si>
    <t>D27</t>
  </si>
  <si>
    <t>D34</t>
  </si>
  <si>
    <t>F79</t>
  </si>
  <si>
    <t>G58</t>
  </si>
  <si>
    <t>H81</t>
  </si>
  <si>
    <t>K60</t>
  </si>
  <si>
    <t>M87</t>
  </si>
  <si>
    <t>N48</t>
  </si>
  <si>
    <t>D11</t>
  </si>
  <si>
    <t>D16</t>
  </si>
  <si>
    <t>D22</t>
  </si>
  <si>
    <t>E21</t>
  </si>
  <si>
    <t>F09</t>
  </si>
  <si>
    <t>F14</t>
  </si>
  <si>
    <t>F16</t>
  </si>
  <si>
    <t>F25</t>
  </si>
  <si>
    <t>F54</t>
  </si>
  <si>
    <t>F55</t>
  </si>
  <si>
    <t>G08</t>
  </si>
  <si>
    <t>H44</t>
  </si>
  <si>
    <t>H70</t>
  </si>
  <si>
    <t>H71</t>
  </si>
  <si>
    <t>I81</t>
  </si>
  <si>
    <t>J16</t>
  </si>
  <si>
    <t>J34</t>
  </si>
  <si>
    <t>J61</t>
  </si>
  <si>
    <t>J62</t>
  </si>
  <si>
    <t>J63</t>
  </si>
  <si>
    <t>K58</t>
  </si>
  <si>
    <t>M02</t>
  </si>
  <si>
    <t>M65</t>
  </si>
  <si>
    <t>N45</t>
  </si>
  <si>
    <t>N50</t>
  </si>
  <si>
    <t>N75</t>
  </si>
  <si>
    <t>Q30</t>
  </si>
  <si>
    <t>Q35</t>
  </si>
  <si>
    <t>Q95</t>
  </si>
  <si>
    <t>D81</t>
  </si>
  <si>
    <t>F71</t>
  </si>
  <si>
    <t>D19</t>
  </si>
  <si>
    <t>E06</t>
  </si>
  <si>
    <t>E20</t>
  </si>
  <si>
    <t>F31</t>
  </si>
  <si>
    <t>F33</t>
  </si>
  <si>
    <t>F99</t>
  </si>
  <si>
    <t>G14</t>
  </si>
  <si>
    <t>H05</t>
  </si>
  <si>
    <t>J14</t>
  </si>
  <si>
    <t>J37</t>
  </si>
  <si>
    <t>J82</t>
  </si>
  <si>
    <t>M12</t>
  </si>
  <si>
    <t>M83</t>
  </si>
  <si>
    <t>N07</t>
  </si>
  <si>
    <t>N31</t>
  </si>
  <si>
    <t>N43</t>
  </si>
  <si>
    <t>N72</t>
  </si>
  <si>
    <t>Q37</t>
  </si>
  <si>
    <t>Q53</t>
  </si>
  <si>
    <t>Q54</t>
  </si>
  <si>
    <t>C78</t>
  </si>
  <si>
    <t>N80</t>
  </si>
  <si>
    <t>F72</t>
  </si>
  <si>
    <t>N35</t>
  </si>
  <si>
    <t>D56</t>
  </si>
  <si>
    <t>E61</t>
  </si>
  <si>
    <t>E73</t>
  </si>
  <si>
    <t>F06</t>
  </si>
  <si>
    <t>F43</t>
  </si>
  <si>
    <t>F73</t>
  </si>
  <si>
    <t>F84</t>
  </si>
  <si>
    <t>H90</t>
  </si>
  <si>
    <t>J31</t>
  </si>
  <si>
    <t>L13</t>
  </si>
  <si>
    <t>L41</t>
  </si>
  <si>
    <t>M42</t>
  </si>
  <si>
    <t>M77</t>
  </si>
  <si>
    <t>M99</t>
  </si>
  <si>
    <t>N23</t>
  </si>
  <si>
    <t>N62</t>
  </si>
  <si>
    <t>Q72</t>
  </si>
  <si>
    <t>Q82</t>
  </si>
  <si>
    <t>F12</t>
  </si>
  <si>
    <t>J70</t>
  </si>
  <si>
    <t>D55</t>
  </si>
  <si>
    <t>F07</t>
  </si>
  <si>
    <t>F29</t>
  </si>
  <si>
    <t>G64</t>
  </si>
  <si>
    <t>L00</t>
  </si>
  <si>
    <t>L12</t>
  </si>
  <si>
    <t>L26</t>
  </si>
  <si>
    <t>L52</t>
  </si>
  <si>
    <t>M43</t>
  </si>
  <si>
    <t>Q98</t>
  </si>
  <si>
    <t>H40</t>
  </si>
  <si>
    <t>F13</t>
  </si>
  <si>
    <t>J60</t>
  </si>
  <si>
    <t>K30</t>
  </si>
  <si>
    <t>K36</t>
  </si>
  <si>
    <t>M48</t>
  </si>
  <si>
    <t>N64</t>
  </si>
  <si>
    <t>Q50</t>
  </si>
  <si>
    <t>F22</t>
  </si>
  <si>
    <t>Q97</t>
  </si>
  <si>
    <t>86</t>
  </si>
  <si>
    <t>87</t>
  </si>
  <si>
    <t>85</t>
  </si>
  <si>
    <t>84</t>
  </si>
  <si>
    <t>83</t>
  </si>
  <si>
    <t>81</t>
  </si>
  <si>
    <t>82</t>
  </si>
  <si>
    <t>79</t>
  </si>
  <si>
    <t>78</t>
  </si>
  <si>
    <t>77</t>
  </si>
  <si>
    <t>80</t>
  </si>
  <si>
    <t>89</t>
  </si>
  <si>
    <t>91</t>
  </si>
  <si>
    <t>76</t>
  </si>
  <si>
    <t>92</t>
  </si>
  <si>
    <t>75</t>
  </si>
  <si>
    <t>73</t>
  </si>
  <si>
    <t>74</t>
  </si>
  <si>
    <t>71</t>
  </si>
  <si>
    <t>72</t>
  </si>
  <si>
    <t>70</t>
  </si>
  <si>
    <t>68</t>
  </si>
  <si>
    <t>69</t>
  </si>
  <si>
    <t>93</t>
  </si>
  <si>
    <t>66</t>
  </si>
  <si>
    <t>67</t>
  </si>
  <si>
    <t>64</t>
  </si>
  <si>
    <t>63</t>
  </si>
  <si>
    <t>65</t>
  </si>
  <si>
    <t>94</t>
  </si>
  <si>
    <t>61</t>
  </si>
  <si>
    <t>62</t>
  </si>
  <si>
    <t>60</t>
  </si>
  <si>
    <t>95</t>
  </si>
  <si>
    <t>59</t>
  </si>
  <si>
    <t>58</t>
  </si>
  <si>
    <t>57</t>
  </si>
  <si>
    <t>96</t>
  </si>
  <si>
    <t>56</t>
  </si>
  <si>
    <t>55</t>
  </si>
  <si>
    <t>54</t>
  </si>
  <si>
    <t>53</t>
  </si>
  <si>
    <t>97</t>
  </si>
  <si>
    <t>52</t>
  </si>
  <si>
    <t>51</t>
  </si>
  <si>
    <t>50</t>
  </si>
  <si>
    <t>49</t>
  </si>
  <si>
    <t>48</t>
  </si>
  <si>
    <t>98</t>
  </si>
  <si>
    <t>46</t>
  </si>
  <si>
    <t>47</t>
  </si>
  <si>
    <t>45</t>
  </si>
  <si>
    <t>44</t>
  </si>
  <si>
    <t>99</t>
  </si>
  <si>
    <t>43</t>
  </si>
  <si>
    <t>42</t>
  </si>
  <si>
    <t>41</t>
  </si>
  <si>
    <t>100</t>
  </si>
  <si>
    <t>38</t>
  </si>
  <si>
    <t>40</t>
  </si>
  <si>
    <t>101</t>
  </si>
  <si>
    <t>39</t>
  </si>
  <si>
    <t>37</t>
  </si>
  <si>
    <t>36</t>
  </si>
  <si>
    <t>35</t>
  </si>
  <si>
    <t>34</t>
  </si>
  <si>
    <t>31</t>
  </si>
  <si>
    <t>33</t>
  </si>
  <si>
    <t>32</t>
  </si>
  <si>
    <t>102</t>
  </si>
  <si>
    <t>28</t>
  </si>
  <si>
    <t>30</t>
  </si>
  <si>
    <t>29</t>
  </si>
  <si>
    <t>27</t>
  </si>
  <si>
    <t>26</t>
  </si>
  <si>
    <t>25</t>
  </si>
  <si>
    <t>103</t>
  </si>
  <si>
    <t>104</t>
  </si>
  <si>
    <t>105</t>
  </si>
  <si>
    <t>106</t>
  </si>
  <si>
    <t>107</t>
  </si>
  <si>
    <t>110</t>
  </si>
  <si>
    <t>108</t>
  </si>
  <si>
    <t>111</t>
  </si>
  <si>
    <t>116</t>
  </si>
  <si>
    <t>117</t>
  </si>
  <si>
    <t>113</t>
  </si>
  <si>
    <t>114</t>
  </si>
  <si>
    <t>999</t>
  </si>
  <si>
    <t>109</t>
  </si>
  <si>
    <t>118</t>
  </si>
  <si>
    <t>112</t>
  </si>
  <si>
    <t>115</t>
  </si>
  <si>
    <t>119</t>
  </si>
  <si>
    <t>120</t>
  </si>
  <si>
    <t>VAR_AÑO1</t>
  </si>
  <si>
    <t>VAR_AÑO2</t>
  </si>
  <si>
    <t>VAR_AÑO3</t>
  </si>
  <si>
    <t>VAR_AÑO4</t>
  </si>
  <si>
    <t>VAR_AÑO5</t>
  </si>
  <si>
    <t>VAR_AÑO6</t>
  </si>
  <si>
    <t>PROMEDIO</t>
  </si>
  <si>
    <t>MEDIA</t>
  </si>
  <si>
    <t>VARAB_AÑO1</t>
  </si>
  <si>
    <t>VARAB_AÑO2</t>
  </si>
  <si>
    <t>VARAB_AÑO3</t>
  </si>
  <si>
    <t>VARAB_AÑO4</t>
  </si>
  <si>
    <t>VARAB_AÑO5</t>
  </si>
  <si>
    <t>VARAB_AÑO6</t>
  </si>
  <si>
    <t>PROMEDIO2</t>
  </si>
  <si>
    <t>MEDIA2</t>
  </si>
  <si>
    <t>MEDIA3</t>
  </si>
  <si>
    <t>VARH_AÑO1</t>
  </si>
  <si>
    <t>VARH_AÑO2</t>
  </si>
  <si>
    <t>VARH_AÑO3</t>
  </si>
  <si>
    <t>VARH_AÑO4</t>
  </si>
  <si>
    <t>VARH_AÑO5</t>
  </si>
  <si>
    <t>VARH_AÑO6</t>
  </si>
  <si>
    <t>PROMEDIO3</t>
  </si>
  <si>
    <t>VARAH_AÑO1</t>
  </si>
  <si>
    <t>VARAH_AÑO2</t>
  </si>
  <si>
    <t>VARAH_AÑO3</t>
  </si>
  <si>
    <t>VARAH_AÑO4</t>
  </si>
  <si>
    <t>VARAH_AÑO5</t>
  </si>
  <si>
    <t>VARAH_AÑO6</t>
  </si>
  <si>
    <t>PROMEDIO4</t>
  </si>
  <si>
    <t>MEDIA4</t>
  </si>
  <si>
    <t>VARM_AÑO1</t>
  </si>
  <si>
    <t>VARM_AÑO2</t>
  </si>
  <si>
    <t>VARM_AÑO3</t>
  </si>
  <si>
    <t>VARM_AÑO4</t>
  </si>
  <si>
    <t>VARM_AÑO5</t>
  </si>
  <si>
    <t>VARM_AÑO6</t>
  </si>
  <si>
    <t>PROMEDIO5</t>
  </si>
  <si>
    <t>MEDIANA</t>
  </si>
  <si>
    <t>VARAM_AÑO1</t>
  </si>
  <si>
    <t>VARAM_AÑO2</t>
  </si>
  <si>
    <t>VARAM_AÑO3</t>
  </si>
  <si>
    <t>VARAM_AÑO4</t>
  </si>
  <si>
    <t>VARAM_AÑO5</t>
  </si>
  <si>
    <t>VARAM_AÑO6</t>
  </si>
  <si>
    <t>PROMEDIO6</t>
  </si>
  <si>
    <t>MEDIA5</t>
  </si>
  <si>
    <t>Año</t>
  </si>
  <si>
    <t>Frecuencia</t>
  </si>
  <si>
    <t>Variaciones interanuales</t>
  </si>
  <si>
    <t>Valores absolutos</t>
  </si>
  <si>
    <t>Mes de fallecimiento</t>
  </si>
  <si>
    <t>Exceso 2020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</si>
  <si>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</si>
  <si>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</si>
  <si>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</si>
  <si>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</si>
  <si>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</si>
  <si>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</si>
  <si>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</si>
  <si>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</si>
  <si>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</si>
  <si>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</si>
  <si>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</si>
  <si>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</si>
  <si>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</si>
  <si>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suma</t>
  </si>
  <si>
    <t>Provincia</t>
  </si>
  <si>
    <t>Azuay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</si>
  <si>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</si>
  <si>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</si>
  <si>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</si>
  <si>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</si>
  <si>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</si>
  <si>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</si>
  <si>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</si>
  <si>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</si>
  <si>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Morona Santiago</t>
  </si>
  <si>
    <t>Napo</t>
  </si>
  <si>
    <t>Pastaza</t>
  </si>
  <si>
    <t>Pichincha</t>
  </si>
  <si>
    <t>Tungurahua</t>
  </si>
  <si>
    <t>Zamora Chinchipe</t>
  </si>
  <si>
    <t>Orellana</t>
  </si>
  <si>
    <t>Santa Elena</t>
  </si>
  <si>
    <t>Bolivar</t>
  </si>
  <si>
    <t>Cañar</t>
  </si>
  <si>
    <t>Los Ríos</t>
  </si>
  <si>
    <t>Manabí</t>
  </si>
  <si>
    <t>Galápagos</t>
  </si>
  <si>
    <t>Sucumbí­os</t>
  </si>
  <si>
    <t>Santo Domingo de los Tsáchilas</t>
  </si>
  <si>
    <t>Zonas no delimitadas (código especial)</t>
  </si>
  <si>
    <t>Columna1</t>
  </si>
  <si>
    <t>Columna2</t>
  </si>
  <si>
    <t>Columna3</t>
  </si>
  <si>
    <t>Defunciones</t>
  </si>
  <si>
    <t>sexo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</si>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</sst>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4" fillId="0" borderId="0" xfId="2"/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4" fontId="4" fillId="0" borderId="0" xfId="1" applyNumberFormat="1" applyFont="1" applyFill="1"/>
    <xf numFmtId="10" fontId="4" fillId="0" borderId="0" xfId="1" applyNumberFormat="1" applyFont="1" applyFill="1"/>
    <xf numFmtId="0" fontId="3" fillId="4" borderId="0" xfId="2" applyFont="1" applyFill="1" applyAlignment="1">
      <alignment horizontal="center" vertical="center"/>
    </xf>
    <xf numFmtId="0" fontId="0" fillId="4" borderId="0" xfId="0" applyFill="1"/>
    <xf numFmtId="10" fontId="4" fillId="4" borderId="0" xfId="1" applyNumberFormat="1" applyFont="1" applyFill="1"/>
    <xf numFmtId="10" fontId="4" fillId="4" borderId="0" xfId="2" applyNumberFormat="1" applyFill="1"/>
    <xf numFmtId="10" fontId="3" fillId="4" borderId="0" xfId="1" applyNumberFormat="1" applyFont="1" applyFill="1" applyAlignment="1">
      <alignment horizontal="center" vertical="center"/>
    </xf>
    <xf numFmtId="10" fontId="0" fillId="4" borderId="0" xfId="1" applyNumberFormat="1" applyFont="1" applyFill="1"/>
    <xf numFmtId="0" fontId="3" fillId="5" borderId="0" xfId="2" applyFont="1" applyFill="1" applyAlignment="1">
      <alignment horizontal="center" vertical="center"/>
    </xf>
    <xf numFmtId="2" fontId="4" fillId="5" borderId="0" xfId="2" applyNumberFormat="1" applyFill="1"/>
    <xf numFmtId="0" fontId="0" fillId="5" borderId="0" xfId="0" applyFill="1"/>
    <xf numFmtId="2" fontId="4" fillId="5" borderId="0" xfId="1" applyNumberFormat="1" applyFont="1" applyFill="1"/>
    <xf numFmtId="1" fontId="4" fillId="0" borderId="0" xfId="2" applyNumberFormat="1"/>
    <xf numFmtId="0" fontId="3" fillId="6" borderId="0" xfId="2" applyFont="1" applyFill="1" applyAlignment="1">
      <alignment horizontal="center" vertical="center"/>
    </xf>
    <xf numFmtId="164" fontId="4" fillId="6" borderId="0" xfId="1" applyNumberFormat="1" applyFont="1" applyFill="1"/>
    <xf numFmtId="0" fontId="0" fillId="6" borderId="0" xfId="0" applyFill="1"/>
    <xf numFmtId="0" fontId="4" fillId="6" borderId="0" xfId="2" applyFill="1"/>
    <xf numFmtId="10" fontId="4" fillId="6" borderId="0" xfId="1" applyNumberFormat="1" applyFont="1" applyFill="1"/>
    <xf numFmtId="0" fontId="4" fillId="0" borderId="0" xfId="0" applyFont="1"/>
    <xf numFmtId="164" fontId="4" fillId="6" borderId="0" xfId="0" applyNumberFormat="1" applyFont="1" applyFill="1"/>
    <xf numFmtId="10" fontId="4" fillId="4" borderId="0" xfId="0" applyNumberFormat="1" applyFont="1" applyFill="1"/>
    <xf numFmtId="0" fontId="4" fillId="6" borderId="0" xfId="0" applyFont="1" applyFill="1"/>
    <xf numFmtId="2" fontId="4" fillId="5" borderId="0" xfId="0" applyNumberFormat="1" applyFont="1" applyFill="1"/>
    <xf numFmtId="10" fontId="4" fillId="6" borderId="0" xfId="0" applyNumberFormat="1" applyFont="1" applyFill="1"/>
    <xf numFmtId="10" fontId="1" fillId="4" borderId="0" xfId="0" applyNumberFormat="1" applyFont="1" applyFill="1"/>
    <xf numFmtId="164" fontId="4" fillId="0" borderId="0" xfId="0" applyNumberFormat="1" applyFont="1"/>
    <xf numFmtId="10" fontId="4" fillId="0" borderId="0" xfId="0" applyNumberFormat="1" applyFont="1"/>
    <xf numFmtId="1" fontId="4" fillId="0" borderId="0" xfId="0" applyNumberFormat="1" applyFont="1"/>
    <xf numFmtId="0" fontId="4" fillId="4" borderId="0" xfId="0" applyFont="1" applyFill="1"/>
    <xf numFmtId="2" fontId="1" fillId="5" borderId="0" xfId="0" applyNumberFormat="1" applyFont="1" applyFill="1"/>
    <xf numFmtId="10" fontId="1" fillId="0" borderId="0" xfId="0" applyNumberFormat="1" applyFont="1"/>
    <xf numFmtId="0" fontId="4" fillId="5" borderId="0" xfId="0" applyFont="1" applyFill="1"/>
    <xf numFmtId="0" fontId="0" fillId="0" borderId="0" xfId="0" applyAlignment="1">
      <alignment horizontal="center" vertical="center"/>
    </xf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64" fontId="0" fillId="7" borderId="0" xfId="1" applyNumberFormat="1" applyFont="1" applyFill="1"/>
    <xf numFmtId="164" fontId="4" fillId="8" borderId="1" xfId="1" applyNumberFormat="1" applyFont="1" applyFill="1" applyBorder="1"/>
    <xf numFmtId="164" fontId="4" fillId="0" borderId="1" xfId="1" applyNumberFormat="1" applyFont="1" applyBorder="1"/>
    <xf numFmtId="0" fontId="2" fillId="2" borderId="0" xfId="2" applyFont="1" applyFill="1" applyAlignment="1">
      <alignment horizontal="center" vertical="center"/>
    </xf>
    <xf numFmtId="164" fontId="0" fillId="0" borderId="0" xfId="0" applyNumberFormat="1"/>
    <xf numFmtId="10" fontId="4" fillId="4" borderId="1" xfId="1" applyNumberFormat="1" applyFont="1" applyFill="1" applyBorder="1"/>
    <xf numFmtId="1" fontId="4" fillId="8" borderId="5" xfId="2" applyNumberFormat="1" applyFill="1" applyBorder="1"/>
    <xf numFmtId="1" fontId="4" fillId="0" borderId="5" xfId="2" applyNumberFormat="1" applyBorder="1"/>
    <xf numFmtId="10" fontId="4" fillId="0" borderId="0" xfId="2" applyNumberFormat="1"/>
    <xf numFmtId="0" fontId="7" fillId="0" borderId="6" xfId="0" applyFont="1" applyBorder="1"/>
    <xf numFmtId="0" fontId="0" fillId="0" borderId="0" xfId="0" applyAlignment="1">
      <alignment horizontal="center"/>
    </xf>
  </cellXfs>
  <cellStyles count="3">
    <cellStyle name="Normal" xfId="0" builtinId="0"/>
    <cellStyle name="Normal 2" xfId="2" xr:uid="{EE89115D-7FD7-413A-82D2-BEDCD8EE5BE2}"/>
    <cellStyle name="Porcentaje" xfId="1" builtinId="5"/>
  </cellStyles>
  <dxfs count="472"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19000721586533E-2"/>
          <c:y val="7.2727272727272724E-2"/>
          <c:w val="0.85660965340057571"/>
          <c:h val="0.7236684323550465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Hoja1!$C$2</c:f>
              <c:strCache>
                <c:ptCount val="1"/>
                <c:pt idx="0">
                  <c:v>Variaciones interanuales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7.3849432215705091E-17"/>
                  <c:y val="-4.363636363636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0C-4963-98B4-F1239C8F2859}"/>
                </c:ext>
              </c:extLst>
            </c:dLbl>
            <c:dLbl>
              <c:idx val="4"/>
              <c:layout>
                <c:manualLayout>
                  <c:x val="-7.3849432215705091E-17"/>
                  <c:y val="1.33779264214046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0C-4963-98B4-F1239C8F28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Hoja1!$A$3:$A$9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Hoja1!$C$3:$C$9</c:f>
              <c:numCache>
                <c:formatCode>0.0%</c:formatCode>
                <c:ptCount val="7"/>
                <c:pt idx="1">
                  <c:v>2.1838905444500033E-2</c:v>
                </c:pt>
                <c:pt idx="2">
                  <c:v>4.8342806054026438E-2</c:v>
                </c:pt>
                <c:pt idx="3">
                  <c:v>0.28628573749187786</c:v>
                </c:pt>
                <c:pt idx="4">
                  <c:v>-9.4416468025320846E-2</c:v>
                </c:pt>
                <c:pt idx="5">
                  <c:v>1.818150123766691E-2</c:v>
                </c:pt>
                <c:pt idx="6">
                  <c:v>-3.199849338286908E-2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1-4501-A2E4-008B0286D8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46014432"/>
        <c:axId val="1146007712"/>
      </c:barChart>
      <c:lineChart>
        <c:grouping val="standar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Frecuencia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Hoja1!$A$3:$A$9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Hoja1!$B$3:$B$9</c:f>
              <c:numCache>
                <c:formatCode>General</c:formatCode>
                <c:ptCount val="7"/>
                <c:pt idx="0">
                  <c:v>45973</c:v>
                </c:pt>
                <c:pt idx="1">
                  <c:v>46977</c:v>
                </c:pt>
                <c:pt idx="2">
                  <c:v>49248</c:v>
                </c:pt>
                <c:pt idx="3">
                  <c:v>63347</c:v>
                </c:pt>
                <c:pt idx="4">
                  <c:v>57366</c:v>
                </c:pt>
                <c:pt idx="5">
                  <c:v>58409</c:v>
                </c:pt>
                <c:pt idx="6">
                  <c:v>56540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1-4501-A2E4-008B0286D8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5537263"/>
        <c:axId val="1571445343"/>
      </c:lineChart>
      <c:catAx>
        <c:axId val="156553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71445343"/>
        <c:crosses val="autoZero"/>
        <c:auto val="1"/>
        <c:lblAlgn val="ctr"/>
        <c:lblOffset val="100"/>
        <c:noMultiLvlLbl val="0"/>
      </c:catAx>
      <c:valAx>
        <c:axId val="157144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537263"/>
        <c:crosses val="autoZero"/>
        <c:crossBetween val="between"/>
      </c:valAx>
      <c:valAx>
        <c:axId val="114600771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6014432"/>
        <c:crosses val="max"/>
        <c:crossBetween val="between"/>
      </c:valAx>
      <c:catAx>
        <c:axId val="114601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6007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161925</xdr:rowOff>
    </xdr:from>
    <xdr:to>
      <xdr:col>18</xdr:col>
      <xdr:colOff>19049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57EE79-AE4C-5B3C-54CA-14B4527FB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orales\Documents\PROYECTOS_R\ENT_ART\datos\datos_limpios\DEF_ENFERM_f.xlsx" TargetMode="External"/><Relationship Id="rId1" Type="http://schemas.openxmlformats.org/officeDocument/2006/relationships/externalLinkPath" Target="DEF_ENFERM_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DEF_ENFERM_f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D66D4C-9179-4ACA-9AAC-CA74080D9202}" name="Tabla12" displayName="Tabla12" ref="A1:V123" totalsRowShown="0" headerRowDxfId="352" headerRowCellStyle="Normal 2" dataCellStyle="Normal 2">
  <autoFilter ref="A1:V123" xr:uid="{47D66D4C-9179-4ACA-9AAC-CA74080D9202}"/>
  <tableColumns count="22">
    <tableColumn id="1" xr3:uid="{72E4D7A9-9AA0-422B-AC0A-11CC3610E510}" name="cod_edad" dataCellStyle="Normal 2"/>
    <tableColumn id="2" xr3:uid="{83369FF8-A0F2-4EEA-B3A3-DFA4B438B80A}" name="2017" dataCellStyle="Normal 2"/>
    <tableColumn id="3" xr3:uid="{8A34095D-14BA-437E-B12C-5B7F5294F9D6}" name="Hombres_2017" dataCellStyle="Normal 2"/>
    <tableColumn id="4" xr3:uid="{38168AC3-7C30-4B41-8053-637A6E091D0B}" name="Mujeres_2017" dataCellStyle="Normal 2"/>
    <tableColumn id="5" xr3:uid="{B0DB9E08-88C2-44B5-9B26-F3BCE3714A1F}" name="2018" dataCellStyle="Normal 2"/>
    <tableColumn id="6" xr3:uid="{AF40984A-9DD9-4DE3-AF35-F2A194CEA73D}" name="Hombres_2018" dataCellStyle="Normal 2"/>
    <tableColumn id="7" xr3:uid="{D28F4295-AA32-4DAC-A1DA-9850CEBAF21B}" name="Mujeres_2018" dataCellStyle="Normal 2"/>
    <tableColumn id="8" xr3:uid="{7DA80212-7D75-44FB-A428-4523D54DC6A8}" name="2019" dataCellStyle="Normal 2"/>
    <tableColumn id="9" xr3:uid="{E244F006-8928-45E9-B46A-5BB7564D95DC}" name="Hombres_2019" dataCellStyle="Normal 2"/>
    <tableColumn id="10" xr3:uid="{B580769F-9542-47DC-BB98-FF52D7B345E6}" name="Mujeres_2019" dataCellStyle="Normal 2"/>
    <tableColumn id="11" xr3:uid="{231D5C25-6A5A-4002-A48C-64BA02EA1341}" name="2020" dataCellStyle="Normal 2"/>
    <tableColumn id="12" xr3:uid="{D4F297D3-69DB-4F76-B0C8-A8E5D2911360}" name="Hombres_2020" dataCellStyle="Normal 2"/>
    <tableColumn id="13" xr3:uid="{5BC1986E-1171-43FE-83A2-826F114B58F5}" name="Mujeres_2020" dataCellStyle="Normal 2"/>
    <tableColumn id="14" xr3:uid="{5D02EF7E-C574-49FB-910F-13A4173D27EB}" name="2021" dataCellStyle="Normal 2"/>
    <tableColumn id="15" xr3:uid="{29F2A45A-F6C1-4184-A599-8E4EDF5CE8ED}" name="Hombres_2021" dataCellStyle="Normal 2"/>
    <tableColumn id="16" xr3:uid="{61C17942-B4E1-40FD-B99C-D7C825DFADA1}" name="Mujeres_2021" dataCellStyle="Normal 2"/>
    <tableColumn id="17" xr3:uid="{17D818EC-16BA-4A2C-90EC-972371E5E4BF}" name="2022" dataCellStyle="Normal 2"/>
    <tableColumn id="18" xr3:uid="{C8EFF8B8-E33F-4534-9661-3E02735DBBFA}" name="Hombres_2022" dataCellStyle="Normal 2"/>
    <tableColumn id="19" xr3:uid="{1CFAFEAF-E14C-45E1-8B0B-6B0088ADBD67}" name="Mujeres_2022" dataCellStyle="Normal 2"/>
    <tableColumn id="20" xr3:uid="{18D14B59-CD63-4E0C-8D3C-B0484E8BFD82}" name="2023" dataCellStyle="Normal 2"/>
    <tableColumn id="21" xr3:uid="{353398AA-3246-4080-AAA0-2C2DCCF1786A}" name="Hombres_2023" dataCellStyle="Normal 2"/>
    <tableColumn id="22" xr3:uid="{ADB44513-BBEB-4A57-8DE6-B48BEE7FE200}" name="Mujeres_2023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F47471-ADF7-4DF4-B7F9-093E9A2E58EE}" name="Tabla16" displayName="Tabla16" ref="A1:BR124" totalsRowCount="1" headerRowDxfId="351" headerRowCellStyle="Normal 2" dataCellStyle="Normal 2">
  <autoFilter ref="A1:BR123" xr:uid="{09F47471-ADF7-4DF4-B7F9-093E9A2E58EE}"/>
  <sortState xmlns:xlrd2="http://schemas.microsoft.com/office/spreadsheetml/2017/richdata2" ref="A2:BR123">
    <sortCondition ref="A1:A123"/>
  </sortState>
  <tableColumns count="70">
    <tableColumn id="1" xr3:uid="{4A69CC24-0BFF-484F-AE72-83577FFD0067}" name="cod_edad" dataDxfId="350" totalsRowDxfId="349" dataCellStyle="Normal 2" totalsRowCellStyle="Normal 2"/>
    <tableColumn id="2" xr3:uid="{E2A61498-605D-45FB-B58C-A508F76A453D}" name="2017" totalsRowFunction="sum" totalsRowDxfId="348" dataCellStyle="Normal 2" totalsRowCellStyle="Normal 2"/>
    <tableColumn id="3" xr3:uid="{FBEEBAE2-9B67-43EC-8039-019B3935B505}" name="2018" totalsRowFunction="sum" totalsRowDxfId="347" dataCellStyle="Normal 2" totalsRowCellStyle="Normal 2"/>
    <tableColumn id="4" xr3:uid="{C198859F-E80E-4BC7-82E2-FF8F2B02C948}" name="2019" totalsRowFunction="sum" totalsRowDxfId="346" dataCellStyle="Normal 2" totalsRowCellStyle="Normal 2"/>
    <tableColumn id="5" xr3:uid="{50109D68-49D4-4797-BC33-4CB444009E6E}" name="2020" totalsRowFunction="sum" totalsRowDxfId="345" dataCellStyle="Normal 2" totalsRowCellStyle="Normal 2"/>
    <tableColumn id="6" xr3:uid="{114A33D5-D7EB-4504-8B35-18ED544B017D}" name="2021" totalsRowFunction="sum" totalsRowDxfId="344" dataCellStyle="Normal 2" totalsRowCellStyle="Normal 2"/>
    <tableColumn id="7" xr3:uid="{E03BB8EC-6AB3-4EA2-A560-DF9293BB026D}" name="2022" totalsRowFunction="sum" totalsRowDxfId="343" dataCellStyle="Normal 2" totalsRowCellStyle="Normal 2"/>
    <tableColumn id="8" xr3:uid="{5FA202F3-9BC8-4386-8E1D-372ACC21FE50}" name="2023" totalsRowFunction="sum" totalsRowDxfId="342" dataCellStyle="Normal 2" totalsRowCellStyle="Normal 2"/>
    <tableColumn id="9" xr3:uid="{4BE55333-0EEA-42B4-80BA-E38D645A0489}" name="Hombres_2017" totalsRowDxfId="341" dataCellStyle="Normal 2" totalsRowCellStyle="Normal 2"/>
    <tableColumn id="10" xr3:uid="{C5514E44-AA39-4D46-A738-BBA6E69A619D}" name="Hombres_2018" totalsRowDxfId="340" dataCellStyle="Normal 2" totalsRowCellStyle="Normal 2"/>
    <tableColumn id="11" xr3:uid="{34024A00-3F3C-4860-87FE-5D7900322AF1}" name="Hombres_2019" totalsRowDxfId="339" dataCellStyle="Normal 2" totalsRowCellStyle="Normal 2"/>
    <tableColumn id="12" xr3:uid="{6CEABFA8-2B17-4F65-A53A-3B949E7124A1}" name="Hombres_2020" totalsRowDxfId="338" dataCellStyle="Normal 2" totalsRowCellStyle="Normal 2"/>
    <tableColumn id="13" xr3:uid="{C12CA36D-F695-4CF2-8A5F-3BF60E07C9F3}" name="Hombres_2021" totalsRowDxfId="337" dataCellStyle="Normal 2" totalsRowCellStyle="Normal 2"/>
    <tableColumn id="14" xr3:uid="{3F96833E-3317-435B-8594-AE4CCA9AA8AC}" name="Hombres_2022" totalsRowDxfId="336" dataCellStyle="Normal 2" totalsRowCellStyle="Normal 2"/>
    <tableColumn id="15" xr3:uid="{10A8C3B4-6376-4D74-AC85-73EE924CA98C}" name="Hombres_2023" totalsRowDxfId="335" dataCellStyle="Normal 2" totalsRowCellStyle="Normal 2"/>
    <tableColumn id="16" xr3:uid="{D4043196-4B5A-4F56-B15D-EFD59C5DE9ED}" name="Mujeres_2017" totalsRowDxfId="334" dataCellStyle="Normal 2" totalsRowCellStyle="Normal 2"/>
    <tableColumn id="17" xr3:uid="{7E977AC2-B71C-4E74-8638-AE4FFC9B92EB}" name="Mujeres_2018" totalsRowDxfId="333" dataCellStyle="Normal 2" totalsRowCellStyle="Normal 2"/>
    <tableColumn id="18" xr3:uid="{CC15F00F-32C6-445B-9D54-9259118A2843}" name="Mujeres_2019" totalsRowDxfId="332" dataCellStyle="Normal 2" totalsRowCellStyle="Normal 2"/>
    <tableColumn id="19" xr3:uid="{6B2BB96D-A862-472F-9A01-D617BAD07306}" name="Mujeres_2020" totalsRowDxfId="331" dataCellStyle="Normal 2" totalsRowCellStyle="Normal 2"/>
    <tableColumn id="20" xr3:uid="{7BAB34F6-B3A7-400C-B680-1E77374243FC}" name="Mujeres_2021" totalsRowDxfId="330" dataCellStyle="Normal 2" totalsRowCellStyle="Normal 2"/>
    <tableColumn id="21" xr3:uid="{0FD7A1FF-A315-4662-836E-6261A68AEFF9}" name="Mujeres_2022" totalsRowDxfId="329" dataCellStyle="Normal 2" totalsRowCellStyle="Normal 2"/>
    <tableColumn id="22" xr3:uid="{D49DDF46-8615-45CE-AA03-AACF9B0ED80F}" name="Mujeres_2023" totalsRowDxfId="328" dataCellStyle="Normal 2" totalsRowCellStyle="Normal 2"/>
    <tableColumn id="26" xr3:uid="{36BC29BB-EB21-4F48-BCB3-EA8C6E3337C2}" name="VAR_AÑO1" totalsRowDxfId="327" dataCellStyle="Normal 2" totalsRowCellStyle="Normal 2">
      <calculatedColumnFormula>+(C2-B2)/B2</calculatedColumnFormula>
    </tableColumn>
    <tableColumn id="27" xr3:uid="{63C59B80-3D95-4167-B38A-BF5EF9676395}" name="VAR_AÑO2" totalsRowDxfId="326" dataCellStyle="Normal 2" totalsRowCellStyle="Normal 2">
      <calculatedColumnFormula>+(D2-C2)/C2</calculatedColumnFormula>
    </tableColumn>
    <tableColumn id="28" xr3:uid="{B5838508-B85D-4849-B397-8063855F86C3}" name="VAR_AÑO3" totalsRowDxfId="325" dataCellStyle="Normal 2" totalsRowCellStyle="Normal 2">
      <calculatedColumnFormula>+(E2-D2)/D2</calculatedColumnFormula>
    </tableColumn>
    <tableColumn id="29" xr3:uid="{1302738D-6660-41CD-B2B9-BB96782DEC95}" name="VAR_AÑO4" totalsRowDxfId="324" dataCellStyle="Normal 2" totalsRowCellStyle="Normal 2">
      <calculatedColumnFormula>+(F2-E2)/E2</calculatedColumnFormula>
    </tableColumn>
    <tableColumn id="30" xr3:uid="{C8475061-B3BC-4C7E-8C3D-64E30884B704}" name="VAR_AÑO5" totalsRowDxfId="323" dataCellStyle="Normal 2" totalsRowCellStyle="Normal 2">
      <calculatedColumnFormula>+(G2-F2)/F2</calculatedColumnFormula>
    </tableColumn>
    <tableColumn id="31" xr3:uid="{35C5A393-ADFB-4A02-90C2-38D787A3D9EF}" name="VAR_AÑO6" totalsRowDxfId="322" dataCellStyle="Normal 2" totalsRowCellStyle="Normal 2">
      <calculatedColumnFormula>+(H2-G2)/G2</calculatedColumnFormula>
    </tableColumn>
    <tableColumn id="32" xr3:uid="{7AB674EA-3849-4E3B-AE2A-7E12412E2E9D}" name="PROMEDIO" dataDxfId="321" totalsRowDxfId="320" dataCellStyle="Normal 2" totalsRowCellStyle="Normal 2">
      <calculatedColumnFormula>+AVERAGE(W2:AB2)</calculatedColumnFormula>
    </tableColumn>
    <tableColumn id="33" xr3:uid="{CD345C4F-824C-4E8D-9000-F80BAAB4C4D2}" name="MEDIA" dataDxfId="319" totalsRowDxfId="318" dataCellStyle="Normal 2" totalsRowCellStyle="Normal 2">
      <calculatedColumnFormula>MEDIAN(W2:AB2)</calculatedColumnFormula>
    </tableColumn>
    <tableColumn id="34" xr3:uid="{98C5DCBE-CDAA-4008-8344-72673D90BC1E}" name="VARAB_AÑO1" totalsRowDxfId="317" dataCellStyle="Normal 2" totalsRowCellStyle="Normal 2">
      <calculatedColumnFormula>C2-B2</calculatedColumnFormula>
    </tableColumn>
    <tableColumn id="35" xr3:uid="{58C32E0F-66AB-4476-9460-DE094180180E}" name="VARAB_AÑO2" totalsRowDxfId="316" dataCellStyle="Normal 2" totalsRowCellStyle="Normal 2">
      <calculatedColumnFormula>D2-C2</calculatedColumnFormula>
    </tableColumn>
    <tableColumn id="36" xr3:uid="{B3E5FF01-BE04-4173-A349-F94CB2B4E1BE}" name="VARAB_AÑO3" totalsRowDxfId="315" dataCellStyle="Normal 2" totalsRowCellStyle="Normal 2">
      <calculatedColumnFormula>E2-D2</calculatedColumnFormula>
    </tableColumn>
    <tableColumn id="37" xr3:uid="{5A32D03A-7F30-44A2-ABEB-B39BFEC5E551}" name="VARAB_AÑO4" totalsRowDxfId="314" dataCellStyle="Normal 2" totalsRowCellStyle="Normal 2">
      <calculatedColumnFormula>F2-E2</calculatedColumnFormula>
    </tableColumn>
    <tableColumn id="38" xr3:uid="{C1A0F042-A493-4D9A-BB77-19FA575B2973}" name="VARAB_AÑO5" totalsRowDxfId="313" dataCellStyle="Normal 2" totalsRowCellStyle="Normal 2">
      <calculatedColumnFormula>G2-F2</calculatedColumnFormula>
    </tableColumn>
    <tableColumn id="39" xr3:uid="{69BCB63D-9CE6-4B96-B9B6-7D2BE38FB263}" name="VARAB_AÑO6" totalsRowDxfId="312" dataCellStyle="Normal 2" totalsRowCellStyle="Normal 2">
      <calculatedColumnFormula>H2-G2</calculatedColumnFormula>
    </tableColumn>
    <tableColumn id="40" xr3:uid="{E079F557-BC5A-4528-A879-09EDA1ED1568}" name="PROMEDIO2" dataDxfId="311" totalsRowDxfId="310" dataCellStyle="Normal 2" totalsRowCellStyle="Normal 2">
      <calculatedColumnFormula>+AVERAGE(AE2:AJ2)</calculatedColumnFormula>
    </tableColumn>
    <tableColumn id="41" xr3:uid="{96DDD74F-B712-4B94-A18C-0DCCBD13A115}" name="MEDIA2" dataDxfId="309" totalsRowDxfId="308" dataCellStyle="Normal 2" totalsRowCellStyle="Normal 2">
      <calculatedColumnFormula>+MEDIAN(AE2:AJ2)</calculatedColumnFormula>
    </tableColumn>
    <tableColumn id="42" xr3:uid="{F0306C84-82FA-4733-9536-A1571BE15D4C}" name="VARH_AÑO1" totalsRowDxfId="307" dataCellStyle="Normal 2" totalsRowCellStyle="Normal 2">
      <calculatedColumnFormula>+(J2-I2)/I2</calculatedColumnFormula>
    </tableColumn>
    <tableColumn id="51" xr3:uid="{E5C28B68-66AF-40A1-A977-E907FED3CA18}" name="VARH_AÑO2" dataDxfId="306" totalsRowDxfId="305" dataCellStyle="Normal 2" totalsRowCellStyle="Normal 2">
      <calculatedColumnFormula>+(K2-J2)/J2</calculatedColumnFormula>
    </tableColumn>
    <tableColumn id="50" xr3:uid="{212A6815-044E-42D1-8210-23F9C49BCF6B}" name="VARH_AÑO3" dataDxfId="304" totalsRowDxfId="303" dataCellStyle="Normal 2" totalsRowCellStyle="Normal 2">
      <calculatedColumnFormula>+(L2-K2)/K2</calculatedColumnFormula>
    </tableColumn>
    <tableColumn id="49" xr3:uid="{10FA78F3-7092-4733-B8F3-9FE6A8E38B83}" name="VARH_AÑO4" dataDxfId="302" totalsRowDxfId="301" dataCellStyle="Normal 2" totalsRowCellStyle="Normal 2">
      <calculatedColumnFormula>+(M2-L2)/L2</calculatedColumnFormula>
    </tableColumn>
    <tableColumn id="48" xr3:uid="{C13EEE23-8B3B-4922-AD47-67A3EC05117A}" name="VARH_AÑO5" dataDxfId="300" totalsRowDxfId="299" dataCellStyle="Normal 2" totalsRowCellStyle="Normal 2">
      <calculatedColumnFormula>+(N2-M2)/M2</calculatedColumnFormula>
    </tableColumn>
    <tableColumn id="47" xr3:uid="{4153ACA6-8B74-46E2-97BC-530AFF1489CE}" name="VARH_AÑO6" dataDxfId="298" totalsRowDxfId="297" dataCellStyle="Normal 2" totalsRowCellStyle="Normal 2">
      <calculatedColumnFormula>+(O2-N2)/N2</calculatedColumnFormula>
    </tableColumn>
    <tableColumn id="55" xr3:uid="{A1D62338-3B1C-480E-835E-5AE934535B43}" name="PROMEDIO3" dataDxfId="296" totalsRowDxfId="295" dataCellStyle="Porcentaje" totalsRowCellStyle="Porcentaje">
      <calculatedColumnFormula>+AVERAGE(AM2:AR2)</calculatedColumnFormula>
    </tableColumn>
    <tableColumn id="54" xr3:uid="{DF6B142C-131D-420E-8D00-A14B929ACF34}" name="MEDIA3" dataDxfId="294" totalsRowDxfId="293" dataCellStyle="Porcentaje" totalsRowCellStyle="Porcentaje">
      <calculatedColumnFormula>+MEDIAN(AM2:AR2)</calculatedColumnFormula>
    </tableColumn>
    <tableColumn id="53" xr3:uid="{5EE47E4B-6DE7-4E10-977D-D19F53C76127}" name="VARAH_AÑO1" dataDxfId="292" totalsRowDxfId="291" dataCellStyle="Normal 2" totalsRowCellStyle="Normal 2">
      <calculatedColumnFormula>J2-I2</calculatedColumnFormula>
    </tableColumn>
    <tableColumn id="52" xr3:uid="{2D161256-2670-46A3-A988-1BDBF29CFEBD}" name="VARAH_AÑO2" dataDxfId="290" totalsRowDxfId="289" dataCellStyle="Normal 2" totalsRowCellStyle="Normal 2">
      <calculatedColumnFormula>K2-J2</calculatedColumnFormula>
    </tableColumn>
    <tableColumn id="46" xr3:uid="{CD596627-3F74-41AD-96DE-F69C897717F8}" name="VARAH_AÑO3" dataDxfId="288" totalsRowDxfId="287" dataCellStyle="Normal 2" totalsRowCellStyle="Normal 2">
      <calculatedColumnFormula>L2-K2</calculatedColumnFormula>
    </tableColumn>
    <tableColumn id="45" xr3:uid="{BA4F8D16-2F21-4142-858B-4CB6DA79A704}" name="VARAH_AÑO4" dataDxfId="286" totalsRowDxfId="285" dataCellStyle="Normal 2" totalsRowCellStyle="Normal 2">
      <calculatedColumnFormula>M2-L2</calculatedColumnFormula>
    </tableColumn>
    <tableColumn id="44" xr3:uid="{894AD4F3-9CF7-41CC-8FCF-7DE0C9FD43B3}" name="VARAH_AÑO5" dataDxfId="284" totalsRowDxfId="283" dataCellStyle="Normal 2" totalsRowCellStyle="Normal 2">
      <calculatedColumnFormula>N2-M2</calculatedColumnFormula>
    </tableColumn>
    <tableColumn id="74" xr3:uid="{BC664E7F-6937-4DF8-A49A-1DBA5866D449}" name="VARAH_AÑO6" dataDxfId="282" totalsRowDxfId="281" dataCellStyle="Normal 2" totalsRowCellStyle="Normal 2">
      <calculatedColumnFormula>O2-N2</calculatedColumnFormula>
    </tableColumn>
    <tableColumn id="73" xr3:uid="{76D868C6-4502-4E7C-9EA0-79E0E4C14F8C}" name="PROMEDIO4" dataDxfId="280" totalsRowDxfId="279" dataCellStyle="Porcentaje" totalsRowCellStyle="Porcentaje">
      <calculatedColumnFormula>+AVERAGE(AU2:AZ2)</calculatedColumnFormula>
    </tableColumn>
    <tableColumn id="72" xr3:uid="{C8857F31-18A6-4BCA-B171-A24FADA86404}" name="MEDIA4" dataDxfId="278" totalsRowDxfId="277" dataCellStyle="Normal 2" totalsRowCellStyle="Normal 2">
      <calculatedColumnFormula>MEDIAN(AU2:AZ2)</calculatedColumnFormula>
    </tableColumn>
    <tableColumn id="71" xr3:uid="{73706594-E337-4ED6-8CC8-9FEBC9387424}" name="VARM_AÑO1" dataDxfId="276" totalsRowDxfId="275" dataCellStyle="Porcentaje" totalsRowCellStyle="Porcentaje">
      <calculatedColumnFormula>+(Q2-P2)/P2</calculatedColumnFormula>
    </tableColumn>
    <tableColumn id="70" xr3:uid="{1419E1A3-EB6B-4C19-AD32-BD0F18B3559E}" name="VARM_AÑO2" dataDxfId="274" totalsRowDxfId="273" dataCellStyle="Normal 2" totalsRowCellStyle="Normal 2">
      <calculatedColumnFormula>+(R2-Q2)/Q2</calculatedColumnFormula>
    </tableColumn>
    <tableColumn id="69" xr3:uid="{5AECC33C-B064-4B1A-B15D-C9BA3D2B716C}" name="VARM_AÑO3" dataDxfId="272" totalsRowDxfId="271" dataCellStyle="Normal 2" totalsRowCellStyle="Normal 2">
      <calculatedColumnFormula>+(S2-R2)/R2</calculatedColumnFormula>
    </tableColumn>
    <tableColumn id="68" xr3:uid="{11729216-C393-48A9-9CF7-9B0070203F62}" name="VARM_AÑO4" dataDxfId="270" totalsRowDxfId="269" dataCellStyle="Normal 2" totalsRowCellStyle="Normal 2">
      <calculatedColumnFormula>+(T2-S2)/S2</calculatedColumnFormula>
    </tableColumn>
    <tableColumn id="67" xr3:uid="{5E896488-5493-4F27-894C-9C2545F47C20}" name="VARM_AÑO5" dataDxfId="268" totalsRowDxfId="267" dataCellStyle="Normal 2" totalsRowCellStyle="Normal 2">
      <calculatedColumnFormula>+(U2-T2)/T2</calculatedColumnFormula>
    </tableColumn>
    <tableColumn id="66" xr3:uid="{EA352379-328B-4601-9558-D4420791985B}" name="VARM_AÑO6" dataDxfId="266" totalsRowDxfId="265" dataCellStyle="Normal 2" totalsRowCellStyle="Normal 2">
      <calculatedColumnFormula>+(V2-U2)/U2</calculatedColumnFormula>
    </tableColumn>
    <tableColumn id="65" xr3:uid="{657BB27F-EE3C-4CFC-9EC6-FBC923FE84A2}" name="PROMEDIO5" dataDxfId="264" totalsRowDxfId="263" dataCellStyle="Porcentaje" totalsRowCellStyle="Porcentaje">
      <calculatedColumnFormula>+AVERAGE(BC2:BH2)</calculatedColumnFormula>
    </tableColumn>
    <tableColumn id="64" xr3:uid="{3A361DB4-B20B-4539-A819-97F6CE4D90D4}" name="MEDIANA" dataDxfId="262" totalsRowDxfId="261" dataCellStyle="Normal 2" totalsRowCellStyle="Normal 2">
      <calculatedColumnFormula>MEDIAN(BC2:BH2)</calculatedColumnFormula>
    </tableColumn>
    <tableColumn id="63" xr3:uid="{E644BB57-C031-4EBB-99F2-C33CEB4A21F6}" name="VARAM_AÑO1" dataDxfId="260" totalsRowDxfId="259" dataCellStyle="Normal 2" totalsRowCellStyle="Normal 2">
      <calculatedColumnFormula>+Q2-P2</calculatedColumnFormula>
    </tableColumn>
    <tableColumn id="62" xr3:uid="{B39E10F5-1A62-409B-BE0E-693937814FD1}" name="VARAM_AÑO2" dataDxfId="258" totalsRowDxfId="257" dataCellStyle="Normal 2" totalsRowCellStyle="Normal 2">
      <calculatedColumnFormula>+R2-Q2</calculatedColumnFormula>
    </tableColumn>
    <tableColumn id="61" xr3:uid="{E5A087B7-6A8A-47EE-9780-70027961F2C0}" name="VARAM_AÑO3" dataDxfId="256" totalsRowDxfId="255" dataCellStyle="Normal 2" totalsRowCellStyle="Normal 2">
      <calculatedColumnFormula>+S2-R2</calculatedColumnFormula>
    </tableColumn>
    <tableColumn id="60" xr3:uid="{D9E2ED5A-69B0-4D07-8A30-4D08FF359708}" name="VARAM_AÑO4" dataDxfId="254" totalsRowDxfId="253" dataCellStyle="Normal 2" totalsRowCellStyle="Normal 2">
      <calculatedColumnFormula>+T2-S2</calculatedColumnFormula>
    </tableColumn>
    <tableColumn id="59" xr3:uid="{382B66F3-079E-4E22-BC80-628A06470684}" name="VARAM_AÑO5" dataDxfId="252" totalsRowDxfId="251" dataCellStyle="Normal 2" totalsRowCellStyle="Normal 2">
      <calculatedColumnFormula>+U2-T2</calculatedColumnFormula>
    </tableColumn>
    <tableColumn id="58" xr3:uid="{D6CB5FB8-C39C-4E1E-8770-4ADD5143CB4B}" name="VARAM_AÑO6" dataDxfId="250" totalsRowDxfId="249" dataCellStyle="Normal 2" totalsRowCellStyle="Normal 2">
      <calculatedColumnFormula>+V2-U2</calculatedColumnFormula>
    </tableColumn>
    <tableColumn id="57" xr3:uid="{8A748920-A41D-43AE-A05C-1DFD46108E5C}" name="PROMEDIO6" dataDxfId="248" totalsRowDxfId="247" dataCellStyle="Normal 2" totalsRowCellStyle="Normal 2">
      <calculatedColumnFormula>+AVERAGE(BK2:BP2)</calculatedColumnFormula>
    </tableColumn>
    <tableColumn id="56" xr3:uid="{81B4C4F3-EC7C-4BA9-833D-38BFF3152426}" name="MEDIA5" dataDxfId="246" totalsRowDxfId="245" dataCellStyle="Normal 2" totalsRowCellStyle="Normal 2">
      <calculatedColumnFormula>MEDIAN(BK2:BP2)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080559-63A1-4E11-ABB1-5AFCEF0070EE}" name="Tabla13" displayName="Tabla13" ref="A1:V27" totalsRowShown="0" headerRowDxfId="244">
  <autoFilter ref="A1:V27" xr:uid="{F777C285-B951-4D22-AB5B-25631C68B05F}"/>
  <tableColumns count="22">
    <tableColumn id="1" xr3:uid="{920EF2EF-B685-4FE5-A387-9BBCDF98FA4A}" name="prov_res"/>
    <tableColumn id="2" xr3:uid="{8C7DFCB3-7C42-431D-8680-470B121165C6}" name="2017"/>
    <tableColumn id="3" xr3:uid="{7007FE72-BB4F-46EC-8124-A291816CB372}" name="Hombres_2017"/>
    <tableColumn id="4" xr3:uid="{70EAC7DE-C42B-43E2-BB83-6D77B9430A9E}" name="Mujeres_2017"/>
    <tableColumn id="5" xr3:uid="{32C7A1AB-B9A6-4E61-ADEA-FAE6A8EE9687}" name="2018"/>
    <tableColumn id="6" xr3:uid="{9AEFB161-7BB2-4DD0-BE09-3A117BFBC2D9}" name="Hombres_2018"/>
    <tableColumn id="7" xr3:uid="{8949F29C-C99B-4E55-87C5-0C76076CEAA4}" name="Mujeres_2018"/>
    <tableColumn id="8" xr3:uid="{1E72DCAC-EBFA-4C4A-B7F0-EDD940C5C37F}" name="2019"/>
    <tableColumn id="9" xr3:uid="{421E6AC3-1C13-4CA9-83CC-DCF4FDC18FCB}" name="Hombres_2019"/>
    <tableColumn id="10" xr3:uid="{B1164B1E-A883-48BB-80F8-2AA48661BFB0}" name="Mujeres_2019"/>
    <tableColumn id="11" xr3:uid="{A140ABCF-80DC-4716-B766-661529B11355}" name="2020"/>
    <tableColumn id="12" xr3:uid="{C10714AD-27BC-480B-B801-313019F66530}" name="Hombres_2020"/>
    <tableColumn id="13" xr3:uid="{56B4408A-04D4-474F-BE04-04959C562798}" name="Mujeres_2020"/>
    <tableColumn id="14" xr3:uid="{BA23AD3B-1D51-488A-9BF2-82155DB4A61D}" name="2021"/>
    <tableColumn id="15" xr3:uid="{573370B2-4973-4401-8248-CBCB8CA3320C}" name="Hombres_2021"/>
    <tableColumn id="16" xr3:uid="{8CB6C48C-0092-4917-93C1-DFE1BB03E44F}" name="Mujeres_2021"/>
    <tableColumn id="17" xr3:uid="{FD037C36-570E-4C92-A8BB-71E5C1B2F878}" name="2022"/>
    <tableColumn id="18" xr3:uid="{14F2E71E-72ED-4A19-8716-5AF2F79311A2}" name="Hombres_2022"/>
    <tableColumn id="19" xr3:uid="{0D8A0FBE-380C-4CA7-A6F4-D1272FDBF03E}" name="Mujeres_2022"/>
    <tableColumn id="20" xr3:uid="{4D39C563-8198-4BD3-AEBC-FE3560328769}" name="2023"/>
    <tableColumn id="21" xr3:uid="{CD559D7A-3CF6-45ED-A65B-87EAF38A759A}" name="Hombres_2023"/>
    <tableColumn id="22" xr3:uid="{C6E562E8-A242-461C-9E87-D0A287FCCE34}" name="Mujeres_20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2969A9-2898-4ECC-941B-F8720CC57460}" name="Tabla10" displayName="Tabla10" ref="A1:BV28" totalsRowCount="1" headerRowDxfId="243" headerRowCellStyle="Normal 2" dataCellStyle="Normal 2">
  <autoFilter ref="A1:BV27" xr:uid="{D92969A9-2898-4ECC-941B-F8720CC57460}"/>
  <sortState xmlns:xlrd2="http://schemas.microsoft.com/office/spreadsheetml/2017/richdata2" ref="A2:BV27">
    <sortCondition descending="1" ref="I1:I27"/>
  </sortState>
  <tableColumns count="74">
    <tableColumn id="1" xr3:uid="{92533007-79F8-4492-97B6-279D938FA23D}" name="prov_res" dataDxfId="242" totalsRowDxfId="241" dataCellStyle="Normal 2"/>
    <tableColumn id="72" xr3:uid="{16FE387C-3785-453F-AA04-182FC302A4F8}" name="Columna1" totalsRowDxfId="240" dataCellStyle="Normal 2">
      <calculatedColumnFormula>_xlfn.XLOOKUP(Tabla10[[#This Row],[prov_res]],Hoja1!$A$34:$A$60,Hoja1!$B$34:$B$60,"",0)</calculatedColumnFormula>
    </tableColumn>
    <tableColumn id="2" xr3:uid="{9712E66C-DA59-4637-A674-EAA61A7314E2}" name="2017" totalsRowFunction="sum" totalsRowDxfId="239" dataCellStyle="Normal 2"/>
    <tableColumn id="3" xr3:uid="{37A9EF77-1443-43A1-8125-AACA73706B24}" name="2018" totalsRowFunction="sum" totalsRowDxfId="238" dataCellStyle="Normal 2"/>
    <tableColumn id="4" xr3:uid="{4E66221F-A163-4619-916E-8700E8075920}" name="2019" totalsRowFunction="sum" totalsRowDxfId="237" dataCellStyle="Normal 2"/>
    <tableColumn id="5" xr3:uid="{F28F6098-31EB-48F5-893B-EFDD430608C5}" name="2020" totalsRowFunction="sum" totalsRowDxfId="236" dataCellStyle="Normal 2"/>
    <tableColumn id="6" xr3:uid="{E4783C76-3883-4E7A-9967-2D16A7BC02BA}" name="2021" totalsRowFunction="sum" totalsRowDxfId="235" dataCellStyle="Normal 2"/>
    <tableColumn id="7" xr3:uid="{5E5777C6-9B20-4A53-9205-68DC6D76BF43}" name="2022" totalsRowFunction="sum" totalsRowDxfId="234" dataCellStyle="Normal 2"/>
    <tableColumn id="8" xr3:uid="{4B99BF45-3F71-483F-BBF1-89AA6F04552A}" name="2023" totalsRowFunction="sum" totalsRowDxfId="233" dataCellStyle="Normal 2"/>
    <tableColumn id="71" xr3:uid="{4BFA4512-519D-4D3A-96A7-3F0AF17C58A0}" name="suma" totalsRowDxfId="232" dataCellStyle="Normal 2">
      <calculatedColumnFormula>+SUM(Tabla10[[#This Row],[2017]:[2023]])</calculatedColumnFormula>
    </tableColumn>
    <tableColumn id="74" xr3:uid="{44416FB5-9A45-4CCC-ADCA-51C453A703E0}" name="Columna3" totalsRowDxfId="231" dataCellStyle="Normal 2">
      <calculatedColumnFormula>+AVERAGE(Tabla10[[#This Row],[2017]:[suma]])</calculatedColumnFormula>
    </tableColumn>
    <tableColumn id="73" xr3:uid="{8F40152C-DF4A-476E-B433-0978A00353DF}" name="Columna2" totalsRowDxfId="230" dataCellStyle="Normal 2">
      <calculatedColumnFormula>+MEDIAN(Tabla10[[#This Row],[2017]:[suma]])</calculatedColumnFormula>
    </tableColumn>
    <tableColumn id="9" xr3:uid="{787EF89D-2860-4D57-B46B-C98C887A13EF}" name="Hombres_2017" totalsRowDxfId="229" dataCellStyle="Normal 2"/>
    <tableColumn id="10" xr3:uid="{451569B7-81E7-44B3-B513-D7C2B0B46F02}" name="Hombres_2018" totalsRowDxfId="228" dataCellStyle="Normal 2"/>
    <tableColumn id="11" xr3:uid="{15486AAF-196B-4FF4-8268-A9D9AE22EF5B}" name="Hombres_2019" totalsRowDxfId="227" dataCellStyle="Normal 2"/>
    <tableColumn id="12" xr3:uid="{EC05012E-70E4-4707-A5B3-ECDF5635F24A}" name="Hombres_2020" totalsRowDxfId="226" dataCellStyle="Normal 2"/>
    <tableColumn id="13" xr3:uid="{0DF2A015-BCC7-4DA4-A8E8-0C28B4D8FA2F}" name="Hombres_2021" totalsRowDxfId="225" dataCellStyle="Normal 2"/>
    <tableColumn id="14" xr3:uid="{2EC7F0FE-6391-4374-803D-17F24A197988}" name="Hombres_2022" totalsRowDxfId="224" dataCellStyle="Normal 2"/>
    <tableColumn id="15" xr3:uid="{B804F187-C12F-4842-95A3-C1C7BD1BA48F}" name="Hombres_2023" totalsRowDxfId="223" dataCellStyle="Normal 2"/>
    <tableColumn id="70" xr3:uid="{808CA79E-D8BC-4322-9F37-AA06D22933F5}" name="Mujeres_2017" totalsRowDxfId="222" dataCellStyle="Normal 2"/>
    <tableColumn id="16" xr3:uid="{8F0194D3-3BEB-483D-8E2A-749918F08FFC}" name="Mujeres_2018" totalsRowDxfId="221" dataCellStyle="Normal 2"/>
    <tableColumn id="17" xr3:uid="{A25564D5-6B3F-41B0-B8DC-2B2A8B6B2403}" name="Mujeres_2019" totalsRowDxfId="220" dataCellStyle="Normal 2"/>
    <tableColumn id="18" xr3:uid="{B80F1D48-7B6B-49EB-880E-F7BDA032A952}" name="Mujeres_2020" totalsRowDxfId="219" dataCellStyle="Normal 2"/>
    <tableColumn id="19" xr3:uid="{DAA0D036-5881-4B2C-BA9B-37B515834D25}" name="Mujeres_2021" totalsRowDxfId="218" dataCellStyle="Normal 2"/>
    <tableColumn id="20" xr3:uid="{9D833F4E-5EA9-44CC-BE5D-7D04305713FB}" name="Mujeres_2022" totalsRowDxfId="217" dataCellStyle="Normal 2"/>
    <tableColumn id="21" xr3:uid="{98F36BF9-9B26-4B8D-AA67-BF8369E76961}" name="Mujeres_2023" totalsRowDxfId="216" dataCellStyle="Normal 2"/>
    <tableColumn id="22" xr3:uid="{5EE9C3C8-AA87-4737-95FC-CCEF6887A3AB}" name="VAR_AÑO1" dataDxfId="215" totalsRowDxfId="214" dataCellStyle="Porcentaje">
      <calculatedColumnFormula>+(D2-C2)/C2</calculatedColumnFormula>
    </tableColumn>
    <tableColumn id="23" xr3:uid="{3A2AB0F5-CAB4-49E3-A0BF-F2A7E192AD33}" name="VAR_AÑO2" dataDxfId="213" totalsRowDxfId="212" dataCellStyle="Porcentaje">
      <calculatedColumnFormula>+(E2-D2)/D2</calculatedColumnFormula>
    </tableColumn>
    <tableColumn id="24" xr3:uid="{B468DF49-6589-495A-8BDF-67364A5CDD4E}" name="VAR_AÑO3" dataDxfId="211" totalsRowDxfId="210" dataCellStyle="Porcentaje">
      <calculatedColumnFormula>+(F2-E2)/E2</calculatedColumnFormula>
    </tableColumn>
    <tableColumn id="25" xr3:uid="{000CED7D-6F58-4A77-B82E-F468284B02B8}" name="VAR_AÑO4" dataDxfId="209" totalsRowDxfId="208" dataCellStyle="Porcentaje">
      <calculatedColumnFormula>+(G2-F2)/F2</calculatedColumnFormula>
    </tableColumn>
    <tableColumn id="26" xr3:uid="{0627236A-C641-4495-84AA-8703CC844A45}" name="VAR_AÑO5" dataDxfId="207" totalsRowDxfId="206" dataCellStyle="Porcentaje">
      <calculatedColumnFormula>+(H2-G2)/G2</calculatedColumnFormula>
    </tableColumn>
    <tableColumn id="27" xr3:uid="{4F93CACA-7928-4F69-9D6B-B963C9AAECB5}" name="VAR_AÑO6" dataDxfId="205" totalsRowDxfId="204" dataCellStyle="Porcentaje">
      <calculatedColumnFormula>+(I2-H2)/H2</calculatedColumnFormula>
    </tableColumn>
    <tableColumn id="28" xr3:uid="{399A35E9-BD9D-4178-B52A-64BA9742B980}" name="PROMEDIO" dataDxfId="203" totalsRowDxfId="202" dataCellStyle="Porcentaje">
      <calculatedColumnFormula>+AVERAGE(AA2:AF2)</calculatedColumnFormula>
    </tableColumn>
    <tableColumn id="29" xr3:uid="{E923B7D3-7215-49D4-A970-F26E103131C7}" name="MEDIA" dataDxfId="201" totalsRowDxfId="200" dataCellStyle="Porcentaje">
      <calculatedColumnFormula>MEDIAN(AA2:AF2)</calculatedColumnFormula>
    </tableColumn>
    <tableColumn id="30" xr3:uid="{32C97DEC-DBB2-4CA2-BDD9-AD543AE45F2D}" name="VARAB_AÑO1" dataDxfId="199" totalsRowDxfId="198" dataCellStyle="Normal 2">
      <calculatedColumnFormula>D2-C2</calculatedColumnFormula>
    </tableColumn>
    <tableColumn id="31" xr3:uid="{9CFA27CD-27BF-4369-B667-8DB9442A6367}" name="VARAB_AÑO2" dataDxfId="197" totalsRowDxfId="196" dataCellStyle="Normal 2">
      <calculatedColumnFormula>E2-D2</calculatedColumnFormula>
    </tableColumn>
    <tableColumn id="32" xr3:uid="{44E909F9-4A2D-497F-A440-84F5C10A754D}" name="VARAB_AÑO3" dataDxfId="195" totalsRowDxfId="194" dataCellStyle="Normal 2">
      <calculatedColumnFormula>F2-E2</calculatedColumnFormula>
    </tableColumn>
    <tableColumn id="33" xr3:uid="{D0E11D20-9CEA-4E32-92D0-9DF3F998BEC9}" name="VARAB_AÑO4" dataDxfId="193" totalsRowDxfId="192" dataCellStyle="Normal 2">
      <calculatedColumnFormula>G2-F2</calculatedColumnFormula>
    </tableColumn>
    <tableColumn id="34" xr3:uid="{D8E04CD0-C875-4B07-B9F4-D7C3D5CBE03F}" name="VARAB_AÑO5" dataDxfId="191" totalsRowDxfId="190" dataCellStyle="Normal 2">
      <calculatedColumnFormula>H2-G2</calculatedColumnFormula>
    </tableColumn>
    <tableColumn id="35" xr3:uid="{AAF7A31E-D542-43F3-B918-5A57255EA423}" name="VARAB_AÑO6" dataDxfId="189" totalsRowDxfId="188" dataCellStyle="Normal 2">
      <calculatedColumnFormula>I2-H2</calculatedColumnFormula>
    </tableColumn>
    <tableColumn id="36" xr3:uid="{A06B3634-2728-4C8F-8722-E9D54236E0E7}" name="PROMEDIO2" dataDxfId="187" totalsRowDxfId="186" dataCellStyle="Normal 2">
      <calculatedColumnFormula>+AVERAGE(AI2:AN2)</calculatedColumnFormula>
    </tableColumn>
    <tableColumn id="37" xr3:uid="{272039DB-1DC7-477C-BD9E-03E39E2E1D75}" name="MEDIA2" dataDxfId="185" totalsRowDxfId="184" dataCellStyle="Normal 2">
      <calculatedColumnFormula>+MEDIAN(AI2:AN2)</calculatedColumnFormula>
    </tableColumn>
    <tableColumn id="38" xr3:uid="{0DC0DE7B-F1B5-4494-93EE-DDA8C8F98CF8}" name="VARH_AÑO1" dataDxfId="183" totalsRowDxfId="182" dataCellStyle="Normal 2">
      <calculatedColumnFormula>+(N2-M2)/M2</calculatedColumnFormula>
    </tableColumn>
    <tableColumn id="39" xr3:uid="{543C9FF8-A85D-468F-AA24-714CCD8F0FDD}" name="VARH_AÑO2" dataDxfId="181" totalsRowDxfId="180" dataCellStyle="Normal 2">
      <calculatedColumnFormula>+(O2-N2)/N2</calculatedColumnFormula>
    </tableColumn>
    <tableColumn id="40" xr3:uid="{9B025DCD-684A-4181-8EBE-3A6439A6079F}" name="VARH_AÑO3" dataDxfId="179" totalsRowDxfId="178" dataCellStyle="Normal 2">
      <calculatedColumnFormula>+(P2-O2)/O2</calculatedColumnFormula>
    </tableColumn>
    <tableColumn id="41" xr3:uid="{E6B44F0D-B963-4ECE-9196-EE941D659D1B}" name="VARH_AÑO4" dataDxfId="177" totalsRowDxfId="176" dataCellStyle="Normal 2">
      <calculatedColumnFormula>+(Q2-P2)/P2</calculatedColumnFormula>
    </tableColumn>
    <tableColumn id="42" xr3:uid="{32B3C827-BB65-4B22-80AB-C1B82EFF53B1}" name="VARH_AÑO5" dataDxfId="175" totalsRowDxfId="174" dataCellStyle="Normal 2">
      <calculatedColumnFormula>+(R2-Q2)/Q2</calculatedColumnFormula>
    </tableColumn>
    <tableColumn id="43" xr3:uid="{27F3F9B2-4395-4A96-A043-653118449E01}" name="VARH_AÑO6" dataDxfId="173" totalsRowDxfId="172" dataCellStyle="Normal 2">
      <calculatedColumnFormula>+(S2-R2)/R2</calculatedColumnFormula>
    </tableColumn>
    <tableColumn id="44" xr3:uid="{53526134-EC24-412F-AD10-3883FD98F558}" name="PROMEDIO3" dataDxfId="171" totalsRowDxfId="170" dataCellStyle="Porcentaje">
      <calculatedColumnFormula>+AVERAGE(AQ2:AV2)</calculatedColumnFormula>
    </tableColumn>
    <tableColumn id="45" xr3:uid="{BE930AAD-4785-44BF-92BD-88C4C4021621}" name="MEDIA3" dataDxfId="169" totalsRowDxfId="168" dataCellStyle="Porcentaje">
      <calculatedColumnFormula>+MEDIAN(AQ2:AV2)</calculatedColumnFormula>
    </tableColumn>
    <tableColumn id="46" xr3:uid="{26134563-81C0-42AF-818E-B4B11CADEFF2}" name="VARAH_AÑO1" dataDxfId="167" totalsRowDxfId="166" dataCellStyle="Normal 2">
      <calculatedColumnFormula>N2-M2</calculatedColumnFormula>
    </tableColumn>
    <tableColumn id="47" xr3:uid="{348F670B-4DB1-4507-8EC3-28FA1AFB3278}" name="VARAH_AÑO2" dataDxfId="165" totalsRowDxfId="164" dataCellStyle="Normal 2">
      <calculatedColumnFormula>O2-N2</calculatedColumnFormula>
    </tableColumn>
    <tableColumn id="48" xr3:uid="{07D4F1BB-B91C-4457-B15F-EF6DD9025F8F}" name="VARAH_AÑO3" dataDxfId="163" totalsRowDxfId="162" dataCellStyle="Normal 2">
      <calculatedColumnFormula>P2-O2</calculatedColumnFormula>
    </tableColumn>
    <tableColumn id="49" xr3:uid="{5EBA5FCE-C57A-4783-BEC0-2E38FC884442}" name="VARAH_AÑO4" dataDxfId="161" totalsRowDxfId="160" dataCellStyle="Normal 2">
      <calculatedColumnFormula>Q2-P2</calculatedColumnFormula>
    </tableColumn>
    <tableColumn id="50" xr3:uid="{452B8A84-CEB9-4284-9886-EEA69E5908C2}" name="VARAH_AÑO5" dataDxfId="159" totalsRowDxfId="158" dataCellStyle="Normal 2">
      <calculatedColumnFormula>R2-Q2</calculatedColumnFormula>
    </tableColumn>
    <tableColumn id="51" xr3:uid="{43D48F6B-2018-4381-96FB-BFE0F4662BA0}" name="VARAH_AÑO6" dataDxfId="157" totalsRowDxfId="156" dataCellStyle="Normal 2">
      <calculatedColumnFormula>S2-R2</calculatedColumnFormula>
    </tableColumn>
    <tableColumn id="52" xr3:uid="{CCF7B191-3C00-4C54-9B00-6E56F6B7D160}" name="PROMEDIO4" dataDxfId="155" totalsRowDxfId="154" dataCellStyle="Porcentaje">
      <calculatedColumnFormula>+AVERAGE(AY2:BD2)</calculatedColumnFormula>
    </tableColumn>
    <tableColumn id="53" xr3:uid="{3B10337D-2515-4A3E-9AA9-1B06FF71C2BF}" name="MEDIA4" dataDxfId="153" totalsRowDxfId="152" dataCellStyle="Porcentaje">
      <calculatedColumnFormula>MEDIAN(AY2:BD2)</calculatedColumnFormula>
    </tableColumn>
    <tableColumn id="54" xr3:uid="{5B82619D-68F1-490E-AC00-336F1D4E1C61}" name="VARM_AÑO1" dataDxfId="151" totalsRowDxfId="150" dataCellStyle="Porcentaje">
      <calculatedColumnFormula>+(U2-T2)/T2</calculatedColumnFormula>
    </tableColumn>
    <tableColumn id="55" xr3:uid="{42009002-724F-42BF-8E5C-EB09373FFE48}" name="VARM_AÑO2" dataDxfId="149" totalsRowDxfId="148" dataCellStyle="Porcentaje">
      <calculatedColumnFormula>+(V2-U2)/U2</calculatedColumnFormula>
    </tableColumn>
    <tableColumn id="56" xr3:uid="{BFA97557-8EF2-4018-9C48-AE2E32C6843B}" name="VARM_AÑO3" dataDxfId="147" totalsRowDxfId="146" dataCellStyle="Porcentaje">
      <calculatedColumnFormula>+(W2-V2)/V2</calculatedColumnFormula>
    </tableColumn>
    <tableColumn id="57" xr3:uid="{4D6A205D-2256-45EE-8DE0-814F5FBE0AE1}" name="VARM_AÑO4" dataDxfId="145" totalsRowDxfId="144" dataCellStyle="Porcentaje">
      <calculatedColumnFormula>+(X2-W2)/W2</calculatedColumnFormula>
    </tableColumn>
    <tableColumn id="58" xr3:uid="{263FBC16-A113-41F7-8A9A-D508722E9F55}" name="VARM_AÑO5" dataDxfId="143" totalsRowDxfId="142" dataCellStyle="Porcentaje">
      <calculatedColumnFormula>+(Y2-X2)/X2</calculatedColumnFormula>
    </tableColumn>
    <tableColumn id="59" xr3:uid="{144CF19A-AF2B-49DE-94F9-748E2A712AAB}" name="VARM_AÑO6" dataDxfId="141" totalsRowDxfId="140" dataCellStyle="Porcentaje">
      <calculatedColumnFormula>+(Z2-Y2)/Y2</calculatedColumnFormula>
    </tableColumn>
    <tableColumn id="60" xr3:uid="{B76D7A8C-F576-43F9-963C-92A7C06E0078}" name="PROMEDIO5" dataDxfId="139" totalsRowDxfId="138" dataCellStyle="Porcentaje">
      <calculatedColumnFormula>+AVERAGE(BG2:BL2)</calculatedColumnFormula>
    </tableColumn>
    <tableColumn id="61" xr3:uid="{210466F3-8E09-4A75-8198-487DE5AC3C3F}" name="MEDIANA" dataDxfId="137" totalsRowDxfId="136" dataCellStyle="Normal 2">
      <calculatedColumnFormula>MEDIAN(BG2:BL2)</calculatedColumnFormula>
    </tableColumn>
    <tableColumn id="62" xr3:uid="{1B0A47AB-4ED1-4880-8E76-3C641C29EC29}" name="VARAM_AÑO1" dataDxfId="135" totalsRowDxfId="134" dataCellStyle="Normal 2">
      <calculatedColumnFormula>+U2-T2</calculatedColumnFormula>
    </tableColumn>
    <tableColumn id="63" xr3:uid="{1838737A-38EE-45E0-A0CD-E3EA378B9779}" name="VARAM_AÑO2" dataDxfId="133" totalsRowDxfId="132" dataCellStyle="Normal 2">
      <calculatedColumnFormula>+V2-U2</calculatedColumnFormula>
    </tableColumn>
    <tableColumn id="64" xr3:uid="{475912D1-A3B8-461C-BF9A-873371C67A09}" name="VARAM_AÑO3" dataDxfId="131" totalsRowDxfId="130" dataCellStyle="Normal 2">
      <calculatedColumnFormula>+W2-V2</calculatedColumnFormula>
    </tableColumn>
    <tableColumn id="65" xr3:uid="{26F3E5FF-D9C5-4908-86C3-F93F0ED86771}" name="VARAM_AÑO4" dataDxfId="129" totalsRowDxfId="128" dataCellStyle="Normal 2">
      <calculatedColumnFormula>+X2-W2</calculatedColumnFormula>
    </tableColumn>
    <tableColumn id="66" xr3:uid="{0E375939-FB27-4229-B959-22A5B02D17EA}" name="VARAM_AÑO5" dataDxfId="127" totalsRowDxfId="126" dataCellStyle="Normal 2">
      <calculatedColumnFormula>+Y2-X2</calculatedColumnFormula>
    </tableColumn>
    <tableColumn id="67" xr3:uid="{4239EE16-7249-4D4D-8A83-FBF709C92EC3}" name="VARAM_AÑO6" dataDxfId="125" totalsRowDxfId="124" dataCellStyle="Normal 2">
      <calculatedColumnFormula>+Z2-Y2</calculatedColumnFormula>
    </tableColumn>
    <tableColumn id="68" xr3:uid="{083DCFE5-E879-4439-8B41-9E39188D7ABF}" name="PROMEDIO6" dataDxfId="123" totalsRowDxfId="122" dataCellStyle="Porcentaje">
      <calculatedColumnFormula>+AVERAGE(BO2:BT2)</calculatedColumnFormula>
    </tableColumn>
    <tableColumn id="69" xr3:uid="{FE8DD30C-9290-4EF1-906A-28C8C64CE6B7}" name="MEDIA5" dataDxfId="121" totalsRowDxfId="120" dataCellStyle="Normal 2">
      <calculatedColumnFormula>MEDIAN(BO2:BT2)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59D5E8-D8F9-4E46-8F2B-17504724ABBA}" name="Tabla14" displayName="Tabla14" ref="A1:V12" totalsRowShown="0">
  <autoFilter ref="A1:V12" xr:uid="{3D0BB79D-D9A5-44D0-B2F3-64D3C8374127}"/>
  <tableColumns count="22">
    <tableColumn id="1" xr3:uid="{727BA0F1-3272-4C06-BCE5-6B6CA08B3F1C}" name="niv_inst"/>
    <tableColumn id="2" xr3:uid="{7108837D-15A4-41D5-8F8A-0DBA25E0A6FC}" name="2017"/>
    <tableColumn id="3" xr3:uid="{DF68ADF5-509E-4B4E-A0A2-016382892155}" name="Hombres_2017"/>
    <tableColumn id="4" xr3:uid="{8173383E-ACDB-44A1-BFF0-F5F72266AD35}" name="Mujeres_2017"/>
    <tableColumn id="5" xr3:uid="{F0109314-7317-4A57-A414-A48B49C0E73D}" name="2018"/>
    <tableColumn id="6" xr3:uid="{A75EAB93-30C1-4C88-9312-07DFDF4207D2}" name="Hombres_2018"/>
    <tableColumn id="7" xr3:uid="{0900B293-079C-4C6B-8639-849A248286BB}" name="Mujeres_2018"/>
    <tableColumn id="8" xr3:uid="{423522D1-2ED9-4939-B685-A7FB94000779}" name="2019"/>
    <tableColumn id="9" xr3:uid="{E48F169E-1625-4D4E-AB40-9FE4409E173A}" name="Hombres_2019"/>
    <tableColumn id="10" xr3:uid="{63570AB1-2457-4EBA-9B6A-148B24C1145A}" name="Mujeres_2019"/>
    <tableColumn id="11" xr3:uid="{04186187-A6DF-4B2D-8D59-F236F752E6AC}" name="2020"/>
    <tableColumn id="12" xr3:uid="{BAD085EB-E8D9-47CA-B58D-73C06911C5A9}" name="Hombres_2020"/>
    <tableColumn id="13" xr3:uid="{6186ADA4-A533-488E-A5AC-54E19B11555F}" name="Mujeres_2020"/>
    <tableColumn id="14" xr3:uid="{CDF6AF79-9E76-4B74-9F29-EC6031901FB1}" name="2021"/>
    <tableColumn id="15" xr3:uid="{E3F89687-6503-4308-850F-83CC9C889FBF}" name="Hombres_2021"/>
    <tableColumn id="16" xr3:uid="{FC2BCF88-F2A4-4343-A76A-B8D48A67F93E}" name="Mujeres_2021"/>
    <tableColumn id="17" xr3:uid="{3CDCA8E7-6925-43BC-9137-52C83595093F}" name="2022"/>
    <tableColumn id="18" xr3:uid="{46CD5E16-7A0E-4F65-B411-FDEA3309E3AD}" name="Hombres_2022"/>
    <tableColumn id="19" xr3:uid="{2527F2D7-FC72-45D7-8743-969F2CCEB556}" name="Mujeres_2022"/>
    <tableColumn id="20" xr3:uid="{84B399CE-DCC6-4F74-8264-4CFE8C2CA8CC}" name="2023"/>
    <tableColumn id="21" xr3:uid="{24B75E5D-FA77-4591-BE2C-B178971F16B8}" name="Hombres_2023"/>
    <tableColumn id="22" xr3:uid="{12969F4A-F191-4D60-9D3E-D165459023A7}" name="Mujeres_20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564FA9-10D8-40A4-AC9B-6652FB2CE337}" name="Tabla9" displayName="Tabla9" ref="A1:BR13" totalsRowCount="1" headerRowDxfId="471" headerRowCellStyle="Normal 2" dataCellStyle="Normal 2">
  <autoFilter ref="A1:BR12" xr:uid="{6C564FA9-10D8-40A4-AC9B-6652FB2CE337}"/>
  <tableColumns count="70">
    <tableColumn id="1" xr3:uid="{845CE0DA-75C0-48FA-A8F9-3881468987CD}" name="niv_inst" totalsRowDxfId="470" dataCellStyle="Normal 2" totalsRowCellStyle="Normal 2"/>
    <tableColumn id="2" xr3:uid="{CEE127EB-D9D4-4146-BBED-115B8647CEEA}" name="2017" totalsRowFunction="sum" totalsRowDxfId="469" dataCellStyle="Normal 2" totalsRowCellStyle="Normal 2"/>
    <tableColumn id="3" xr3:uid="{E1579F14-8DF0-4675-B8DE-212BD1464709}" name="2018" totalsRowFunction="sum" totalsRowDxfId="468" dataCellStyle="Normal 2" totalsRowCellStyle="Normal 2"/>
    <tableColumn id="4" xr3:uid="{CDBE69D8-88E9-44BA-92B6-29F082306BB3}" name="2019" totalsRowFunction="sum" totalsRowDxfId="467" dataCellStyle="Normal 2" totalsRowCellStyle="Normal 2"/>
    <tableColumn id="5" xr3:uid="{1B7763C3-6C07-4622-B679-0DEEF6CC1EC5}" name="2020" totalsRowFunction="sum" totalsRowDxfId="466" dataCellStyle="Normal 2" totalsRowCellStyle="Normal 2"/>
    <tableColumn id="6" xr3:uid="{07BC4784-0A01-432A-98F3-6B84BA99809F}" name="2021" totalsRowFunction="sum" totalsRowDxfId="465" dataCellStyle="Normal 2" totalsRowCellStyle="Normal 2"/>
    <tableColumn id="7" xr3:uid="{A91C4C5E-CB9F-4924-B7D1-926E242C90F1}" name="2022" totalsRowFunction="sum" totalsRowDxfId="464" dataCellStyle="Normal 2" totalsRowCellStyle="Normal 2"/>
    <tableColumn id="8" xr3:uid="{FCFCA8FC-E61F-4F4B-8307-2154661A57DD}" name="2023" totalsRowFunction="sum" totalsRowDxfId="463" dataCellStyle="Normal 2" totalsRowCellStyle="Normal 2"/>
    <tableColumn id="9" xr3:uid="{21A94760-8215-4E83-A0BC-5409B7804565}" name="Hombres_2017" totalsRowDxfId="462" dataCellStyle="Normal 2" totalsRowCellStyle="Normal 2"/>
    <tableColumn id="10" xr3:uid="{25DD3B6E-3A39-455E-991D-A1C5127A4E5C}" name="Hombres_2018" totalsRowDxfId="461" dataCellStyle="Normal 2" totalsRowCellStyle="Normal 2"/>
    <tableColumn id="11" xr3:uid="{7B207D64-5927-4DC9-B99F-6C795E8D90CD}" name="Hombres_2019" totalsRowDxfId="460" dataCellStyle="Normal 2" totalsRowCellStyle="Normal 2"/>
    <tableColumn id="12" xr3:uid="{6CC7E6BF-6E09-4FB4-AFBC-F3475436E050}" name="Hombres_2020" totalsRowDxfId="459" dataCellStyle="Normal 2" totalsRowCellStyle="Normal 2"/>
    <tableColumn id="13" xr3:uid="{095F5290-A421-4BE0-A56B-318ACCCDB928}" name="Hombres_2021" totalsRowDxfId="458" dataCellStyle="Normal 2" totalsRowCellStyle="Normal 2"/>
    <tableColumn id="14" xr3:uid="{F146F5D9-2577-4DB8-9EDB-D15D4F43C48D}" name="Hombres_2022" totalsRowDxfId="457" dataCellStyle="Normal 2" totalsRowCellStyle="Normal 2"/>
    <tableColumn id="15" xr3:uid="{07672C20-87D7-41B4-876D-63CF5F4BF1F1}" name="Hombres_2023" totalsRowDxfId="456" dataCellStyle="Normal 2" totalsRowCellStyle="Normal 2"/>
    <tableColumn id="16" xr3:uid="{5136D7E4-A84C-412F-9BA3-9AFFD94DCC76}" name="Mujeres_2017" totalsRowDxfId="455" dataCellStyle="Normal 2" totalsRowCellStyle="Normal 2"/>
    <tableColumn id="17" xr3:uid="{8F741BBD-2950-4EEA-B94D-B0EF460EF62F}" name="Mujeres_2018" totalsRowDxfId="454" dataCellStyle="Normal 2" totalsRowCellStyle="Normal 2"/>
    <tableColumn id="18" xr3:uid="{B0E1E5FF-8C0C-45A2-ACBB-D4E32513E9C1}" name="Mujeres_2019" totalsRowDxfId="453" dataCellStyle="Normal 2" totalsRowCellStyle="Normal 2"/>
    <tableColumn id="19" xr3:uid="{C0C992DD-D574-44F8-9895-DEA7A8993B78}" name="Mujeres_2020" totalsRowDxfId="452" dataCellStyle="Normal 2" totalsRowCellStyle="Normal 2"/>
    <tableColumn id="20" xr3:uid="{497B1A3D-55EE-4D2F-9AF9-3D727CA20458}" name="Mujeres_2021" totalsRowDxfId="451" dataCellStyle="Normal 2" totalsRowCellStyle="Normal 2"/>
    <tableColumn id="21" xr3:uid="{79DF3207-CCE5-42E0-A65C-1573777B212D}" name="Mujeres_2022" totalsRowDxfId="450" dataCellStyle="Normal 2" totalsRowCellStyle="Normal 2"/>
    <tableColumn id="22" xr3:uid="{1597FB89-E669-4D59-9396-D830E002945C}" name="Mujeres_2023" totalsRowDxfId="449" dataCellStyle="Normal 2" totalsRowCellStyle="Normal 2"/>
    <tableColumn id="23" xr3:uid="{2EF92115-9D36-45F1-A6B5-A2947A88A4EE}" name="VAR_AÑO1" dataDxfId="448" totalsRowDxfId="447" dataCellStyle="Porcentaje" totalsRowCellStyle="Porcentaje">
      <calculatedColumnFormula>+(C2-B2)/B2</calculatedColumnFormula>
    </tableColumn>
    <tableColumn id="24" xr3:uid="{A8017677-6BB5-499D-86F4-5BC36798A20C}" name="VAR_AÑO2" dataDxfId="446" totalsRowDxfId="445" dataCellStyle="Porcentaje" totalsRowCellStyle="Porcentaje">
      <calculatedColumnFormula>+(D2-C2)/C2</calculatedColumnFormula>
    </tableColumn>
    <tableColumn id="25" xr3:uid="{65860FC3-E882-4630-80C0-C3381A972B24}" name="VAR_AÑO3" dataDxfId="444" totalsRowDxfId="443" dataCellStyle="Porcentaje" totalsRowCellStyle="Porcentaje">
      <calculatedColumnFormula>+(E2-D2)/D2</calculatedColumnFormula>
    </tableColumn>
    <tableColumn id="26" xr3:uid="{743BE9D2-493D-4433-ACFE-FA757923BCD9}" name="VAR_AÑO4" dataDxfId="442" totalsRowDxfId="441" dataCellStyle="Porcentaje" totalsRowCellStyle="Porcentaje">
      <calculatedColumnFormula>+(F2-E2)/E2</calculatedColumnFormula>
    </tableColumn>
    <tableColumn id="27" xr3:uid="{F3E5ABAE-93A6-4168-8B88-41BD28050570}" name="VAR_AÑO5" dataDxfId="440" totalsRowDxfId="439" dataCellStyle="Porcentaje" totalsRowCellStyle="Porcentaje">
      <calculatedColumnFormula>+(G2-F2)/F2</calculatedColumnFormula>
    </tableColumn>
    <tableColumn id="28" xr3:uid="{7D54B688-ECF7-4CE2-9576-0901146AA629}" name="VAR_AÑO6" dataDxfId="438" totalsRowDxfId="437" dataCellStyle="Porcentaje" totalsRowCellStyle="Porcentaje">
      <calculatedColumnFormula>+(H2-G2)/G2</calculatedColumnFormula>
    </tableColumn>
    <tableColumn id="29" xr3:uid="{E1CF25EC-AB7C-43C1-88C4-40762BF891BC}" name="PROMEDIO" dataDxfId="436" totalsRowDxfId="435" dataCellStyle="Porcentaje" totalsRowCellStyle="Porcentaje">
      <calculatedColumnFormula>+AVERAGE(W2:AB2)</calculatedColumnFormula>
    </tableColumn>
    <tableColumn id="30" xr3:uid="{70762D46-AA80-436F-8016-D4AE5D29E008}" name="MEDIA" dataDxfId="434" totalsRowDxfId="433" dataCellStyle="Porcentaje" totalsRowCellStyle="Porcentaje">
      <calculatedColumnFormula>MEDIAN(W2:AB2)</calculatedColumnFormula>
    </tableColumn>
    <tableColumn id="31" xr3:uid="{71F70FC4-42A2-44E3-81D0-9703E5B474D5}" name="VARAB_AÑO1" dataDxfId="432" totalsRowDxfId="431" dataCellStyle="Normal 2" totalsRowCellStyle="Normal 2">
      <calculatedColumnFormula>C2-B2</calculatedColumnFormula>
    </tableColumn>
    <tableColumn id="32" xr3:uid="{18B52F64-AE63-4613-AE0A-2EA047E32A87}" name="VARAB_AÑO2" dataDxfId="430" totalsRowDxfId="429" dataCellStyle="Normal 2" totalsRowCellStyle="Normal 2">
      <calculatedColumnFormula>D2-C2</calculatedColumnFormula>
    </tableColumn>
    <tableColumn id="33" xr3:uid="{48FA4448-F0D7-47EE-984F-03EC86DC8171}" name="VARAB_AÑO3" dataDxfId="428" totalsRowDxfId="427" dataCellStyle="Normal 2" totalsRowCellStyle="Normal 2">
      <calculatedColumnFormula>E2-D2</calculatedColumnFormula>
    </tableColumn>
    <tableColumn id="34" xr3:uid="{5084A015-67AE-4A3F-AF70-89CFE5BD1D05}" name="VARAB_AÑO4" dataDxfId="426" totalsRowDxfId="425" dataCellStyle="Normal 2" totalsRowCellStyle="Normal 2">
      <calculatedColumnFormula>F2-E2</calculatedColumnFormula>
    </tableColumn>
    <tableColumn id="35" xr3:uid="{C9DAE3D1-6630-4E6A-BE69-564B4878FBEC}" name="VARAB_AÑO5" dataDxfId="424" totalsRowDxfId="423" dataCellStyle="Normal 2" totalsRowCellStyle="Normal 2">
      <calculatedColumnFormula>G2-F2</calculatedColumnFormula>
    </tableColumn>
    <tableColumn id="36" xr3:uid="{24776A12-AE82-4CD9-AE45-D17191AA839A}" name="VARAB_AÑO6" dataDxfId="422" totalsRowDxfId="421" dataCellStyle="Normal 2" totalsRowCellStyle="Normal 2">
      <calculatedColumnFormula>H2-G2</calculatedColumnFormula>
    </tableColumn>
    <tableColumn id="37" xr3:uid="{874A321C-B784-46F0-9892-6C5652FAAEF2}" name="PROMEDIO2" dataDxfId="420" totalsRowDxfId="419" dataCellStyle="Normal 2" totalsRowCellStyle="Normal 2">
      <calculatedColumnFormula>+AVERAGE(AE2:AJ2)</calculatedColumnFormula>
    </tableColumn>
    <tableColumn id="38" xr3:uid="{F5D4F9B4-54E7-49F1-8B50-9ABE20D4F48E}" name="MEDIA2" dataDxfId="418" totalsRowDxfId="417" dataCellStyle="Normal 2" totalsRowCellStyle="Normal 2">
      <calculatedColumnFormula>+MEDIAN(AE2:AJ2)</calculatedColumnFormula>
    </tableColumn>
    <tableColumn id="39" xr3:uid="{14151C53-9E64-4630-A1BB-18EAD4195046}" name="VARH_AÑO1" dataDxfId="416" totalsRowDxfId="415" dataCellStyle="Normal 2" totalsRowCellStyle="Normal 2">
      <calculatedColumnFormula>+(J2-I2)/I2</calculatedColumnFormula>
    </tableColumn>
    <tableColumn id="40" xr3:uid="{1FA258B6-8D6B-4F3F-BC19-6511DB2396F4}" name="VARH_AÑO2" dataDxfId="414" totalsRowDxfId="413" dataCellStyle="Normal 2" totalsRowCellStyle="Normal 2">
      <calculatedColumnFormula>+(K2-J2)/J2</calculatedColumnFormula>
    </tableColumn>
    <tableColumn id="41" xr3:uid="{2369431B-E99A-4B4C-8428-A271B58CF5C5}" name="VARH_AÑO3" dataDxfId="412" totalsRowDxfId="411" dataCellStyle="Normal 2" totalsRowCellStyle="Normal 2">
      <calculatedColumnFormula>+(L2-K2)/K2</calculatedColumnFormula>
    </tableColumn>
    <tableColumn id="42" xr3:uid="{0A7A71DB-7448-49F6-B56A-D70EA242EB83}" name="VARH_AÑO4" dataDxfId="410" totalsRowDxfId="409" dataCellStyle="Normal 2" totalsRowCellStyle="Normal 2">
      <calculatedColumnFormula>+(M2-L2)/L2</calculatedColumnFormula>
    </tableColumn>
    <tableColumn id="43" xr3:uid="{F9D62297-B522-4A9B-AD59-9469843E61E5}" name="VARH_AÑO5" dataDxfId="408" totalsRowDxfId="407" dataCellStyle="Normal 2" totalsRowCellStyle="Normal 2">
      <calculatedColumnFormula>+(N2-M2)/M2</calculatedColumnFormula>
    </tableColumn>
    <tableColumn id="44" xr3:uid="{2575B889-F89F-4F90-964C-1521A5AFBBF2}" name="VARH_AÑO6" dataDxfId="406" totalsRowDxfId="405" dataCellStyle="Normal 2" totalsRowCellStyle="Normal 2">
      <calculatedColumnFormula>+(O2-N2)/N2</calculatedColumnFormula>
    </tableColumn>
    <tableColumn id="45" xr3:uid="{65633154-BE49-4937-AEBD-D6A2B100E719}" name="PROMEDIO3" dataDxfId="404" totalsRowDxfId="403" dataCellStyle="Porcentaje" totalsRowCellStyle="Porcentaje">
      <calculatedColumnFormula>+AVERAGE(AM2:AR2)</calculatedColumnFormula>
    </tableColumn>
    <tableColumn id="46" xr3:uid="{DA30FCA6-D0BF-4127-A112-14BB056CA51E}" name="MEDIA3" dataDxfId="402" totalsRowDxfId="401" dataCellStyle="Porcentaje" totalsRowCellStyle="Porcentaje">
      <calculatedColumnFormula>+MEDIAN(AM2:AR2)</calculatedColumnFormula>
    </tableColumn>
    <tableColumn id="47" xr3:uid="{D9664E81-EB8C-43F9-9F50-424170993C1B}" name="VARAH_AÑO1" dataDxfId="400" totalsRowDxfId="399" dataCellStyle="Normal 2" totalsRowCellStyle="Normal 2">
      <calculatedColumnFormula>J2-I2</calculatedColumnFormula>
    </tableColumn>
    <tableColumn id="48" xr3:uid="{0663A536-DFEC-413F-8C99-595A759F3F6A}" name="VARAH_AÑO2" dataDxfId="398" totalsRowDxfId="397" dataCellStyle="Normal 2" totalsRowCellStyle="Normal 2">
      <calculatedColumnFormula>K2-J2</calculatedColumnFormula>
    </tableColumn>
    <tableColumn id="49" xr3:uid="{2D84445B-DC04-46B6-B05C-170FC351771E}" name="VARAH_AÑO3" dataDxfId="396" totalsRowDxfId="395" dataCellStyle="Normal 2" totalsRowCellStyle="Normal 2">
      <calculatedColumnFormula>L2-K2</calculatedColumnFormula>
    </tableColumn>
    <tableColumn id="50" xr3:uid="{69987C5C-412B-45EF-A3A9-FA9C73BE44A8}" name="VARAH_AÑO4" dataDxfId="394" totalsRowDxfId="393" dataCellStyle="Normal 2" totalsRowCellStyle="Normal 2">
      <calculatedColumnFormula>M2-L2</calculatedColumnFormula>
    </tableColumn>
    <tableColumn id="51" xr3:uid="{1E4220CA-B741-459A-8296-307D122C59BA}" name="VARAH_AÑO5" dataDxfId="392" totalsRowDxfId="391" dataCellStyle="Normal 2" totalsRowCellStyle="Normal 2">
      <calculatedColumnFormula>N2-M2</calculatedColumnFormula>
    </tableColumn>
    <tableColumn id="52" xr3:uid="{F0E48D7E-E5C6-4234-ADF6-2D1DDF7C8762}" name="VARAH_AÑO6" dataDxfId="390" totalsRowDxfId="389" dataCellStyle="Normal 2" totalsRowCellStyle="Normal 2">
      <calculatedColumnFormula>O2-N2</calculatedColumnFormula>
    </tableColumn>
    <tableColumn id="53" xr3:uid="{13B16104-2EC5-4CC3-89B8-F4E252E3AF71}" name="PROMEDIO4" dataDxfId="388" totalsRowDxfId="387" dataCellStyle="Porcentaje" totalsRowCellStyle="Porcentaje">
      <calculatedColumnFormula>+AVERAGE(AU2:AZ2)</calculatedColumnFormula>
    </tableColumn>
    <tableColumn id="54" xr3:uid="{14949F0C-3A6D-46E5-BC17-704DE1280F9E}" name="MEDIA4" dataDxfId="386" totalsRowDxfId="385" dataCellStyle="Porcentaje" totalsRowCellStyle="Porcentaje">
      <calculatedColumnFormula>MEDIAN(AU2:AZ2)</calculatedColumnFormula>
    </tableColumn>
    <tableColumn id="55" xr3:uid="{2A48F5B5-73E8-433B-90DE-65AFED83FC6D}" name="VARM_AÑO1" dataDxfId="384" totalsRowDxfId="383" dataCellStyle="Porcentaje" totalsRowCellStyle="Porcentaje">
      <calculatedColumnFormula>+(Q2-P2)/P2</calculatedColumnFormula>
    </tableColumn>
    <tableColumn id="56" xr3:uid="{013C81CC-D8BB-4922-8F39-D238D716F163}" name="VARM_AÑO2" dataDxfId="382" totalsRowDxfId="381" dataCellStyle="Porcentaje" totalsRowCellStyle="Porcentaje">
      <calculatedColumnFormula>+(R2-Q2)/Q2</calculatedColumnFormula>
    </tableColumn>
    <tableColumn id="57" xr3:uid="{712E709F-590F-4B5A-B78B-51455339A99E}" name="VARM_AÑO3" dataDxfId="380" totalsRowDxfId="379" dataCellStyle="Porcentaje" totalsRowCellStyle="Porcentaje">
      <calculatedColumnFormula>+(S2-R2)/R2</calculatedColumnFormula>
    </tableColumn>
    <tableColumn id="58" xr3:uid="{2CEAA85A-4DDE-48D7-9C92-E86208CDBE35}" name="VARM_AÑO4" dataDxfId="378" totalsRowDxfId="377" dataCellStyle="Porcentaje" totalsRowCellStyle="Porcentaje">
      <calculatedColumnFormula>+(T2-S2)/S2</calculatedColumnFormula>
    </tableColumn>
    <tableColumn id="59" xr3:uid="{F523A62E-2884-45A4-BD31-9368E3A53262}" name="VARM_AÑO5" dataDxfId="376" totalsRowDxfId="375" dataCellStyle="Porcentaje" totalsRowCellStyle="Porcentaje">
      <calculatedColumnFormula>+(U2-T2)/T2</calculatedColumnFormula>
    </tableColumn>
    <tableColumn id="60" xr3:uid="{94BC30E7-AE76-44BA-834D-4132447F255B}" name="VARM_AÑO6" dataDxfId="374" totalsRowDxfId="373" dataCellStyle="Porcentaje" totalsRowCellStyle="Porcentaje">
      <calculatedColumnFormula>+(V2-U2)/U2</calculatedColumnFormula>
    </tableColumn>
    <tableColumn id="61" xr3:uid="{43E19EE9-8A56-4B4C-B74C-DCD5DD02B59C}" name="PROMEDIO5" dataDxfId="372" totalsRowDxfId="371" dataCellStyle="Porcentaje" totalsRowCellStyle="Porcentaje">
      <calculatedColumnFormula>+AVERAGE(BC2:BH2)</calculatedColumnFormula>
    </tableColumn>
    <tableColumn id="62" xr3:uid="{B650C1C1-B5D7-40ED-809D-9E68938ABC87}" name="MEDIANA" dataDxfId="370" totalsRowDxfId="369" dataCellStyle="Normal 2" totalsRowCellStyle="Normal 2">
      <calculatedColumnFormula>MEDIAN(BC2:BH2)</calculatedColumnFormula>
    </tableColumn>
    <tableColumn id="63" xr3:uid="{F6C12200-6F92-425B-BA44-129B9BD64BEC}" name="VARAM_AÑO1" dataDxfId="368" totalsRowDxfId="367" dataCellStyle="Normal 2" totalsRowCellStyle="Normal 2">
      <calculatedColumnFormula>+Q2-P2</calculatedColumnFormula>
    </tableColumn>
    <tableColumn id="64" xr3:uid="{7CBD1DD2-2B56-4139-9A5D-79ED555D11A8}" name="VARAM_AÑO2" dataDxfId="366" totalsRowDxfId="365" dataCellStyle="Normal 2" totalsRowCellStyle="Normal 2">
      <calculatedColumnFormula>+R2-Q2</calculatedColumnFormula>
    </tableColumn>
    <tableColumn id="65" xr3:uid="{6C7A099E-AF24-48A4-9527-3EB88107F7F5}" name="VARAM_AÑO3" dataDxfId="364" totalsRowDxfId="363" dataCellStyle="Normal 2" totalsRowCellStyle="Normal 2">
      <calculatedColumnFormula>+S2-R2</calculatedColumnFormula>
    </tableColumn>
    <tableColumn id="66" xr3:uid="{CED6B819-9574-4BF6-9710-1098498E96B1}" name="VARAM_AÑO4" dataDxfId="362" totalsRowDxfId="361" dataCellStyle="Normal 2" totalsRowCellStyle="Normal 2">
      <calculatedColumnFormula>+T2-S2</calculatedColumnFormula>
    </tableColumn>
    <tableColumn id="67" xr3:uid="{33366178-C472-4A12-AEE6-8909E56EB52A}" name="VARAM_AÑO5" dataDxfId="360" totalsRowDxfId="359" dataCellStyle="Normal 2" totalsRowCellStyle="Normal 2">
      <calculatedColumnFormula>+U2-T2</calculatedColumnFormula>
    </tableColumn>
    <tableColumn id="68" xr3:uid="{A81B8CFE-C5F2-4F91-86E7-794B3C40568D}" name="VARAM_AÑO6" dataDxfId="358" totalsRowDxfId="357" dataCellStyle="Normal 2" totalsRowCellStyle="Normal 2">
      <calculatedColumnFormula>+V2-U2</calculatedColumnFormula>
    </tableColumn>
    <tableColumn id="69" xr3:uid="{4C96E199-5733-48DA-AE4B-4EB095721BDB}" name="PROMEDIO6" dataDxfId="356" totalsRowDxfId="355" dataCellStyle="Porcentaje" totalsRowCellStyle="Porcentaje">
      <calculatedColumnFormula>+AVERAGE(BK2:BP2)</calculatedColumnFormula>
    </tableColumn>
    <tableColumn id="70" xr3:uid="{06521292-5471-458A-B9B0-496A0898AAAA}" name="MEDIA5" dataDxfId="354" totalsRowDxfId="353" dataCellStyle="Normal 2" totalsRowCellStyle="Normal 2">
      <calculatedColumnFormula>MEDIAN(BK2:BP2)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9F70E9-2522-433E-90CA-2E72F31E2D25}" name="Tabla15" displayName="Tabla15" ref="A1:V11" totalsRowShown="0" headerRowDxfId="119">
  <autoFilter ref="A1:V11" xr:uid="{F9D37645-A843-46DD-8939-F6BF3BDCBF04}"/>
  <tableColumns count="22">
    <tableColumn id="1" xr3:uid="{A8DC3C35-7F69-42C4-B744-CA7E1D99AE32}" name="etnia"/>
    <tableColumn id="2" xr3:uid="{4FA7A929-6592-48E2-8743-51978721EF7C}" name="2017"/>
    <tableColumn id="3" xr3:uid="{1A93D256-D31B-4FE4-8DE5-5FF4EB2AC3A2}" name="Hombres_2017"/>
    <tableColumn id="4" xr3:uid="{218E5187-E2C9-44B7-8C5B-13B88EB06EAE}" name="Mujeres_2017"/>
    <tableColumn id="5" xr3:uid="{050539C7-7CC2-4D38-9F72-2BDF6E006392}" name="2018"/>
    <tableColumn id="6" xr3:uid="{B33D3FB2-F57C-4317-A2EA-F548FBB21A4F}" name="Hombres_2018"/>
    <tableColumn id="7" xr3:uid="{83322A65-48A7-48AC-810A-0D29CB881352}" name="Mujeres_2018"/>
    <tableColumn id="8" xr3:uid="{D7A5B16D-908E-4BCE-A77F-B7C027680FB6}" name="2019"/>
    <tableColumn id="9" xr3:uid="{967F6C2C-645A-45CF-8BD4-E60398466C5E}" name="Hombres_2019"/>
    <tableColumn id="10" xr3:uid="{2A081E3E-78D9-40D0-9CBE-F064AB66633D}" name="Mujeres_2019"/>
    <tableColumn id="11" xr3:uid="{F5699D1D-0E9C-416F-9975-77E7DEAAA5EB}" name="2020"/>
    <tableColumn id="12" xr3:uid="{1F259EA2-39F4-4EC4-ACC7-445079AF678E}" name="Hombres_2020"/>
    <tableColumn id="13" xr3:uid="{F1D66D33-0BE4-401A-BBA4-10E165F25A22}" name="Mujeres_2020"/>
    <tableColumn id="14" xr3:uid="{3A58C202-6665-4560-A8A9-53B3DCF1FFB6}" name="2021"/>
    <tableColumn id="15" xr3:uid="{4FE44985-F1AF-45AF-9277-0C38BE64D2D9}" name="Hombres_2021"/>
    <tableColumn id="16" xr3:uid="{BE621A3D-12D9-4E21-B20F-44F743A51F72}" name="Mujeres_2021"/>
    <tableColumn id="17" xr3:uid="{CDD4FE20-0D76-4565-B7C7-93BB59C1F9BE}" name="2022"/>
    <tableColumn id="18" xr3:uid="{0C49C027-7C62-4A81-9349-548FB14B5772}" name="Hombres_2022"/>
    <tableColumn id="19" xr3:uid="{6B3F38B9-FABC-4E67-9BE4-CD5D79D66D65}" name="Mujeres_2022"/>
    <tableColumn id="20" xr3:uid="{35BDABDD-44D1-4D0C-A942-BE22651A2E9F}" name="2023"/>
    <tableColumn id="21" xr3:uid="{47FDB68D-1189-436F-A042-D2D1ABB4F49A}" name="Hombres_2023"/>
    <tableColumn id="22" xr3:uid="{CFE73BE0-911F-43E3-A5EC-3DC402ADD3DF}" name="Mujeres_20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59FA68-2612-4FC4-9C56-88D88C6E63EE}" name="Tabla8" displayName="Tabla8" ref="A1:BR12" totalsRowCount="1" headerRowDxfId="118" headerRowCellStyle="Normal 2" dataCellStyle="Normal 2">
  <autoFilter ref="A1:BR11" xr:uid="{4859FA68-2612-4FC4-9C56-88D88C6E63EE}"/>
  <tableColumns count="70">
    <tableColumn id="1" xr3:uid="{81679CFF-CF76-43E5-88DD-FF1B8D479C62}" name="etnia" totalsRowDxfId="117" dataCellStyle="Normal 2" totalsRowCellStyle="Normal 2"/>
    <tableColumn id="2" xr3:uid="{554E40B1-AD42-4957-9BF8-FEBFC085E2DF}" name="2017" totalsRowFunction="sum" totalsRowDxfId="116" dataCellStyle="Normal 2" totalsRowCellStyle="Normal 2"/>
    <tableColumn id="3" xr3:uid="{43BDAA19-8939-42C5-979A-B3FF7DDAAE13}" name="2018" totalsRowFunction="sum" totalsRowDxfId="115" dataCellStyle="Normal 2" totalsRowCellStyle="Normal 2"/>
    <tableColumn id="4" xr3:uid="{2DF304E2-69C0-43FA-A1DA-FE16B8C3DA4C}" name="2019" totalsRowFunction="sum" totalsRowDxfId="114" dataCellStyle="Normal 2" totalsRowCellStyle="Normal 2"/>
    <tableColumn id="5" xr3:uid="{2B8BB03D-3811-4E73-84F2-3FF2574E4D1D}" name="2020" totalsRowFunction="sum" totalsRowDxfId="113" dataCellStyle="Normal 2" totalsRowCellStyle="Normal 2"/>
    <tableColumn id="6" xr3:uid="{8725545A-C47A-4CC8-A224-1B414CFA7879}" name="2021" totalsRowFunction="sum" totalsRowDxfId="112" dataCellStyle="Normal 2" totalsRowCellStyle="Normal 2"/>
    <tableColumn id="7" xr3:uid="{D39FD984-78D1-4469-9318-1D139898E87C}" name="2022" totalsRowFunction="sum" totalsRowDxfId="111" dataCellStyle="Normal 2" totalsRowCellStyle="Normal 2"/>
    <tableColumn id="8" xr3:uid="{7B4F94F4-BC30-4740-A7E3-6B55B3DF3743}" name="2023" totalsRowFunction="sum" totalsRowDxfId="110" dataCellStyle="Normal 2" totalsRowCellStyle="Normal 2"/>
    <tableColumn id="9" xr3:uid="{6DFAF97C-714F-4DEE-B405-E5051C218EF1}" name="Hombres_2017" totalsRowDxfId="109" dataCellStyle="Normal 2" totalsRowCellStyle="Normal 2"/>
    <tableColumn id="10" xr3:uid="{3D24AE38-3443-4257-990A-4A4BE7240C78}" name="Hombres_2018" totalsRowDxfId="108" dataCellStyle="Normal 2" totalsRowCellStyle="Normal 2"/>
    <tableColumn id="11" xr3:uid="{BB832A2B-039B-4C3E-89BA-7216CD29C692}" name="Hombres_2019" totalsRowDxfId="107" dataCellStyle="Normal 2" totalsRowCellStyle="Normal 2"/>
    <tableColumn id="12" xr3:uid="{337F62D0-F311-4E32-ADD1-A28FF56AFD87}" name="Hombres_2020" totalsRowDxfId="106" dataCellStyle="Normal 2" totalsRowCellStyle="Normal 2"/>
    <tableColumn id="13" xr3:uid="{F9894522-9436-41A8-AE73-C80E742C1724}" name="Hombres_2021" totalsRowDxfId="105" dataCellStyle="Normal 2" totalsRowCellStyle="Normal 2"/>
    <tableColumn id="14" xr3:uid="{AA8E52A7-C0ED-403B-A85A-F00E98E3CFA6}" name="Hombres_2022" totalsRowDxfId="104" dataCellStyle="Normal 2" totalsRowCellStyle="Normal 2"/>
    <tableColumn id="15" xr3:uid="{F3ACADA3-81A4-4376-BC32-8CC68A12C12E}" name="Hombres_2023" totalsRowDxfId="103" dataCellStyle="Normal 2" totalsRowCellStyle="Normal 2"/>
    <tableColumn id="16" xr3:uid="{7658BEF2-A59F-4BD3-918A-CC50B18E91C9}" name="Mujeres_2017" totalsRowDxfId="102" dataCellStyle="Normal 2" totalsRowCellStyle="Normal 2"/>
    <tableColumn id="17" xr3:uid="{86D062AD-24D7-4E59-A5FC-4AB7BF5FC326}" name="Mujeres_2018" totalsRowDxfId="101" dataCellStyle="Normal 2" totalsRowCellStyle="Normal 2"/>
    <tableColumn id="18" xr3:uid="{DFB1D67C-B448-4CF3-8283-8C064E184FC4}" name="Mujeres_2019" totalsRowDxfId="100" dataCellStyle="Normal 2" totalsRowCellStyle="Normal 2"/>
    <tableColumn id="19" xr3:uid="{F3603746-3185-4E20-A995-550DBB4D6BD3}" name="Mujeres_2020" totalsRowDxfId="99" dataCellStyle="Normal 2" totalsRowCellStyle="Normal 2"/>
    <tableColumn id="20" xr3:uid="{8E0D8867-C12E-4143-AF2F-18ED6F70CA29}" name="Mujeres_2021" totalsRowDxfId="98" dataCellStyle="Normal 2" totalsRowCellStyle="Normal 2"/>
    <tableColumn id="21" xr3:uid="{B51CD7C6-87B5-4F0F-84B4-FF15022E5238}" name="Mujeres_2022" totalsRowDxfId="97" dataCellStyle="Normal 2" totalsRowCellStyle="Normal 2"/>
    <tableColumn id="22" xr3:uid="{BB6B9F7B-3B3E-45D6-8014-78D4EAEAD8D8}" name="Mujeres_2023" totalsRowDxfId="96" dataCellStyle="Normal 2" totalsRowCellStyle="Normal 2"/>
    <tableColumn id="23" xr3:uid="{DF304D28-C6E0-467B-9997-C025A8055CF6}" name="VAR_AÑO1" dataDxfId="95" totalsRowDxfId="94" dataCellStyle="Porcentaje" totalsRowCellStyle="Porcentaje">
      <calculatedColumnFormula>+(C2-B2)/B2</calculatedColumnFormula>
    </tableColumn>
    <tableColumn id="24" xr3:uid="{1EF13978-582C-4C73-B033-B8FB71DDD2CD}" name="VAR_AÑO2" dataDxfId="93" totalsRowDxfId="92" dataCellStyle="Porcentaje" totalsRowCellStyle="Porcentaje">
      <calculatedColumnFormula>+(D2-C2)/C2</calculatedColumnFormula>
    </tableColumn>
    <tableColumn id="25" xr3:uid="{4038786F-F9EA-493B-89E5-F92C60BAA3EB}" name="VAR_AÑO3" dataDxfId="91" totalsRowDxfId="90" dataCellStyle="Porcentaje" totalsRowCellStyle="Porcentaje">
      <calculatedColumnFormula>+(E2-D2)/D2</calculatedColumnFormula>
    </tableColumn>
    <tableColumn id="26" xr3:uid="{44AEE8ED-54F8-417E-87A0-8F5DCC081334}" name="VAR_AÑO4" dataDxfId="89" totalsRowDxfId="88" dataCellStyle="Porcentaje" totalsRowCellStyle="Porcentaje">
      <calculatedColumnFormula>+(F2-E2)/E2</calculatedColumnFormula>
    </tableColumn>
    <tableColumn id="27" xr3:uid="{B96E5718-D20C-4A01-BCD7-0D47ED76856C}" name="VAR_AÑO5" dataDxfId="87" totalsRowDxfId="86" dataCellStyle="Porcentaje" totalsRowCellStyle="Porcentaje">
      <calculatedColumnFormula>+(G2-F2)/F2</calculatedColumnFormula>
    </tableColumn>
    <tableColumn id="28" xr3:uid="{68E57C7C-858D-4A7C-BCBD-C076CADE7DBB}" name="VAR_AÑO6" dataDxfId="85" totalsRowDxfId="84" dataCellStyle="Porcentaje" totalsRowCellStyle="Porcentaje">
      <calculatedColumnFormula>+(H2-G2)/G2</calculatedColumnFormula>
    </tableColumn>
    <tableColumn id="29" xr3:uid="{2C948D5A-2EE4-48D6-ADAC-BD1C8E3B7BC2}" name="PROMEDIO" dataDxfId="83" totalsRowDxfId="82" dataCellStyle="Porcentaje" totalsRowCellStyle="Porcentaje">
      <calculatedColumnFormula>+AVERAGE(W2:AB2)</calculatedColumnFormula>
    </tableColumn>
    <tableColumn id="30" xr3:uid="{25CB7E3C-2BE5-437A-AA53-170E10B36377}" name="MEDIA" dataDxfId="81" totalsRowDxfId="80" dataCellStyle="Porcentaje" totalsRowCellStyle="Porcentaje">
      <calculatedColumnFormula>MEDIAN(W2:AB2)</calculatedColumnFormula>
    </tableColumn>
    <tableColumn id="31" xr3:uid="{D985FCD6-4C69-4D44-BE9C-A53684EEE4D3}" name="VARAB_AÑO1" totalsRowDxfId="79" dataCellStyle="Normal 2" totalsRowCellStyle="Normal 2">
      <calculatedColumnFormula>C2-B2</calculatedColumnFormula>
    </tableColumn>
    <tableColumn id="32" xr3:uid="{6DF78550-67FD-4CFD-BF80-D34078DFE387}" name="VARAB_AÑO2" totalsRowDxfId="78" dataCellStyle="Normal 2" totalsRowCellStyle="Normal 2">
      <calculatedColumnFormula>D2-C2</calculatedColumnFormula>
    </tableColumn>
    <tableColumn id="33" xr3:uid="{F6A2D9EE-1DD4-4261-B805-F75A50DAD71C}" name="VARAB_AÑO3" totalsRowDxfId="77" dataCellStyle="Normal 2" totalsRowCellStyle="Normal 2">
      <calculatedColumnFormula>E2-D2</calculatedColumnFormula>
    </tableColumn>
    <tableColumn id="34" xr3:uid="{0528E475-7389-4929-B54E-D53FD04C59FD}" name="VARAB_AÑO4" totalsRowDxfId="76" dataCellStyle="Normal 2" totalsRowCellStyle="Normal 2">
      <calculatedColumnFormula>F2-E2</calculatedColumnFormula>
    </tableColumn>
    <tableColumn id="35" xr3:uid="{B8304680-F746-4109-8B15-3F8880BE7844}" name="VARAB_AÑO5" totalsRowDxfId="75" dataCellStyle="Normal 2" totalsRowCellStyle="Normal 2">
      <calculatedColumnFormula>G2-F2</calculatedColumnFormula>
    </tableColumn>
    <tableColumn id="36" xr3:uid="{50A30838-991A-477E-9FA5-DBA303728493}" name="VARAB_AÑO6" totalsRowDxfId="74" dataCellStyle="Normal 2" totalsRowCellStyle="Normal 2">
      <calculatedColumnFormula>H2-G2</calculatedColumnFormula>
    </tableColumn>
    <tableColumn id="37" xr3:uid="{DE25BDDA-393E-4BEE-B76D-D60D3051C025}" name="PROMEDIO2" dataDxfId="73" totalsRowDxfId="72" dataCellStyle="Normal 2" totalsRowCellStyle="Normal 2">
      <calculatedColumnFormula>+AVERAGE(AE2:AJ2)</calculatedColumnFormula>
    </tableColumn>
    <tableColumn id="38" xr3:uid="{78B230BB-3C1B-45E8-9929-1F00C4F76380}" name="MEDIA2" dataDxfId="71" totalsRowDxfId="70" dataCellStyle="Normal 2" totalsRowCellStyle="Normal 2">
      <calculatedColumnFormula>+MEDIAN(AE2:AJ2)</calculatedColumnFormula>
    </tableColumn>
    <tableColumn id="39" xr3:uid="{847CACA3-D46B-4CAA-BC7A-B873B45CAAD8}" name="VARH_AÑO1" totalsRowDxfId="69" dataCellStyle="Normal 2" totalsRowCellStyle="Normal 2">
      <calculatedColumnFormula>+(J2-I2)/I2</calculatedColumnFormula>
    </tableColumn>
    <tableColumn id="40" xr3:uid="{485E3A62-A8BE-422C-903E-F324B44A76A5}" name="VARH_AÑO2" totalsRowDxfId="68" dataCellStyle="Normal 2" totalsRowCellStyle="Normal 2">
      <calculatedColumnFormula>+(K2-J2)/J2</calculatedColumnFormula>
    </tableColumn>
    <tableColumn id="41" xr3:uid="{20767E2F-E4E4-4804-9995-8261BFAE433E}" name="VARH_AÑO3" totalsRowDxfId="67" dataCellStyle="Normal 2" totalsRowCellStyle="Normal 2">
      <calculatedColumnFormula>+(L2-K2)/K2</calculatedColumnFormula>
    </tableColumn>
    <tableColumn id="42" xr3:uid="{3C40E4DC-4F23-4199-9B5B-298625C70129}" name="VARH_AÑO4" totalsRowDxfId="66" dataCellStyle="Normal 2" totalsRowCellStyle="Normal 2">
      <calculatedColumnFormula>+(M2-L2)/L2</calculatedColumnFormula>
    </tableColumn>
    <tableColumn id="43" xr3:uid="{9DEB40F6-B03F-4C45-804D-07AD6912F677}" name="VARH_AÑO5" totalsRowDxfId="65" dataCellStyle="Normal 2" totalsRowCellStyle="Normal 2">
      <calculatedColumnFormula>+(N2-M2)/M2</calculatedColumnFormula>
    </tableColumn>
    <tableColumn id="44" xr3:uid="{AE5AC980-A199-4C27-818C-AE6AA432020F}" name="VARH_AÑO6" totalsRowDxfId="64" dataCellStyle="Normal 2" totalsRowCellStyle="Normal 2">
      <calculatedColumnFormula>+(O2-N2)/N2</calculatedColumnFormula>
    </tableColumn>
    <tableColumn id="45" xr3:uid="{06EE8D75-B023-49B1-BC1F-8B485B11269C}" name="PROMEDIO3" dataDxfId="63" totalsRowDxfId="62" dataCellStyle="Porcentaje" totalsRowCellStyle="Porcentaje">
      <calculatedColumnFormula>+AVERAGE(AM2:AR2)</calculatedColumnFormula>
    </tableColumn>
    <tableColumn id="46" xr3:uid="{071390DB-BAF3-438B-B397-0FBDF037F176}" name="MEDIA3" dataDxfId="61" totalsRowDxfId="60" dataCellStyle="Porcentaje" totalsRowCellStyle="Porcentaje">
      <calculatedColumnFormula>+MEDIAN(AM2:AR2)</calculatedColumnFormula>
    </tableColumn>
    <tableColumn id="47" xr3:uid="{7122FAA5-0E2E-4DFA-8F1D-EF78F234EAC8}" name="VARAH_AÑO1" totalsRowDxfId="59" dataCellStyle="Normal 2" totalsRowCellStyle="Normal 2">
      <calculatedColumnFormula>J2-I2</calculatedColumnFormula>
    </tableColumn>
    <tableColumn id="48" xr3:uid="{B08A29AD-F223-406E-8DDF-58E0313C92FC}" name="VARAH_AÑO2" totalsRowDxfId="58" dataCellStyle="Normal 2" totalsRowCellStyle="Normal 2">
      <calculatedColumnFormula>K2-J2</calculatedColumnFormula>
    </tableColumn>
    <tableColumn id="49" xr3:uid="{F33541E5-9628-4D7F-83BC-52DF2E1EFF0E}" name="VARAH_AÑO3" totalsRowDxfId="57" dataCellStyle="Normal 2" totalsRowCellStyle="Normal 2">
      <calculatedColumnFormula>L2-K2</calculatedColumnFormula>
    </tableColumn>
    <tableColumn id="50" xr3:uid="{A849CCDC-0FF6-42CE-AE74-39613BC0E59F}" name="VARAH_AÑO4" totalsRowDxfId="56" dataCellStyle="Normal 2" totalsRowCellStyle="Normal 2">
      <calculatedColumnFormula>M2-L2</calculatedColumnFormula>
    </tableColumn>
    <tableColumn id="51" xr3:uid="{7729B8EA-7EFB-4192-9898-69ABA0868848}" name="VARAH_AÑO5" totalsRowDxfId="55" dataCellStyle="Normal 2" totalsRowCellStyle="Normal 2">
      <calculatedColumnFormula>N2-M2</calculatedColumnFormula>
    </tableColumn>
    <tableColumn id="52" xr3:uid="{0832013C-AACA-4659-AFE0-18ADC1C3AE55}" name="VARAH_AÑO6" totalsRowDxfId="54" dataCellStyle="Normal 2" totalsRowCellStyle="Normal 2">
      <calculatedColumnFormula>O2-N2</calculatedColumnFormula>
    </tableColumn>
    <tableColumn id="53" xr3:uid="{F353105F-E7DF-4719-8210-AFC0111BB4BD}" name="PROMEDIO4" dataDxfId="53" totalsRowDxfId="52" dataCellStyle="Porcentaje" totalsRowCellStyle="Porcentaje">
      <calculatedColumnFormula>+AVERAGE(AU2:AZ2)</calculatedColumnFormula>
    </tableColumn>
    <tableColumn id="54" xr3:uid="{0DE5247B-69E5-4A7E-A84A-BED214285F45}" name="MEDIA4" dataDxfId="51" totalsRowDxfId="50" dataCellStyle="Porcentaje" totalsRowCellStyle="Porcentaje">
      <calculatedColumnFormula>MEDIAN(AU2:AZ2)</calculatedColumnFormula>
    </tableColumn>
    <tableColumn id="55" xr3:uid="{93A52E75-A9E7-48C6-812F-DF0B45102CF4}" name="VARM_AÑO1" dataDxfId="49" totalsRowDxfId="48" dataCellStyle="Porcentaje" totalsRowCellStyle="Porcentaje">
      <calculatedColumnFormula>+(Q2-P2)/P2</calculatedColumnFormula>
    </tableColumn>
    <tableColumn id="56" xr3:uid="{F58B31E8-A502-4D08-BCB2-BF7D85B9908A}" name="VARM_AÑO2" dataDxfId="47" totalsRowDxfId="46" dataCellStyle="Porcentaje" totalsRowCellStyle="Porcentaje">
      <calculatedColumnFormula>+(R2-Q2)/Q2</calculatedColumnFormula>
    </tableColumn>
    <tableColumn id="57" xr3:uid="{CADDCDDD-9A8D-445B-B96D-4616A663EC5A}" name="VARM_AÑO3" dataDxfId="45" totalsRowDxfId="44" dataCellStyle="Porcentaje" totalsRowCellStyle="Porcentaje">
      <calculatedColumnFormula>+(S2-R2)/R2</calculatedColumnFormula>
    </tableColumn>
    <tableColumn id="58" xr3:uid="{025BBAA4-5222-4DC3-9293-B3A7D8543691}" name="VARM_AÑO4" dataDxfId="43" totalsRowDxfId="42" dataCellStyle="Porcentaje" totalsRowCellStyle="Porcentaje">
      <calculatedColumnFormula>+(T2-S2)/S2</calculatedColumnFormula>
    </tableColumn>
    <tableColumn id="59" xr3:uid="{8F0EB24F-CF17-4B78-9F2D-36CD5DF49BA7}" name="VARM_AÑO5" dataDxfId="41" totalsRowDxfId="40" dataCellStyle="Porcentaje" totalsRowCellStyle="Porcentaje">
      <calculatedColumnFormula>+(U2-T2)/T2</calculatedColumnFormula>
    </tableColumn>
    <tableColumn id="60" xr3:uid="{88474F38-B228-4A0D-B88B-1C49DD0ED6AA}" name="VARM_AÑO6" dataDxfId="39" totalsRowDxfId="38" dataCellStyle="Porcentaje" totalsRowCellStyle="Porcentaje">
      <calculatedColumnFormula>+(V2-U2)/U2</calculatedColumnFormula>
    </tableColumn>
    <tableColumn id="61" xr3:uid="{B0DE6E0E-6D40-4F1D-BF09-3066C7BA9A0F}" name="PROMEDIO5" dataDxfId="37" totalsRowDxfId="36" dataCellStyle="Porcentaje" totalsRowCellStyle="Porcentaje">
      <calculatedColumnFormula>+AVERAGE(BC2:BH2)</calculatedColumnFormula>
    </tableColumn>
    <tableColumn id="62" xr3:uid="{76B0EB19-94F5-47E2-829A-B709E7C983F3}" name="MEDIANA" dataDxfId="35" totalsRowDxfId="34" dataCellStyle="Normal 2" totalsRowCellStyle="Normal 2">
      <calculatedColumnFormula>MEDIAN(BC2:BH2)</calculatedColumnFormula>
    </tableColumn>
    <tableColumn id="63" xr3:uid="{08A82E1F-6CCA-4321-B3C5-5D3212819807}" name="VARAM_AÑO1" totalsRowDxfId="33" dataCellStyle="Normal 2" totalsRowCellStyle="Normal 2">
      <calculatedColumnFormula>+Q2-P2</calculatedColumnFormula>
    </tableColumn>
    <tableColumn id="64" xr3:uid="{3FB2D2C9-CBE3-4843-9629-248BA7E35569}" name="VARAM_AÑO2" totalsRowDxfId="32" dataCellStyle="Normal 2" totalsRowCellStyle="Normal 2">
      <calculatedColumnFormula>+R2-Q2</calculatedColumnFormula>
    </tableColumn>
    <tableColumn id="65" xr3:uid="{90E0B2F9-A303-486E-8F6F-ACB5CCAFE230}" name="VARAM_AÑO3" totalsRowDxfId="31" dataCellStyle="Normal 2" totalsRowCellStyle="Normal 2">
      <calculatedColumnFormula>+S2-R2</calculatedColumnFormula>
    </tableColumn>
    <tableColumn id="66" xr3:uid="{CAAD949C-CF8D-477F-BFCC-4B627CF3AD13}" name="VARAM_AÑO4" totalsRowDxfId="30" dataCellStyle="Normal 2" totalsRowCellStyle="Normal 2">
      <calculatedColumnFormula>+T2-S2</calculatedColumnFormula>
    </tableColumn>
    <tableColumn id="67" xr3:uid="{CF40BC1A-63B0-49B8-840B-4B303F139458}" name="VARAM_AÑO5" totalsRowDxfId="29" dataCellStyle="Normal 2" totalsRowCellStyle="Normal 2">
      <calculatedColumnFormula>+U2-T2</calculatedColumnFormula>
    </tableColumn>
    <tableColumn id="68" xr3:uid="{5A9848F7-0461-4819-88D7-A565532A4528}" name="VARAM_AÑO6" totalsRowDxfId="28" dataCellStyle="Normal 2" totalsRowCellStyle="Normal 2">
      <calculatedColumnFormula>+V2-U2</calculatedColumnFormula>
    </tableColumn>
    <tableColumn id="69" xr3:uid="{DA0F0A57-4320-4513-BFCD-C484E0B45FC6}" name="PROMEDIO6" dataDxfId="27" totalsRowDxfId="26" dataCellStyle="Porcentaje" totalsRowCellStyle="Porcentaje">
      <calculatedColumnFormula>+AVERAGE(BK2:BP2)</calculatedColumnFormula>
    </tableColumn>
    <tableColumn id="70" xr3:uid="{BF3892F4-354F-4CD7-9C41-ED50263018A0}" name="MEDIA5" dataDxfId="25" totalsRowDxfId="24" dataCellStyle="Normal 2" totalsRowCellStyle="Normal 2">
      <calculatedColumnFormula>MEDIAN(BK2:BP2)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0CA233-A156-4E44-B71F-799D5BC73180}" name="Tabla7" displayName="Tabla7" ref="A1:BR622" totalsRowCount="1">
  <autoFilter ref="A1:BR621" xr:uid="{DE0CA233-A156-4E44-B71F-799D5BC73180}"/>
  <sortState xmlns:xlrd2="http://schemas.microsoft.com/office/spreadsheetml/2017/richdata2" ref="A2:BR621">
    <sortCondition descending="1" ref="AK1:AK621"/>
  </sortState>
  <tableColumns count="70">
    <tableColumn id="1" xr3:uid="{4A8BAB1D-9621-436A-BF69-B4A43ABBE1FC}" name="causa"/>
    <tableColumn id="2" xr3:uid="{87921326-B1FA-4FCE-A863-9F1BD0F3754A}" name="2017" totalsRowFunction="sum"/>
    <tableColumn id="3" xr3:uid="{746EA3E8-A2E0-4B2C-A575-5A1D481F3596}" name="2018" totalsRowFunction="sum"/>
    <tableColumn id="4" xr3:uid="{79CA2BD1-E409-4202-BA35-6524F2A2CDDF}" name="2019" totalsRowFunction="sum"/>
    <tableColumn id="5" xr3:uid="{A9D0CD2D-4A2F-44EE-8912-CE20027BE644}" name="2020" totalsRowFunction="sum"/>
    <tableColumn id="6" xr3:uid="{58C0919E-4F18-4227-8097-82EE608DFF85}" name="2021" totalsRowFunction="sum"/>
    <tableColumn id="7" xr3:uid="{46C9DE7A-5437-41C2-AF26-896F5E157F98}" name="2022" totalsRowFunction="sum"/>
    <tableColumn id="8" xr3:uid="{43B8D519-9FF7-45F8-8E3A-9EBF4915FBCB}" name="2023" totalsRowFunction="sum"/>
    <tableColumn id="9" xr3:uid="{547FD0AA-E25B-4410-AEB1-F37E3015CB7F}" name="Hombres_2017"/>
    <tableColumn id="10" xr3:uid="{C5943812-28A6-4A84-BAE5-07CC06B36C7C}" name="Hombres_2018"/>
    <tableColumn id="11" xr3:uid="{6283C1CF-BA07-45D1-A874-73D77D54636A}" name="Hombres_2019"/>
    <tableColumn id="12" xr3:uid="{0E9E4497-CA77-4A3B-AA3B-3209EA8FAC41}" name="Hombres_2020"/>
    <tableColumn id="13" xr3:uid="{7D58158A-FB07-418E-B5FA-464EF51CEC96}" name="Hombres_2021"/>
    <tableColumn id="14" xr3:uid="{35BCFCFE-DDC0-453A-A207-25E27718DA1B}" name="Hombres_2022"/>
    <tableColumn id="15" xr3:uid="{779AB42D-79B0-4E32-A8B3-46FA75B3FB41}" name="Hombres_2023"/>
    <tableColumn id="16" xr3:uid="{C1FB6B7A-0CC1-4815-A2CA-21162BE58254}" name="Mujeres_2017"/>
    <tableColumn id="17" xr3:uid="{11F56D01-7C4F-4B98-80B0-AB53F3E382B3}" name="Mujeres_2018"/>
    <tableColumn id="18" xr3:uid="{DC8976ED-8051-4CCA-A1C5-96579EFB4EBC}" name="Mujeres_2019"/>
    <tableColumn id="19" xr3:uid="{9442C375-503D-4897-A2F3-08F644A206BD}" name="Mujeres_2020"/>
    <tableColumn id="20" xr3:uid="{7DEBF176-3295-4156-8C81-2D85C2118715}" name="Mujeres_2021"/>
    <tableColumn id="21" xr3:uid="{96F2CAD5-ABA9-49BD-BE69-F58293ED30D1}" name="Mujeres_2022"/>
    <tableColumn id="22" xr3:uid="{B4D56070-C9F9-47F6-A540-3B807FE80916}" name="Mujeres_2023"/>
    <tableColumn id="23" xr3:uid="{4FDAD628-FFEE-4453-A5F4-A63B9E1D0387}" name="VAR_AÑO1">
      <calculatedColumnFormula>+(C2-B2)/B2</calculatedColumnFormula>
    </tableColumn>
    <tableColumn id="24" xr3:uid="{7CFE072B-D9C9-4771-A686-7FF859C59767}" name="VAR_AÑO2">
      <calculatedColumnFormula>+(D2-C2)/C2</calculatedColumnFormula>
    </tableColumn>
    <tableColumn id="25" xr3:uid="{61D1415E-329C-429A-92C8-0DAF0A83261F}" name="VAR_AÑO3">
      <calculatedColumnFormula>+(E2-D2)/D2</calculatedColumnFormula>
    </tableColumn>
    <tableColumn id="26" xr3:uid="{138DE8B0-3A38-426E-B6AE-F514E55D1FB3}" name="VAR_AÑO4">
      <calculatedColumnFormula>+(F2-E2)/E2</calculatedColumnFormula>
    </tableColumn>
    <tableColumn id="27" xr3:uid="{2BAD0C05-2F24-4BE0-81B2-EB77CD983952}" name="VAR_AÑO5">
      <calculatedColumnFormula>+(G2-F2)/F2</calculatedColumnFormula>
    </tableColumn>
    <tableColumn id="28" xr3:uid="{1D8DFC4E-17E4-456A-ADA2-4D382789535A}" name="VAR_AÑO6">
      <calculatedColumnFormula>+(H2-G2)/G2</calculatedColumnFormula>
    </tableColumn>
    <tableColumn id="29" xr3:uid="{B014D4DA-440B-4291-8169-F9AD0010048C}" name="PROMEDIO" dataDxfId="23" totalsRowDxfId="22">
      <calculatedColumnFormula>+AVERAGE(W2:AB2)</calculatedColumnFormula>
    </tableColumn>
    <tableColumn id="30" xr3:uid="{9CF2954F-9604-4547-A3A3-9960302CBB1F}" name="MEDIA" dataDxfId="21" totalsRowDxfId="20">
      <calculatedColumnFormula>MEDIAN(W2:AB2)</calculatedColumnFormula>
    </tableColumn>
    <tableColumn id="31" xr3:uid="{20805C84-4ED3-47B2-A9E0-33D4F86772C6}" name="VARAB_AÑO1">
      <calculatedColumnFormula>C2-B2</calculatedColumnFormula>
    </tableColumn>
    <tableColumn id="32" xr3:uid="{3871420B-0FA1-4621-852F-AD3B87FA6DDF}" name="VARAB_AÑO2">
      <calculatedColumnFormula>D2-C2</calculatedColumnFormula>
    </tableColumn>
    <tableColumn id="33" xr3:uid="{9E70D6EE-1F7C-4F79-A23F-FB724BAE0814}" name="VARAB_AÑO3">
      <calculatedColumnFormula>E2-D2</calculatedColumnFormula>
    </tableColumn>
    <tableColumn id="34" xr3:uid="{AE645D65-9F7D-43F2-8A7A-1AC630560C85}" name="VARAB_AÑO4">
      <calculatedColumnFormula>F2-E2</calculatedColumnFormula>
    </tableColumn>
    <tableColumn id="35" xr3:uid="{6F6134AD-C5EB-4D14-A333-03530BAE680C}" name="VARAB_AÑO5">
      <calculatedColumnFormula>G2-F2</calculatedColumnFormula>
    </tableColumn>
    <tableColumn id="36" xr3:uid="{D93E6D00-4AC3-4D3A-A1D3-C6FA56539090}" name="VARAB_AÑO6">
      <calculatedColumnFormula>H2-G2</calculatedColumnFormula>
    </tableColumn>
    <tableColumn id="37" xr3:uid="{B2D70452-24CC-4DE4-ACC3-69F0270AAAA8}" name="PROMEDIO2" dataDxfId="19" totalsRowDxfId="18">
      <calculatedColumnFormula>+AVERAGE(AE2:AJ2)</calculatedColumnFormula>
    </tableColumn>
    <tableColumn id="38" xr3:uid="{4265B4EE-0596-42D9-B6F5-7EBC1341051A}" name="MEDIA2" dataDxfId="17" totalsRowDxfId="16">
      <calculatedColumnFormula>+MEDIAN(AE2:AJ2)</calculatedColumnFormula>
    </tableColumn>
    <tableColumn id="39" xr3:uid="{3580E6CC-22CD-4CB3-8B68-34A3CF514C1E}" name="VARH_AÑO1">
      <calculatedColumnFormula>+(J2-I2)/I2</calculatedColumnFormula>
    </tableColumn>
    <tableColumn id="40" xr3:uid="{7850F6E1-9CDE-4193-83BB-0F438B4A76D8}" name="VARH_AÑO2">
      <calculatedColumnFormula>+(K2-J2)/J2</calculatedColumnFormula>
    </tableColumn>
    <tableColumn id="41" xr3:uid="{C2D392EA-9D13-4C9F-950A-B2E46CEDAB5D}" name="VARH_AÑO3">
      <calculatedColumnFormula>+(L2-K2)/K2</calculatedColumnFormula>
    </tableColumn>
    <tableColumn id="42" xr3:uid="{64BF39EB-B0C4-4F8D-AC37-EDF6901369FD}" name="VARH_AÑO4">
      <calculatedColumnFormula>+(M2-L2)/L2</calculatedColumnFormula>
    </tableColumn>
    <tableColumn id="43" xr3:uid="{ED882767-B3CE-4E0B-AB87-69E10A9B3BBF}" name="VARH_AÑO5">
      <calculatedColumnFormula>+(N2-M2)/M2</calculatedColumnFormula>
    </tableColumn>
    <tableColumn id="44" xr3:uid="{9405471D-C35D-46B0-B72E-879C61909367}" name="VARH_AÑO6">
      <calculatedColumnFormula>+(O2-N2)/N2</calculatedColumnFormula>
    </tableColumn>
    <tableColumn id="45" xr3:uid="{3F70224F-E8A4-4667-BFD4-B9096E234557}" name="PROMEDIO3" dataDxfId="15" totalsRowDxfId="14" dataCellStyle="Porcentaje">
      <calculatedColumnFormula>+AVERAGE(AM2:AR2)</calculatedColumnFormula>
    </tableColumn>
    <tableColumn id="46" xr3:uid="{860E118D-3B18-44E1-BEFD-5B67F50F980E}" name="MEDIA3" dataDxfId="13" totalsRowDxfId="12" dataCellStyle="Porcentaje">
      <calculatedColumnFormula>+MEDIAN(AM2:AR2)</calculatedColumnFormula>
    </tableColumn>
    <tableColumn id="47" xr3:uid="{ADA5C4C2-E1A2-48E9-9185-3E47D814BC9E}" name="VARAH_AÑO1">
      <calculatedColumnFormula>J2-I2</calculatedColumnFormula>
    </tableColumn>
    <tableColumn id="48" xr3:uid="{EDC9EDD5-3045-422C-BE68-CB3A1030F763}" name="VARAH_AÑO2">
      <calculatedColumnFormula>K2-J2</calculatedColumnFormula>
    </tableColumn>
    <tableColumn id="49" xr3:uid="{74004207-AEEE-4E61-9D50-24DE57CBB58B}" name="VARAH_AÑO3">
      <calculatedColumnFormula>L2-K2</calculatedColumnFormula>
    </tableColumn>
    <tableColumn id="50" xr3:uid="{A4DE2DF4-AB6D-4188-B752-847C7E51556C}" name="VARAH_AÑO4">
      <calculatedColumnFormula>M2-L2</calculatedColumnFormula>
    </tableColumn>
    <tableColumn id="51" xr3:uid="{7AAB7755-4854-4796-9308-50AB7CDB3E5F}" name="VARAH_AÑO5">
      <calculatedColumnFormula>N2-M2</calculatedColumnFormula>
    </tableColumn>
    <tableColumn id="52" xr3:uid="{A1E050EE-42F6-4D68-9147-37ED0C55FE02}" name="VARAH_AÑO6">
      <calculatedColumnFormula>O2-N2</calculatedColumnFormula>
    </tableColumn>
    <tableColumn id="53" xr3:uid="{727BDC04-DDCD-4958-B8D0-425638991552}" name="PROMEDIO4" dataDxfId="11" totalsRowDxfId="10">
      <calculatedColumnFormula>+AVERAGE(AU2:AZ2)</calculatedColumnFormula>
    </tableColumn>
    <tableColumn id="54" xr3:uid="{B5727F32-C308-421A-BB84-2EF62D6D0ECC}" name="MEDIA4" dataDxfId="9" totalsRowDxfId="8">
      <calculatedColumnFormula>MEDIAN(AU2:AZ2)</calculatedColumnFormula>
    </tableColumn>
    <tableColumn id="55" xr3:uid="{75F9D141-F3E2-4D4E-B9C0-04830F1B32A1}" name="VARM_AÑO1">
      <calculatedColumnFormula>+(Q2-P2)/P2</calculatedColumnFormula>
    </tableColumn>
    <tableColumn id="56" xr3:uid="{F68399C1-203C-4F93-A9E2-84E3E0EA2572}" name="VARM_AÑO2">
      <calculatedColumnFormula>+(R2-Q2)/Q2</calculatedColumnFormula>
    </tableColumn>
    <tableColumn id="57" xr3:uid="{B8167E61-20EA-4358-A9E9-DF3FBCA0E47A}" name="VARM_AÑO3">
      <calculatedColumnFormula>+(S2-R2)/R2</calculatedColumnFormula>
    </tableColumn>
    <tableColumn id="58" xr3:uid="{EB42E7EA-51CB-435B-BD4F-FB0986DE7F6D}" name="VARM_AÑO4">
      <calculatedColumnFormula>+(T2-S2)/S2</calculatedColumnFormula>
    </tableColumn>
    <tableColumn id="59" xr3:uid="{655E715E-7392-4071-9A28-30E7261D74AE}" name="VARM_AÑO5">
      <calculatedColumnFormula>+(U2-T2)/T2</calculatedColumnFormula>
    </tableColumn>
    <tableColumn id="60" xr3:uid="{1E84593B-DAB6-478F-9A5B-5DC2464FE0F3}" name="VARM_AÑO6">
      <calculatedColumnFormula>+(V2-U2)/U2</calculatedColumnFormula>
    </tableColumn>
    <tableColumn id="61" xr3:uid="{6D377C3D-BC27-4F27-B5C1-16AAE1B90076}" name="PROMEDIO5" dataDxfId="7" totalsRowDxfId="6">
      <calculatedColumnFormula>+AVERAGE(BC2:BH2)</calculatedColumnFormula>
    </tableColumn>
    <tableColumn id="62" xr3:uid="{F0667350-ECF4-42B4-A592-89FC46EF13C5}" name="MEDIANA" dataDxfId="5" totalsRowDxfId="4">
      <calculatedColumnFormula>MEDIAN(BC2:BH2)</calculatedColumnFormula>
    </tableColumn>
    <tableColumn id="63" xr3:uid="{D0A8EDC4-2C9A-4706-872B-30872884889E}" name="VARAM_AÑO1">
      <calculatedColumnFormula>+Q2-P2</calculatedColumnFormula>
    </tableColumn>
    <tableColumn id="64" xr3:uid="{41838DDD-B73B-4723-A7D6-7CBAF60B1DB7}" name="VARAM_AÑO2">
      <calculatedColumnFormula>+R2-Q2</calculatedColumnFormula>
    </tableColumn>
    <tableColumn id="65" xr3:uid="{AF42013B-DF5C-4C0B-BB74-9B45BD7F931B}" name="VARAM_AÑO3">
      <calculatedColumnFormula>+S2-R2</calculatedColumnFormula>
    </tableColumn>
    <tableColumn id="66" xr3:uid="{906BA0F9-508F-498C-A09E-E4AFD6165BF5}" name="VARAM_AÑO4">
      <calculatedColumnFormula>+T2-S2</calculatedColumnFormula>
    </tableColumn>
    <tableColumn id="67" xr3:uid="{C5411791-AE37-49A1-AD14-CBF637472CF7}" name="VARAM_AÑO5">
      <calculatedColumnFormula>+U2-T2</calculatedColumnFormula>
    </tableColumn>
    <tableColumn id="68" xr3:uid="{EDAC754D-10F2-4247-B950-7CF8EAFADF5C}" name="VARAM_AÑO6">
      <calculatedColumnFormula>+V2-U2</calculatedColumnFormula>
    </tableColumn>
    <tableColumn id="69" xr3:uid="{0CE3BA90-B889-4978-84AC-5929F7B76B92}" name="PROMEDIO6" dataDxfId="3" totalsRowDxfId="2">
      <calculatedColumnFormula>+AVERAGE(BK2:BP2)</calculatedColumnFormula>
    </tableColumn>
    <tableColumn id="70" xr3:uid="{6410F01B-0C56-48FB-8CDB-B8D094421B4C}" name="MEDIA5" dataDxfId="1" totalsRowDxfId="0">
      <calculatedColumnFormula>MEDIAN(BK2:BP2)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84FB-74C1-4E62-B7AF-7C18F9DC99A2}">
  <dimension ref="A1:V123"/>
  <sheetViews>
    <sheetView topLeftCell="F1" workbookViewId="0">
      <selection activeCell="V1" activeCellId="6" sqref="D1:D1048576 G1:G1048576 J1:J1048576 M1:M1048576 P1:P1048576 S1:S1048576 V1:V1048576"/>
    </sheetView>
  </sheetViews>
  <sheetFormatPr baseColWidth="10" defaultRowHeight="15" x14ac:dyDescent="0.25"/>
  <cols>
    <col min="1" max="1" width="14.140625" style="1" bestFit="1" customWidth="1"/>
    <col min="2" max="2" width="9.5703125" style="1" bestFit="1" customWidth="1"/>
    <col min="3" max="3" width="18.7109375" style="1" bestFit="1" customWidth="1"/>
    <col min="4" max="4" width="17.7109375" style="1" bestFit="1" customWidth="1"/>
    <col min="5" max="5" width="9.5703125" style="1" bestFit="1" customWidth="1"/>
    <col min="6" max="6" width="18.7109375" style="1" bestFit="1" customWidth="1"/>
    <col min="7" max="7" width="17.7109375" style="1" bestFit="1" customWidth="1"/>
    <col min="8" max="8" width="9.5703125" style="1" bestFit="1" customWidth="1"/>
    <col min="9" max="9" width="18.7109375" style="1" bestFit="1" customWidth="1"/>
    <col min="10" max="10" width="17.7109375" style="1" bestFit="1" customWidth="1"/>
    <col min="11" max="11" width="9.5703125" style="1" bestFit="1" customWidth="1"/>
    <col min="12" max="12" width="18.7109375" style="1" bestFit="1" customWidth="1"/>
    <col min="13" max="13" width="17.7109375" style="1" bestFit="1" customWidth="1"/>
    <col min="14" max="14" width="9.5703125" style="1" bestFit="1" customWidth="1"/>
    <col min="15" max="15" width="18.7109375" style="1" bestFit="1" customWidth="1"/>
    <col min="16" max="16" width="17.7109375" style="1" bestFit="1" customWidth="1"/>
    <col min="17" max="17" width="9.5703125" style="1" bestFit="1" customWidth="1"/>
    <col min="18" max="18" width="18.7109375" style="1" bestFit="1" customWidth="1"/>
    <col min="19" max="19" width="17.7109375" style="1" bestFit="1" customWidth="1"/>
    <col min="20" max="20" width="9.5703125" style="1" bestFit="1" customWidth="1"/>
    <col min="21" max="21" width="18.7109375" style="1" bestFit="1" customWidth="1"/>
    <col min="22" max="22" width="17.7109375" style="1" bestFit="1" customWidth="1"/>
    <col min="23" max="16384" width="11.42578125" style="1"/>
  </cols>
  <sheetData>
    <row r="1" spans="1:22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25">
      <c r="A2" s="1" t="s">
        <v>682</v>
      </c>
      <c r="B2" s="1">
        <v>1421</v>
      </c>
      <c r="C2" s="1">
        <v>701</v>
      </c>
      <c r="D2" s="1">
        <v>720</v>
      </c>
      <c r="E2" s="1">
        <v>1366</v>
      </c>
      <c r="F2" s="1">
        <v>656</v>
      </c>
      <c r="G2" s="1">
        <v>710</v>
      </c>
      <c r="H2" s="1">
        <v>1518</v>
      </c>
      <c r="I2" s="1">
        <v>778</v>
      </c>
      <c r="J2" s="1">
        <v>740</v>
      </c>
      <c r="K2" s="1">
        <v>1890</v>
      </c>
      <c r="L2" s="1">
        <v>982</v>
      </c>
      <c r="M2" s="1">
        <v>908</v>
      </c>
      <c r="N2" s="1">
        <v>1618</v>
      </c>
      <c r="O2" s="1">
        <v>781</v>
      </c>
      <c r="P2" s="1">
        <v>837</v>
      </c>
      <c r="Q2" s="1">
        <v>1703</v>
      </c>
      <c r="R2" s="1">
        <v>826</v>
      </c>
      <c r="S2" s="1">
        <v>877</v>
      </c>
      <c r="T2" s="1">
        <v>1634</v>
      </c>
      <c r="U2" s="1">
        <v>798</v>
      </c>
      <c r="V2" s="1">
        <v>836</v>
      </c>
    </row>
    <row r="3" spans="1:22" x14ac:dyDescent="0.25">
      <c r="A3" s="1" t="s">
        <v>683</v>
      </c>
      <c r="B3" s="1">
        <v>1410</v>
      </c>
      <c r="C3" s="1">
        <v>678</v>
      </c>
      <c r="D3" s="1">
        <v>732</v>
      </c>
      <c r="E3" s="1">
        <v>1443</v>
      </c>
      <c r="F3" s="1">
        <v>691</v>
      </c>
      <c r="G3" s="1">
        <v>752</v>
      </c>
      <c r="H3" s="1">
        <v>1417</v>
      </c>
      <c r="I3" s="1">
        <v>674</v>
      </c>
      <c r="J3" s="1">
        <v>743</v>
      </c>
      <c r="K3" s="1">
        <v>1846</v>
      </c>
      <c r="L3" s="1">
        <v>929</v>
      </c>
      <c r="M3" s="1">
        <v>917</v>
      </c>
      <c r="N3" s="1">
        <v>1580</v>
      </c>
      <c r="O3" s="1">
        <v>799</v>
      </c>
      <c r="P3" s="1">
        <v>781</v>
      </c>
      <c r="Q3" s="1">
        <v>1624</v>
      </c>
      <c r="R3" s="1">
        <v>763</v>
      </c>
      <c r="S3" s="1">
        <v>861</v>
      </c>
      <c r="T3" s="1">
        <v>1596</v>
      </c>
      <c r="U3" s="1">
        <v>744</v>
      </c>
      <c r="V3" s="1">
        <v>852</v>
      </c>
    </row>
    <row r="4" spans="1:22" x14ac:dyDescent="0.25">
      <c r="A4" s="1" t="s">
        <v>684</v>
      </c>
      <c r="B4" s="1">
        <v>1386</v>
      </c>
      <c r="C4" s="1">
        <v>697</v>
      </c>
      <c r="D4" s="1">
        <v>689</v>
      </c>
      <c r="E4" s="1">
        <v>1347</v>
      </c>
      <c r="F4" s="1">
        <v>679</v>
      </c>
      <c r="G4" s="1">
        <v>668</v>
      </c>
      <c r="H4" s="1">
        <v>1494</v>
      </c>
      <c r="I4" s="1">
        <v>751</v>
      </c>
      <c r="J4" s="1">
        <v>743</v>
      </c>
      <c r="K4" s="1">
        <v>1827</v>
      </c>
      <c r="L4" s="1">
        <v>986</v>
      </c>
      <c r="M4" s="1">
        <v>841</v>
      </c>
      <c r="N4" s="1">
        <v>1714</v>
      </c>
      <c r="O4" s="1">
        <v>891</v>
      </c>
      <c r="P4" s="1">
        <v>823</v>
      </c>
      <c r="Q4" s="1">
        <v>1658</v>
      </c>
      <c r="R4" s="1">
        <v>829</v>
      </c>
      <c r="S4" s="1">
        <v>829</v>
      </c>
      <c r="T4" s="1">
        <v>1552</v>
      </c>
      <c r="U4" s="1">
        <v>766</v>
      </c>
      <c r="V4" s="1">
        <v>786</v>
      </c>
    </row>
    <row r="5" spans="1:22" x14ac:dyDescent="0.25">
      <c r="A5" s="1" t="s">
        <v>685</v>
      </c>
      <c r="B5" s="1">
        <v>1359</v>
      </c>
      <c r="C5" s="1">
        <v>673</v>
      </c>
      <c r="D5" s="1">
        <v>686</v>
      </c>
      <c r="E5" s="1">
        <v>1426</v>
      </c>
      <c r="F5" s="1">
        <v>714</v>
      </c>
      <c r="G5" s="1">
        <v>712</v>
      </c>
      <c r="H5" s="1">
        <v>1401</v>
      </c>
      <c r="I5" s="1">
        <v>712</v>
      </c>
      <c r="J5" s="1">
        <v>689</v>
      </c>
      <c r="K5" s="1">
        <v>1866</v>
      </c>
      <c r="L5" s="1">
        <v>977</v>
      </c>
      <c r="M5" s="1">
        <v>889</v>
      </c>
      <c r="N5" s="1">
        <v>1619</v>
      </c>
      <c r="O5" s="1">
        <v>851</v>
      </c>
      <c r="P5" s="1">
        <v>768</v>
      </c>
      <c r="Q5" s="1">
        <v>1633</v>
      </c>
      <c r="R5" s="1">
        <v>829</v>
      </c>
      <c r="S5" s="1">
        <v>804</v>
      </c>
      <c r="T5" s="1">
        <v>1564</v>
      </c>
      <c r="U5" s="1">
        <v>802</v>
      </c>
      <c r="V5" s="1">
        <v>762</v>
      </c>
    </row>
    <row r="6" spans="1:22" x14ac:dyDescent="0.25">
      <c r="A6" s="1" t="s">
        <v>686</v>
      </c>
      <c r="B6" s="1">
        <v>1336</v>
      </c>
      <c r="C6" s="1">
        <v>688</v>
      </c>
      <c r="D6" s="1">
        <v>648</v>
      </c>
      <c r="E6" s="1">
        <v>1293</v>
      </c>
      <c r="F6" s="1">
        <v>650</v>
      </c>
      <c r="G6" s="1">
        <v>643</v>
      </c>
      <c r="H6" s="1">
        <v>1513</v>
      </c>
      <c r="I6" s="1">
        <v>793</v>
      </c>
      <c r="J6" s="1">
        <v>720</v>
      </c>
      <c r="K6" s="1">
        <v>1803</v>
      </c>
      <c r="L6" s="1">
        <v>1022</v>
      </c>
      <c r="M6" s="1">
        <v>781</v>
      </c>
      <c r="N6" s="1">
        <v>1588</v>
      </c>
      <c r="O6" s="1">
        <v>819</v>
      </c>
      <c r="P6" s="1">
        <v>769</v>
      </c>
      <c r="Q6" s="1">
        <v>1536</v>
      </c>
      <c r="R6" s="1">
        <v>728</v>
      </c>
      <c r="S6" s="1">
        <v>808</v>
      </c>
      <c r="T6" s="1">
        <v>1601</v>
      </c>
      <c r="U6" s="1">
        <v>805</v>
      </c>
      <c r="V6" s="1">
        <v>796</v>
      </c>
    </row>
    <row r="7" spans="1:22" x14ac:dyDescent="0.25">
      <c r="A7" s="1" t="s">
        <v>51</v>
      </c>
      <c r="B7" s="1">
        <v>1312</v>
      </c>
      <c r="C7" s="1">
        <v>623</v>
      </c>
      <c r="D7" s="1">
        <v>689</v>
      </c>
      <c r="E7" s="1">
        <v>1397</v>
      </c>
      <c r="F7" s="1">
        <v>668</v>
      </c>
      <c r="G7" s="1">
        <v>729</v>
      </c>
      <c r="H7" s="1">
        <v>1387</v>
      </c>
      <c r="I7" s="1">
        <v>674</v>
      </c>
      <c r="J7" s="1">
        <v>713</v>
      </c>
      <c r="K7" s="1">
        <v>1798</v>
      </c>
      <c r="L7" s="1">
        <v>893</v>
      </c>
      <c r="M7" s="1">
        <v>905</v>
      </c>
      <c r="N7" s="1">
        <v>1566</v>
      </c>
      <c r="O7" s="1">
        <v>728</v>
      </c>
      <c r="P7" s="1">
        <v>838</v>
      </c>
      <c r="Q7" s="1">
        <v>1640</v>
      </c>
      <c r="R7" s="1">
        <v>779</v>
      </c>
      <c r="S7" s="1">
        <v>861</v>
      </c>
      <c r="T7" s="1">
        <v>1513</v>
      </c>
      <c r="U7" s="1">
        <v>721</v>
      </c>
      <c r="V7" s="1">
        <v>792</v>
      </c>
    </row>
    <row r="8" spans="1:22" x14ac:dyDescent="0.25">
      <c r="A8" s="1" t="s">
        <v>687</v>
      </c>
      <c r="B8" s="1">
        <v>1300</v>
      </c>
      <c r="C8" s="1">
        <v>633</v>
      </c>
      <c r="D8" s="1">
        <v>667</v>
      </c>
      <c r="E8" s="1">
        <v>1294</v>
      </c>
      <c r="F8" s="1">
        <v>671</v>
      </c>
      <c r="G8" s="1">
        <v>623</v>
      </c>
      <c r="H8" s="1">
        <v>1344</v>
      </c>
      <c r="I8" s="1">
        <v>685</v>
      </c>
      <c r="J8" s="1">
        <v>659</v>
      </c>
      <c r="K8" s="1">
        <v>1878</v>
      </c>
      <c r="L8" s="1">
        <v>1030</v>
      </c>
      <c r="M8" s="1">
        <v>848</v>
      </c>
      <c r="N8" s="1">
        <v>1627</v>
      </c>
      <c r="O8" s="1">
        <v>876</v>
      </c>
      <c r="P8" s="1">
        <v>751</v>
      </c>
      <c r="Q8" s="1">
        <v>1540</v>
      </c>
      <c r="R8" s="1">
        <v>830</v>
      </c>
      <c r="S8" s="1">
        <v>710</v>
      </c>
      <c r="T8" s="1">
        <v>1416</v>
      </c>
      <c r="U8" s="1">
        <v>721</v>
      </c>
      <c r="V8" s="1">
        <v>695</v>
      </c>
    </row>
    <row r="9" spans="1:22" x14ac:dyDescent="0.25">
      <c r="A9" s="1" t="s">
        <v>688</v>
      </c>
      <c r="B9" s="1">
        <v>1300</v>
      </c>
      <c r="C9" s="1">
        <v>685</v>
      </c>
      <c r="D9" s="1">
        <v>615</v>
      </c>
      <c r="E9" s="1">
        <v>1341</v>
      </c>
      <c r="F9" s="1">
        <v>699</v>
      </c>
      <c r="G9" s="1">
        <v>642</v>
      </c>
      <c r="H9" s="1">
        <v>1375</v>
      </c>
      <c r="I9" s="1">
        <v>720</v>
      </c>
      <c r="J9" s="1">
        <v>655</v>
      </c>
      <c r="K9" s="1">
        <v>1784</v>
      </c>
      <c r="L9" s="1">
        <v>948</v>
      </c>
      <c r="M9" s="1">
        <v>836</v>
      </c>
      <c r="N9" s="1">
        <v>1600</v>
      </c>
      <c r="O9" s="1">
        <v>862</v>
      </c>
      <c r="P9" s="1">
        <v>738</v>
      </c>
      <c r="Q9" s="1">
        <v>1670</v>
      </c>
      <c r="R9" s="1">
        <v>878</v>
      </c>
      <c r="S9" s="1">
        <v>792</v>
      </c>
      <c r="T9" s="1">
        <v>1572</v>
      </c>
      <c r="U9" s="1">
        <v>820</v>
      </c>
      <c r="V9" s="1">
        <v>752</v>
      </c>
    </row>
    <row r="10" spans="1:22" x14ac:dyDescent="0.25">
      <c r="A10" s="1" t="s">
        <v>689</v>
      </c>
      <c r="B10" s="1">
        <v>1231</v>
      </c>
      <c r="C10" s="1">
        <v>651</v>
      </c>
      <c r="D10" s="1">
        <v>580</v>
      </c>
      <c r="E10" s="1">
        <v>1216</v>
      </c>
      <c r="F10" s="1">
        <v>638</v>
      </c>
      <c r="G10" s="1">
        <v>578</v>
      </c>
      <c r="H10" s="1">
        <v>1275</v>
      </c>
      <c r="I10" s="1">
        <v>675</v>
      </c>
      <c r="J10" s="1">
        <v>600</v>
      </c>
      <c r="K10" s="1">
        <v>1723</v>
      </c>
      <c r="L10" s="1">
        <v>992</v>
      </c>
      <c r="M10" s="1">
        <v>731</v>
      </c>
      <c r="N10" s="1">
        <v>1507</v>
      </c>
      <c r="O10" s="1">
        <v>801</v>
      </c>
      <c r="P10" s="1">
        <v>706</v>
      </c>
      <c r="Q10" s="1">
        <v>1454</v>
      </c>
      <c r="R10" s="1">
        <v>769</v>
      </c>
      <c r="S10" s="1">
        <v>685</v>
      </c>
      <c r="T10" s="1">
        <v>1443</v>
      </c>
      <c r="U10" s="1">
        <v>766</v>
      </c>
      <c r="V10" s="1">
        <v>677</v>
      </c>
    </row>
    <row r="11" spans="1:22" x14ac:dyDescent="0.25">
      <c r="A11" s="1" t="s">
        <v>690</v>
      </c>
      <c r="B11" s="1">
        <v>1216</v>
      </c>
      <c r="C11" s="1">
        <v>669</v>
      </c>
      <c r="D11" s="1">
        <v>547</v>
      </c>
      <c r="E11" s="1">
        <v>1238</v>
      </c>
      <c r="F11" s="1">
        <v>696</v>
      </c>
      <c r="G11" s="1">
        <v>542</v>
      </c>
      <c r="H11" s="1">
        <v>1228</v>
      </c>
      <c r="I11" s="1">
        <v>646</v>
      </c>
      <c r="J11" s="1">
        <v>582</v>
      </c>
      <c r="K11" s="1">
        <v>1736</v>
      </c>
      <c r="L11" s="1">
        <v>964</v>
      </c>
      <c r="M11" s="1">
        <v>772</v>
      </c>
      <c r="N11" s="1">
        <v>1460</v>
      </c>
      <c r="O11" s="1">
        <v>813</v>
      </c>
      <c r="P11" s="1">
        <v>647</v>
      </c>
      <c r="Q11" s="1">
        <v>1381</v>
      </c>
      <c r="R11" s="1">
        <v>739</v>
      </c>
      <c r="S11" s="1">
        <v>642</v>
      </c>
      <c r="T11" s="1">
        <v>1504</v>
      </c>
      <c r="U11" s="1">
        <v>829</v>
      </c>
      <c r="V11" s="1">
        <v>675</v>
      </c>
    </row>
    <row r="12" spans="1:22" x14ac:dyDescent="0.25">
      <c r="A12" s="1" t="s">
        <v>691</v>
      </c>
      <c r="B12" s="1">
        <v>1214</v>
      </c>
      <c r="C12" s="1">
        <v>666</v>
      </c>
      <c r="D12" s="1">
        <v>548</v>
      </c>
      <c r="E12" s="1">
        <v>1150</v>
      </c>
      <c r="F12" s="1">
        <v>584</v>
      </c>
      <c r="G12" s="1">
        <v>566</v>
      </c>
      <c r="H12" s="1">
        <v>1141</v>
      </c>
      <c r="I12" s="1">
        <v>622</v>
      </c>
      <c r="J12" s="1">
        <v>519</v>
      </c>
      <c r="K12" s="1">
        <v>1675</v>
      </c>
      <c r="L12" s="1">
        <v>943</v>
      </c>
      <c r="M12" s="1">
        <v>732</v>
      </c>
      <c r="N12" s="1">
        <v>1455</v>
      </c>
      <c r="O12" s="1">
        <v>794</v>
      </c>
      <c r="P12" s="1">
        <v>661</v>
      </c>
      <c r="Q12" s="1">
        <v>1495</v>
      </c>
      <c r="R12" s="1">
        <v>803</v>
      </c>
      <c r="S12" s="1">
        <v>692</v>
      </c>
      <c r="T12" s="1">
        <v>1363</v>
      </c>
      <c r="U12" s="1">
        <v>721</v>
      </c>
      <c r="V12" s="1">
        <v>642</v>
      </c>
    </row>
    <row r="13" spans="1:22" x14ac:dyDescent="0.25">
      <c r="A13" s="1" t="s">
        <v>53</v>
      </c>
      <c r="B13" s="1">
        <v>1166</v>
      </c>
      <c r="C13" s="1">
        <v>553</v>
      </c>
      <c r="D13" s="1">
        <v>613</v>
      </c>
      <c r="E13" s="1">
        <v>1096</v>
      </c>
      <c r="F13" s="1">
        <v>484</v>
      </c>
      <c r="G13" s="1">
        <v>612</v>
      </c>
      <c r="H13" s="1">
        <v>1400</v>
      </c>
      <c r="I13" s="1">
        <v>626</v>
      </c>
      <c r="J13" s="1">
        <v>774</v>
      </c>
      <c r="K13" s="1">
        <v>1664</v>
      </c>
      <c r="L13" s="1">
        <v>796</v>
      </c>
      <c r="M13" s="1">
        <v>868</v>
      </c>
      <c r="N13" s="1">
        <v>1538</v>
      </c>
      <c r="O13" s="1">
        <v>673</v>
      </c>
      <c r="P13" s="1">
        <v>865</v>
      </c>
      <c r="Q13" s="1">
        <v>1483</v>
      </c>
      <c r="R13" s="1">
        <v>666</v>
      </c>
      <c r="S13" s="1">
        <v>817</v>
      </c>
      <c r="T13" s="1">
        <v>1420</v>
      </c>
      <c r="U13" s="1">
        <v>631</v>
      </c>
      <c r="V13" s="1">
        <v>789</v>
      </c>
    </row>
    <row r="14" spans="1:22" x14ac:dyDescent="0.25">
      <c r="A14" s="1" t="s">
        <v>692</v>
      </c>
      <c r="B14" s="1">
        <v>1160</v>
      </c>
      <c r="C14" s="1">
        <v>620</v>
      </c>
      <c r="D14" s="1">
        <v>540</v>
      </c>
      <c r="E14" s="1">
        <v>1290</v>
      </c>
      <c r="F14" s="1">
        <v>725</v>
      </c>
      <c r="G14" s="1">
        <v>565</v>
      </c>
      <c r="H14" s="1">
        <v>1358</v>
      </c>
      <c r="I14" s="1">
        <v>711</v>
      </c>
      <c r="J14" s="1">
        <v>647</v>
      </c>
      <c r="K14" s="1">
        <v>1791</v>
      </c>
      <c r="L14" s="1">
        <v>1001</v>
      </c>
      <c r="M14" s="1">
        <v>790</v>
      </c>
      <c r="N14" s="1">
        <v>1469</v>
      </c>
      <c r="O14" s="1">
        <v>807</v>
      </c>
      <c r="P14" s="1">
        <v>662</v>
      </c>
      <c r="Q14" s="1">
        <v>1449</v>
      </c>
      <c r="R14" s="1">
        <v>748</v>
      </c>
      <c r="S14" s="1">
        <v>701</v>
      </c>
      <c r="T14" s="1">
        <v>1489</v>
      </c>
      <c r="U14" s="1">
        <v>769</v>
      </c>
      <c r="V14" s="1">
        <v>720</v>
      </c>
    </row>
    <row r="15" spans="1:22" x14ac:dyDescent="0.25">
      <c r="A15" s="1" t="s">
        <v>693</v>
      </c>
      <c r="B15" s="1">
        <v>1141</v>
      </c>
      <c r="C15" s="1">
        <v>547</v>
      </c>
      <c r="D15" s="1">
        <v>594</v>
      </c>
      <c r="E15" s="1">
        <v>1305</v>
      </c>
      <c r="F15" s="1">
        <v>615</v>
      </c>
      <c r="G15" s="1">
        <v>690</v>
      </c>
      <c r="H15" s="1">
        <v>1366</v>
      </c>
      <c r="I15" s="1">
        <v>637</v>
      </c>
      <c r="J15" s="1">
        <v>729</v>
      </c>
      <c r="K15" s="1">
        <v>1695</v>
      </c>
      <c r="L15" s="1">
        <v>805</v>
      </c>
      <c r="M15" s="1">
        <v>890</v>
      </c>
      <c r="N15" s="1">
        <v>1499</v>
      </c>
      <c r="O15" s="1">
        <v>691</v>
      </c>
      <c r="P15" s="1">
        <v>808</v>
      </c>
      <c r="Q15" s="1">
        <v>1630</v>
      </c>
      <c r="R15" s="1">
        <v>755</v>
      </c>
      <c r="S15" s="1">
        <v>875</v>
      </c>
      <c r="T15" s="1">
        <v>1429</v>
      </c>
      <c r="U15" s="1">
        <v>620</v>
      </c>
      <c r="V15" s="1">
        <v>809</v>
      </c>
    </row>
    <row r="16" spans="1:22" x14ac:dyDescent="0.25">
      <c r="A16" s="1" t="s">
        <v>694</v>
      </c>
      <c r="B16" s="1">
        <v>1066</v>
      </c>
      <c r="C16" s="1">
        <v>492</v>
      </c>
      <c r="D16" s="1">
        <v>574</v>
      </c>
      <c r="E16" s="1">
        <v>1087</v>
      </c>
      <c r="F16" s="1">
        <v>508</v>
      </c>
      <c r="G16" s="1">
        <v>579</v>
      </c>
      <c r="H16" s="1">
        <v>1173</v>
      </c>
      <c r="I16" s="1">
        <v>531</v>
      </c>
      <c r="J16" s="1">
        <v>642</v>
      </c>
      <c r="K16" s="1">
        <v>1446</v>
      </c>
      <c r="L16" s="1">
        <v>670</v>
      </c>
      <c r="M16" s="1">
        <v>776</v>
      </c>
      <c r="N16" s="1">
        <v>1400</v>
      </c>
      <c r="O16" s="1">
        <v>634</v>
      </c>
      <c r="P16" s="1">
        <v>766</v>
      </c>
      <c r="Q16" s="1">
        <v>1525</v>
      </c>
      <c r="R16" s="1">
        <v>652</v>
      </c>
      <c r="S16" s="1">
        <v>873</v>
      </c>
      <c r="T16" s="1">
        <v>1307</v>
      </c>
      <c r="U16" s="1">
        <v>555</v>
      </c>
      <c r="V16" s="1">
        <v>752</v>
      </c>
    </row>
    <row r="17" spans="1:22" x14ac:dyDescent="0.25">
      <c r="A17" s="1" t="s">
        <v>695</v>
      </c>
      <c r="B17" s="1">
        <v>1062</v>
      </c>
      <c r="C17" s="1">
        <v>550</v>
      </c>
      <c r="D17" s="1">
        <v>512</v>
      </c>
      <c r="E17" s="1">
        <v>1154</v>
      </c>
      <c r="F17" s="1">
        <v>630</v>
      </c>
      <c r="G17" s="1">
        <v>524</v>
      </c>
      <c r="H17" s="1">
        <v>1131</v>
      </c>
      <c r="I17" s="1">
        <v>634</v>
      </c>
      <c r="J17" s="1">
        <v>497</v>
      </c>
      <c r="K17" s="1">
        <v>1715</v>
      </c>
      <c r="L17" s="1">
        <v>984</v>
      </c>
      <c r="M17" s="1">
        <v>731</v>
      </c>
      <c r="N17" s="1">
        <v>1397</v>
      </c>
      <c r="O17" s="1">
        <v>798</v>
      </c>
      <c r="P17" s="1">
        <v>599</v>
      </c>
      <c r="Q17" s="1">
        <v>1391</v>
      </c>
      <c r="R17" s="1">
        <v>767</v>
      </c>
      <c r="S17" s="1">
        <v>624</v>
      </c>
      <c r="T17" s="1">
        <v>1384</v>
      </c>
      <c r="U17" s="1">
        <v>752</v>
      </c>
      <c r="V17" s="1">
        <v>632</v>
      </c>
    </row>
    <row r="18" spans="1:22" x14ac:dyDescent="0.25">
      <c r="A18" s="1" t="s">
        <v>696</v>
      </c>
      <c r="B18" s="1">
        <v>1057</v>
      </c>
      <c r="C18" s="1">
        <v>472</v>
      </c>
      <c r="D18" s="1">
        <v>585</v>
      </c>
      <c r="E18" s="1">
        <v>1020</v>
      </c>
      <c r="F18" s="1">
        <v>438</v>
      </c>
      <c r="G18" s="1">
        <v>582</v>
      </c>
      <c r="H18" s="1">
        <v>1061</v>
      </c>
      <c r="I18" s="1">
        <v>482</v>
      </c>
      <c r="J18" s="1">
        <v>579</v>
      </c>
      <c r="K18" s="1">
        <v>1281</v>
      </c>
      <c r="L18" s="1">
        <v>610</v>
      </c>
      <c r="M18" s="1">
        <v>671</v>
      </c>
      <c r="N18" s="1">
        <v>1319</v>
      </c>
      <c r="O18" s="1">
        <v>596</v>
      </c>
      <c r="P18" s="1">
        <v>723</v>
      </c>
      <c r="Q18" s="1">
        <v>1432</v>
      </c>
      <c r="R18" s="1">
        <v>602</v>
      </c>
      <c r="S18" s="1">
        <v>830</v>
      </c>
      <c r="T18" s="1">
        <v>1312</v>
      </c>
      <c r="U18" s="1">
        <v>548</v>
      </c>
      <c r="V18" s="1">
        <v>764</v>
      </c>
    </row>
    <row r="19" spans="1:22" x14ac:dyDescent="0.25">
      <c r="A19" s="1" t="s">
        <v>697</v>
      </c>
      <c r="B19" s="1">
        <v>1054</v>
      </c>
      <c r="C19" s="1">
        <v>556</v>
      </c>
      <c r="D19" s="1">
        <v>498</v>
      </c>
      <c r="E19" s="1">
        <v>1109</v>
      </c>
      <c r="F19" s="1">
        <v>606</v>
      </c>
      <c r="G19" s="1">
        <v>503</v>
      </c>
      <c r="H19" s="1">
        <v>1148</v>
      </c>
      <c r="I19" s="1">
        <v>627</v>
      </c>
      <c r="J19" s="1">
        <v>521</v>
      </c>
      <c r="K19" s="1">
        <v>1723</v>
      </c>
      <c r="L19" s="1">
        <v>982</v>
      </c>
      <c r="M19" s="1">
        <v>741</v>
      </c>
      <c r="N19" s="1">
        <v>1406</v>
      </c>
      <c r="O19" s="1">
        <v>781</v>
      </c>
      <c r="P19" s="1">
        <v>625</v>
      </c>
      <c r="Q19" s="1">
        <v>1400</v>
      </c>
      <c r="R19" s="1">
        <v>753</v>
      </c>
      <c r="S19" s="1">
        <v>647</v>
      </c>
      <c r="T19" s="1">
        <v>1326</v>
      </c>
      <c r="U19" s="1">
        <v>720</v>
      </c>
      <c r="V19" s="1">
        <v>606</v>
      </c>
    </row>
    <row r="20" spans="1:22" x14ac:dyDescent="0.25">
      <c r="A20" s="1" t="s">
        <v>698</v>
      </c>
      <c r="B20" s="1">
        <v>1028</v>
      </c>
      <c r="C20" s="1">
        <v>548</v>
      </c>
      <c r="D20" s="1">
        <v>480</v>
      </c>
      <c r="E20" s="1">
        <v>1028</v>
      </c>
      <c r="F20" s="1">
        <v>534</v>
      </c>
      <c r="G20" s="1">
        <v>494</v>
      </c>
      <c r="H20" s="1">
        <v>1066</v>
      </c>
      <c r="I20" s="1">
        <v>580</v>
      </c>
      <c r="J20" s="1">
        <v>486</v>
      </c>
      <c r="K20" s="1">
        <v>1679</v>
      </c>
      <c r="L20" s="1">
        <v>976</v>
      </c>
      <c r="M20" s="1">
        <v>703</v>
      </c>
      <c r="N20" s="1">
        <v>1354</v>
      </c>
      <c r="O20" s="1">
        <v>763</v>
      </c>
      <c r="P20" s="1">
        <v>591</v>
      </c>
      <c r="Q20" s="1">
        <v>1305</v>
      </c>
      <c r="R20" s="1">
        <v>742</v>
      </c>
      <c r="S20" s="1">
        <v>563</v>
      </c>
      <c r="T20" s="1">
        <v>1268</v>
      </c>
      <c r="U20" s="1">
        <v>679</v>
      </c>
      <c r="V20" s="1">
        <v>589</v>
      </c>
    </row>
    <row r="21" spans="1:22" x14ac:dyDescent="0.25">
      <c r="A21" s="1" t="s">
        <v>699</v>
      </c>
      <c r="B21" s="1">
        <v>1020</v>
      </c>
      <c r="C21" s="1">
        <v>560</v>
      </c>
      <c r="D21" s="1">
        <v>460</v>
      </c>
      <c r="E21" s="1">
        <v>1060</v>
      </c>
      <c r="F21" s="1">
        <v>592</v>
      </c>
      <c r="G21" s="1">
        <v>468</v>
      </c>
      <c r="H21" s="1">
        <v>1177</v>
      </c>
      <c r="I21" s="1">
        <v>676</v>
      </c>
      <c r="J21" s="1">
        <v>501</v>
      </c>
      <c r="K21" s="1">
        <v>1651</v>
      </c>
      <c r="L21" s="1">
        <v>955</v>
      </c>
      <c r="M21" s="1">
        <v>696</v>
      </c>
      <c r="N21" s="1">
        <v>1450</v>
      </c>
      <c r="O21" s="1">
        <v>809</v>
      </c>
      <c r="P21" s="1">
        <v>641</v>
      </c>
      <c r="Q21" s="1">
        <v>1332</v>
      </c>
      <c r="R21" s="1">
        <v>746</v>
      </c>
      <c r="S21" s="1">
        <v>586</v>
      </c>
      <c r="T21" s="1">
        <v>1311</v>
      </c>
      <c r="U21" s="1">
        <v>736</v>
      </c>
      <c r="V21" s="1">
        <v>575</v>
      </c>
    </row>
    <row r="22" spans="1:22" x14ac:dyDescent="0.25">
      <c r="A22" s="1" t="s">
        <v>700</v>
      </c>
      <c r="B22" s="1">
        <v>1014</v>
      </c>
      <c r="C22" s="1">
        <v>527</v>
      </c>
      <c r="D22" s="1">
        <v>487</v>
      </c>
      <c r="E22" s="1">
        <v>994</v>
      </c>
      <c r="F22" s="1">
        <v>549</v>
      </c>
      <c r="G22" s="1">
        <v>445</v>
      </c>
      <c r="H22" s="1">
        <v>1068</v>
      </c>
      <c r="I22" s="1">
        <v>559</v>
      </c>
      <c r="J22" s="1">
        <v>509</v>
      </c>
      <c r="K22" s="1">
        <v>1501</v>
      </c>
      <c r="L22" s="1">
        <v>859</v>
      </c>
      <c r="M22" s="1">
        <v>642</v>
      </c>
      <c r="N22" s="1">
        <v>1251</v>
      </c>
      <c r="O22" s="1">
        <v>692</v>
      </c>
      <c r="P22" s="1">
        <v>559</v>
      </c>
      <c r="Q22" s="1">
        <v>1328</v>
      </c>
      <c r="R22" s="1">
        <v>733</v>
      </c>
      <c r="S22" s="1">
        <v>595</v>
      </c>
      <c r="T22" s="1">
        <v>1244</v>
      </c>
      <c r="U22" s="1">
        <v>675</v>
      </c>
      <c r="V22" s="1">
        <v>569</v>
      </c>
    </row>
    <row r="23" spans="1:22" x14ac:dyDescent="0.25">
      <c r="A23" s="1" t="s">
        <v>701</v>
      </c>
      <c r="B23" s="1">
        <v>1003</v>
      </c>
      <c r="C23" s="1">
        <v>527</v>
      </c>
      <c r="D23" s="1">
        <v>476</v>
      </c>
      <c r="E23" s="1">
        <v>1025</v>
      </c>
      <c r="F23" s="1">
        <v>573</v>
      </c>
      <c r="G23" s="1">
        <v>452</v>
      </c>
      <c r="H23" s="1">
        <v>1090</v>
      </c>
      <c r="I23" s="1">
        <v>591</v>
      </c>
      <c r="J23" s="1">
        <v>499</v>
      </c>
      <c r="K23" s="1">
        <v>1621</v>
      </c>
      <c r="L23" s="1">
        <v>930</v>
      </c>
      <c r="M23" s="1">
        <v>691</v>
      </c>
      <c r="N23" s="1">
        <v>1245</v>
      </c>
      <c r="O23" s="1">
        <v>685</v>
      </c>
      <c r="P23" s="1">
        <v>560</v>
      </c>
      <c r="Q23" s="1">
        <v>1288</v>
      </c>
      <c r="R23" s="1">
        <v>713</v>
      </c>
      <c r="S23" s="1">
        <v>575</v>
      </c>
      <c r="T23" s="1">
        <v>1220</v>
      </c>
      <c r="U23" s="1">
        <v>691</v>
      </c>
      <c r="V23" s="1">
        <v>529</v>
      </c>
    </row>
    <row r="24" spans="1:22" x14ac:dyDescent="0.25">
      <c r="A24" s="1" t="s">
        <v>702</v>
      </c>
      <c r="B24" s="1">
        <v>987</v>
      </c>
      <c r="C24" s="1">
        <v>558</v>
      </c>
      <c r="D24" s="1">
        <v>429</v>
      </c>
      <c r="E24" s="1">
        <v>983</v>
      </c>
      <c r="F24" s="1">
        <v>519</v>
      </c>
      <c r="G24" s="1">
        <v>464</v>
      </c>
      <c r="H24" s="1">
        <v>991</v>
      </c>
      <c r="I24" s="1">
        <v>561</v>
      </c>
      <c r="J24" s="1">
        <v>430</v>
      </c>
      <c r="K24" s="1">
        <v>1567</v>
      </c>
      <c r="L24" s="1">
        <v>897</v>
      </c>
      <c r="M24" s="1">
        <v>670</v>
      </c>
      <c r="N24" s="1">
        <v>1330</v>
      </c>
      <c r="O24" s="1">
        <v>734</v>
      </c>
      <c r="P24" s="1">
        <v>596</v>
      </c>
      <c r="Q24" s="1">
        <v>1196</v>
      </c>
      <c r="R24" s="1">
        <v>663</v>
      </c>
      <c r="S24" s="1">
        <v>533</v>
      </c>
      <c r="T24" s="1">
        <v>1211</v>
      </c>
      <c r="U24" s="1">
        <v>681</v>
      </c>
      <c r="V24" s="1">
        <v>530</v>
      </c>
    </row>
    <row r="25" spans="1:22" x14ac:dyDescent="0.25">
      <c r="A25" s="1" t="s">
        <v>703</v>
      </c>
      <c r="B25" s="1">
        <v>940</v>
      </c>
      <c r="C25" s="1">
        <v>521</v>
      </c>
      <c r="D25" s="1">
        <v>419</v>
      </c>
      <c r="E25" s="1">
        <v>884</v>
      </c>
      <c r="F25" s="1">
        <v>475</v>
      </c>
      <c r="G25" s="1">
        <v>409</v>
      </c>
      <c r="H25" s="1">
        <v>1013</v>
      </c>
      <c r="I25" s="1">
        <v>548</v>
      </c>
      <c r="J25" s="1">
        <v>465</v>
      </c>
      <c r="K25" s="1">
        <v>1398</v>
      </c>
      <c r="L25" s="1">
        <v>786</v>
      </c>
      <c r="M25" s="1">
        <v>612</v>
      </c>
      <c r="N25" s="1">
        <v>1210</v>
      </c>
      <c r="O25" s="1">
        <v>665</v>
      </c>
      <c r="P25" s="1">
        <v>545</v>
      </c>
      <c r="Q25" s="1">
        <v>1159</v>
      </c>
      <c r="R25" s="1">
        <v>669</v>
      </c>
      <c r="S25" s="1">
        <v>490</v>
      </c>
      <c r="T25" s="1">
        <v>1204</v>
      </c>
      <c r="U25" s="1">
        <v>644</v>
      </c>
      <c r="V25" s="1">
        <v>560</v>
      </c>
    </row>
    <row r="26" spans="1:22" x14ac:dyDescent="0.25">
      <c r="A26" s="1" t="s">
        <v>704</v>
      </c>
      <c r="B26" s="1">
        <v>924</v>
      </c>
      <c r="C26" s="1">
        <v>526</v>
      </c>
      <c r="D26" s="1">
        <v>398</v>
      </c>
      <c r="E26" s="1">
        <v>915</v>
      </c>
      <c r="F26" s="1">
        <v>487</v>
      </c>
      <c r="G26" s="1">
        <v>428</v>
      </c>
      <c r="H26" s="1">
        <v>1023</v>
      </c>
      <c r="I26" s="1">
        <v>546</v>
      </c>
      <c r="J26" s="1">
        <v>477</v>
      </c>
      <c r="K26" s="1">
        <v>1561</v>
      </c>
      <c r="L26" s="1">
        <v>903</v>
      </c>
      <c r="M26" s="1">
        <v>658</v>
      </c>
      <c r="N26" s="1">
        <v>1269</v>
      </c>
      <c r="O26" s="1">
        <v>726</v>
      </c>
      <c r="P26" s="1">
        <v>543</v>
      </c>
      <c r="Q26" s="1">
        <v>1178</v>
      </c>
      <c r="R26" s="1">
        <v>645</v>
      </c>
      <c r="S26" s="1">
        <v>533</v>
      </c>
      <c r="T26" s="1">
        <v>1201</v>
      </c>
      <c r="U26" s="1">
        <v>664</v>
      </c>
      <c r="V26" s="1">
        <v>537</v>
      </c>
    </row>
    <row r="27" spans="1:22" x14ac:dyDescent="0.25">
      <c r="A27" s="1" t="s">
        <v>705</v>
      </c>
      <c r="B27" s="1">
        <v>867</v>
      </c>
      <c r="C27" s="1">
        <v>358</v>
      </c>
      <c r="D27" s="1">
        <v>509</v>
      </c>
      <c r="E27" s="1">
        <v>937</v>
      </c>
      <c r="F27" s="1">
        <v>395</v>
      </c>
      <c r="G27" s="1">
        <v>542</v>
      </c>
      <c r="H27" s="1">
        <v>956</v>
      </c>
      <c r="I27" s="1">
        <v>397</v>
      </c>
      <c r="J27" s="1">
        <v>559</v>
      </c>
      <c r="K27" s="1">
        <v>1053</v>
      </c>
      <c r="L27" s="1">
        <v>492</v>
      </c>
      <c r="M27" s="1">
        <v>561</v>
      </c>
      <c r="N27" s="1">
        <v>1011</v>
      </c>
      <c r="O27" s="1">
        <v>435</v>
      </c>
      <c r="P27" s="1">
        <v>576</v>
      </c>
      <c r="Q27" s="1">
        <v>1255</v>
      </c>
      <c r="R27" s="1">
        <v>566</v>
      </c>
      <c r="S27" s="1">
        <v>689</v>
      </c>
      <c r="T27" s="1">
        <v>1191</v>
      </c>
      <c r="U27" s="1">
        <v>482</v>
      </c>
      <c r="V27" s="1">
        <v>709</v>
      </c>
    </row>
    <row r="28" spans="1:22" x14ac:dyDescent="0.25">
      <c r="A28" s="1" t="s">
        <v>706</v>
      </c>
      <c r="B28" s="1">
        <v>837</v>
      </c>
      <c r="C28" s="1">
        <v>451</v>
      </c>
      <c r="D28" s="1">
        <v>386</v>
      </c>
      <c r="E28" s="1">
        <v>831</v>
      </c>
      <c r="F28" s="1">
        <v>436</v>
      </c>
      <c r="G28" s="1">
        <v>395</v>
      </c>
      <c r="H28" s="1">
        <v>916</v>
      </c>
      <c r="I28" s="1">
        <v>533</v>
      </c>
      <c r="J28" s="1">
        <v>383</v>
      </c>
      <c r="K28" s="1">
        <v>1378</v>
      </c>
      <c r="L28" s="1">
        <v>769</v>
      </c>
      <c r="M28" s="1">
        <v>609</v>
      </c>
      <c r="N28" s="1">
        <v>1148</v>
      </c>
      <c r="O28" s="1">
        <v>635</v>
      </c>
      <c r="P28" s="1">
        <v>513</v>
      </c>
      <c r="Q28" s="1">
        <v>1124</v>
      </c>
      <c r="R28" s="1">
        <v>620</v>
      </c>
      <c r="S28" s="1">
        <v>504</v>
      </c>
      <c r="T28" s="1">
        <v>1083</v>
      </c>
      <c r="U28" s="1">
        <v>603</v>
      </c>
      <c r="V28" s="1">
        <v>480</v>
      </c>
    </row>
    <row r="29" spans="1:22" x14ac:dyDescent="0.25">
      <c r="A29" s="1" t="s">
        <v>707</v>
      </c>
      <c r="B29" s="1">
        <v>810</v>
      </c>
      <c r="C29" s="1">
        <v>458</v>
      </c>
      <c r="D29" s="1">
        <v>352</v>
      </c>
      <c r="E29" s="1">
        <v>917</v>
      </c>
      <c r="F29" s="1">
        <v>504</v>
      </c>
      <c r="G29" s="1">
        <v>413</v>
      </c>
      <c r="H29" s="1">
        <v>930</v>
      </c>
      <c r="I29" s="1">
        <v>481</v>
      </c>
      <c r="J29" s="1">
        <v>449</v>
      </c>
      <c r="K29" s="1">
        <v>1450</v>
      </c>
      <c r="L29" s="1">
        <v>893</v>
      </c>
      <c r="M29" s="1">
        <v>557</v>
      </c>
      <c r="N29" s="1">
        <v>1157</v>
      </c>
      <c r="O29" s="1">
        <v>673</v>
      </c>
      <c r="P29" s="1">
        <v>484</v>
      </c>
      <c r="Q29" s="1">
        <v>1160</v>
      </c>
      <c r="R29" s="1">
        <v>653</v>
      </c>
      <c r="S29" s="1">
        <v>507</v>
      </c>
      <c r="T29" s="1">
        <v>1103</v>
      </c>
      <c r="U29" s="1">
        <v>612</v>
      </c>
      <c r="V29" s="1">
        <v>491</v>
      </c>
    </row>
    <row r="30" spans="1:22" x14ac:dyDescent="0.25">
      <c r="A30" s="1" t="s">
        <v>708</v>
      </c>
      <c r="B30" s="1">
        <v>797</v>
      </c>
      <c r="C30" s="1">
        <v>464</v>
      </c>
      <c r="D30" s="1">
        <v>333</v>
      </c>
      <c r="E30" s="1">
        <v>786</v>
      </c>
      <c r="F30" s="1">
        <v>426</v>
      </c>
      <c r="G30" s="1">
        <v>360</v>
      </c>
      <c r="H30" s="1">
        <v>852</v>
      </c>
      <c r="I30" s="1">
        <v>475</v>
      </c>
      <c r="J30" s="1">
        <v>377</v>
      </c>
      <c r="K30" s="1">
        <v>1241</v>
      </c>
      <c r="L30" s="1">
        <v>738</v>
      </c>
      <c r="M30" s="1">
        <v>503</v>
      </c>
      <c r="N30" s="1">
        <v>1084</v>
      </c>
      <c r="O30" s="1">
        <v>586</v>
      </c>
      <c r="P30" s="1">
        <v>498</v>
      </c>
      <c r="Q30" s="1">
        <v>992</v>
      </c>
      <c r="R30" s="1">
        <v>548</v>
      </c>
      <c r="S30" s="1">
        <v>444</v>
      </c>
      <c r="T30" s="1">
        <v>941</v>
      </c>
      <c r="U30" s="1">
        <v>533</v>
      </c>
      <c r="V30" s="1">
        <v>408</v>
      </c>
    </row>
    <row r="31" spans="1:22" x14ac:dyDescent="0.25">
      <c r="A31" s="1" t="s">
        <v>709</v>
      </c>
      <c r="B31" s="1">
        <v>784</v>
      </c>
      <c r="C31" s="1">
        <v>433</v>
      </c>
      <c r="D31" s="1">
        <v>351</v>
      </c>
      <c r="E31" s="1">
        <v>787</v>
      </c>
      <c r="F31" s="1">
        <v>435</v>
      </c>
      <c r="G31" s="1">
        <v>352</v>
      </c>
      <c r="H31" s="1">
        <v>821</v>
      </c>
      <c r="I31" s="1">
        <v>471</v>
      </c>
      <c r="J31" s="1">
        <v>350</v>
      </c>
      <c r="K31" s="1">
        <v>1235</v>
      </c>
      <c r="L31" s="1">
        <v>761</v>
      </c>
      <c r="M31" s="1">
        <v>474</v>
      </c>
      <c r="N31" s="1">
        <v>1006</v>
      </c>
      <c r="O31" s="1">
        <v>550</v>
      </c>
      <c r="P31" s="1">
        <v>456</v>
      </c>
      <c r="Q31" s="1">
        <v>980</v>
      </c>
      <c r="R31" s="1">
        <v>573</v>
      </c>
      <c r="S31" s="1">
        <v>407</v>
      </c>
      <c r="T31" s="1">
        <v>990</v>
      </c>
      <c r="U31" s="1">
        <v>559</v>
      </c>
      <c r="V31" s="1">
        <v>431</v>
      </c>
    </row>
    <row r="32" spans="1:22" x14ac:dyDescent="0.25">
      <c r="A32" s="1" t="s">
        <v>710</v>
      </c>
      <c r="B32" s="1">
        <v>777</v>
      </c>
      <c r="C32" s="1">
        <v>413</v>
      </c>
      <c r="D32" s="1">
        <v>364</v>
      </c>
      <c r="E32" s="1">
        <v>865</v>
      </c>
      <c r="F32" s="1">
        <v>475</v>
      </c>
      <c r="G32" s="1">
        <v>390</v>
      </c>
      <c r="H32" s="1">
        <v>897</v>
      </c>
      <c r="I32" s="1">
        <v>512</v>
      </c>
      <c r="J32" s="1">
        <v>385</v>
      </c>
      <c r="K32" s="1">
        <v>1396</v>
      </c>
      <c r="L32" s="1">
        <v>845</v>
      </c>
      <c r="M32" s="1">
        <v>551</v>
      </c>
      <c r="N32" s="1">
        <v>1093</v>
      </c>
      <c r="O32" s="1">
        <v>585</v>
      </c>
      <c r="P32" s="1">
        <v>508</v>
      </c>
      <c r="Q32" s="1">
        <v>1058</v>
      </c>
      <c r="R32" s="1">
        <v>552</v>
      </c>
      <c r="S32" s="1">
        <v>506</v>
      </c>
      <c r="T32" s="1">
        <v>1010</v>
      </c>
      <c r="U32" s="1">
        <v>544</v>
      </c>
      <c r="V32" s="1">
        <v>466</v>
      </c>
    </row>
    <row r="33" spans="1:22" x14ac:dyDescent="0.25">
      <c r="A33" s="1" t="s">
        <v>711</v>
      </c>
      <c r="B33" s="1">
        <v>754</v>
      </c>
      <c r="C33" s="1">
        <v>332</v>
      </c>
      <c r="D33" s="1">
        <v>422</v>
      </c>
      <c r="E33" s="1">
        <v>768</v>
      </c>
      <c r="F33" s="1">
        <v>305</v>
      </c>
      <c r="G33" s="1">
        <v>463</v>
      </c>
      <c r="H33" s="1">
        <v>871</v>
      </c>
      <c r="I33" s="1">
        <v>367</v>
      </c>
      <c r="J33" s="1">
        <v>504</v>
      </c>
      <c r="K33" s="1">
        <v>1032</v>
      </c>
      <c r="L33" s="1">
        <v>440</v>
      </c>
      <c r="M33" s="1">
        <v>592</v>
      </c>
      <c r="N33" s="1">
        <v>881</v>
      </c>
      <c r="O33" s="1">
        <v>376</v>
      </c>
      <c r="P33" s="1">
        <v>505</v>
      </c>
      <c r="Q33" s="1">
        <v>1093</v>
      </c>
      <c r="R33" s="1">
        <v>438</v>
      </c>
      <c r="S33" s="1">
        <v>655</v>
      </c>
      <c r="T33" s="1">
        <v>1037</v>
      </c>
      <c r="U33" s="1">
        <v>403</v>
      </c>
      <c r="V33" s="1">
        <v>634</v>
      </c>
    </row>
    <row r="34" spans="1:22" x14ac:dyDescent="0.25">
      <c r="A34" s="1" t="s">
        <v>712</v>
      </c>
      <c r="B34" s="1">
        <v>703</v>
      </c>
      <c r="C34" s="1">
        <v>401</v>
      </c>
      <c r="D34" s="1">
        <v>302</v>
      </c>
      <c r="E34" s="1">
        <v>758</v>
      </c>
      <c r="F34" s="1">
        <v>421</v>
      </c>
      <c r="G34" s="1">
        <v>337</v>
      </c>
      <c r="H34" s="1">
        <v>758</v>
      </c>
      <c r="I34" s="1">
        <v>405</v>
      </c>
      <c r="J34" s="1">
        <v>353</v>
      </c>
      <c r="K34" s="1">
        <v>1153</v>
      </c>
      <c r="L34" s="1">
        <v>685</v>
      </c>
      <c r="M34" s="1">
        <v>468</v>
      </c>
      <c r="N34" s="1">
        <v>960</v>
      </c>
      <c r="O34" s="1">
        <v>535</v>
      </c>
      <c r="P34" s="1">
        <v>425</v>
      </c>
      <c r="Q34" s="1">
        <v>814</v>
      </c>
      <c r="R34" s="1">
        <v>443</v>
      </c>
      <c r="S34" s="1">
        <v>371</v>
      </c>
      <c r="T34" s="1">
        <v>880</v>
      </c>
      <c r="U34" s="1">
        <v>489</v>
      </c>
      <c r="V34" s="1">
        <v>391</v>
      </c>
    </row>
    <row r="35" spans="1:22" x14ac:dyDescent="0.25">
      <c r="A35" s="1" t="s">
        <v>713</v>
      </c>
      <c r="B35" s="1">
        <v>698</v>
      </c>
      <c r="C35" s="1">
        <v>375</v>
      </c>
      <c r="D35" s="1">
        <v>323</v>
      </c>
      <c r="E35" s="1">
        <v>788</v>
      </c>
      <c r="F35" s="1">
        <v>418</v>
      </c>
      <c r="G35" s="1">
        <v>370</v>
      </c>
      <c r="H35" s="1">
        <v>734</v>
      </c>
      <c r="I35" s="1">
        <v>406</v>
      </c>
      <c r="J35" s="1">
        <v>328</v>
      </c>
      <c r="K35" s="1">
        <v>1189</v>
      </c>
      <c r="L35" s="1">
        <v>689</v>
      </c>
      <c r="M35" s="1">
        <v>500</v>
      </c>
      <c r="N35" s="1">
        <v>897</v>
      </c>
      <c r="O35" s="1">
        <v>492</v>
      </c>
      <c r="P35" s="1">
        <v>405</v>
      </c>
      <c r="Q35" s="1">
        <v>864</v>
      </c>
      <c r="R35" s="1">
        <v>486</v>
      </c>
      <c r="S35" s="1">
        <v>378</v>
      </c>
      <c r="T35" s="1">
        <v>925</v>
      </c>
      <c r="U35" s="1">
        <v>492</v>
      </c>
      <c r="V35" s="1">
        <v>433</v>
      </c>
    </row>
    <row r="36" spans="1:22" x14ac:dyDescent="0.25">
      <c r="A36" s="1" t="s">
        <v>714</v>
      </c>
      <c r="B36" s="1">
        <v>678</v>
      </c>
      <c r="C36" s="1">
        <v>362</v>
      </c>
      <c r="D36" s="1">
        <v>316</v>
      </c>
      <c r="E36" s="1">
        <v>660</v>
      </c>
      <c r="F36" s="1">
        <v>357</v>
      </c>
      <c r="G36" s="1">
        <v>303</v>
      </c>
      <c r="H36" s="1">
        <v>720</v>
      </c>
      <c r="I36" s="1">
        <v>363</v>
      </c>
      <c r="J36" s="1">
        <v>357</v>
      </c>
      <c r="K36" s="1">
        <v>1089</v>
      </c>
      <c r="L36" s="1">
        <v>648</v>
      </c>
      <c r="M36" s="1">
        <v>441</v>
      </c>
      <c r="N36" s="1">
        <v>847</v>
      </c>
      <c r="O36" s="1">
        <v>443</v>
      </c>
      <c r="P36" s="1">
        <v>404</v>
      </c>
      <c r="Q36" s="1">
        <v>823</v>
      </c>
      <c r="R36" s="1">
        <v>446</v>
      </c>
      <c r="S36" s="1">
        <v>377</v>
      </c>
      <c r="T36" s="1">
        <v>820</v>
      </c>
      <c r="U36" s="1">
        <v>479</v>
      </c>
      <c r="V36" s="1">
        <v>341</v>
      </c>
    </row>
    <row r="37" spans="1:22" x14ac:dyDescent="0.25">
      <c r="A37" s="1" t="s">
        <v>715</v>
      </c>
      <c r="B37" s="1">
        <v>675</v>
      </c>
      <c r="C37" s="1">
        <v>292</v>
      </c>
      <c r="D37" s="1">
        <v>383</v>
      </c>
      <c r="E37" s="1">
        <v>707</v>
      </c>
      <c r="F37" s="1">
        <v>302</v>
      </c>
      <c r="G37" s="1">
        <v>405</v>
      </c>
      <c r="H37" s="1">
        <v>727</v>
      </c>
      <c r="I37" s="1">
        <v>280</v>
      </c>
      <c r="J37" s="1">
        <v>447</v>
      </c>
      <c r="K37" s="1">
        <v>935</v>
      </c>
      <c r="L37" s="1">
        <v>403</v>
      </c>
      <c r="M37" s="1">
        <v>532</v>
      </c>
      <c r="N37" s="1">
        <v>823</v>
      </c>
      <c r="O37" s="1">
        <v>336</v>
      </c>
      <c r="P37" s="1">
        <v>487</v>
      </c>
      <c r="Q37" s="1">
        <v>876</v>
      </c>
      <c r="R37" s="1">
        <v>386</v>
      </c>
      <c r="S37" s="1">
        <v>490</v>
      </c>
      <c r="T37" s="1">
        <v>862</v>
      </c>
      <c r="U37" s="1">
        <v>352</v>
      </c>
      <c r="V37" s="1">
        <v>510</v>
      </c>
    </row>
    <row r="38" spans="1:22" x14ac:dyDescent="0.25">
      <c r="A38" s="1" t="s">
        <v>716</v>
      </c>
      <c r="B38" s="1">
        <v>638</v>
      </c>
      <c r="C38" s="1">
        <v>343</v>
      </c>
      <c r="D38" s="1">
        <v>295</v>
      </c>
      <c r="E38" s="1">
        <v>657</v>
      </c>
      <c r="F38" s="1">
        <v>354</v>
      </c>
      <c r="G38" s="1">
        <v>303</v>
      </c>
      <c r="H38" s="1">
        <v>730</v>
      </c>
      <c r="I38" s="1">
        <v>393</v>
      </c>
      <c r="J38" s="1">
        <v>337</v>
      </c>
      <c r="K38" s="1">
        <v>994</v>
      </c>
      <c r="L38" s="1">
        <v>612</v>
      </c>
      <c r="M38" s="1">
        <v>382</v>
      </c>
      <c r="N38" s="1">
        <v>810</v>
      </c>
      <c r="O38" s="1">
        <v>437</v>
      </c>
      <c r="P38" s="1">
        <v>373</v>
      </c>
      <c r="Q38" s="1">
        <v>789</v>
      </c>
      <c r="R38" s="1">
        <v>446</v>
      </c>
      <c r="S38" s="1">
        <v>343</v>
      </c>
      <c r="T38" s="1">
        <v>785</v>
      </c>
      <c r="U38" s="1">
        <v>445</v>
      </c>
      <c r="V38" s="1">
        <v>340</v>
      </c>
    </row>
    <row r="39" spans="1:22" x14ac:dyDescent="0.25">
      <c r="A39" s="1" t="s">
        <v>717</v>
      </c>
      <c r="B39" s="1">
        <v>608</v>
      </c>
      <c r="C39" s="1">
        <v>319</v>
      </c>
      <c r="D39" s="1">
        <v>289</v>
      </c>
      <c r="E39" s="1">
        <v>606</v>
      </c>
      <c r="F39" s="1">
        <v>338</v>
      </c>
      <c r="G39" s="1">
        <v>268</v>
      </c>
      <c r="H39" s="1">
        <v>613</v>
      </c>
      <c r="I39" s="1">
        <v>337</v>
      </c>
      <c r="J39" s="1">
        <v>276</v>
      </c>
      <c r="K39" s="1">
        <v>902</v>
      </c>
      <c r="L39" s="1">
        <v>526</v>
      </c>
      <c r="M39" s="1">
        <v>376</v>
      </c>
      <c r="N39" s="1">
        <v>810</v>
      </c>
      <c r="O39" s="1">
        <v>437</v>
      </c>
      <c r="P39" s="1">
        <v>373</v>
      </c>
      <c r="Q39" s="1">
        <v>787</v>
      </c>
      <c r="R39" s="1">
        <v>415</v>
      </c>
      <c r="S39" s="1">
        <v>372</v>
      </c>
      <c r="T39" s="1">
        <v>765</v>
      </c>
      <c r="U39" s="1">
        <v>422</v>
      </c>
      <c r="V39" s="1">
        <v>343</v>
      </c>
    </row>
    <row r="40" spans="1:22" x14ac:dyDescent="0.25">
      <c r="A40" s="1" t="s">
        <v>718</v>
      </c>
      <c r="B40" s="1">
        <v>592</v>
      </c>
      <c r="C40" s="1">
        <v>338</v>
      </c>
      <c r="D40" s="1">
        <v>254</v>
      </c>
      <c r="E40" s="1">
        <v>595</v>
      </c>
      <c r="F40" s="1">
        <v>328</v>
      </c>
      <c r="G40" s="1">
        <v>267</v>
      </c>
      <c r="H40" s="1">
        <v>632</v>
      </c>
      <c r="I40" s="1">
        <v>319</v>
      </c>
      <c r="J40" s="1">
        <v>313</v>
      </c>
      <c r="K40" s="1">
        <v>872</v>
      </c>
      <c r="L40" s="1">
        <v>510</v>
      </c>
      <c r="M40" s="1">
        <v>362</v>
      </c>
      <c r="N40" s="1">
        <v>736</v>
      </c>
      <c r="O40" s="1">
        <v>400</v>
      </c>
      <c r="P40" s="1">
        <v>336</v>
      </c>
      <c r="Q40" s="1">
        <v>724</v>
      </c>
      <c r="R40" s="1">
        <v>390</v>
      </c>
      <c r="S40" s="1">
        <v>334</v>
      </c>
      <c r="T40" s="1">
        <v>654</v>
      </c>
      <c r="U40" s="1">
        <v>367</v>
      </c>
      <c r="V40" s="1">
        <v>287</v>
      </c>
    </row>
    <row r="41" spans="1:22" x14ac:dyDescent="0.25">
      <c r="A41" s="1" t="s">
        <v>719</v>
      </c>
      <c r="B41" s="1">
        <v>532</v>
      </c>
      <c r="C41" s="1">
        <v>199</v>
      </c>
      <c r="D41" s="1">
        <v>333</v>
      </c>
      <c r="E41" s="1">
        <v>539</v>
      </c>
      <c r="F41" s="1">
        <v>221</v>
      </c>
      <c r="G41" s="1">
        <v>318</v>
      </c>
      <c r="H41" s="1">
        <v>617</v>
      </c>
      <c r="I41" s="1">
        <v>267</v>
      </c>
      <c r="J41" s="1">
        <v>350</v>
      </c>
      <c r="K41" s="1">
        <v>708</v>
      </c>
      <c r="L41" s="1">
        <v>303</v>
      </c>
      <c r="M41" s="1">
        <v>405</v>
      </c>
      <c r="N41" s="1">
        <v>722</v>
      </c>
      <c r="O41" s="1">
        <v>292</v>
      </c>
      <c r="P41" s="1">
        <v>430</v>
      </c>
      <c r="Q41" s="1">
        <v>825</v>
      </c>
      <c r="R41" s="1">
        <v>341</v>
      </c>
      <c r="S41" s="1">
        <v>484</v>
      </c>
      <c r="T41" s="1">
        <v>682</v>
      </c>
      <c r="U41" s="1">
        <v>241</v>
      </c>
      <c r="V41" s="1">
        <v>441</v>
      </c>
    </row>
    <row r="42" spans="1:22" x14ac:dyDescent="0.25">
      <c r="A42" s="1" t="s">
        <v>720</v>
      </c>
      <c r="B42" s="1">
        <v>515</v>
      </c>
      <c r="C42" s="1">
        <v>279</v>
      </c>
      <c r="D42" s="1">
        <v>236</v>
      </c>
      <c r="E42" s="1">
        <v>554</v>
      </c>
      <c r="F42" s="1">
        <v>296</v>
      </c>
      <c r="G42" s="1">
        <v>258</v>
      </c>
      <c r="H42" s="1">
        <v>563</v>
      </c>
      <c r="I42" s="1">
        <v>296</v>
      </c>
      <c r="J42" s="1">
        <v>267</v>
      </c>
      <c r="K42" s="1">
        <v>827</v>
      </c>
      <c r="L42" s="1">
        <v>497</v>
      </c>
      <c r="M42" s="1">
        <v>330</v>
      </c>
      <c r="N42" s="1">
        <v>701</v>
      </c>
      <c r="O42" s="1">
        <v>377</v>
      </c>
      <c r="P42" s="1">
        <v>324</v>
      </c>
      <c r="Q42" s="1">
        <v>648</v>
      </c>
      <c r="R42" s="1">
        <v>340</v>
      </c>
      <c r="S42" s="1">
        <v>308</v>
      </c>
      <c r="T42" s="1">
        <v>645</v>
      </c>
      <c r="U42" s="1">
        <v>347</v>
      </c>
      <c r="V42" s="1">
        <v>298</v>
      </c>
    </row>
    <row r="43" spans="1:22" x14ac:dyDescent="0.25">
      <c r="A43" s="1" t="s">
        <v>25</v>
      </c>
      <c r="B43" s="1">
        <v>490</v>
      </c>
      <c r="C43" s="1">
        <v>267</v>
      </c>
      <c r="D43" s="1">
        <v>223</v>
      </c>
      <c r="E43" s="1">
        <v>464</v>
      </c>
      <c r="F43" s="1">
        <v>249</v>
      </c>
      <c r="G43" s="1">
        <v>215</v>
      </c>
      <c r="H43" s="1">
        <v>419</v>
      </c>
      <c r="I43" s="1">
        <v>228</v>
      </c>
      <c r="J43" s="1">
        <v>191</v>
      </c>
      <c r="K43" s="1">
        <v>292</v>
      </c>
      <c r="L43" s="1">
        <v>161</v>
      </c>
      <c r="M43" s="1">
        <v>131</v>
      </c>
      <c r="N43" s="1">
        <v>328</v>
      </c>
      <c r="O43" s="1">
        <v>194</v>
      </c>
      <c r="P43" s="1">
        <v>134</v>
      </c>
      <c r="Q43" s="1">
        <v>338</v>
      </c>
      <c r="R43" s="1">
        <v>184</v>
      </c>
      <c r="S43" s="1">
        <v>154</v>
      </c>
      <c r="T43" s="1">
        <v>370</v>
      </c>
      <c r="U43" s="1">
        <v>207</v>
      </c>
      <c r="V43" s="1">
        <v>163</v>
      </c>
    </row>
    <row r="44" spans="1:22" x14ac:dyDescent="0.25">
      <c r="A44" s="1" t="s">
        <v>721</v>
      </c>
      <c r="B44" s="1">
        <v>487</v>
      </c>
      <c r="C44" s="1">
        <v>271</v>
      </c>
      <c r="D44" s="1">
        <v>216</v>
      </c>
      <c r="E44" s="1">
        <v>541</v>
      </c>
      <c r="F44" s="1">
        <v>304</v>
      </c>
      <c r="G44" s="1">
        <v>237</v>
      </c>
      <c r="H44" s="1">
        <v>538</v>
      </c>
      <c r="I44" s="1">
        <v>291</v>
      </c>
      <c r="J44" s="1">
        <v>247</v>
      </c>
      <c r="K44" s="1">
        <v>748</v>
      </c>
      <c r="L44" s="1">
        <v>417</v>
      </c>
      <c r="M44" s="1">
        <v>331</v>
      </c>
      <c r="N44" s="1">
        <v>624</v>
      </c>
      <c r="O44" s="1">
        <v>359</v>
      </c>
      <c r="P44" s="1">
        <v>265</v>
      </c>
      <c r="Q44" s="1">
        <v>614</v>
      </c>
      <c r="R44" s="1">
        <v>332</v>
      </c>
      <c r="S44" s="1">
        <v>282</v>
      </c>
      <c r="T44" s="1">
        <v>622</v>
      </c>
      <c r="U44" s="1">
        <v>354</v>
      </c>
      <c r="V44" s="1">
        <v>268</v>
      </c>
    </row>
    <row r="45" spans="1:22" x14ac:dyDescent="0.25">
      <c r="A45" s="1" t="s">
        <v>722</v>
      </c>
      <c r="B45" s="1">
        <v>480</v>
      </c>
      <c r="C45" s="1">
        <v>257</v>
      </c>
      <c r="D45" s="1">
        <v>223</v>
      </c>
      <c r="E45" s="1">
        <v>472</v>
      </c>
      <c r="F45" s="1">
        <v>254</v>
      </c>
      <c r="G45" s="1">
        <v>218</v>
      </c>
      <c r="H45" s="1">
        <v>486</v>
      </c>
      <c r="I45" s="1">
        <v>277</v>
      </c>
      <c r="J45" s="1">
        <v>209</v>
      </c>
      <c r="K45" s="1">
        <v>658</v>
      </c>
      <c r="L45" s="1">
        <v>364</v>
      </c>
      <c r="M45" s="1">
        <v>294</v>
      </c>
      <c r="N45" s="1">
        <v>596</v>
      </c>
      <c r="O45" s="1">
        <v>337</v>
      </c>
      <c r="P45" s="1">
        <v>259</v>
      </c>
      <c r="Q45" s="1">
        <v>559</v>
      </c>
      <c r="R45" s="1">
        <v>293</v>
      </c>
      <c r="S45" s="1">
        <v>266</v>
      </c>
      <c r="T45" s="1">
        <v>580</v>
      </c>
      <c r="U45" s="1">
        <v>319</v>
      </c>
      <c r="V45" s="1">
        <v>261</v>
      </c>
    </row>
    <row r="46" spans="1:22" x14ac:dyDescent="0.25">
      <c r="A46" s="1" t="s">
        <v>723</v>
      </c>
      <c r="B46" s="1">
        <v>448</v>
      </c>
      <c r="C46" s="1">
        <v>240</v>
      </c>
      <c r="D46" s="1">
        <v>208</v>
      </c>
      <c r="E46" s="1">
        <v>474</v>
      </c>
      <c r="F46" s="1">
        <v>251</v>
      </c>
      <c r="G46" s="1">
        <v>223</v>
      </c>
      <c r="H46" s="1">
        <v>462</v>
      </c>
      <c r="I46" s="1">
        <v>258</v>
      </c>
      <c r="J46" s="1">
        <v>204</v>
      </c>
      <c r="K46" s="1">
        <v>600</v>
      </c>
      <c r="L46" s="1">
        <v>352</v>
      </c>
      <c r="M46" s="1">
        <v>248</v>
      </c>
      <c r="N46" s="1">
        <v>592</v>
      </c>
      <c r="O46" s="1">
        <v>316</v>
      </c>
      <c r="P46" s="1">
        <v>276</v>
      </c>
      <c r="Q46" s="1">
        <v>574</v>
      </c>
      <c r="R46" s="1">
        <v>301</v>
      </c>
      <c r="S46" s="1">
        <v>273</v>
      </c>
      <c r="T46" s="1">
        <v>510</v>
      </c>
      <c r="U46" s="1">
        <v>268</v>
      </c>
      <c r="V46" s="1">
        <v>242</v>
      </c>
    </row>
    <row r="47" spans="1:22" x14ac:dyDescent="0.25">
      <c r="A47" s="1" t="s">
        <v>724</v>
      </c>
      <c r="B47" s="1">
        <v>431</v>
      </c>
      <c r="C47" s="1">
        <v>164</v>
      </c>
      <c r="D47" s="1">
        <v>267</v>
      </c>
      <c r="E47" s="1">
        <v>499</v>
      </c>
      <c r="F47" s="1">
        <v>193</v>
      </c>
      <c r="G47" s="1">
        <v>306</v>
      </c>
      <c r="H47" s="1">
        <v>478</v>
      </c>
      <c r="I47" s="1">
        <v>190</v>
      </c>
      <c r="J47" s="1">
        <v>288</v>
      </c>
      <c r="K47" s="1">
        <v>548</v>
      </c>
      <c r="L47" s="1">
        <v>186</v>
      </c>
      <c r="M47" s="1">
        <v>362</v>
      </c>
      <c r="N47" s="1">
        <v>547</v>
      </c>
      <c r="O47" s="1">
        <v>217</v>
      </c>
      <c r="P47" s="1">
        <v>330</v>
      </c>
      <c r="Q47" s="1">
        <v>624</v>
      </c>
      <c r="R47" s="1">
        <v>248</v>
      </c>
      <c r="S47" s="1">
        <v>376</v>
      </c>
      <c r="T47" s="1">
        <v>537</v>
      </c>
      <c r="U47" s="1">
        <v>191</v>
      </c>
      <c r="V47" s="1">
        <v>346</v>
      </c>
    </row>
    <row r="48" spans="1:22" x14ac:dyDescent="0.25">
      <c r="A48" s="1" t="s">
        <v>725</v>
      </c>
      <c r="B48" s="1">
        <v>402</v>
      </c>
      <c r="C48" s="1">
        <v>210</v>
      </c>
      <c r="D48" s="1">
        <v>192</v>
      </c>
      <c r="E48" s="1">
        <v>413</v>
      </c>
      <c r="F48" s="1">
        <v>219</v>
      </c>
      <c r="G48" s="1">
        <v>194</v>
      </c>
      <c r="H48" s="1">
        <v>432</v>
      </c>
      <c r="I48" s="1">
        <v>217</v>
      </c>
      <c r="J48" s="1">
        <v>215</v>
      </c>
      <c r="K48" s="1">
        <v>601</v>
      </c>
      <c r="L48" s="1">
        <v>335</v>
      </c>
      <c r="M48" s="1">
        <v>266</v>
      </c>
      <c r="N48" s="1">
        <v>540</v>
      </c>
      <c r="O48" s="1">
        <v>317</v>
      </c>
      <c r="P48" s="1">
        <v>223</v>
      </c>
      <c r="Q48" s="1">
        <v>508</v>
      </c>
      <c r="R48" s="1">
        <v>264</v>
      </c>
      <c r="S48" s="1">
        <v>244</v>
      </c>
      <c r="T48" s="1">
        <v>497</v>
      </c>
      <c r="U48" s="1">
        <v>280</v>
      </c>
      <c r="V48" s="1">
        <v>217</v>
      </c>
    </row>
    <row r="49" spans="1:22" x14ac:dyDescent="0.25">
      <c r="A49" s="1" t="s">
        <v>726</v>
      </c>
      <c r="B49" s="1">
        <v>398</v>
      </c>
      <c r="C49" s="1">
        <v>203</v>
      </c>
      <c r="D49" s="1">
        <v>195</v>
      </c>
      <c r="E49" s="1">
        <v>400</v>
      </c>
      <c r="F49" s="1">
        <v>207</v>
      </c>
      <c r="G49" s="1">
        <v>193</v>
      </c>
      <c r="H49" s="1">
        <v>401</v>
      </c>
      <c r="I49" s="1">
        <v>209</v>
      </c>
      <c r="J49" s="1">
        <v>192</v>
      </c>
      <c r="K49" s="1">
        <v>546</v>
      </c>
      <c r="L49" s="1">
        <v>320</v>
      </c>
      <c r="M49" s="1">
        <v>226</v>
      </c>
      <c r="N49" s="1">
        <v>499</v>
      </c>
      <c r="O49" s="1">
        <v>239</v>
      </c>
      <c r="P49" s="1">
        <v>260</v>
      </c>
      <c r="Q49" s="1">
        <v>490</v>
      </c>
      <c r="R49" s="1">
        <v>273</v>
      </c>
      <c r="S49" s="1">
        <v>217</v>
      </c>
      <c r="T49" s="1">
        <v>453</v>
      </c>
      <c r="U49" s="1">
        <v>233</v>
      </c>
      <c r="V49" s="1">
        <v>220</v>
      </c>
    </row>
    <row r="50" spans="1:22" x14ac:dyDescent="0.25">
      <c r="A50" s="1" t="s">
        <v>727</v>
      </c>
      <c r="B50" s="1">
        <v>354</v>
      </c>
      <c r="C50" s="1">
        <v>187</v>
      </c>
      <c r="D50" s="1">
        <v>167</v>
      </c>
      <c r="E50" s="1">
        <v>376</v>
      </c>
      <c r="F50" s="1">
        <v>208</v>
      </c>
      <c r="G50" s="1">
        <v>168</v>
      </c>
      <c r="H50" s="1">
        <v>400</v>
      </c>
      <c r="I50" s="1">
        <v>211</v>
      </c>
      <c r="J50" s="1">
        <v>189</v>
      </c>
      <c r="K50" s="1">
        <v>502</v>
      </c>
      <c r="L50" s="1">
        <v>307</v>
      </c>
      <c r="M50" s="1">
        <v>195</v>
      </c>
      <c r="N50" s="1">
        <v>488</v>
      </c>
      <c r="O50" s="1">
        <v>258</v>
      </c>
      <c r="P50" s="1">
        <v>230</v>
      </c>
      <c r="Q50" s="1">
        <v>467</v>
      </c>
      <c r="R50" s="1">
        <v>260</v>
      </c>
      <c r="S50" s="1">
        <v>207</v>
      </c>
      <c r="T50" s="1">
        <v>457</v>
      </c>
      <c r="U50" s="1">
        <v>255</v>
      </c>
      <c r="V50" s="1">
        <v>202</v>
      </c>
    </row>
    <row r="51" spans="1:22" x14ac:dyDescent="0.25">
      <c r="A51" s="1" t="s">
        <v>728</v>
      </c>
      <c r="B51" s="1">
        <v>322</v>
      </c>
      <c r="C51" s="1">
        <v>166</v>
      </c>
      <c r="D51" s="1">
        <v>156</v>
      </c>
      <c r="E51" s="1">
        <v>379</v>
      </c>
      <c r="F51" s="1">
        <v>190</v>
      </c>
      <c r="G51" s="1">
        <v>189</v>
      </c>
      <c r="H51" s="1">
        <v>351</v>
      </c>
      <c r="I51" s="1">
        <v>182</v>
      </c>
      <c r="J51" s="1">
        <v>169</v>
      </c>
      <c r="K51" s="1">
        <v>494</v>
      </c>
      <c r="L51" s="1">
        <v>282</v>
      </c>
      <c r="M51" s="1">
        <v>212</v>
      </c>
      <c r="N51" s="1">
        <v>483</v>
      </c>
      <c r="O51" s="1">
        <v>264</v>
      </c>
      <c r="P51" s="1">
        <v>219</v>
      </c>
      <c r="Q51" s="1">
        <v>427</v>
      </c>
      <c r="R51" s="1">
        <v>239</v>
      </c>
      <c r="S51" s="1">
        <v>188</v>
      </c>
      <c r="T51" s="1">
        <v>422</v>
      </c>
      <c r="U51" s="1">
        <v>211</v>
      </c>
      <c r="V51" s="1">
        <v>211</v>
      </c>
    </row>
    <row r="52" spans="1:22" x14ac:dyDescent="0.25">
      <c r="A52" s="1" t="s">
        <v>729</v>
      </c>
      <c r="B52" s="1">
        <v>320</v>
      </c>
      <c r="C52" s="1">
        <v>165</v>
      </c>
      <c r="D52" s="1">
        <v>155</v>
      </c>
      <c r="E52" s="1">
        <v>324</v>
      </c>
      <c r="F52" s="1">
        <v>174</v>
      </c>
      <c r="G52" s="1">
        <v>150</v>
      </c>
      <c r="H52" s="1">
        <v>366</v>
      </c>
      <c r="I52" s="1">
        <v>198</v>
      </c>
      <c r="J52" s="1">
        <v>168</v>
      </c>
      <c r="K52" s="1">
        <v>442</v>
      </c>
      <c r="L52" s="1">
        <v>238</v>
      </c>
      <c r="M52" s="1">
        <v>204</v>
      </c>
      <c r="N52" s="1">
        <v>412</v>
      </c>
      <c r="O52" s="1">
        <v>212</v>
      </c>
      <c r="P52" s="1">
        <v>200</v>
      </c>
      <c r="Q52" s="1">
        <v>402</v>
      </c>
      <c r="R52" s="1">
        <v>220</v>
      </c>
      <c r="S52" s="1">
        <v>182</v>
      </c>
      <c r="T52" s="1">
        <v>359</v>
      </c>
      <c r="U52" s="1">
        <v>196</v>
      </c>
      <c r="V52" s="1">
        <v>163</v>
      </c>
    </row>
    <row r="53" spans="1:22" x14ac:dyDescent="0.25">
      <c r="A53" s="1" t="s">
        <v>730</v>
      </c>
      <c r="B53" s="1">
        <v>315</v>
      </c>
      <c r="C53" s="1">
        <v>112</v>
      </c>
      <c r="D53" s="1">
        <v>203</v>
      </c>
      <c r="E53" s="1">
        <v>363</v>
      </c>
      <c r="F53" s="1">
        <v>118</v>
      </c>
      <c r="G53" s="1">
        <v>245</v>
      </c>
      <c r="H53" s="1">
        <v>362</v>
      </c>
      <c r="I53" s="1">
        <v>122</v>
      </c>
      <c r="J53" s="1">
        <v>240</v>
      </c>
      <c r="K53" s="1">
        <v>476</v>
      </c>
      <c r="L53" s="1">
        <v>186</v>
      </c>
      <c r="M53" s="1">
        <v>290</v>
      </c>
      <c r="N53" s="1">
        <v>427</v>
      </c>
      <c r="O53" s="1">
        <v>152</v>
      </c>
      <c r="P53" s="1">
        <v>275</v>
      </c>
      <c r="Q53" s="1">
        <v>489</v>
      </c>
      <c r="R53" s="1">
        <v>179</v>
      </c>
      <c r="S53" s="1">
        <v>310</v>
      </c>
      <c r="T53" s="1">
        <v>514</v>
      </c>
      <c r="U53" s="1">
        <v>189</v>
      </c>
      <c r="V53" s="1">
        <v>325</v>
      </c>
    </row>
    <row r="54" spans="1:22" x14ac:dyDescent="0.25">
      <c r="A54" s="1" t="s">
        <v>731</v>
      </c>
      <c r="B54" s="1">
        <v>298</v>
      </c>
      <c r="C54" s="1">
        <v>157</v>
      </c>
      <c r="D54" s="1">
        <v>141</v>
      </c>
      <c r="E54" s="1">
        <v>299</v>
      </c>
      <c r="F54" s="1">
        <v>169</v>
      </c>
      <c r="G54" s="1">
        <v>130</v>
      </c>
      <c r="H54" s="1">
        <v>300</v>
      </c>
      <c r="I54" s="1">
        <v>159</v>
      </c>
      <c r="J54" s="1">
        <v>141</v>
      </c>
      <c r="K54" s="1">
        <v>395</v>
      </c>
      <c r="L54" s="1">
        <v>222</v>
      </c>
      <c r="M54" s="1">
        <v>173</v>
      </c>
      <c r="N54" s="1">
        <v>345</v>
      </c>
      <c r="O54" s="1">
        <v>195</v>
      </c>
      <c r="P54" s="1">
        <v>150</v>
      </c>
      <c r="Q54" s="1">
        <v>352</v>
      </c>
      <c r="R54" s="1">
        <v>187</v>
      </c>
      <c r="S54" s="1">
        <v>165</v>
      </c>
      <c r="T54" s="1">
        <v>347</v>
      </c>
      <c r="U54" s="1">
        <v>188</v>
      </c>
      <c r="V54" s="1">
        <v>159</v>
      </c>
    </row>
    <row r="55" spans="1:22" x14ac:dyDescent="0.25">
      <c r="A55" s="1" t="s">
        <v>732</v>
      </c>
      <c r="B55" s="1">
        <v>293</v>
      </c>
      <c r="C55" s="1">
        <v>158</v>
      </c>
      <c r="D55" s="1">
        <v>135</v>
      </c>
      <c r="E55" s="1">
        <v>294</v>
      </c>
      <c r="F55" s="1">
        <v>145</v>
      </c>
      <c r="G55" s="1">
        <v>149</v>
      </c>
      <c r="H55" s="1">
        <v>300</v>
      </c>
      <c r="I55" s="1">
        <v>162</v>
      </c>
      <c r="J55" s="1">
        <v>138</v>
      </c>
      <c r="K55" s="1">
        <v>391</v>
      </c>
      <c r="L55" s="1">
        <v>222</v>
      </c>
      <c r="M55" s="1">
        <v>169</v>
      </c>
      <c r="N55" s="1">
        <v>378</v>
      </c>
      <c r="O55" s="1">
        <v>206</v>
      </c>
      <c r="P55" s="1">
        <v>172</v>
      </c>
      <c r="Q55" s="1">
        <v>362</v>
      </c>
      <c r="R55" s="1">
        <v>199</v>
      </c>
      <c r="S55" s="1">
        <v>163</v>
      </c>
      <c r="T55" s="1">
        <v>358</v>
      </c>
      <c r="U55" s="1">
        <v>194</v>
      </c>
      <c r="V55" s="1">
        <v>164</v>
      </c>
    </row>
    <row r="56" spans="1:22" x14ac:dyDescent="0.25">
      <c r="A56" s="1" t="s">
        <v>24</v>
      </c>
      <c r="B56" s="1">
        <v>265</v>
      </c>
      <c r="C56" s="1">
        <v>146</v>
      </c>
      <c r="D56" s="1">
        <v>119</v>
      </c>
      <c r="E56" s="1">
        <v>297</v>
      </c>
      <c r="F56" s="1">
        <v>156</v>
      </c>
      <c r="G56" s="1">
        <v>141</v>
      </c>
      <c r="H56" s="1">
        <v>297</v>
      </c>
      <c r="I56" s="1">
        <v>156</v>
      </c>
      <c r="J56" s="1">
        <v>141</v>
      </c>
      <c r="K56" s="1">
        <v>203</v>
      </c>
      <c r="L56" s="1">
        <v>102</v>
      </c>
      <c r="M56" s="1">
        <v>101</v>
      </c>
      <c r="N56" s="1">
        <v>195</v>
      </c>
      <c r="O56" s="1">
        <v>114</v>
      </c>
      <c r="P56" s="1">
        <v>81</v>
      </c>
      <c r="Q56" s="1">
        <v>243</v>
      </c>
      <c r="R56" s="1">
        <v>118</v>
      </c>
      <c r="S56" s="1">
        <v>125</v>
      </c>
      <c r="T56" s="1">
        <v>238</v>
      </c>
      <c r="U56" s="1">
        <v>125</v>
      </c>
      <c r="V56" s="1">
        <v>113</v>
      </c>
    </row>
    <row r="57" spans="1:22" x14ac:dyDescent="0.25">
      <c r="A57" s="1" t="s">
        <v>733</v>
      </c>
      <c r="B57" s="1">
        <v>265</v>
      </c>
      <c r="C57" s="1">
        <v>128</v>
      </c>
      <c r="D57" s="1">
        <v>137</v>
      </c>
      <c r="E57" s="1">
        <v>263</v>
      </c>
      <c r="F57" s="1">
        <v>148</v>
      </c>
      <c r="G57" s="1">
        <v>115</v>
      </c>
      <c r="H57" s="1">
        <v>285</v>
      </c>
      <c r="I57" s="1">
        <v>145</v>
      </c>
      <c r="J57" s="1">
        <v>140</v>
      </c>
      <c r="K57" s="1">
        <v>377</v>
      </c>
      <c r="L57" s="1">
        <v>205</v>
      </c>
      <c r="M57" s="1">
        <v>172</v>
      </c>
      <c r="N57" s="1">
        <v>325</v>
      </c>
      <c r="O57" s="1">
        <v>171</v>
      </c>
      <c r="P57" s="1">
        <v>154</v>
      </c>
      <c r="Q57" s="1">
        <v>329</v>
      </c>
      <c r="R57" s="1">
        <v>170</v>
      </c>
      <c r="S57" s="1">
        <v>159</v>
      </c>
      <c r="T57" s="1">
        <v>337</v>
      </c>
      <c r="U57" s="1">
        <v>179</v>
      </c>
      <c r="V57" s="1">
        <v>158</v>
      </c>
    </row>
    <row r="58" spans="1:22" x14ac:dyDescent="0.25">
      <c r="A58" s="1" t="s">
        <v>734</v>
      </c>
      <c r="B58" s="1">
        <v>264</v>
      </c>
      <c r="C58" s="1">
        <v>118</v>
      </c>
      <c r="D58" s="1">
        <v>146</v>
      </c>
      <c r="E58" s="1">
        <v>248</v>
      </c>
      <c r="F58" s="1">
        <v>139</v>
      </c>
      <c r="G58" s="1">
        <v>109</v>
      </c>
      <c r="H58" s="1">
        <v>271</v>
      </c>
      <c r="I58" s="1">
        <v>140</v>
      </c>
      <c r="J58" s="1">
        <v>131</v>
      </c>
      <c r="K58" s="1">
        <v>332</v>
      </c>
      <c r="L58" s="1">
        <v>185</v>
      </c>
      <c r="M58" s="1">
        <v>147</v>
      </c>
      <c r="N58" s="1">
        <v>336</v>
      </c>
      <c r="O58" s="1">
        <v>197</v>
      </c>
      <c r="P58" s="1">
        <v>139</v>
      </c>
      <c r="Q58" s="1">
        <v>335</v>
      </c>
      <c r="R58" s="1">
        <v>192</v>
      </c>
      <c r="S58" s="1">
        <v>143</v>
      </c>
      <c r="T58" s="1">
        <v>352</v>
      </c>
      <c r="U58" s="1">
        <v>180</v>
      </c>
      <c r="V58" s="1">
        <v>172</v>
      </c>
    </row>
    <row r="59" spans="1:22" x14ac:dyDescent="0.25">
      <c r="A59" s="1" t="s">
        <v>735</v>
      </c>
      <c r="B59" s="1">
        <v>247</v>
      </c>
      <c r="C59" s="1">
        <v>95</v>
      </c>
      <c r="D59" s="1">
        <v>152</v>
      </c>
      <c r="E59" s="1">
        <v>288</v>
      </c>
      <c r="F59" s="1">
        <v>108</v>
      </c>
      <c r="G59" s="1">
        <v>180</v>
      </c>
      <c r="H59" s="1">
        <v>279</v>
      </c>
      <c r="I59" s="1">
        <v>102</v>
      </c>
      <c r="J59" s="1">
        <v>177</v>
      </c>
      <c r="K59" s="1">
        <v>391</v>
      </c>
      <c r="L59" s="1">
        <v>147</v>
      </c>
      <c r="M59" s="1">
        <v>244</v>
      </c>
      <c r="N59" s="1">
        <v>361</v>
      </c>
      <c r="O59" s="1">
        <v>115</v>
      </c>
      <c r="P59" s="1">
        <v>246</v>
      </c>
      <c r="Q59" s="1">
        <v>384</v>
      </c>
      <c r="R59" s="1">
        <v>146</v>
      </c>
      <c r="S59" s="1">
        <v>238</v>
      </c>
      <c r="T59" s="1">
        <v>331</v>
      </c>
      <c r="U59" s="1">
        <v>110</v>
      </c>
      <c r="V59" s="1">
        <v>221</v>
      </c>
    </row>
    <row r="60" spans="1:22" x14ac:dyDescent="0.25">
      <c r="A60" s="1" t="s">
        <v>736</v>
      </c>
      <c r="B60" s="1">
        <v>215</v>
      </c>
      <c r="C60" s="1">
        <v>117</v>
      </c>
      <c r="D60" s="1">
        <v>98</v>
      </c>
      <c r="E60" s="1">
        <v>234</v>
      </c>
      <c r="F60" s="1">
        <v>113</v>
      </c>
      <c r="G60" s="1">
        <v>121</v>
      </c>
      <c r="H60" s="1">
        <v>224</v>
      </c>
      <c r="I60" s="1">
        <v>128</v>
      </c>
      <c r="J60" s="1">
        <v>96</v>
      </c>
      <c r="K60" s="1">
        <v>323</v>
      </c>
      <c r="L60" s="1">
        <v>185</v>
      </c>
      <c r="M60" s="1">
        <v>138</v>
      </c>
      <c r="N60" s="1">
        <v>305</v>
      </c>
      <c r="O60" s="1">
        <v>165</v>
      </c>
      <c r="P60" s="1">
        <v>140</v>
      </c>
      <c r="Q60" s="1">
        <v>305</v>
      </c>
      <c r="R60" s="1">
        <v>166</v>
      </c>
      <c r="S60" s="1">
        <v>139</v>
      </c>
      <c r="T60" s="1">
        <v>307</v>
      </c>
      <c r="U60" s="1">
        <v>169</v>
      </c>
      <c r="V60" s="1">
        <v>138</v>
      </c>
    </row>
    <row r="61" spans="1:22" x14ac:dyDescent="0.25">
      <c r="A61" s="1" t="s">
        <v>737</v>
      </c>
      <c r="B61" s="1">
        <v>206</v>
      </c>
      <c r="C61" s="1">
        <v>111</v>
      </c>
      <c r="D61" s="1">
        <v>95</v>
      </c>
      <c r="E61" s="1">
        <v>207</v>
      </c>
      <c r="F61" s="1">
        <v>104</v>
      </c>
      <c r="G61" s="1">
        <v>103</v>
      </c>
      <c r="H61" s="1">
        <v>233</v>
      </c>
      <c r="I61" s="1">
        <v>119</v>
      </c>
      <c r="J61" s="1">
        <v>114</v>
      </c>
      <c r="K61" s="1">
        <v>316</v>
      </c>
      <c r="L61" s="1">
        <v>186</v>
      </c>
      <c r="M61" s="1">
        <v>130</v>
      </c>
      <c r="N61" s="1">
        <v>317</v>
      </c>
      <c r="O61" s="1">
        <v>185</v>
      </c>
      <c r="P61" s="1">
        <v>132</v>
      </c>
      <c r="Q61" s="1">
        <v>309</v>
      </c>
      <c r="R61" s="1">
        <v>169</v>
      </c>
      <c r="S61" s="1">
        <v>140</v>
      </c>
      <c r="T61" s="1">
        <v>293</v>
      </c>
      <c r="U61" s="1">
        <v>163</v>
      </c>
      <c r="V61" s="1">
        <v>130</v>
      </c>
    </row>
    <row r="62" spans="1:22" x14ac:dyDescent="0.25">
      <c r="A62" s="1" t="s">
        <v>738</v>
      </c>
      <c r="B62" s="1">
        <v>201</v>
      </c>
      <c r="C62" s="1">
        <v>127</v>
      </c>
      <c r="D62" s="1">
        <v>74</v>
      </c>
      <c r="E62" s="1">
        <v>209</v>
      </c>
      <c r="F62" s="1">
        <v>118</v>
      </c>
      <c r="G62" s="1">
        <v>91</v>
      </c>
      <c r="H62" s="1">
        <v>235</v>
      </c>
      <c r="I62" s="1">
        <v>146</v>
      </c>
      <c r="J62" s="1">
        <v>89</v>
      </c>
      <c r="K62" s="1">
        <v>301</v>
      </c>
      <c r="L62" s="1">
        <v>164</v>
      </c>
      <c r="M62" s="1">
        <v>137</v>
      </c>
      <c r="N62" s="1">
        <v>260</v>
      </c>
      <c r="O62" s="1">
        <v>152</v>
      </c>
      <c r="P62" s="1">
        <v>108</v>
      </c>
      <c r="Q62" s="1">
        <v>284</v>
      </c>
      <c r="R62" s="1">
        <v>158</v>
      </c>
      <c r="S62" s="1">
        <v>126</v>
      </c>
      <c r="T62" s="1">
        <v>266</v>
      </c>
      <c r="U62" s="1">
        <v>144</v>
      </c>
      <c r="V62" s="1">
        <v>122</v>
      </c>
    </row>
    <row r="63" spans="1:22" x14ac:dyDescent="0.25">
      <c r="A63" s="1" t="s">
        <v>23</v>
      </c>
      <c r="B63" s="1">
        <v>190</v>
      </c>
      <c r="C63" s="1">
        <v>106</v>
      </c>
      <c r="D63" s="1">
        <v>84</v>
      </c>
      <c r="E63" s="1">
        <v>178</v>
      </c>
      <c r="F63" s="1">
        <v>99</v>
      </c>
      <c r="G63" s="1">
        <v>79</v>
      </c>
      <c r="H63" s="1">
        <v>177</v>
      </c>
      <c r="I63" s="1">
        <v>90</v>
      </c>
      <c r="J63" s="1">
        <v>87</v>
      </c>
      <c r="K63" s="1">
        <v>126</v>
      </c>
      <c r="L63" s="1">
        <v>68</v>
      </c>
      <c r="M63" s="1">
        <v>58</v>
      </c>
      <c r="N63" s="1">
        <v>155</v>
      </c>
      <c r="O63" s="1">
        <v>79</v>
      </c>
      <c r="P63" s="1">
        <v>76</v>
      </c>
      <c r="Q63" s="1">
        <v>162</v>
      </c>
      <c r="R63" s="1">
        <v>95</v>
      </c>
      <c r="S63" s="1">
        <v>67</v>
      </c>
      <c r="T63" s="1">
        <v>145</v>
      </c>
      <c r="U63" s="1">
        <v>77</v>
      </c>
      <c r="V63" s="1">
        <v>68</v>
      </c>
    </row>
    <row r="64" spans="1:22" x14ac:dyDescent="0.25">
      <c r="A64" s="1" t="s">
        <v>739</v>
      </c>
      <c r="B64" s="1">
        <v>186</v>
      </c>
      <c r="C64" s="1">
        <v>92</v>
      </c>
      <c r="D64" s="1">
        <v>94</v>
      </c>
      <c r="E64" s="1">
        <v>211</v>
      </c>
      <c r="F64" s="1">
        <v>70</v>
      </c>
      <c r="G64" s="1">
        <v>141</v>
      </c>
      <c r="H64" s="1">
        <v>196</v>
      </c>
      <c r="I64" s="1">
        <v>71</v>
      </c>
      <c r="J64" s="1">
        <v>125</v>
      </c>
      <c r="K64" s="1">
        <v>221</v>
      </c>
      <c r="L64" s="1">
        <v>89</v>
      </c>
      <c r="M64" s="1">
        <v>132</v>
      </c>
      <c r="N64" s="1">
        <v>232</v>
      </c>
      <c r="O64" s="1">
        <v>90</v>
      </c>
      <c r="P64" s="1">
        <v>142</v>
      </c>
      <c r="Q64" s="1">
        <v>298</v>
      </c>
      <c r="R64" s="1">
        <v>107</v>
      </c>
      <c r="S64" s="1">
        <v>191</v>
      </c>
      <c r="T64" s="1">
        <v>267</v>
      </c>
      <c r="U64" s="1">
        <v>94</v>
      </c>
      <c r="V64" s="1">
        <v>173</v>
      </c>
    </row>
    <row r="65" spans="1:22" x14ac:dyDescent="0.25">
      <c r="A65" s="1" t="s">
        <v>740</v>
      </c>
      <c r="B65" s="1">
        <v>185</v>
      </c>
      <c r="C65" s="1">
        <v>96</v>
      </c>
      <c r="D65" s="1">
        <v>89</v>
      </c>
      <c r="E65" s="1">
        <v>184</v>
      </c>
      <c r="F65" s="1">
        <v>96</v>
      </c>
      <c r="G65" s="1">
        <v>88</v>
      </c>
      <c r="H65" s="1">
        <v>182</v>
      </c>
      <c r="I65" s="1">
        <v>106</v>
      </c>
      <c r="J65" s="1">
        <v>76</v>
      </c>
      <c r="K65" s="1">
        <v>247</v>
      </c>
      <c r="L65" s="1">
        <v>138</v>
      </c>
      <c r="M65" s="1">
        <v>109</v>
      </c>
      <c r="N65" s="1">
        <v>232</v>
      </c>
      <c r="O65" s="1">
        <v>128</v>
      </c>
      <c r="P65" s="1">
        <v>104</v>
      </c>
      <c r="Q65" s="1">
        <v>203</v>
      </c>
      <c r="R65" s="1">
        <v>108</v>
      </c>
      <c r="S65" s="1">
        <v>95</v>
      </c>
      <c r="T65" s="1">
        <v>227</v>
      </c>
      <c r="U65" s="1">
        <v>133</v>
      </c>
      <c r="V65" s="1">
        <v>94</v>
      </c>
    </row>
    <row r="66" spans="1:22" x14ac:dyDescent="0.25">
      <c r="A66" s="1" t="s">
        <v>22</v>
      </c>
      <c r="B66" s="1">
        <v>164</v>
      </c>
      <c r="C66" s="1">
        <v>79</v>
      </c>
      <c r="D66" s="1">
        <v>85</v>
      </c>
      <c r="E66" s="1">
        <v>128</v>
      </c>
      <c r="F66" s="1">
        <v>67</v>
      </c>
      <c r="G66" s="1">
        <v>61</v>
      </c>
      <c r="H66" s="1">
        <v>139</v>
      </c>
      <c r="I66" s="1">
        <v>81</v>
      </c>
      <c r="J66" s="1">
        <v>58</v>
      </c>
      <c r="K66" s="1">
        <v>132</v>
      </c>
      <c r="L66" s="1">
        <v>76</v>
      </c>
      <c r="M66" s="1">
        <v>56</v>
      </c>
      <c r="N66" s="1">
        <v>118</v>
      </c>
      <c r="O66" s="1">
        <v>57</v>
      </c>
      <c r="P66" s="1">
        <v>61</v>
      </c>
      <c r="Q66" s="1">
        <v>121</v>
      </c>
      <c r="R66" s="1">
        <v>56</v>
      </c>
      <c r="S66" s="1">
        <v>65</v>
      </c>
      <c r="T66" s="1">
        <v>126</v>
      </c>
      <c r="U66" s="1">
        <v>75</v>
      </c>
      <c r="V66" s="1">
        <v>51</v>
      </c>
    </row>
    <row r="67" spans="1:22" x14ac:dyDescent="0.25">
      <c r="A67" s="1" t="s">
        <v>741</v>
      </c>
      <c r="B67" s="1">
        <v>163</v>
      </c>
      <c r="C67" s="1">
        <v>80</v>
      </c>
      <c r="D67" s="1">
        <v>83</v>
      </c>
      <c r="E67" s="1">
        <v>200</v>
      </c>
      <c r="F67" s="1">
        <v>115</v>
      </c>
      <c r="G67" s="1">
        <v>85</v>
      </c>
      <c r="H67" s="1">
        <v>211</v>
      </c>
      <c r="I67" s="1">
        <v>112</v>
      </c>
      <c r="J67" s="1">
        <v>99</v>
      </c>
      <c r="K67" s="1">
        <v>288</v>
      </c>
      <c r="L67" s="1">
        <v>169</v>
      </c>
      <c r="M67" s="1">
        <v>119</v>
      </c>
      <c r="N67" s="1">
        <v>250</v>
      </c>
      <c r="O67" s="1">
        <v>136</v>
      </c>
      <c r="P67" s="1">
        <v>114</v>
      </c>
      <c r="Q67" s="1">
        <v>253</v>
      </c>
      <c r="R67" s="1">
        <v>151</v>
      </c>
      <c r="S67" s="1">
        <v>102</v>
      </c>
      <c r="T67" s="1">
        <v>274</v>
      </c>
      <c r="U67" s="1">
        <v>173</v>
      </c>
      <c r="V67" s="1">
        <v>101</v>
      </c>
    </row>
    <row r="68" spans="1:22" x14ac:dyDescent="0.25">
      <c r="A68" s="1" t="s">
        <v>742</v>
      </c>
      <c r="B68" s="1">
        <v>157</v>
      </c>
      <c r="C68" s="1">
        <v>53</v>
      </c>
      <c r="D68" s="1">
        <v>104</v>
      </c>
      <c r="E68" s="1">
        <v>130</v>
      </c>
      <c r="F68" s="1">
        <v>47</v>
      </c>
      <c r="G68" s="1">
        <v>83</v>
      </c>
      <c r="H68" s="1">
        <v>150</v>
      </c>
      <c r="I68" s="1">
        <v>51</v>
      </c>
      <c r="J68" s="1">
        <v>99</v>
      </c>
      <c r="K68" s="1">
        <v>162</v>
      </c>
      <c r="L68" s="1">
        <v>56</v>
      </c>
      <c r="M68" s="1">
        <v>106</v>
      </c>
      <c r="N68" s="1">
        <v>141</v>
      </c>
      <c r="O68" s="1">
        <v>52</v>
      </c>
      <c r="P68" s="1">
        <v>89</v>
      </c>
      <c r="Q68" s="1">
        <v>198</v>
      </c>
      <c r="R68" s="1">
        <v>63</v>
      </c>
      <c r="S68" s="1">
        <v>135</v>
      </c>
      <c r="T68" s="1">
        <v>185</v>
      </c>
      <c r="U68" s="1">
        <v>55</v>
      </c>
      <c r="V68" s="1">
        <v>130</v>
      </c>
    </row>
    <row r="69" spans="1:22" x14ac:dyDescent="0.25">
      <c r="A69" s="1" t="s">
        <v>743</v>
      </c>
      <c r="B69" s="1">
        <v>153</v>
      </c>
      <c r="C69" s="1">
        <v>88</v>
      </c>
      <c r="D69" s="1">
        <v>65</v>
      </c>
      <c r="E69" s="1">
        <v>220</v>
      </c>
      <c r="F69" s="1">
        <v>114</v>
      </c>
      <c r="G69" s="1">
        <v>106</v>
      </c>
      <c r="H69" s="1">
        <v>176</v>
      </c>
      <c r="I69" s="1">
        <v>81</v>
      </c>
      <c r="J69" s="1">
        <v>95</v>
      </c>
      <c r="K69" s="1">
        <v>233</v>
      </c>
      <c r="L69" s="1">
        <v>121</v>
      </c>
      <c r="M69" s="1">
        <v>112</v>
      </c>
      <c r="N69" s="1">
        <v>223</v>
      </c>
      <c r="O69" s="1">
        <v>132</v>
      </c>
      <c r="P69" s="1">
        <v>91</v>
      </c>
      <c r="Q69" s="1">
        <v>250</v>
      </c>
      <c r="R69" s="1">
        <v>143</v>
      </c>
      <c r="S69" s="1">
        <v>107</v>
      </c>
      <c r="T69" s="1">
        <v>234</v>
      </c>
      <c r="U69" s="1">
        <v>136</v>
      </c>
      <c r="V69" s="1">
        <v>98</v>
      </c>
    </row>
    <row r="70" spans="1:22" x14ac:dyDescent="0.25">
      <c r="A70" s="1" t="s">
        <v>744</v>
      </c>
      <c r="B70" s="1">
        <v>149</v>
      </c>
      <c r="C70" s="1">
        <v>78</v>
      </c>
      <c r="D70" s="1">
        <v>71</v>
      </c>
      <c r="E70" s="1">
        <v>147</v>
      </c>
      <c r="F70" s="1">
        <v>87</v>
      </c>
      <c r="G70" s="1">
        <v>60</v>
      </c>
      <c r="H70" s="1">
        <v>169</v>
      </c>
      <c r="I70" s="1">
        <v>89</v>
      </c>
      <c r="J70" s="1">
        <v>80</v>
      </c>
      <c r="K70" s="1">
        <v>226</v>
      </c>
      <c r="L70" s="1">
        <v>143</v>
      </c>
      <c r="M70" s="1">
        <v>83</v>
      </c>
      <c r="N70" s="1">
        <v>225</v>
      </c>
      <c r="O70" s="1">
        <v>127</v>
      </c>
      <c r="P70" s="1">
        <v>98</v>
      </c>
      <c r="Q70" s="1">
        <v>195</v>
      </c>
      <c r="R70" s="1">
        <v>116</v>
      </c>
      <c r="S70" s="1">
        <v>79</v>
      </c>
      <c r="T70" s="1">
        <v>200</v>
      </c>
      <c r="U70" s="1">
        <v>116</v>
      </c>
      <c r="V70" s="1">
        <v>84</v>
      </c>
    </row>
    <row r="71" spans="1:22" x14ac:dyDescent="0.25">
      <c r="A71" s="1" t="s">
        <v>745</v>
      </c>
      <c r="B71" s="1">
        <v>146</v>
      </c>
      <c r="C71" s="1">
        <v>83</v>
      </c>
      <c r="D71" s="1">
        <v>63</v>
      </c>
      <c r="E71" s="1">
        <v>162</v>
      </c>
      <c r="F71" s="1">
        <v>81</v>
      </c>
      <c r="G71" s="1">
        <v>81</v>
      </c>
      <c r="H71" s="1">
        <v>168</v>
      </c>
      <c r="I71" s="1">
        <v>99</v>
      </c>
      <c r="J71" s="1">
        <v>69</v>
      </c>
      <c r="K71" s="1">
        <v>166</v>
      </c>
      <c r="L71" s="1">
        <v>97</v>
      </c>
      <c r="M71" s="1">
        <v>69</v>
      </c>
      <c r="N71" s="1">
        <v>190</v>
      </c>
      <c r="O71" s="1">
        <v>115</v>
      </c>
      <c r="P71" s="1">
        <v>75</v>
      </c>
      <c r="Q71" s="1">
        <v>176</v>
      </c>
      <c r="R71" s="1">
        <v>97</v>
      </c>
      <c r="S71" s="1">
        <v>79</v>
      </c>
      <c r="T71" s="1">
        <v>189</v>
      </c>
      <c r="U71" s="1">
        <v>105</v>
      </c>
      <c r="V71" s="1">
        <v>84</v>
      </c>
    </row>
    <row r="72" spans="1:22" x14ac:dyDescent="0.25">
      <c r="A72" s="1" t="s">
        <v>746</v>
      </c>
      <c r="B72" s="1">
        <v>136</v>
      </c>
      <c r="C72" s="1">
        <v>78</v>
      </c>
      <c r="D72" s="1">
        <v>58</v>
      </c>
      <c r="E72" s="1">
        <v>153</v>
      </c>
      <c r="F72" s="1">
        <v>83</v>
      </c>
      <c r="G72" s="1">
        <v>70</v>
      </c>
      <c r="H72" s="1">
        <v>126</v>
      </c>
      <c r="I72" s="1">
        <v>67</v>
      </c>
      <c r="J72" s="1">
        <v>59</v>
      </c>
      <c r="K72" s="1">
        <v>185</v>
      </c>
      <c r="L72" s="1">
        <v>111</v>
      </c>
      <c r="M72" s="1">
        <v>74</v>
      </c>
      <c r="N72" s="1">
        <v>181</v>
      </c>
      <c r="O72" s="1">
        <v>110</v>
      </c>
      <c r="P72" s="1">
        <v>71</v>
      </c>
      <c r="Q72" s="1">
        <v>204</v>
      </c>
      <c r="R72" s="1">
        <v>114</v>
      </c>
      <c r="S72" s="1">
        <v>90</v>
      </c>
      <c r="T72" s="1">
        <v>171</v>
      </c>
      <c r="U72" s="1">
        <v>100</v>
      </c>
      <c r="V72" s="1">
        <v>71</v>
      </c>
    </row>
    <row r="73" spans="1:22" x14ac:dyDescent="0.25">
      <c r="A73" s="1" t="s">
        <v>747</v>
      </c>
      <c r="B73" s="1">
        <v>129</v>
      </c>
      <c r="C73" s="1">
        <v>74</v>
      </c>
      <c r="D73" s="1">
        <v>55</v>
      </c>
      <c r="E73" s="1">
        <v>123</v>
      </c>
      <c r="F73" s="1">
        <v>71</v>
      </c>
      <c r="G73" s="1">
        <v>52</v>
      </c>
      <c r="H73" s="1">
        <v>138</v>
      </c>
      <c r="I73" s="1">
        <v>83</v>
      </c>
      <c r="J73" s="1">
        <v>55</v>
      </c>
      <c r="K73" s="1">
        <v>159</v>
      </c>
      <c r="L73" s="1">
        <v>85</v>
      </c>
      <c r="M73" s="1">
        <v>74</v>
      </c>
      <c r="N73" s="1">
        <v>170</v>
      </c>
      <c r="O73" s="1">
        <v>94</v>
      </c>
      <c r="P73" s="1">
        <v>76</v>
      </c>
      <c r="Q73" s="1">
        <v>190</v>
      </c>
      <c r="R73" s="1">
        <v>110</v>
      </c>
      <c r="S73" s="1">
        <v>80</v>
      </c>
      <c r="T73" s="1">
        <v>167</v>
      </c>
      <c r="U73" s="1">
        <v>89</v>
      </c>
      <c r="V73" s="1">
        <v>78</v>
      </c>
    </row>
    <row r="74" spans="1:22" x14ac:dyDescent="0.25">
      <c r="A74" s="1" t="s">
        <v>56</v>
      </c>
      <c r="B74" s="1">
        <v>126</v>
      </c>
      <c r="C74" s="1">
        <v>66</v>
      </c>
      <c r="D74" s="1">
        <v>60</v>
      </c>
      <c r="E74" s="1">
        <v>127</v>
      </c>
      <c r="F74" s="1">
        <v>61</v>
      </c>
      <c r="G74" s="1">
        <v>66</v>
      </c>
      <c r="H74" s="1">
        <v>111</v>
      </c>
      <c r="I74" s="1">
        <v>61</v>
      </c>
      <c r="J74" s="1">
        <v>50</v>
      </c>
      <c r="K74" s="1">
        <v>70</v>
      </c>
      <c r="L74" s="1">
        <v>40</v>
      </c>
      <c r="M74" s="1">
        <v>30</v>
      </c>
      <c r="N74" s="1">
        <v>83</v>
      </c>
      <c r="O74" s="1">
        <v>46</v>
      </c>
      <c r="P74" s="1">
        <v>37</v>
      </c>
      <c r="Q74" s="1">
        <v>105</v>
      </c>
      <c r="R74" s="1">
        <v>46</v>
      </c>
      <c r="S74" s="1">
        <v>59</v>
      </c>
      <c r="T74" s="1">
        <v>100</v>
      </c>
      <c r="U74" s="1">
        <v>51</v>
      </c>
      <c r="V74" s="1">
        <v>49</v>
      </c>
    </row>
    <row r="75" spans="1:22" x14ac:dyDescent="0.25">
      <c r="A75" s="1" t="s">
        <v>58</v>
      </c>
      <c r="B75" s="1">
        <v>123</v>
      </c>
      <c r="C75" s="1">
        <v>75</v>
      </c>
      <c r="D75" s="1">
        <v>48</v>
      </c>
      <c r="E75" s="1">
        <v>97</v>
      </c>
      <c r="F75" s="1">
        <v>48</v>
      </c>
      <c r="G75" s="1">
        <v>49</v>
      </c>
      <c r="H75" s="1">
        <v>95</v>
      </c>
      <c r="I75" s="1">
        <v>46</v>
      </c>
      <c r="J75" s="1">
        <v>49</v>
      </c>
      <c r="K75" s="1">
        <v>90</v>
      </c>
      <c r="L75" s="1">
        <v>51</v>
      </c>
      <c r="M75" s="1">
        <v>39</v>
      </c>
      <c r="N75" s="1">
        <v>95</v>
      </c>
      <c r="O75" s="1">
        <v>49</v>
      </c>
      <c r="P75" s="1">
        <v>46</v>
      </c>
      <c r="Q75" s="1">
        <v>93</v>
      </c>
      <c r="R75" s="1">
        <v>41</v>
      </c>
      <c r="S75" s="1">
        <v>52</v>
      </c>
      <c r="T75" s="1">
        <v>102</v>
      </c>
      <c r="U75" s="1">
        <v>55</v>
      </c>
      <c r="V75" s="1">
        <v>47</v>
      </c>
    </row>
    <row r="76" spans="1:22" x14ac:dyDescent="0.25">
      <c r="A76" s="1" t="s">
        <v>748</v>
      </c>
      <c r="B76" s="1">
        <v>122</v>
      </c>
      <c r="C76" s="1">
        <v>74</v>
      </c>
      <c r="D76" s="1">
        <v>48</v>
      </c>
      <c r="E76" s="1">
        <v>99</v>
      </c>
      <c r="F76" s="1">
        <v>60</v>
      </c>
      <c r="G76" s="1">
        <v>39</v>
      </c>
      <c r="H76" s="1">
        <v>126</v>
      </c>
      <c r="I76" s="1">
        <v>87</v>
      </c>
      <c r="J76" s="1">
        <v>39</v>
      </c>
      <c r="K76" s="1">
        <v>119</v>
      </c>
      <c r="L76" s="1">
        <v>75</v>
      </c>
      <c r="M76" s="1">
        <v>44</v>
      </c>
      <c r="N76" s="1">
        <v>129</v>
      </c>
      <c r="O76" s="1">
        <v>75</v>
      </c>
      <c r="P76" s="1">
        <v>54</v>
      </c>
      <c r="Q76" s="1">
        <v>127</v>
      </c>
      <c r="R76" s="1">
        <v>74</v>
      </c>
      <c r="S76" s="1">
        <v>53</v>
      </c>
      <c r="T76" s="1">
        <v>141</v>
      </c>
      <c r="U76" s="1">
        <v>101</v>
      </c>
      <c r="V76" s="1">
        <v>40</v>
      </c>
    </row>
    <row r="77" spans="1:22" x14ac:dyDescent="0.25">
      <c r="A77" s="1" t="s">
        <v>749</v>
      </c>
      <c r="B77" s="1">
        <v>117</v>
      </c>
      <c r="C77" s="1">
        <v>60</v>
      </c>
      <c r="D77" s="1">
        <v>57</v>
      </c>
      <c r="E77" s="1">
        <v>124</v>
      </c>
      <c r="F77" s="1">
        <v>63</v>
      </c>
      <c r="G77" s="1">
        <v>61</v>
      </c>
      <c r="H77" s="1">
        <v>136</v>
      </c>
      <c r="I77" s="1">
        <v>76</v>
      </c>
      <c r="J77" s="1">
        <v>60</v>
      </c>
      <c r="K77" s="1">
        <v>155</v>
      </c>
      <c r="L77" s="1">
        <v>93</v>
      </c>
      <c r="M77" s="1">
        <v>62</v>
      </c>
      <c r="N77" s="1">
        <v>166</v>
      </c>
      <c r="O77" s="1">
        <v>98</v>
      </c>
      <c r="P77" s="1">
        <v>68</v>
      </c>
      <c r="Q77" s="1">
        <v>175</v>
      </c>
      <c r="R77" s="1">
        <v>111</v>
      </c>
      <c r="S77" s="1">
        <v>64</v>
      </c>
      <c r="T77" s="1">
        <v>180</v>
      </c>
      <c r="U77" s="1">
        <v>113</v>
      </c>
      <c r="V77" s="1">
        <v>67</v>
      </c>
    </row>
    <row r="78" spans="1:22" x14ac:dyDescent="0.25">
      <c r="A78" s="1" t="s">
        <v>750</v>
      </c>
      <c r="B78" s="1">
        <v>106</v>
      </c>
      <c r="C78" s="1">
        <v>62</v>
      </c>
      <c r="D78" s="1">
        <v>44</v>
      </c>
      <c r="E78" s="1">
        <v>132</v>
      </c>
      <c r="F78" s="1">
        <v>76</v>
      </c>
      <c r="G78" s="1">
        <v>56</v>
      </c>
      <c r="H78" s="1">
        <v>104</v>
      </c>
      <c r="I78" s="1">
        <v>58</v>
      </c>
      <c r="J78" s="1">
        <v>46</v>
      </c>
      <c r="K78" s="1">
        <v>136</v>
      </c>
      <c r="L78" s="1">
        <v>80</v>
      </c>
      <c r="M78" s="1">
        <v>56</v>
      </c>
      <c r="N78" s="1">
        <v>146</v>
      </c>
      <c r="O78" s="1">
        <v>82</v>
      </c>
      <c r="P78" s="1">
        <v>64</v>
      </c>
      <c r="Q78" s="1">
        <v>152</v>
      </c>
      <c r="R78" s="1">
        <v>84</v>
      </c>
      <c r="S78" s="1">
        <v>68</v>
      </c>
      <c r="T78" s="1">
        <v>157</v>
      </c>
      <c r="U78" s="1">
        <v>104</v>
      </c>
      <c r="V78" s="1">
        <v>53</v>
      </c>
    </row>
    <row r="79" spans="1:22" x14ac:dyDescent="0.25">
      <c r="A79" s="1" t="s">
        <v>751</v>
      </c>
      <c r="B79" s="1">
        <v>106</v>
      </c>
      <c r="C79" s="1">
        <v>33</v>
      </c>
      <c r="D79" s="1">
        <v>73</v>
      </c>
      <c r="E79" s="1">
        <v>111</v>
      </c>
      <c r="F79" s="1">
        <v>42</v>
      </c>
      <c r="G79" s="1">
        <v>69</v>
      </c>
      <c r="H79" s="1">
        <v>108</v>
      </c>
      <c r="I79" s="1">
        <v>35</v>
      </c>
      <c r="J79" s="1">
        <v>73</v>
      </c>
      <c r="K79" s="1">
        <v>126</v>
      </c>
      <c r="L79" s="1">
        <v>42</v>
      </c>
      <c r="M79" s="1">
        <v>84</v>
      </c>
      <c r="N79" s="1">
        <v>102</v>
      </c>
      <c r="O79" s="1">
        <v>39</v>
      </c>
      <c r="P79" s="1">
        <v>63</v>
      </c>
      <c r="Q79" s="1">
        <v>135</v>
      </c>
      <c r="R79" s="1">
        <v>47</v>
      </c>
      <c r="S79" s="1">
        <v>88</v>
      </c>
      <c r="T79" s="1">
        <v>131</v>
      </c>
      <c r="U79" s="1">
        <v>45</v>
      </c>
      <c r="V79" s="1">
        <v>86</v>
      </c>
    </row>
    <row r="80" spans="1:22" x14ac:dyDescent="0.25">
      <c r="A80" s="1" t="s">
        <v>59</v>
      </c>
      <c r="B80" s="1">
        <v>100</v>
      </c>
      <c r="C80" s="1">
        <v>54</v>
      </c>
      <c r="D80" s="1">
        <v>46</v>
      </c>
      <c r="E80" s="1">
        <v>83</v>
      </c>
      <c r="F80" s="1">
        <v>37</v>
      </c>
      <c r="G80" s="1">
        <v>46</v>
      </c>
      <c r="H80" s="1">
        <v>90</v>
      </c>
      <c r="I80" s="1">
        <v>48</v>
      </c>
      <c r="J80" s="1">
        <v>42</v>
      </c>
      <c r="K80" s="1">
        <v>66</v>
      </c>
      <c r="L80" s="1">
        <v>37</v>
      </c>
      <c r="M80" s="1">
        <v>29</v>
      </c>
      <c r="N80" s="1">
        <v>62</v>
      </c>
      <c r="O80" s="1">
        <v>31</v>
      </c>
      <c r="P80" s="1">
        <v>31</v>
      </c>
      <c r="Q80" s="1">
        <v>84</v>
      </c>
      <c r="R80" s="1">
        <v>44</v>
      </c>
      <c r="S80" s="1">
        <v>40</v>
      </c>
      <c r="T80" s="1">
        <v>81</v>
      </c>
      <c r="U80" s="1">
        <v>41</v>
      </c>
      <c r="V80" s="1">
        <v>40</v>
      </c>
    </row>
    <row r="81" spans="1:22" x14ac:dyDescent="0.25">
      <c r="A81" s="1" t="s">
        <v>38</v>
      </c>
      <c r="B81" s="1">
        <v>98</v>
      </c>
      <c r="C81" s="1">
        <v>63</v>
      </c>
      <c r="D81" s="1">
        <v>35</v>
      </c>
      <c r="E81" s="1">
        <v>81</v>
      </c>
      <c r="F81" s="1">
        <v>50</v>
      </c>
      <c r="G81" s="1">
        <v>31</v>
      </c>
      <c r="H81" s="1">
        <v>96</v>
      </c>
      <c r="I81" s="1">
        <v>58</v>
      </c>
      <c r="J81" s="1">
        <v>38</v>
      </c>
      <c r="K81" s="1">
        <v>114</v>
      </c>
      <c r="L81" s="1">
        <v>69</v>
      </c>
      <c r="M81" s="1">
        <v>45</v>
      </c>
      <c r="N81" s="1">
        <v>104</v>
      </c>
      <c r="O81" s="1">
        <v>69</v>
      </c>
      <c r="P81" s="1">
        <v>35</v>
      </c>
      <c r="Q81" s="1">
        <v>101</v>
      </c>
      <c r="R81" s="1">
        <v>61</v>
      </c>
      <c r="S81" s="1">
        <v>40</v>
      </c>
      <c r="T81" s="1">
        <v>103</v>
      </c>
      <c r="U81" s="1">
        <v>69</v>
      </c>
      <c r="V81" s="1">
        <v>34</v>
      </c>
    </row>
    <row r="82" spans="1:22" x14ac:dyDescent="0.25">
      <c r="A82" s="1" t="s">
        <v>40</v>
      </c>
      <c r="B82" s="1">
        <v>98</v>
      </c>
      <c r="C82" s="1">
        <v>54</v>
      </c>
      <c r="D82" s="1">
        <v>44</v>
      </c>
      <c r="E82" s="1">
        <v>81</v>
      </c>
      <c r="F82" s="1">
        <v>54</v>
      </c>
      <c r="G82" s="1">
        <v>27</v>
      </c>
      <c r="H82" s="1">
        <v>83</v>
      </c>
      <c r="I82" s="1">
        <v>44</v>
      </c>
      <c r="J82" s="1">
        <v>39</v>
      </c>
      <c r="K82" s="1">
        <v>102</v>
      </c>
      <c r="L82" s="1">
        <v>66</v>
      </c>
      <c r="M82" s="1">
        <v>36</v>
      </c>
      <c r="N82" s="1">
        <v>104</v>
      </c>
      <c r="O82" s="1">
        <v>68</v>
      </c>
      <c r="P82" s="1">
        <v>36</v>
      </c>
      <c r="Q82" s="1">
        <v>111</v>
      </c>
      <c r="R82" s="1">
        <v>67</v>
      </c>
      <c r="S82" s="1">
        <v>44</v>
      </c>
      <c r="T82" s="1">
        <v>108</v>
      </c>
      <c r="U82" s="1">
        <v>72</v>
      </c>
      <c r="V82" s="1">
        <v>36</v>
      </c>
    </row>
    <row r="83" spans="1:22" x14ac:dyDescent="0.25">
      <c r="A83" s="1" t="s">
        <v>752</v>
      </c>
      <c r="B83" s="1">
        <v>96</v>
      </c>
      <c r="C83" s="1">
        <v>63</v>
      </c>
      <c r="D83" s="1">
        <v>33</v>
      </c>
      <c r="E83" s="1">
        <v>108</v>
      </c>
      <c r="F83" s="1">
        <v>65</v>
      </c>
      <c r="G83" s="1">
        <v>43</v>
      </c>
      <c r="H83" s="1">
        <v>103</v>
      </c>
      <c r="I83" s="1">
        <v>63</v>
      </c>
      <c r="J83" s="1">
        <v>40</v>
      </c>
      <c r="K83" s="1">
        <v>126</v>
      </c>
      <c r="L83" s="1">
        <v>73</v>
      </c>
      <c r="M83" s="1">
        <v>53</v>
      </c>
      <c r="N83" s="1">
        <v>126</v>
      </c>
      <c r="O83" s="1">
        <v>79</v>
      </c>
      <c r="P83" s="1">
        <v>47</v>
      </c>
      <c r="Q83" s="1">
        <v>106</v>
      </c>
      <c r="R83" s="1">
        <v>60</v>
      </c>
      <c r="S83" s="1">
        <v>46</v>
      </c>
      <c r="T83" s="1">
        <v>134</v>
      </c>
      <c r="U83" s="1">
        <v>84</v>
      </c>
      <c r="V83" s="1">
        <v>50</v>
      </c>
    </row>
    <row r="84" spans="1:22" x14ac:dyDescent="0.25">
      <c r="A84" s="1" t="s">
        <v>753</v>
      </c>
      <c r="B84" s="1">
        <v>96</v>
      </c>
      <c r="C84" s="1">
        <v>54</v>
      </c>
      <c r="D84" s="1">
        <v>42</v>
      </c>
      <c r="E84" s="1">
        <v>111</v>
      </c>
      <c r="F84" s="1">
        <v>59</v>
      </c>
      <c r="G84" s="1">
        <v>52</v>
      </c>
      <c r="H84" s="1">
        <v>121</v>
      </c>
      <c r="I84" s="1">
        <v>78</v>
      </c>
      <c r="J84" s="1">
        <v>43</v>
      </c>
      <c r="K84" s="1">
        <v>152</v>
      </c>
      <c r="L84" s="1">
        <v>96</v>
      </c>
      <c r="M84" s="1">
        <v>56</v>
      </c>
      <c r="N84" s="1">
        <v>156</v>
      </c>
      <c r="O84" s="1">
        <v>109</v>
      </c>
      <c r="P84" s="1">
        <v>47</v>
      </c>
      <c r="Q84" s="1">
        <v>160</v>
      </c>
      <c r="R84" s="1">
        <v>89</v>
      </c>
      <c r="S84" s="1">
        <v>71</v>
      </c>
      <c r="T84" s="1">
        <v>148</v>
      </c>
      <c r="U84" s="1">
        <v>93</v>
      </c>
      <c r="V84" s="1">
        <v>55</v>
      </c>
    </row>
    <row r="85" spans="1:22" x14ac:dyDescent="0.25">
      <c r="A85" s="1" t="s">
        <v>754</v>
      </c>
      <c r="B85" s="1">
        <v>94</v>
      </c>
      <c r="C85" s="1">
        <v>59</v>
      </c>
      <c r="D85" s="1">
        <v>35</v>
      </c>
      <c r="E85" s="1">
        <v>101</v>
      </c>
      <c r="F85" s="1">
        <v>65</v>
      </c>
      <c r="G85" s="1">
        <v>36</v>
      </c>
      <c r="H85" s="1">
        <v>114</v>
      </c>
      <c r="I85" s="1">
        <v>66</v>
      </c>
      <c r="J85" s="1">
        <v>48</v>
      </c>
      <c r="K85" s="1">
        <v>129</v>
      </c>
      <c r="L85" s="1">
        <v>82</v>
      </c>
      <c r="M85" s="1">
        <v>47</v>
      </c>
      <c r="N85" s="1">
        <v>140</v>
      </c>
      <c r="O85" s="1">
        <v>77</v>
      </c>
      <c r="P85" s="1">
        <v>63</v>
      </c>
      <c r="Q85" s="1">
        <v>148</v>
      </c>
      <c r="R85" s="1">
        <v>95</v>
      </c>
      <c r="S85" s="1">
        <v>53</v>
      </c>
      <c r="T85" s="1">
        <v>129</v>
      </c>
      <c r="U85" s="1">
        <v>80</v>
      </c>
      <c r="V85" s="1">
        <v>49</v>
      </c>
    </row>
    <row r="86" spans="1:22" x14ac:dyDescent="0.25">
      <c r="A86" s="1" t="s">
        <v>57</v>
      </c>
      <c r="B86" s="1">
        <v>92</v>
      </c>
      <c r="C86" s="1">
        <v>50</v>
      </c>
      <c r="D86" s="1">
        <v>42</v>
      </c>
      <c r="E86" s="1">
        <v>111</v>
      </c>
      <c r="F86" s="1">
        <v>63</v>
      </c>
      <c r="G86" s="1">
        <v>48</v>
      </c>
      <c r="H86" s="1">
        <v>87</v>
      </c>
      <c r="I86" s="1">
        <v>53</v>
      </c>
      <c r="J86" s="1">
        <v>34</v>
      </c>
      <c r="K86" s="1">
        <v>63</v>
      </c>
      <c r="L86" s="1">
        <v>31</v>
      </c>
      <c r="M86" s="1">
        <v>32</v>
      </c>
      <c r="N86" s="1">
        <v>65</v>
      </c>
      <c r="O86" s="1">
        <v>37</v>
      </c>
      <c r="P86" s="1">
        <v>28</v>
      </c>
      <c r="Q86" s="1">
        <v>99</v>
      </c>
      <c r="R86" s="1">
        <v>57</v>
      </c>
      <c r="S86" s="1">
        <v>42</v>
      </c>
      <c r="T86" s="1">
        <v>80</v>
      </c>
      <c r="U86" s="1">
        <v>36</v>
      </c>
      <c r="V86" s="1">
        <v>44</v>
      </c>
    </row>
    <row r="87" spans="1:22" x14ac:dyDescent="0.25">
      <c r="A87" s="1" t="s">
        <v>52</v>
      </c>
      <c r="B87" s="1">
        <v>92</v>
      </c>
      <c r="C87" s="1">
        <v>56</v>
      </c>
      <c r="D87" s="1">
        <v>36</v>
      </c>
      <c r="E87" s="1">
        <v>80</v>
      </c>
      <c r="F87" s="1">
        <v>49</v>
      </c>
      <c r="G87" s="1">
        <v>31</v>
      </c>
      <c r="H87" s="1">
        <v>89</v>
      </c>
      <c r="I87" s="1">
        <v>54</v>
      </c>
      <c r="J87" s="1">
        <v>35</v>
      </c>
      <c r="K87" s="1">
        <v>91</v>
      </c>
      <c r="L87" s="1">
        <v>54</v>
      </c>
      <c r="M87" s="1">
        <v>37</v>
      </c>
      <c r="N87" s="1">
        <v>109</v>
      </c>
      <c r="O87" s="1">
        <v>69</v>
      </c>
      <c r="P87" s="1">
        <v>40</v>
      </c>
      <c r="Q87" s="1">
        <v>113</v>
      </c>
      <c r="R87" s="1">
        <v>76</v>
      </c>
      <c r="S87" s="1">
        <v>37</v>
      </c>
      <c r="T87" s="1">
        <v>89</v>
      </c>
      <c r="U87" s="1">
        <v>57</v>
      </c>
      <c r="V87" s="1">
        <v>32</v>
      </c>
    </row>
    <row r="88" spans="1:22" x14ac:dyDescent="0.25">
      <c r="A88" s="1" t="s">
        <v>755</v>
      </c>
      <c r="B88" s="1">
        <v>90</v>
      </c>
      <c r="C88" s="1">
        <v>64</v>
      </c>
      <c r="D88" s="1">
        <v>26</v>
      </c>
      <c r="E88" s="1">
        <v>87</v>
      </c>
      <c r="F88" s="1">
        <v>47</v>
      </c>
      <c r="G88" s="1">
        <v>40</v>
      </c>
      <c r="H88" s="1">
        <v>97</v>
      </c>
      <c r="I88" s="1">
        <v>67</v>
      </c>
      <c r="J88" s="1">
        <v>30</v>
      </c>
      <c r="K88" s="1">
        <v>122</v>
      </c>
      <c r="L88" s="1">
        <v>74</v>
      </c>
      <c r="M88" s="1">
        <v>48</v>
      </c>
      <c r="N88" s="1">
        <v>130</v>
      </c>
      <c r="O88" s="1">
        <v>77</v>
      </c>
      <c r="P88" s="1">
        <v>53</v>
      </c>
      <c r="Q88" s="1">
        <v>122</v>
      </c>
      <c r="R88" s="1">
        <v>74</v>
      </c>
      <c r="S88" s="1">
        <v>48</v>
      </c>
      <c r="T88" s="1">
        <v>147</v>
      </c>
      <c r="U88" s="1">
        <v>101</v>
      </c>
      <c r="V88" s="1">
        <v>46</v>
      </c>
    </row>
    <row r="89" spans="1:22" x14ac:dyDescent="0.25">
      <c r="A89" s="1" t="s">
        <v>756</v>
      </c>
      <c r="B89" s="1">
        <v>87</v>
      </c>
      <c r="C89" s="1">
        <v>52</v>
      </c>
      <c r="D89" s="1">
        <v>35</v>
      </c>
      <c r="E89" s="1">
        <v>91</v>
      </c>
      <c r="F89" s="1">
        <v>54</v>
      </c>
      <c r="G89" s="1">
        <v>37</v>
      </c>
      <c r="H89" s="1">
        <v>99</v>
      </c>
      <c r="I89" s="1">
        <v>75</v>
      </c>
      <c r="J89" s="1">
        <v>24</v>
      </c>
      <c r="K89" s="1">
        <v>130</v>
      </c>
      <c r="L89" s="1">
        <v>88</v>
      </c>
      <c r="M89" s="1">
        <v>42</v>
      </c>
      <c r="N89" s="1">
        <v>119</v>
      </c>
      <c r="O89" s="1">
        <v>77</v>
      </c>
      <c r="P89" s="1">
        <v>42</v>
      </c>
      <c r="Q89" s="1">
        <v>130</v>
      </c>
      <c r="R89" s="1">
        <v>75</v>
      </c>
      <c r="S89" s="1">
        <v>55</v>
      </c>
      <c r="T89" s="1">
        <v>119</v>
      </c>
      <c r="U89" s="1">
        <v>70</v>
      </c>
      <c r="V89" s="1">
        <v>49</v>
      </c>
    </row>
    <row r="90" spans="1:22" x14ac:dyDescent="0.25">
      <c r="A90" s="1" t="s">
        <v>45</v>
      </c>
      <c r="B90" s="1">
        <v>86</v>
      </c>
      <c r="C90" s="1">
        <v>46</v>
      </c>
      <c r="D90" s="1">
        <v>40</v>
      </c>
      <c r="E90" s="1">
        <v>69</v>
      </c>
      <c r="F90" s="1">
        <v>33</v>
      </c>
      <c r="G90" s="1">
        <v>36</v>
      </c>
      <c r="H90" s="1">
        <v>62</v>
      </c>
      <c r="I90" s="1">
        <v>36</v>
      </c>
      <c r="J90" s="1">
        <v>26</v>
      </c>
      <c r="K90" s="1">
        <v>49</v>
      </c>
      <c r="L90" s="1">
        <v>31</v>
      </c>
      <c r="M90" s="1">
        <v>18</v>
      </c>
      <c r="N90" s="1">
        <v>60</v>
      </c>
      <c r="O90" s="1">
        <v>32</v>
      </c>
      <c r="P90" s="1">
        <v>28</v>
      </c>
      <c r="Q90" s="1">
        <v>68</v>
      </c>
      <c r="R90" s="1">
        <v>35</v>
      </c>
      <c r="S90" s="1">
        <v>33</v>
      </c>
      <c r="T90" s="1">
        <v>75</v>
      </c>
      <c r="U90" s="1">
        <v>45</v>
      </c>
      <c r="V90" s="1">
        <v>30</v>
      </c>
    </row>
    <row r="91" spans="1:22" x14ac:dyDescent="0.25">
      <c r="A91" s="1" t="s">
        <v>29</v>
      </c>
      <c r="B91" s="1">
        <v>85</v>
      </c>
      <c r="C91" s="1">
        <v>49</v>
      </c>
      <c r="D91" s="1">
        <v>36</v>
      </c>
      <c r="E91" s="1">
        <v>74</v>
      </c>
      <c r="F91" s="1">
        <v>48</v>
      </c>
      <c r="G91" s="1">
        <v>26</v>
      </c>
      <c r="H91" s="1">
        <v>65</v>
      </c>
      <c r="I91" s="1">
        <v>41</v>
      </c>
      <c r="J91" s="1">
        <v>24</v>
      </c>
      <c r="K91" s="1">
        <v>64</v>
      </c>
      <c r="L91" s="1">
        <v>36</v>
      </c>
      <c r="M91" s="1">
        <v>28</v>
      </c>
      <c r="N91" s="1">
        <v>86</v>
      </c>
      <c r="O91" s="1">
        <v>48</v>
      </c>
      <c r="P91" s="1">
        <v>38</v>
      </c>
      <c r="Q91" s="1">
        <v>84</v>
      </c>
      <c r="R91" s="1">
        <v>35</v>
      </c>
      <c r="S91" s="1">
        <v>49</v>
      </c>
      <c r="T91" s="1">
        <v>75</v>
      </c>
      <c r="U91" s="1">
        <v>45</v>
      </c>
      <c r="V91" s="1">
        <v>30</v>
      </c>
    </row>
    <row r="92" spans="1:22" x14ac:dyDescent="0.25">
      <c r="A92" s="1" t="s">
        <v>34</v>
      </c>
      <c r="B92" s="1">
        <v>85</v>
      </c>
      <c r="C92" s="1">
        <v>54</v>
      </c>
      <c r="D92" s="1">
        <v>31</v>
      </c>
      <c r="E92" s="1">
        <v>85</v>
      </c>
      <c r="F92" s="1">
        <v>46</v>
      </c>
      <c r="G92" s="1">
        <v>39</v>
      </c>
      <c r="H92" s="1">
        <v>80</v>
      </c>
      <c r="I92" s="1">
        <v>50</v>
      </c>
      <c r="J92" s="1">
        <v>30</v>
      </c>
      <c r="K92" s="1">
        <v>92</v>
      </c>
      <c r="L92" s="1">
        <v>49</v>
      </c>
      <c r="M92" s="1">
        <v>43</v>
      </c>
      <c r="N92" s="1">
        <v>93</v>
      </c>
      <c r="O92" s="1">
        <v>52</v>
      </c>
      <c r="P92" s="1">
        <v>41</v>
      </c>
      <c r="Q92" s="1">
        <v>75</v>
      </c>
      <c r="R92" s="1">
        <v>45</v>
      </c>
      <c r="S92" s="1">
        <v>30</v>
      </c>
      <c r="T92" s="1">
        <v>78</v>
      </c>
      <c r="U92" s="1">
        <v>47</v>
      </c>
      <c r="V92" s="1">
        <v>31</v>
      </c>
    </row>
    <row r="93" spans="1:22" x14ac:dyDescent="0.25">
      <c r="A93" s="1" t="s">
        <v>26</v>
      </c>
      <c r="B93" s="1">
        <v>84</v>
      </c>
      <c r="C93" s="1">
        <v>38</v>
      </c>
      <c r="D93" s="1">
        <v>46</v>
      </c>
      <c r="E93" s="1">
        <v>80</v>
      </c>
      <c r="F93" s="1">
        <v>39</v>
      </c>
      <c r="G93" s="1">
        <v>41</v>
      </c>
      <c r="H93" s="1">
        <v>96</v>
      </c>
      <c r="I93" s="1">
        <v>48</v>
      </c>
      <c r="J93" s="1">
        <v>48</v>
      </c>
      <c r="K93" s="1">
        <v>70</v>
      </c>
      <c r="L93" s="1">
        <v>39</v>
      </c>
      <c r="M93" s="1">
        <v>31</v>
      </c>
      <c r="N93" s="1">
        <v>86</v>
      </c>
      <c r="O93" s="1">
        <v>42</v>
      </c>
      <c r="P93" s="1">
        <v>44</v>
      </c>
      <c r="Q93" s="1">
        <v>61</v>
      </c>
      <c r="R93" s="1">
        <v>33</v>
      </c>
      <c r="S93" s="1">
        <v>28</v>
      </c>
      <c r="T93" s="1">
        <v>82</v>
      </c>
      <c r="U93" s="1">
        <v>50</v>
      </c>
      <c r="V93" s="1">
        <v>32</v>
      </c>
    </row>
    <row r="94" spans="1:22" x14ac:dyDescent="0.25">
      <c r="A94" s="1" t="s">
        <v>48</v>
      </c>
      <c r="B94" s="1">
        <v>80</v>
      </c>
      <c r="C94" s="1">
        <v>49</v>
      </c>
      <c r="D94" s="1">
        <v>31</v>
      </c>
      <c r="E94" s="1">
        <v>96</v>
      </c>
      <c r="F94" s="1">
        <v>67</v>
      </c>
      <c r="G94" s="1">
        <v>29</v>
      </c>
      <c r="H94" s="1">
        <v>82</v>
      </c>
      <c r="I94" s="1">
        <v>47</v>
      </c>
      <c r="J94" s="1">
        <v>35</v>
      </c>
      <c r="K94" s="1">
        <v>74</v>
      </c>
      <c r="L94" s="1">
        <v>43</v>
      </c>
      <c r="M94" s="1">
        <v>31</v>
      </c>
      <c r="N94" s="1">
        <v>87</v>
      </c>
      <c r="O94" s="1">
        <v>52</v>
      </c>
      <c r="P94" s="1">
        <v>35</v>
      </c>
      <c r="Q94" s="1">
        <v>106</v>
      </c>
      <c r="R94" s="1">
        <v>64</v>
      </c>
      <c r="S94" s="1">
        <v>42</v>
      </c>
      <c r="T94" s="1">
        <v>100</v>
      </c>
      <c r="U94" s="1">
        <v>66</v>
      </c>
      <c r="V94" s="1">
        <v>34</v>
      </c>
    </row>
    <row r="95" spans="1:22" x14ac:dyDescent="0.25">
      <c r="A95" s="1" t="s">
        <v>757</v>
      </c>
      <c r="B95" s="1">
        <v>79</v>
      </c>
      <c r="C95" s="1">
        <v>54</v>
      </c>
      <c r="D95" s="1">
        <v>25</v>
      </c>
      <c r="E95" s="1">
        <v>91</v>
      </c>
      <c r="F95" s="1">
        <v>61</v>
      </c>
      <c r="G95" s="1">
        <v>30</v>
      </c>
      <c r="H95" s="1">
        <v>113</v>
      </c>
      <c r="I95" s="1">
        <v>64</v>
      </c>
      <c r="J95" s="1">
        <v>49</v>
      </c>
      <c r="K95" s="1">
        <v>84</v>
      </c>
      <c r="L95" s="1">
        <v>58</v>
      </c>
      <c r="M95" s="1">
        <v>26</v>
      </c>
      <c r="N95" s="1">
        <v>138</v>
      </c>
      <c r="O95" s="1">
        <v>88</v>
      </c>
      <c r="P95" s="1">
        <v>50</v>
      </c>
      <c r="Q95" s="1">
        <v>138</v>
      </c>
      <c r="R95" s="1">
        <v>91</v>
      </c>
      <c r="S95" s="1">
        <v>47</v>
      </c>
      <c r="T95" s="1">
        <v>100</v>
      </c>
      <c r="U95" s="1">
        <v>69</v>
      </c>
      <c r="V95" s="1">
        <v>31</v>
      </c>
    </row>
    <row r="96" spans="1:22" x14ac:dyDescent="0.25">
      <c r="A96" s="1" t="s">
        <v>49</v>
      </c>
      <c r="B96" s="1">
        <v>78</v>
      </c>
      <c r="C96" s="1">
        <v>39</v>
      </c>
      <c r="D96" s="1">
        <v>39</v>
      </c>
      <c r="E96" s="1">
        <v>56</v>
      </c>
      <c r="F96" s="1">
        <v>28</v>
      </c>
      <c r="G96" s="1">
        <v>28</v>
      </c>
      <c r="H96" s="1">
        <v>58</v>
      </c>
      <c r="I96" s="1">
        <v>36</v>
      </c>
      <c r="J96" s="1">
        <v>22</v>
      </c>
      <c r="K96" s="1">
        <v>64</v>
      </c>
      <c r="L96" s="1">
        <v>37</v>
      </c>
      <c r="M96" s="1">
        <v>27</v>
      </c>
      <c r="N96" s="1">
        <v>67</v>
      </c>
      <c r="O96" s="1">
        <v>38</v>
      </c>
      <c r="P96" s="1">
        <v>29</v>
      </c>
      <c r="Q96" s="1">
        <v>72</v>
      </c>
      <c r="R96" s="1">
        <v>31</v>
      </c>
      <c r="S96" s="1">
        <v>41</v>
      </c>
      <c r="T96" s="1">
        <v>81</v>
      </c>
      <c r="U96" s="1">
        <v>57</v>
      </c>
      <c r="V96" s="1">
        <v>24</v>
      </c>
    </row>
    <row r="97" spans="1:22" x14ac:dyDescent="0.25">
      <c r="A97" s="1" t="s">
        <v>50</v>
      </c>
      <c r="B97" s="1">
        <v>78</v>
      </c>
      <c r="C97" s="1">
        <v>52</v>
      </c>
      <c r="D97" s="1">
        <v>26</v>
      </c>
      <c r="E97" s="1">
        <v>89</v>
      </c>
      <c r="F97" s="1">
        <v>55</v>
      </c>
      <c r="G97" s="1">
        <v>34</v>
      </c>
      <c r="H97" s="1">
        <v>104</v>
      </c>
      <c r="I97" s="1">
        <v>68</v>
      </c>
      <c r="J97" s="1">
        <v>36</v>
      </c>
      <c r="K97" s="1">
        <v>121</v>
      </c>
      <c r="L97" s="1">
        <v>82</v>
      </c>
      <c r="M97" s="1">
        <v>39</v>
      </c>
      <c r="N97" s="1">
        <v>114</v>
      </c>
      <c r="O97" s="1">
        <v>75</v>
      </c>
      <c r="P97" s="1">
        <v>39</v>
      </c>
      <c r="Q97" s="1">
        <v>107</v>
      </c>
      <c r="R97" s="1">
        <v>65</v>
      </c>
      <c r="S97" s="1">
        <v>42</v>
      </c>
      <c r="T97" s="1">
        <v>120</v>
      </c>
      <c r="U97" s="1">
        <v>81</v>
      </c>
      <c r="V97" s="1">
        <v>39</v>
      </c>
    </row>
    <row r="98" spans="1:22" x14ac:dyDescent="0.25">
      <c r="A98" s="1" t="s">
        <v>758</v>
      </c>
      <c r="B98" s="1">
        <v>78</v>
      </c>
      <c r="C98" s="1">
        <v>26</v>
      </c>
      <c r="D98" s="1">
        <v>52</v>
      </c>
      <c r="E98" s="1">
        <v>73</v>
      </c>
      <c r="F98" s="1">
        <v>28</v>
      </c>
      <c r="G98" s="1">
        <v>45</v>
      </c>
      <c r="H98" s="1">
        <v>70</v>
      </c>
      <c r="I98" s="1">
        <v>27</v>
      </c>
      <c r="J98" s="1">
        <v>43</v>
      </c>
      <c r="K98" s="1">
        <v>86</v>
      </c>
      <c r="L98" s="1">
        <v>35</v>
      </c>
      <c r="M98" s="1">
        <v>51</v>
      </c>
      <c r="N98" s="1">
        <v>95</v>
      </c>
      <c r="O98" s="1">
        <v>39</v>
      </c>
      <c r="P98" s="1">
        <v>56</v>
      </c>
      <c r="Q98" s="1">
        <v>105</v>
      </c>
      <c r="R98" s="1">
        <v>26</v>
      </c>
      <c r="S98" s="1">
        <v>79</v>
      </c>
      <c r="T98" s="1">
        <v>79</v>
      </c>
      <c r="U98" s="1">
        <v>23</v>
      </c>
      <c r="V98" s="1">
        <v>56</v>
      </c>
    </row>
    <row r="99" spans="1:22" x14ac:dyDescent="0.25">
      <c r="A99" s="1" t="s">
        <v>47</v>
      </c>
      <c r="B99" s="1">
        <v>73</v>
      </c>
      <c r="C99" s="1">
        <v>54</v>
      </c>
      <c r="D99" s="1">
        <v>19</v>
      </c>
      <c r="E99" s="1">
        <v>83</v>
      </c>
      <c r="F99" s="1">
        <v>50</v>
      </c>
      <c r="G99" s="1">
        <v>33</v>
      </c>
      <c r="H99" s="1">
        <v>77</v>
      </c>
      <c r="I99" s="1">
        <v>49</v>
      </c>
      <c r="J99" s="1">
        <v>28</v>
      </c>
      <c r="K99" s="1">
        <v>93</v>
      </c>
      <c r="L99" s="1">
        <v>63</v>
      </c>
      <c r="M99" s="1">
        <v>30</v>
      </c>
      <c r="N99" s="1">
        <v>114</v>
      </c>
      <c r="O99" s="1">
        <v>73</v>
      </c>
      <c r="P99" s="1">
        <v>41</v>
      </c>
      <c r="Q99" s="1">
        <v>118</v>
      </c>
      <c r="R99" s="1">
        <v>68</v>
      </c>
      <c r="S99" s="1">
        <v>50</v>
      </c>
      <c r="T99" s="1">
        <v>115</v>
      </c>
      <c r="U99" s="1">
        <v>71</v>
      </c>
      <c r="V99" s="1">
        <v>44</v>
      </c>
    </row>
    <row r="100" spans="1:22" x14ac:dyDescent="0.25">
      <c r="A100" s="1" t="s">
        <v>37</v>
      </c>
      <c r="B100" s="1">
        <v>72</v>
      </c>
      <c r="C100" s="1">
        <v>40</v>
      </c>
      <c r="D100" s="1">
        <v>32</v>
      </c>
      <c r="E100" s="1">
        <v>89</v>
      </c>
      <c r="F100" s="1">
        <v>43</v>
      </c>
      <c r="G100" s="1">
        <v>46</v>
      </c>
      <c r="H100" s="1">
        <v>87</v>
      </c>
      <c r="I100" s="1">
        <v>42</v>
      </c>
      <c r="J100" s="1">
        <v>45</v>
      </c>
      <c r="K100" s="1">
        <v>64</v>
      </c>
      <c r="L100" s="1">
        <v>27</v>
      </c>
      <c r="M100" s="1">
        <v>37</v>
      </c>
      <c r="N100" s="1">
        <v>80</v>
      </c>
      <c r="O100" s="1">
        <v>39</v>
      </c>
      <c r="P100" s="1">
        <v>41</v>
      </c>
      <c r="Q100" s="1">
        <v>68</v>
      </c>
      <c r="R100" s="1">
        <v>34</v>
      </c>
      <c r="S100" s="1">
        <v>34</v>
      </c>
      <c r="T100" s="1">
        <v>76</v>
      </c>
      <c r="U100" s="1">
        <v>43</v>
      </c>
      <c r="V100" s="1">
        <v>33</v>
      </c>
    </row>
    <row r="101" spans="1:22" x14ac:dyDescent="0.25">
      <c r="A101" s="1" t="s">
        <v>46</v>
      </c>
      <c r="B101" s="1">
        <v>72</v>
      </c>
      <c r="C101" s="1">
        <v>48</v>
      </c>
      <c r="D101" s="1">
        <v>24</v>
      </c>
      <c r="E101" s="1">
        <v>73</v>
      </c>
      <c r="F101" s="1">
        <v>40</v>
      </c>
      <c r="G101" s="1">
        <v>33</v>
      </c>
      <c r="H101" s="1">
        <v>68</v>
      </c>
      <c r="I101" s="1">
        <v>33</v>
      </c>
      <c r="J101" s="1">
        <v>35</v>
      </c>
      <c r="K101" s="1">
        <v>69</v>
      </c>
      <c r="L101" s="1">
        <v>37</v>
      </c>
      <c r="M101" s="1">
        <v>32</v>
      </c>
      <c r="N101" s="1">
        <v>79</v>
      </c>
      <c r="O101" s="1">
        <v>47</v>
      </c>
      <c r="P101" s="1">
        <v>32</v>
      </c>
      <c r="Q101" s="1">
        <v>67</v>
      </c>
      <c r="R101" s="1">
        <v>38</v>
      </c>
      <c r="S101" s="1">
        <v>29</v>
      </c>
      <c r="T101" s="1">
        <v>78</v>
      </c>
      <c r="U101" s="1">
        <v>38</v>
      </c>
      <c r="V101" s="1">
        <v>40</v>
      </c>
    </row>
    <row r="102" spans="1:22" x14ac:dyDescent="0.25">
      <c r="A102" s="1" t="s">
        <v>36</v>
      </c>
      <c r="B102" s="1">
        <v>68</v>
      </c>
      <c r="C102" s="1">
        <v>36</v>
      </c>
      <c r="D102" s="1">
        <v>32</v>
      </c>
      <c r="E102" s="1">
        <v>73</v>
      </c>
      <c r="F102" s="1">
        <v>40</v>
      </c>
      <c r="G102" s="1">
        <v>33</v>
      </c>
      <c r="H102" s="1">
        <v>73</v>
      </c>
      <c r="I102" s="1">
        <v>31</v>
      </c>
      <c r="J102" s="1">
        <v>42</v>
      </c>
      <c r="K102" s="1">
        <v>62</v>
      </c>
      <c r="L102" s="1">
        <v>29</v>
      </c>
      <c r="M102" s="1">
        <v>33</v>
      </c>
      <c r="N102" s="1">
        <v>61</v>
      </c>
      <c r="O102" s="1">
        <v>30</v>
      </c>
      <c r="P102" s="1">
        <v>31</v>
      </c>
      <c r="Q102" s="1">
        <v>71</v>
      </c>
      <c r="R102" s="1">
        <v>36</v>
      </c>
      <c r="S102" s="1">
        <v>35</v>
      </c>
      <c r="T102" s="1">
        <v>64</v>
      </c>
      <c r="U102" s="1">
        <v>36</v>
      </c>
      <c r="V102" s="1">
        <v>28</v>
      </c>
    </row>
    <row r="103" spans="1:22" x14ac:dyDescent="0.25">
      <c r="A103" s="1" t="s">
        <v>30</v>
      </c>
      <c r="B103" s="1">
        <v>63</v>
      </c>
      <c r="C103" s="1">
        <v>28</v>
      </c>
      <c r="D103" s="1">
        <v>35</v>
      </c>
      <c r="E103" s="1">
        <v>47</v>
      </c>
      <c r="F103" s="1">
        <v>24</v>
      </c>
      <c r="G103" s="1">
        <v>23</v>
      </c>
      <c r="H103" s="1">
        <v>61</v>
      </c>
      <c r="I103" s="1">
        <v>28</v>
      </c>
      <c r="J103" s="1">
        <v>33</v>
      </c>
      <c r="K103" s="1">
        <v>44</v>
      </c>
      <c r="L103" s="1">
        <v>20</v>
      </c>
      <c r="M103" s="1">
        <v>24</v>
      </c>
      <c r="N103" s="1">
        <v>72</v>
      </c>
      <c r="O103" s="1">
        <v>38</v>
      </c>
      <c r="P103" s="1">
        <v>34</v>
      </c>
      <c r="Q103" s="1">
        <v>63</v>
      </c>
      <c r="R103" s="1">
        <v>30</v>
      </c>
      <c r="S103" s="1">
        <v>33</v>
      </c>
      <c r="T103" s="1">
        <v>71</v>
      </c>
      <c r="U103" s="1">
        <v>40</v>
      </c>
      <c r="V103" s="1">
        <v>31</v>
      </c>
    </row>
    <row r="104" spans="1:22" x14ac:dyDescent="0.25">
      <c r="A104" s="1" t="s">
        <v>31</v>
      </c>
      <c r="B104" s="1">
        <v>48</v>
      </c>
      <c r="C104" s="1">
        <v>25</v>
      </c>
      <c r="D104" s="1">
        <v>23</v>
      </c>
      <c r="E104" s="1">
        <v>52</v>
      </c>
      <c r="F104" s="1">
        <v>28</v>
      </c>
      <c r="G104" s="1">
        <v>24</v>
      </c>
      <c r="H104" s="1">
        <v>57</v>
      </c>
      <c r="I104" s="1">
        <v>31</v>
      </c>
      <c r="J104" s="1">
        <v>26</v>
      </c>
      <c r="K104" s="1">
        <v>45</v>
      </c>
      <c r="L104" s="1">
        <v>23</v>
      </c>
      <c r="M104" s="1">
        <v>22</v>
      </c>
      <c r="N104" s="1">
        <v>57</v>
      </c>
      <c r="O104" s="1">
        <v>28</v>
      </c>
      <c r="P104" s="1">
        <v>29</v>
      </c>
      <c r="Q104" s="1">
        <v>78</v>
      </c>
      <c r="R104" s="1">
        <v>42</v>
      </c>
      <c r="S104" s="1">
        <v>36</v>
      </c>
      <c r="T104" s="1">
        <v>54</v>
      </c>
      <c r="U104" s="1">
        <v>29</v>
      </c>
      <c r="V104" s="1">
        <v>25</v>
      </c>
    </row>
    <row r="105" spans="1:22" x14ac:dyDescent="0.25">
      <c r="A105" s="1" t="s">
        <v>759</v>
      </c>
      <c r="B105" s="1">
        <v>38</v>
      </c>
      <c r="C105" s="1">
        <v>8</v>
      </c>
      <c r="D105" s="1">
        <v>30</v>
      </c>
      <c r="E105" s="1">
        <v>46</v>
      </c>
      <c r="F105" s="1">
        <v>15</v>
      </c>
      <c r="G105" s="1">
        <v>31</v>
      </c>
      <c r="H105" s="1">
        <v>45</v>
      </c>
      <c r="I105" s="1">
        <v>10</v>
      </c>
      <c r="J105" s="1">
        <v>35</v>
      </c>
      <c r="K105" s="1">
        <v>50</v>
      </c>
      <c r="L105" s="1">
        <v>16</v>
      </c>
      <c r="M105" s="1">
        <v>34</v>
      </c>
      <c r="N105" s="1">
        <v>60</v>
      </c>
      <c r="O105" s="1">
        <v>19</v>
      </c>
      <c r="P105" s="1">
        <v>41</v>
      </c>
      <c r="Q105" s="1">
        <v>73</v>
      </c>
      <c r="R105" s="1">
        <v>26</v>
      </c>
      <c r="S105" s="1">
        <v>47</v>
      </c>
      <c r="T105" s="1">
        <v>51</v>
      </c>
      <c r="U105" s="1">
        <v>18</v>
      </c>
      <c r="V105" s="1">
        <v>33</v>
      </c>
    </row>
    <row r="106" spans="1:22" x14ac:dyDescent="0.25">
      <c r="A106" s="1" t="s">
        <v>55</v>
      </c>
      <c r="B106" s="1">
        <v>31</v>
      </c>
      <c r="C106" s="1">
        <v>14</v>
      </c>
      <c r="D106" s="1">
        <v>17</v>
      </c>
      <c r="E106" s="1">
        <v>55</v>
      </c>
      <c r="F106" s="1">
        <v>34</v>
      </c>
      <c r="G106" s="1">
        <v>21</v>
      </c>
      <c r="H106" s="1">
        <v>58</v>
      </c>
      <c r="I106" s="1">
        <v>30</v>
      </c>
      <c r="J106" s="1">
        <v>28</v>
      </c>
      <c r="K106" s="1">
        <v>43</v>
      </c>
      <c r="L106" s="1">
        <v>21</v>
      </c>
      <c r="M106" s="1">
        <v>22</v>
      </c>
      <c r="N106" s="1">
        <v>46</v>
      </c>
      <c r="O106" s="1">
        <v>24</v>
      </c>
      <c r="P106" s="1">
        <v>22</v>
      </c>
      <c r="Q106" s="1">
        <v>36</v>
      </c>
      <c r="R106" s="1">
        <v>23</v>
      </c>
      <c r="S106" s="1">
        <v>13</v>
      </c>
      <c r="T106" s="1">
        <v>34</v>
      </c>
      <c r="U106" s="1">
        <v>24</v>
      </c>
      <c r="V106" s="1">
        <v>10</v>
      </c>
    </row>
    <row r="107" spans="1:22" x14ac:dyDescent="0.25">
      <c r="A107" s="1" t="s">
        <v>760</v>
      </c>
      <c r="B107" s="1">
        <v>28</v>
      </c>
      <c r="C107" s="1">
        <v>11</v>
      </c>
      <c r="D107" s="1">
        <v>17</v>
      </c>
      <c r="E107" s="1">
        <v>29</v>
      </c>
      <c r="F107" s="1">
        <v>10</v>
      </c>
      <c r="G107" s="1">
        <v>19</v>
      </c>
      <c r="H107" s="1">
        <v>22</v>
      </c>
      <c r="I107" s="1">
        <v>7</v>
      </c>
      <c r="J107" s="1">
        <v>15</v>
      </c>
      <c r="K107" s="1">
        <v>43</v>
      </c>
      <c r="L107" s="1">
        <v>12</v>
      </c>
      <c r="M107" s="1">
        <v>31</v>
      </c>
      <c r="N107" s="1">
        <v>29</v>
      </c>
      <c r="O107" s="1">
        <v>12</v>
      </c>
      <c r="P107" s="1">
        <v>17</v>
      </c>
      <c r="Q107" s="1">
        <v>29</v>
      </c>
      <c r="R107" s="1">
        <v>11</v>
      </c>
      <c r="S107" s="1">
        <v>18</v>
      </c>
      <c r="T107" s="1">
        <v>32</v>
      </c>
      <c r="U107" s="1">
        <v>9</v>
      </c>
      <c r="V107" s="1">
        <v>23</v>
      </c>
    </row>
    <row r="108" spans="1:22" x14ac:dyDescent="0.25">
      <c r="A108" s="1" t="s">
        <v>761</v>
      </c>
      <c r="B108" s="1">
        <v>17</v>
      </c>
      <c r="C108" s="1">
        <v>6</v>
      </c>
      <c r="D108" s="1">
        <v>11</v>
      </c>
      <c r="E108" s="1">
        <v>21</v>
      </c>
      <c r="F108" s="1">
        <v>5</v>
      </c>
      <c r="G108" s="1">
        <v>16</v>
      </c>
      <c r="H108" s="1">
        <v>15</v>
      </c>
      <c r="I108" s="1">
        <v>6</v>
      </c>
      <c r="J108" s="1">
        <v>9</v>
      </c>
      <c r="K108" s="1">
        <v>24</v>
      </c>
      <c r="L108" s="1">
        <v>4</v>
      </c>
      <c r="M108" s="1">
        <v>20</v>
      </c>
      <c r="N108" s="1">
        <v>17</v>
      </c>
      <c r="O108" s="1">
        <v>3</v>
      </c>
      <c r="P108" s="1">
        <v>14</v>
      </c>
      <c r="Q108" s="1">
        <v>20</v>
      </c>
      <c r="R108" s="1">
        <v>8</v>
      </c>
      <c r="S108" s="1">
        <v>12</v>
      </c>
      <c r="T108" s="1">
        <v>18</v>
      </c>
      <c r="U108" s="1">
        <v>7</v>
      </c>
      <c r="V108" s="1">
        <v>11</v>
      </c>
    </row>
    <row r="109" spans="1:22" x14ac:dyDescent="0.25">
      <c r="A109" s="1" t="s">
        <v>762</v>
      </c>
      <c r="B109" s="1">
        <v>15</v>
      </c>
      <c r="C109" s="1">
        <v>6</v>
      </c>
      <c r="D109" s="1">
        <v>9</v>
      </c>
      <c r="E109" s="1">
        <v>18</v>
      </c>
      <c r="F109" s="1">
        <v>8</v>
      </c>
      <c r="G109" s="1">
        <v>10</v>
      </c>
      <c r="H109" s="1">
        <v>19</v>
      </c>
      <c r="I109" s="1">
        <v>7</v>
      </c>
      <c r="J109" s="1">
        <v>12</v>
      </c>
      <c r="K109" s="1">
        <v>15</v>
      </c>
      <c r="L109" s="1">
        <v>4</v>
      </c>
      <c r="M109" s="1">
        <v>11</v>
      </c>
      <c r="N109" s="1">
        <v>18</v>
      </c>
      <c r="O109" s="1">
        <v>3</v>
      </c>
      <c r="P109" s="1">
        <v>15</v>
      </c>
      <c r="Q109" s="1">
        <v>13</v>
      </c>
      <c r="R109" s="1">
        <v>4</v>
      </c>
      <c r="S109" s="1">
        <v>9</v>
      </c>
      <c r="T109" s="1">
        <v>10</v>
      </c>
      <c r="U109" s="1">
        <v>2</v>
      </c>
      <c r="V109" s="1">
        <v>8</v>
      </c>
    </row>
    <row r="110" spans="1:22" x14ac:dyDescent="0.25">
      <c r="A110" s="1" t="s">
        <v>763</v>
      </c>
      <c r="B110" s="1">
        <v>5</v>
      </c>
      <c r="C110" s="1">
        <v>1</v>
      </c>
      <c r="D110" s="1">
        <v>4</v>
      </c>
      <c r="E110" s="1">
        <v>1</v>
      </c>
      <c r="G110" s="1">
        <v>1</v>
      </c>
      <c r="H110" s="1">
        <v>1</v>
      </c>
      <c r="I110" s="1">
        <v>1</v>
      </c>
      <c r="K110" s="1">
        <v>7</v>
      </c>
      <c r="L110" s="1">
        <v>3</v>
      </c>
      <c r="M110" s="1">
        <v>4</v>
      </c>
      <c r="N110" s="1">
        <v>5</v>
      </c>
      <c r="O110" s="1">
        <v>2</v>
      </c>
      <c r="P110" s="1">
        <v>3</v>
      </c>
      <c r="Q110" s="1">
        <v>4</v>
      </c>
      <c r="R110" s="1">
        <v>1</v>
      </c>
      <c r="S110" s="1">
        <v>3</v>
      </c>
      <c r="T110" s="1">
        <v>4</v>
      </c>
      <c r="V110" s="1">
        <v>4</v>
      </c>
    </row>
    <row r="111" spans="1:22" x14ac:dyDescent="0.25">
      <c r="A111" s="1" t="s">
        <v>764</v>
      </c>
      <c r="B111" s="1">
        <v>4</v>
      </c>
      <c r="C111" s="1">
        <v>3</v>
      </c>
      <c r="D111" s="1">
        <v>1</v>
      </c>
      <c r="E111" s="1">
        <v>7</v>
      </c>
      <c r="F111" s="1">
        <v>5</v>
      </c>
      <c r="G111" s="1">
        <v>2</v>
      </c>
      <c r="H111" s="1">
        <v>12</v>
      </c>
      <c r="I111" s="1">
        <v>3</v>
      </c>
      <c r="J111" s="1">
        <v>9</v>
      </c>
      <c r="K111" s="1">
        <v>5</v>
      </c>
      <c r="L111" s="1">
        <v>2</v>
      </c>
      <c r="M111" s="1">
        <v>3</v>
      </c>
      <c r="N111" s="1">
        <v>6</v>
      </c>
      <c r="P111" s="1">
        <v>6</v>
      </c>
      <c r="Q111" s="1">
        <v>7</v>
      </c>
      <c r="R111" s="1">
        <v>3</v>
      </c>
      <c r="S111" s="1">
        <v>4</v>
      </c>
      <c r="T111" s="1">
        <v>8</v>
      </c>
      <c r="U111" s="1">
        <v>2</v>
      </c>
      <c r="V111" s="1">
        <v>6</v>
      </c>
    </row>
    <row r="112" spans="1:22" x14ac:dyDescent="0.25">
      <c r="A112" s="1" t="s">
        <v>765</v>
      </c>
      <c r="B112" s="1">
        <v>2</v>
      </c>
      <c r="C112" s="1">
        <v>1</v>
      </c>
      <c r="D112" s="1">
        <v>1</v>
      </c>
      <c r="E112" s="1">
        <v>3</v>
      </c>
      <c r="F112" s="1">
        <v>2</v>
      </c>
      <c r="G112" s="1">
        <v>1</v>
      </c>
      <c r="H112" s="1">
        <v>2</v>
      </c>
      <c r="J112" s="1">
        <v>2</v>
      </c>
      <c r="K112" s="1">
        <v>3</v>
      </c>
      <c r="M112" s="1">
        <v>3</v>
      </c>
      <c r="Q112" s="1">
        <v>1</v>
      </c>
      <c r="S112" s="1">
        <v>1</v>
      </c>
      <c r="T112" s="1">
        <v>2</v>
      </c>
      <c r="V112" s="1">
        <v>2</v>
      </c>
    </row>
    <row r="113" spans="1:22" x14ac:dyDescent="0.25">
      <c r="A113" s="1" t="s">
        <v>766</v>
      </c>
      <c r="B113" s="1">
        <v>2</v>
      </c>
      <c r="C113" s="1">
        <v>1</v>
      </c>
      <c r="D113" s="1">
        <v>1</v>
      </c>
      <c r="K113" s="1">
        <v>1</v>
      </c>
      <c r="L113" s="1">
        <v>1</v>
      </c>
    </row>
    <row r="114" spans="1:22" x14ac:dyDescent="0.25">
      <c r="A114" s="1" t="s">
        <v>767</v>
      </c>
      <c r="B114" s="1">
        <v>2</v>
      </c>
      <c r="C114" s="1">
        <v>1</v>
      </c>
      <c r="D114" s="1">
        <v>1</v>
      </c>
      <c r="K114" s="1">
        <v>1</v>
      </c>
      <c r="L114" s="1">
        <v>1</v>
      </c>
    </row>
    <row r="115" spans="1:22" x14ac:dyDescent="0.25">
      <c r="A115" s="1" t="s">
        <v>768</v>
      </c>
      <c r="B115" s="1">
        <v>1</v>
      </c>
      <c r="C115" s="1">
        <v>1</v>
      </c>
      <c r="E115" s="1">
        <v>1</v>
      </c>
      <c r="G115" s="1">
        <v>1</v>
      </c>
      <c r="H115" s="1">
        <v>3</v>
      </c>
      <c r="I115" s="1">
        <v>1</v>
      </c>
      <c r="J115" s="1">
        <v>2</v>
      </c>
      <c r="K115" s="1">
        <v>2</v>
      </c>
      <c r="L115" s="1">
        <v>1</v>
      </c>
      <c r="M115" s="1">
        <v>1</v>
      </c>
      <c r="Q115" s="1">
        <v>2</v>
      </c>
      <c r="R115" s="1">
        <v>1</v>
      </c>
      <c r="S115" s="1">
        <v>1</v>
      </c>
      <c r="T115" s="1">
        <v>1</v>
      </c>
      <c r="V115" s="1">
        <v>1</v>
      </c>
    </row>
    <row r="116" spans="1:22" x14ac:dyDescent="0.25">
      <c r="A116" s="1" t="s">
        <v>769</v>
      </c>
      <c r="B116" s="1">
        <v>1</v>
      </c>
      <c r="D116" s="1">
        <v>1</v>
      </c>
      <c r="K116" s="1">
        <v>3</v>
      </c>
      <c r="L116" s="1">
        <v>3</v>
      </c>
    </row>
    <row r="117" spans="1:22" x14ac:dyDescent="0.25">
      <c r="A117" s="1" t="s">
        <v>770</v>
      </c>
      <c r="B117" s="1">
        <v>1</v>
      </c>
      <c r="C117" s="1">
        <v>1</v>
      </c>
      <c r="E117" s="1">
        <v>4</v>
      </c>
      <c r="F117" s="1">
        <v>4</v>
      </c>
      <c r="H117" s="1">
        <v>28</v>
      </c>
      <c r="I117" s="1">
        <v>15</v>
      </c>
      <c r="J117" s="1">
        <v>13</v>
      </c>
      <c r="Q117" s="1">
        <v>2</v>
      </c>
      <c r="S117" s="1">
        <v>2</v>
      </c>
      <c r="T117" s="1">
        <v>2</v>
      </c>
      <c r="U117" s="1">
        <v>2</v>
      </c>
    </row>
    <row r="118" spans="1:22" x14ac:dyDescent="0.25">
      <c r="A118" s="1" t="s">
        <v>771</v>
      </c>
      <c r="E118" s="1">
        <v>7</v>
      </c>
      <c r="F118" s="1">
        <v>2</v>
      </c>
      <c r="G118" s="1">
        <v>5</v>
      </c>
      <c r="H118" s="1">
        <v>2</v>
      </c>
      <c r="I118" s="1">
        <v>2</v>
      </c>
      <c r="K118" s="1">
        <v>6</v>
      </c>
      <c r="L118" s="1">
        <v>3</v>
      </c>
      <c r="M118" s="1">
        <v>3</v>
      </c>
      <c r="N118" s="1">
        <v>4</v>
      </c>
      <c r="O118" s="1">
        <v>1</v>
      </c>
      <c r="P118" s="1">
        <v>3</v>
      </c>
      <c r="Q118" s="1">
        <v>7</v>
      </c>
      <c r="R118" s="1">
        <v>2</v>
      </c>
      <c r="S118" s="1">
        <v>5</v>
      </c>
      <c r="T118" s="1">
        <v>7</v>
      </c>
      <c r="U118" s="1">
        <v>1</v>
      </c>
      <c r="V118" s="1">
        <v>6</v>
      </c>
    </row>
    <row r="119" spans="1:22" x14ac:dyDescent="0.25">
      <c r="A119" s="1" t="s">
        <v>772</v>
      </c>
      <c r="E119" s="1">
        <v>2</v>
      </c>
      <c r="G119" s="1">
        <v>2</v>
      </c>
      <c r="H119" s="1">
        <v>1</v>
      </c>
      <c r="I119" s="1">
        <v>1</v>
      </c>
    </row>
    <row r="120" spans="1:22" x14ac:dyDescent="0.25">
      <c r="A120" s="1" t="s">
        <v>773</v>
      </c>
      <c r="H120" s="1">
        <v>1</v>
      </c>
      <c r="J120" s="1">
        <v>1</v>
      </c>
      <c r="K120" s="1">
        <v>1</v>
      </c>
      <c r="M120" s="1">
        <v>1</v>
      </c>
      <c r="N120" s="1">
        <v>1</v>
      </c>
      <c r="P120" s="1">
        <v>1</v>
      </c>
      <c r="Q120" s="1">
        <v>1</v>
      </c>
      <c r="R120" s="1">
        <v>1</v>
      </c>
      <c r="T120" s="1">
        <v>2</v>
      </c>
      <c r="V120" s="1">
        <v>2</v>
      </c>
    </row>
    <row r="121" spans="1:22" x14ac:dyDescent="0.25">
      <c r="A121" s="1" t="s">
        <v>774</v>
      </c>
      <c r="H121" s="1">
        <v>1</v>
      </c>
      <c r="J121" s="1">
        <v>1</v>
      </c>
      <c r="Q121" s="1">
        <v>1</v>
      </c>
      <c r="R121" s="1">
        <v>1</v>
      </c>
    </row>
    <row r="122" spans="1:22" x14ac:dyDescent="0.25">
      <c r="A122" s="1" t="s">
        <v>775</v>
      </c>
      <c r="H122" s="1">
        <v>1</v>
      </c>
      <c r="I122" s="1">
        <v>1</v>
      </c>
      <c r="K122" s="1">
        <v>2</v>
      </c>
      <c r="L122" s="1">
        <v>2</v>
      </c>
    </row>
    <row r="123" spans="1:22" x14ac:dyDescent="0.25">
      <c r="A123" s="1" t="s">
        <v>776</v>
      </c>
      <c r="N123" s="1">
        <v>2</v>
      </c>
      <c r="O123" s="1">
        <v>2</v>
      </c>
      <c r="T123" s="1">
        <v>1</v>
      </c>
      <c r="V123" s="1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2B27-F0D2-42FC-BC89-52CAA48DA5C5}">
  <dimension ref="A1:BR12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7" sqref="I27"/>
    </sheetView>
  </sheetViews>
  <sheetFormatPr baseColWidth="10" defaultRowHeight="15" x14ac:dyDescent="0.25"/>
  <cols>
    <col min="1" max="1" width="14.140625" style="1" bestFit="1" customWidth="1"/>
    <col min="2" max="8" width="9.5703125" style="1" bestFit="1" customWidth="1"/>
    <col min="9" max="15" width="18.7109375" style="1" bestFit="1" customWidth="1"/>
    <col min="16" max="22" width="17.7109375" style="1" bestFit="1" customWidth="1"/>
    <col min="23" max="27" width="15" customWidth="1"/>
    <col min="28" max="28" width="11.42578125" customWidth="1"/>
    <col min="29" max="30" width="11.42578125" style="11"/>
    <col min="31" max="36" width="17.28515625" customWidth="1"/>
    <col min="37" max="38" width="11.42578125" style="18"/>
    <col min="39" max="44" width="16.42578125" customWidth="1"/>
    <col min="45" max="46" width="14.7109375" style="15" bestFit="1" customWidth="1"/>
    <col min="47" max="52" width="17.5703125" customWidth="1"/>
    <col min="53" max="54" width="14.7109375" style="18" customWidth="1"/>
    <col min="55" max="60" width="14.7109375" customWidth="1"/>
    <col min="61" max="61" width="14.7109375" style="11" customWidth="1"/>
    <col min="62" max="62" width="15.7109375" style="11" bestFit="1" customWidth="1"/>
    <col min="63" max="68" width="15.7109375" customWidth="1"/>
    <col min="69" max="70" width="15.7109375" style="18" bestFit="1" customWidth="1"/>
  </cols>
  <sheetData>
    <row r="1" spans="1:70" x14ac:dyDescent="0.25">
      <c r="A1" s="7" t="s">
        <v>0</v>
      </c>
      <c r="B1" s="7" t="s">
        <v>1</v>
      </c>
      <c r="C1" s="7" t="s">
        <v>4</v>
      </c>
      <c r="D1" s="7" t="s">
        <v>7</v>
      </c>
      <c r="E1" s="7" t="s">
        <v>10</v>
      </c>
      <c r="F1" s="7" t="s">
        <v>13</v>
      </c>
      <c r="G1" s="7" t="s">
        <v>16</v>
      </c>
      <c r="H1" s="7" t="s">
        <v>19</v>
      </c>
      <c r="I1" s="7" t="s">
        <v>2</v>
      </c>
      <c r="J1" s="7" t="s">
        <v>5</v>
      </c>
      <c r="K1" s="7" t="s">
        <v>8</v>
      </c>
      <c r="L1" s="7" t="s">
        <v>11</v>
      </c>
      <c r="M1" s="7" t="s">
        <v>14</v>
      </c>
      <c r="N1" s="7" t="s">
        <v>17</v>
      </c>
      <c r="O1" s="7" t="s">
        <v>20</v>
      </c>
      <c r="P1" s="7" t="s">
        <v>3</v>
      </c>
      <c r="Q1" s="7" t="s">
        <v>6</v>
      </c>
      <c r="R1" s="7" t="s">
        <v>9</v>
      </c>
      <c r="S1" s="7" t="s">
        <v>12</v>
      </c>
      <c r="T1" s="7" t="s">
        <v>15</v>
      </c>
      <c r="U1" s="7" t="s">
        <v>18</v>
      </c>
      <c r="V1" s="7" t="s">
        <v>21</v>
      </c>
      <c r="W1" s="7" t="s">
        <v>777</v>
      </c>
      <c r="X1" s="7" t="s">
        <v>778</v>
      </c>
      <c r="Y1" s="7" t="s">
        <v>779</v>
      </c>
      <c r="Z1" s="7" t="s">
        <v>780</v>
      </c>
      <c r="AA1" s="7" t="s">
        <v>781</v>
      </c>
      <c r="AB1" s="7" t="s">
        <v>782</v>
      </c>
      <c r="AC1" s="10" t="s">
        <v>783</v>
      </c>
      <c r="AD1" s="10" t="s">
        <v>784</v>
      </c>
      <c r="AE1" s="7" t="s">
        <v>785</v>
      </c>
      <c r="AF1" s="7" t="s">
        <v>786</v>
      </c>
      <c r="AG1" s="7" t="s">
        <v>787</v>
      </c>
      <c r="AH1" s="7" t="s">
        <v>788</v>
      </c>
      <c r="AI1" s="7" t="s">
        <v>789</v>
      </c>
      <c r="AJ1" s="7" t="s">
        <v>790</v>
      </c>
      <c r="AK1" s="16" t="s">
        <v>791</v>
      </c>
      <c r="AL1" s="16" t="s">
        <v>792</v>
      </c>
      <c r="AM1" s="7" t="s">
        <v>794</v>
      </c>
      <c r="AN1" s="7" t="s">
        <v>795</v>
      </c>
      <c r="AO1" s="7" t="s">
        <v>796</v>
      </c>
      <c r="AP1" s="7" t="s">
        <v>797</v>
      </c>
      <c r="AQ1" s="7" t="s">
        <v>798</v>
      </c>
      <c r="AR1" s="7" t="s">
        <v>799</v>
      </c>
      <c r="AS1" s="14" t="s">
        <v>800</v>
      </c>
      <c r="AT1" s="14" t="s">
        <v>793</v>
      </c>
      <c r="AU1" s="7" t="s">
        <v>801</v>
      </c>
      <c r="AV1" s="7" t="s">
        <v>802</v>
      </c>
      <c r="AW1" s="7" t="s">
        <v>803</v>
      </c>
      <c r="AX1" s="7" t="s">
        <v>804</v>
      </c>
      <c r="AY1" s="7" t="s">
        <v>805</v>
      </c>
      <c r="AZ1" s="7" t="s">
        <v>806</v>
      </c>
      <c r="BA1" s="16" t="s">
        <v>807</v>
      </c>
      <c r="BB1" s="16" t="s">
        <v>808</v>
      </c>
      <c r="BC1" s="7" t="s">
        <v>809</v>
      </c>
      <c r="BD1" s="7" t="s">
        <v>810</v>
      </c>
      <c r="BE1" s="7" t="s">
        <v>811</v>
      </c>
      <c r="BF1" s="7" t="s">
        <v>812</v>
      </c>
      <c r="BG1" s="7" t="s">
        <v>813</v>
      </c>
      <c r="BH1" s="7" t="s">
        <v>814</v>
      </c>
      <c r="BI1" s="10" t="s">
        <v>815</v>
      </c>
      <c r="BJ1" s="10" t="s">
        <v>816</v>
      </c>
      <c r="BK1" s="7" t="s">
        <v>817</v>
      </c>
      <c r="BL1" s="7" t="s">
        <v>818</v>
      </c>
      <c r="BM1" s="7" t="s">
        <v>819</v>
      </c>
      <c r="BN1" s="7" t="s">
        <v>820</v>
      </c>
      <c r="BO1" s="7" t="s">
        <v>821</v>
      </c>
      <c r="BP1" s="7" t="s">
        <v>822</v>
      </c>
      <c r="BQ1" s="16" t="s">
        <v>823</v>
      </c>
      <c r="BR1" s="16" t="s">
        <v>824</v>
      </c>
    </row>
    <row r="2" spans="1:70" x14ac:dyDescent="0.25">
      <c r="A2" s="20">
        <v>0</v>
      </c>
      <c r="B2" s="1">
        <v>31</v>
      </c>
      <c r="C2" s="1">
        <v>55</v>
      </c>
      <c r="D2" s="1">
        <v>58</v>
      </c>
      <c r="E2" s="1">
        <v>43</v>
      </c>
      <c r="F2" s="1">
        <v>46</v>
      </c>
      <c r="G2" s="1">
        <v>36</v>
      </c>
      <c r="H2" s="1">
        <v>34</v>
      </c>
      <c r="I2" s="1">
        <v>14</v>
      </c>
      <c r="J2" s="1">
        <v>34</v>
      </c>
      <c r="K2" s="1">
        <v>30</v>
      </c>
      <c r="L2" s="1">
        <v>21</v>
      </c>
      <c r="M2" s="1">
        <v>24</v>
      </c>
      <c r="N2" s="1">
        <v>23</v>
      </c>
      <c r="O2" s="1">
        <v>24</v>
      </c>
      <c r="P2" s="1">
        <v>17</v>
      </c>
      <c r="Q2" s="1">
        <v>21</v>
      </c>
      <c r="R2" s="1">
        <v>28</v>
      </c>
      <c r="S2" s="1">
        <v>22</v>
      </c>
      <c r="T2" s="1">
        <v>22</v>
      </c>
      <c r="U2" s="1">
        <v>13</v>
      </c>
      <c r="V2" s="1">
        <v>10</v>
      </c>
      <c r="W2" s="8">
        <f t="shared" ref="W2:W33" si="0">+(C2-B2)/B2</f>
        <v>0.77419354838709675</v>
      </c>
      <c r="X2" s="8">
        <f t="shared" ref="X2:X33" si="1">+(D2-C2)/C2</f>
        <v>5.4545454545454543E-2</v>
      </c>
      <c r="Y2" s="8">
        <f t="shared" ref="Y2:Y33" si="2">+(E2-D2)/D2</f>
        <v>-0.25862068965517243</v>
      </c>
      <c r="Z2" s="8">
        <f t="shared" ref="Z2:Z33" si="3">+(F2-E2)/E2</f>
        <v>6.9767441860465115E-2</v>
      </c>
      <c r="AA2" s="8">
        <f t="shared" ref="AA2:AA33" si="4">+(G2-F2)/F2</f>
        <v>-0.21739130434782608</v>
      </c>
      <c r="AB2" s="8">
        <f t="shared" ref="AB2:AB33" si="5">+(H2-G2)/G2</f>
        <v>-5.5555555555555552E-2</v>
      </c>
      <c r="AC2" s="12">
        <f>+AVERAGE(W2:AB2)</f>
        <v>6.1156482539077052E-2</v>
      </c>
      <c r="AD2" s="12">
        <f>MEDIAN(W2:AB2)</f>
        <v>-5.050505050505083E-4</v>
      </c>
      <c r="AE2" s="1">
        <f>C2-B2</f>
        <v>24</v>
      </c>
      <c r="AF2" s="1">
        <f t="shared" ref="AF2:AJ2" si="6">D2-C2</f>
        <v>3</v>
      </c>
      <c r="AG2" s="1">
        <f t="shared" si="6"/>
        <v>-15</v>
      </c>
      <c r="AH2" s="1">
        <f t="shared" si="6"/>
        <v>3</v>
      </c>
      <c r="AI2" s="1">
        <f t="shared" si="6"/>
        <v>-10</v>
      </c>
      <c r="AJ2" s="1">
        <f t="shared" si="6"/>
        <v>-2</v>
      </c>
      <c r="AK2" s="17">
        <f>+AVERAGE(AE2:AJ2)</f>
        <v>0.5</v>
      </c>
      <c r="AL2" s="17">
        <f>+MEDIAN(AE2:AJ2)</f>
        <v>0.5</v>
      </c>
      <c r="AM2" s="1">
        <f t="shared" ref="AM2:AM33" si="7">+(J2-I2)/I2</f>
        <v>1.4285714285714286</v>
      </c>
      <c r="AN2" s="1">
        <f t="shared" ref="AN2:AN33" si="8">+(K2-J2)/J2</f>
        <v>-0.11764705882352941</v>
      </c>
      <c r="AO2" s="1">
        <f t="shared" ref="AO2:AO33" si="9">+(L2-K2)/K2</f>
        <v>-0.3</v>
      </c>
      <c r="AP2" s="1">
        <f t="shared" ref="AP2:AP33" si="10">+(M2-L2)/L2</f>
        <v>0.14285714285714285</v>
      </c>
      <c r="AQ2" s="1">
        <f t="shared" ref="AQ2:AQ33" si="11">+(N2-M2)/M2</f>
        <v>-4.1666666666666664E-2</v>
      </c>
      <c r="AR2" s="1">
        <f t="shared" ref="AR2:AR33" si="12">+(O2-N2)/N2</f>
        <v>4.3478260869565216E-2</v>
      </c>
      <c r="AS2" s="12">
        <f>+AVERAGE(AM2:AR2)</f>
        <v>0.19259885113465672</v>
      </c>
      <c r="AT2" s="12">
        <f>+MEDIAN(AM2:AR2)</f>
        <v>9.0579710144927245E-4</v>
      </c>
      <c r="AU2" s="1">
        <f>J2-I2</f>
        <v>20</v>
      </c>
      <c r="AV2" s="1">
        <f t="shared" ref="AV2:AZ2" si="13">K2-J2</f>
        <v>-4</v>
      </c>
      <c r="AW2" s="1">
        <f t="shared" si="13"/>
        <v>-9</v>
      </c>
      <c r="AX2" s="1">
        <f t="shared" si="13"/>
        <v>3</v>
      </c>
      <c r="AY2" s="1">
        <f t="shared" si="13"/>
        <v>-1</v>
      </c>
      <c r="AZ2" s="1">
        <f t="shared" si="13"/>
        <v>1</v>
      </c>
      <c r="BA2" s="19">
        <f t="shared" ref="BA2:BA33" si="14">+AVERAGE(AU2:AZ2)</f>
        <v>1.6666666666666667</v>
      </c>
      <c r="BB2" s="19">
        <f t="shared" ref="BB2:BB33" si="15">MEDIAN(AU2:AZ2)</f>
        <v>0</v>
      </c>
      <c r="BC2" s="9">
        <f t="shared" ref="BC2:BC33" si="16">+(Q2-P2)/P2</f>
        <v>0.23529411764705882</v>
      </c>
      <c r="BD2" s="9">
        <f t="shared" ref="BD2:BD33" si="17">+(R2-Q2)/Q2</f>
        <v>0.33333333333333331</v>
      </c>
      <c r="BE2" s="9">
        <f t="shared" ref="BE2:BE33" si="18">+(S2-R2)/R2</f>
        <v>-0.21428571428571427</v>
      </c>
      <c r="BF2" s="9">
        <f t="shared" ref="BF2:BF33" si="19">+(T2-S2)/S2</f>
        <v>0</v>
      </c>
      <c r="BG2" s="9">
        <f t="shared" ref="BG2:BG33" si="20">+(U2-T2)/T2</f>
        <v>-0.40909090909090912</v>
      </c>
      <c r="BH2" s="9">
        <f t="shared" ref="BH2:BH33" si="21">+(V2-U2)/U2</f>
        <v>-0.23076923076923078</v>
      </c>
      <c r="BI2" s="12">
        <f t="shared" ref="BI2:BI33" si="22">+AVERAGE(BC2:BH2)</f>
        <v>-4.7586400527577011E-2</v>
      </c>
      <c r="BJ2" s="13">
        <f t="shared" ref="BJ2:BJ33" si="23">MEDIAN(BC2:BH2)</f>
        <v>-0.10714285714285714</v>
      </c>
      <c r="BK2" s="1">
        <f>+Q2-P2</f>
        <v>4</v>
      </c>
      <c r="BL2" s="1">
        <f t="shared" ref="BL2:BP2" si="24">+R2-Q2</f>
        <v>7</v>
      </c>
      <c r="BM2" s="1">
        <f t="shared" si="24"/>
        <v>-6</v>
      </c>
      <c r="BN2" s="1">
        <f t="shared" si="24"/>
        <v>0</v>
      </c>
      <c r="BO2" s="1">
        <f t="shared" si="24"/>
        <v>-9</v>
      </c>
      <c r="BP2" s="1">
        <f t="shared" si="24"/>
        <v>-3</v>
      </c>
      <c r="BQ2" s="19">
        <f t="shared" ref="BQ2:BQ33" si="25">+AVERAGE(BK2:BP2)</f>
        <v>-1.1666666666666667</v>
      </c>
      <c r="BR2" s="17">
        <f t="shared" ref="BR2:BR33" si="26">MEDIAN(BK2:BP2)</f>
        <v>-1.5</v>
      </c>
    </row>
    <row r="3" spans="1:70" x14ac:dyDescent="0.25">
      <c r="A3" s="20">
        <v>1</v>
      </c>
      <c r="B3" s="1">
        <v>490</v>
      </c>
      <c r="C3" s="1">
        <v>464</v>
      </c>
      <c r="D3" s="1">
        <v>419</v>
      </c>
      <c r="E3" s="1">
        <v>292</v>
      </c>
      <c r="F3" s="1">
        <v>328</v>
      </c>
      <c r="G3" s="1">
        <v>338</v>
      </c>
      <c r="H3" s="1">
        <v>370</v>
      </c>
      <c r="I3" s="1">
        <v>267</v>
      </c>
      <c r="J3" s="1">
        <v>249</v>
      </c>
      <c r="K3" s="1">
        <v>228</v>
      </c>
      <c r="L3" s="1">
        <v>161</v>
      </c>
      <c r="M3" s="1">
        <v>194</v>
      </c>
      <c r="N3" s="1">
        <v>184</v>
      </c>
      <c r="O3" s="1">
        <v>207</v>
      </c>
      <c r="P3" s="1">
        <v>223</v>
      </c>
      <c r="Q3" s="1">
        <v>215</v>
      </c>
      <c r="R3" s="1">
        <v>191</v>
      </c>
      <c r="S3" s="1">
        <v>131</v>
      </c>
      <c r="T3" s="1">
        <v>134</v>
      </c>
      <c r="U3" s="1">
        <v>154</v>
      </c>
      <c r="V3" s="1">
        <v>163</v>
      </c>
      <c r="W3" s="8">
        <f t="shared" si="0"/>
        <v>-5.3061224489795916E-2</v>
      </c>
      <c r="X3" s="8">
        <f t="shared" si="1"/>
        <v>-9.6982758620689655E-2</v>
      </c>
      <c r="Y3" s="8">
        <f t="shared" si="2"/>
        <v>-0.30310262529832938</v>
      </c>
      <c r="Z3" s="8">
        <f t="shared" si="3"/>
        <v>0.12328767123287671</v>
      </c>
      <c r="AA3" s="8">
        <f t="shared" si="4"/>
        <v>3.048780487804878E-2</v>
      </c>
      <c r="AB3" s="8">
        <f t="shared" si="5"/>
        <v>9.4674556213017749E-2</v>
      </c>
      <c r="AC3" s="12">
        <f t="shared" ref="AC3:AC66" si="27">+AVERAGE(W3:AB3)</f>
        <v>-3.4116096014145288E-2</v>
      </c>
      <c r="AD3" s="12">
        <f t="shared" ref="AD3:AD66" si="28">MEDIAN(W3:AB3)</f>
        <v>-1.1286709805873568E-2</v>
      </c>
      <c r="AE3" s="1">
        <f t="shared" ref="AE3:AE66" si="29">C3-B3</f>
        <v>-26</v>
      </c>
      <c r="AF3" s="1">
        <f t="shared" ref="AF3:AF66" si="30">D3-C3</f>
        <v>-45</v>
      </c>
      <c r="AG3" s="1">
        <f t="shared" ref="AG3:AG66" si="31">E3-D3</f>
        <v>-127</v>
      </c>
      <c r="AH3" s="1">
        <f t="shared" ref="AH3:AH66" si="32">F3-E3</f>
        <v>36</v>
      </c>
      <c r="AI3" s="1">
        <f t="shared" ref="AI3:AI66" si="33">G3-F3</f>
        <v>10</v>
      </c>
      <c r="AJ3" s="1">
        <f t="shared" ref="AJ3:AJ66" si="34">H3-G3</f>
        <v>32</v>
      </c>
      <c r="AK3" s="17">
        <f t="shared" ref="AK3:AK66" si="35">+AVERAGE(AE3:AJ3)</f>
        <v>-20</v>
      </c>
      <c r="AL3" s="17">
        <f t="shared" ref="AL3:AL66" si="36">+MEDIAN(AE3:AJ3)</f>
        <v>-8</v>
      </c>
      <c r="AM3" s="1">
        <f t="shared" si="7"/>
        <v>-6.741573033707865E-2</v>
      </c>
      <c r="AN3" s="1">
        <f t="shared" si="8"/>
        <v>-8.4337349397590355E-2</v>
      </c>
      <c r="AO3" s="1">
        <f t="shared" si="9"/>
        <v>-0.29385964912280704</v>
      </c>
      <c r="AP3" s="1">
        <f t="shared" si="10"/>
        <v>0.20496894409937888</v>
      </c>
      <c r="AQ3" s="1">
        <f t="shared" si="11"/>
        <v>-5.1546391752577317E-2</v>
      </c>
      <c r="AR3" s="1">
        <f t="shared" si="12"/>
        <v>0.125</v>
      </c>
      <c r="AS3" s="12">
        <f t="shared" ref="AS3:AS66" si="37">+AVERAGE(AM3:AR3)</f>
        <v>-2.7865029418445746E-2</v>
      </c>
      <c r="AT3" s="12">
        <f t="shared" ref="AT3:AT66" si="38">+MEDIAN(AM3:AR3)</f>
        <v>-5.9481061044827983E-2</v>
      </c>
      <c r="AU3" s="1">
        <f t="shared" ref="AU3:AU66" si="39">J3-I3</f>
        <v>-18</v>
      </c>
      <c r="AV3" s="1">
        <f t="shared" ref="AV3:AV66" si="40">K3-J3</f>
        <v>-21</v>
      </c>
      <c r="AW3" s="1">
        <f t="shared" ref="AW3:AW66" si="41">L3-K3</f>
        <v>-67</v>
      </c>
      <c r="AX3" s="1">
        <f t="shared" ref="AX3:AX66" si="42">M3-L3</f>
        <v>33</v>
      </c>
      <c r="AY3" s="1">
        <f t="shared" ref="AY3:AY66" si="43">N3-M3</f>
        <v>-10</v>
      </c>
      <c r="AZ3" s="1">
        <f t="shared" ref="AZ3:AZ66" si="44">O3-N3</f>
        <v>23</v>
      </c>
      <c r="BA3" s="19">
        <f t="shared" si="14"/>
        <v>-10</v>
      </c>
      <c r="BB3" s="19">
        <f t="shared" si="15"/>
        <v>-14</v>
      </c>
      <c r="BC3" s="9">
        <f t="shared" si="16"/>
        <v>-3.5874439461883408E-2</v>
      </c>
      <c r="BD3" s="9">
        <f t="shared" si="17"/>
        <v>-0.11162790697674418</v>
      </c>
      <c r="BE3" s="9">
        <f t="shared" si="18"/>
        <v>-0.31413612565445026</v>
      </c>
      <c r="BF3" s="9">
        <f t="shared" si="19"/>
        <v>2.2900763358778626E-2</v>
      </c>
      <c r="BG3" s="9">
        <f t="shared" si="20"/>
        <v>0.14925373134328357</v>
      </c>
      <c r="BH3" s="9">
        <f t="shared" si="21"/>
        <v>5.844155844155844E-2</v>
      </c>
      <c r="BI3" s="12">
        <f t="shared" si="22"/>
        <v>-3.8507069824909541E-2</v>
      </c>
      <c r="BJ3" s="13">
        <f t="shared" si="23"/>
        <v>-6.4868380515523891E-3</v>
      </c>
      <c r="BK3" s="1">
        <f t="shared" ref="BK3:BK66" si="45">+Q3-P3</f>
        <v>-8</v>
      </c>
      <c r="BL3" s="1">
        <f t="shared" ref="BL3:BL66" si="46">+R3-Q3</f>
        <v>-24</v>
      </c>
      <c r="BM3" s="1">
        <f t="shared" ref="BM3:BM66" si="47">+S3-R3</f>
        <v>-60</v>
      </c>
      <c r="BN3" s="1">
        <f t="shared" ref="BN3:BN66" si="48">+T3-S3</f>
        <v>3</v>
      </c>
      <c r="BO3" s="1">
        <f t="shared" ref="BO3:BO66" si="49">+U3-T3</f>
        <v>20</v>
      </c>
      <c r="BP3" s="1">
        <f t="shared" ref="BP3:BP66" si="50">+V3-U3</f>
        <v>9</v>
      </c>
      <c r="BQ3" s="19">
        <f t="shared" si="25"/>
        <v>-10</v>
      </c>
      <c r="BR3" s="17">
        <f t="shared" si="26"/>
        <v>-2.5</v>
      </c>
    </row>
    <row r="4" spans="1:70" x14ac:dyDescent="0.25">
      <c r="A4" s="20">
        <v>2</v>
      </c>
      <c r="B4" s="1">
        <v>265</v>
      </c>
      <c r="C4" s="1">
        <v>297</v>
      </c>
      <c r="D4" s="1">
        <v>297</v>
      </c>
      <c r="E4" s="1">
        <v>203</v>
      </c>
      <c r="F4" s="1">
        <v>195</v>
      </c>
      <c r="G4" s="1">
        <v>243</v>
      </c>
      <c r="H4" s="1">
        <v>238</v>
      </c>
      <c r="I4" s="1">
        <v>146</v>
      </c>
      <c r="J4" s="1">
        <v>156</v>
      </c>
      <c r="K4" s="1">
        <v>156</v>
      </c>
      <c r="L4" s="1">
        <v>102</v>
      </c>
      <c r="M4" s="1">
        <v>114</v>
      </c>
      <c r="N4" s="1">
        <v>118</v>
      </c>
      <c r="O4" s="1">
        <v>125</v>
      </c>
      <c r="P4" s="1">
        <v>119</v>
      </c>
      <c r="Q4" s="1">
        <v>141</v>
      </c>
      <c r="R4" s="1">
        <v>141</v>
      </c>
      <c r="S4" s="1">
        <v>101</v>
      </c>
      <c r="T4" s="1">
        <v>81</v>
      </c>
      <c r="U4" s="1">
        <v>125</v>
      </c>
      <c r="V4" s="1">
        <v>113</v>
      </c>
      <c r="W4" s="8">
        <f t="shared" si="0"/>
        <v>0.12075471698113208</v>
      </c>
      <c r="X4" s="8">
        <f t="shared" si="1"/>
        <v>0</v>
      </c>
      <c r="Y4" s="8">
        <f t="shared" si="2"/>
        <v>-0.3164983164983165</v>
      </c>
      <c r="Z4" s="8">
        <f t="shared" si="3"/>
        <v>-3.9408866995073892E-2</v>
      </c>
      <c r="AA4" s="8">
        <f t="shared" si="4"/>
        <v>0.24615384615384617</v>
      </c>
      <c r="AB4" s="8">
        <f t="shared" si="5"/>
        <v>-2.0576131687242798E-2</v>
      </c>
      <c r="AC4" s="12">
        <f t="shared" si="27"/>
        <v>-1.5957920076091591E-3</v>
      </c>
      <c r="AD4" s="12">
        <f t="shared" si="28"/>
        <v>-1.0288065843621399E-2</v>
      </c>
      <c r="AE4" s="1">
        <f t="shared" si="29"/>
        <v>32</v>
      </c>
      <c r="AF4" s="1">
        <f t="shared" si="30"/>
        <v>0</v>
      </c>
      <c r="AG4" s="1">
        <f t="shared" si="31"/>
        <v>-94</v>
      </c>
      <c r="AH4" s="1">
        <f t="shared" si="32"/>
        <v>-8</v>
      </c>
      <c r="AI4" s="1">
        <f t="shared" si="33"/>
        <v>48</v>
      </c>
      <c r="AJ4" s="1">
        <f t="shared" si="34"/>
        <v>-5</v>
      </c>
      <c r="AK4" s="17">
        <f t="shared" si="35"/>
        <v>-4.5</v>
      </c>
      <c r="AL4" s="17">
        <f t="shared" si="36"/>
        <v>-2.5</v>
      </c>
      <c r="AM4" s="1">
        <f t="shared" si="7"/>
        <v>6.8493150684931503E-2</v>
      </c>
      <c r="AN4" s="1">
        <f t="shared" si="8"/>
        <v>0</v>
      </c>
      <c r="AO4" s="1">
        <f t="shared" si="9"/>
        <v>-0.34615384615384615</v>
      </c>
      <c r="AP4" s="1">
        <f t="shared" si="10"/>
        <v>0.11764705882352941</v>
      </c>
      <c r="AQ4" s="1">
        <f t="shared" si="11"/>
        <v>3.5087719298245612E-2</v>
      </c>
      <c r="AR4" s="1">
        <f t="shared" si="12"/>
        <v>5.9322033898305086E-2</v>
      </c>
      <c r="AS4" s="12">
        <f t="shared" si="37"/>
        <v>-1.0933980574805754E-2</v>
      </c>
      <c r="AT4" s="12">
        <f t="shared" si="38"/>
        <v>4.7204876598275353E-2</v>
      </c>
      <c r="AU4" s="1">
        <f t="shared" si="39"/>
        <v>10</v>
      </c>
      <c r="AV4" s="1">
        <f t="shared" si="40"/>
        <v>0</v>
      </c>
      <c r="AW4" s="1">
        <f t="shared" si="41"/>
        <v>-54</v>
      </c>
      <c r="AX4" s="1">
        <f t="shared" si="42"/>
        <v>12</v>
      </c>
      <c r="AY4" s="1">
        <f t="shared" si="43"/>
        <v>4</v>
      </c>
      <c r="AZ4" s="1">
        <f t="shared" si="44"/>
        <v>7</v>
      </c>
      <c r="BA4" s="19">
        <f t="shared" si="14"/>
        <v>-3.5</v>
      </c>
      <c r="BB4" s="19">
        <f t="shared" si="15"/>
        <v>5.5</v>
      </c>
      <c r="BC4" s="9">
        <f t="shared" si="16"/>
        <v>0.18487394957983194</v>
      </c>
      <c r="BD4" s="9">
        <f t="shared" si="17"/>
        <v>0</v>
      </c>
      <c r="BE4" s="9">
        <f t="shared" si="18"/>
        <v>-0.28368794326241137</v>
      </c>
      <c r="BF4" s="9">
        <f t="shared" si="19"/>
        <v>-0.19801980198019803</v>
      </c>
      <c r="BG4" s="9">
        <f t="shared" si="20"/>
        <v>0.54320987654320985</v>
      </c>
      <c r="BH4" s="9">
        <f t="shared" si="21"/>
        <v>-9.6000000000000002E-2</v>
      </c>
      <c r="BI4" s="12">
        <f t="shared" si="22"/>
        <v>2.5062680146738733E-2</v>
      </c>
      <c r="BJ4" s="13">
        <f t="shared" si="23"/>
        <v>-4.8000000000000001E-2</v>
      </c>
      <c r="BK4" s="1">
        <f t="shared" si="45"/>
        <v>22</v>
      </c>
      <c r="BL4" s="1">
        <f t="shared" si="46"/>
        <v>0</v>
      </c>
      <c r="BM4" s="1">
        <f t="shared" si="47"/>
        <v>-40</v>
      </c>
      <c r="BN4" s="1">
        <f t="shared" si="48"/>
        <v>-20</v>
      </c>
      <c r="BO4" s="1">
        <f t="shared" si="49"/>
        <v>44</v>
      </c>
      <c r="BP4" s="1">
        <f t="shared" si="50"/>
        <v>-12</v>
      </c>
      <c r="BQ4" s="19">
        <f t="shared" si="25"/>
        <v>-1</v>
      </c>
      <c r="BR4" s="17">
        <f t="shared" si="26"/>
        <v>-6</v>
      </c>
    </row>
    <row r="5" spans="1:70" x14ac:dyDescent="0.25">
      <c r="A5" s="20">
        <v>3</v>
      </c>
      <c r="B5" s="1">
        <v>190</v>
      </c>
      <c r="C5" s="1">
        <v>178</v>
      </c>
      <c r="D5" s="1">
        <v>177</v>
      </c>
      <c r="E5" s="1">
        <v>126</v>
      </c>
      <c r="F5" s="1">
        <v>155</v>
      </c>
      <c r="G5" s="1">
        <v>162</v>
      </c>
      <c r="H5" s="1">
        <v>145</v>
      </c>
      <c r="I5" s="1">
        <v>106</v>
      </c>
      <c r="J5" s="1">
        <v>99</v>
      </c>
      <c r="K5" s="1">
        <v>90</v>
      </c>
      <c r="L5" s="1">
        <v>68</v>
      </c>
      <c r="M5" s="1">
        <v>79</v>
      </c>
      <c r="N5" s="1">
        <v>95</v>
      </c>
      <c r="O5" s="1">
        <v>77</v>
      </c>
      <c r="P5" s="1">
        <v>84</v>
      </c>
      <c r="Q5" s="1">
        <v>79</v>
      </c>
      <c r="R5" s="1">
        <v>87</v>
      </c>
      <c r="S5" s="1">
        <v>58</v>
      </c>
      <c r="T5" s="1">
        <v>76</v>
      </c>
      <c r="U5" s="1">
        <v>67</v>
      </c>
      <c r="V5" s="1">
        <v>68</v>
      </c>
      <c r="W5" s="8">
        <f t="shared" si="0"/>
        <v>-6.3157894736842107E-2</v>
      </c>
      <c r="X5" s="8">
        <f t="shared" si="1"/>
        <v>-5.6179775280898875E-3</v>
      </c>
      <c r="Y5" s="8">
        <f t="shared" si="2"/>
        <v>-0.28813559322033899</v>
      </c>
      <c r="Z5" s="8">
        <f t="shared" si="3"/>
        <v>0.23015873015873015</v>
      </c>
      <c r="AA5" s="8">
        <f t="shared" si="4"/>
        <v>4.5161290322580643E-2</v>
      </c>
      <c r="AB5" s="8">
        <f t="shared" si="5"/>
        <v>-0.10493827160493827</v>
      </c>
      <c r="AC5" s="12">
        <f t="shared" si="27"/>
        <v>-3.1088286101483075E-2</v>
      </c>
      <c r="AD5" s="12">
        <f t="shared" si="28"/>
        <v>-3.4387936132465997E-2</v>
      </c>
      <c r="AE5" s="1">
        <f t="shared" si="29"/>
        <v>-12</v>
      </c>
      <c r="AF5" s="1">
        <f t="shared" si="30"/>
        <v>-1</v>
      </c>
      <c r="AG5" s="1">
        <f t="shared" si="31"/>
        <v>-51</v>
      </c>
      <c r="AH5" s="1">
        <f t="shared" si="32"/>
        <v>29</v>
      </c>
      <c r="AI5" s="1">
        <f t="shared" si="33"/>
        <v>7</v>
      </c>
      <c r="AJ5" s="1">
        <f t="shared" si="34"/>
        <v>-17</v>
      </c>
      <c r="AK5" s="17">
        <f t="shared" si="35"/>
        <v>-7.5</v>
      </c>
      <c r="AL5" s="17">
        <f t="shared" si="36"/>
        <v>-6.5</v>
      </c>
      <c r="AM5" s="1">
        <f t="shared" si="7"/>
        <v>-6.6037735849056603E-2</v>
      </c>
      <c r="AN5" s="1">
        <f t="shared" si="8"/>
        <v>-9.0909090909090912E-2</v>
      </c>
      <c r="AO5" s="1">
        <f t="shared" si="9"/>
        <v>-0.24444444444444444</v>
      </c>
      <c r="AP5" s="1">
        <f t="shared" si="10"/>
        <v>0.16176470588235295</v>
      </c>
      <c r="AQ5" s="1">
        <f t="shared" si="11"/>
        <v>0.20253164556962025</v>
      </c>
      <c r="AR5" s="1">
        <f t="shared" si="12"/>
        <v>-0.18947368421052632</v>
      </c>
      <c r="AS5" s="12">
        <f t="shared" si="37"/>
        <v>-3.7761433993524184E-2</v>
      </c>
      <c r="AT5" s="12">
        <f t="shared" si="38"/>
        <v>-7.8473413379073764E-2</v>
      </c>
      <c r="AU5" s="1">
        <f t="shared" si="39"/>
        <v>-7</v>
      </c>
      <c r="AV5" s="1">
        <f t="shared" si="40"/>
        <v>-9</v>
      </c>
      <c r="AW5" s="1">
        <f t="shared" si="41"/>
        <v>-22</v>
      </c>
      <c r="AX5" s="1">
        <f t="shared" si="42"/>
        <v>11</v>
      </c>
      <c r="AY5" s="1">
        <f t="shared" si="43"/>
        <v>16</v>
      </c>
      <c r="AZ5" s="1">
        <f t="shared" si="44"/>
        <v>-18</v>
      </c>
      <c r="BA5" s="19">
        <f t="shared" si="14"/>
        <v>-4.833333333333333</v>
      </c>
      <c r="BB5" s="19">
        <f t="shared" si="15"/>
        <v>-8</v>
      </c>
      <c r="BC5" s="9">
        <f t="shared" si="16"/>
        <v>-5.9523809523809521E-2</v>
      </c>
      <c r="BD5" s="9">
        <f t="shared" si="17"/>
        <v>0.10126582278481013</v>
      </c>
      <c r="BE5" s="9">
        <f t="shared" si="18"/>
        <v>-0.33333333333333331</v>
      </c>
      <c r="BF5" s="9">
        <f t="shared" si="19"/>
        <v>0.31034482758620691</v>
      </c>
      <c r="BG5" s="9">
        <f t="shared" si="20"/>
        <v>-0.11842105263157894</v>
      </c>
      <c r="BH5" s="9">
        <f t="shared" si="21"/>
        <v>1.4925373134328358E-2</v>
      </c>
      <c r="BI5" s="12">
        <f t="shared" si="22"/>
        <v>-1.4123695330562727E-2</v>
      </c>
      <c r="BJ5" s="13">
        <f t="shared" si="23"/>
        <v>-2.229921819474058E-2</v>
      </c>
      <c r="BK5" s="1">
        <f t="shared" si="45"/>
        <v>-5</v>
      </c>
      <c r="BL5" s="1">
        <f t="shared" si="46"/>
        <v>8</v>
      </c>
      <c r="BM5" s="1">
        <f t="shared" si="47"/>
        <v>-29</v>
      </c>
      <c r="BN5" s="1">
        <f t="shared" si="48"/>
        <v>18</v>
      </c>
      <c r="BO5" s="1">
        <f t="shared" si="49"/>
        <v>-9</v>
      </c>
      <c r="BP5" s="1">
        <f t="shared" si="50"/>
        <v>1</v>
      </c>
      <c r="BQ5" s="19">
        <f t="shared" si="25"/>
        <v>-2.6666666666666665</v>
      </c>
      <c r="BR5" s="17">
        <f t="shared" si="26"/>
        <v>-2</v>
      </c>
    </row>
    <row r="6" spans="1:70" x14ac:dyDescent="0.25">
      <c r="A6" s="20">
        <v>4</v>
      </c>
      <c r="B6" s="1">
        <v>164</v>
      </c>
      <c r="C6" s="1">
        <v>128</v>
      </c>
      <c r="D6" s="1">
        <v>139</v>
      </c>
      <c r="E6" s="1">
        <v>132</v>
      </c>
      <c r="F6" s="1">
        <v>118</v>
      </c>
      <c r="G6" s="1">
        <v>121</v>
      </c>
      <c r="H6" s="1">
        <v>126</v>
      </c>
      <c r="I6" s="1">
        <v>79</v>
      </c>
      <c r="J6" s="1">
        <v>67</v>
      </c>
      <c r="K6" s="1">
        <v>81</v>
      </c>
      <c r="L6" s="1">
        <v>76</v>
      </c>
      <c r="M6" s="1">
        <v>57</v>
      </c>
      <c r="N6" s="1">
        <v>56</v>
      </c>
      <c r="O6" s="1">
        <v>75</v>
      </c>
      <c r="P6" s="1">
        <v>85</v>
      </c>
      <c r="Q6" s="1">
        <v>61</v>
      </c>
      <c r="R6" s="1">
        <v>58</v>
      </c>
      <c r="S6" s="1">
        <v>56</v>
      </c>
      <c r="T6" s="1">
        <v>61</v>
      </c>
      <c r="U6" s="1">
        <v>65</v>
      </c>
      <c r="V6" s="1">
        <v>51</v>
      </c>
      <c r="W6" s="8">
        <f t="shared" si="0"/>
        <v>-0.21951219512195122</v>
      </c>
      <c r="X6" s="8">
        <f t="shared" si="1"/>
        <v>8.59375E-2</v>
      </c>
      <c r="Y6" s="8">
        <f t="shared" si="2"/>
        <v>-5.0359712230215826E-2</v>
      </c>
      <c r="Z6" s="8">
        <f t="shared" si="3"/>
        <v>-0.10606060606060606</v>
      </c>
      <c r="AA6" s="8">
        <f t="shared" si="4"/>
        <v>2.5423728813559324E-2</v>
      </c>
      <c r="AB6" s="8">
        <f t="shared" si="5"/>
        <v>4.1322314049586778E-2</v>
      </c>
      <c r="AC6" s="12">
        <f t="shared" si="27"/>
        <v>-3.7208161758271172E-2</v>
      </c>
      <c r="AD6" s="12">
        <f t="shared" si="28"/>
        <v>-1.2467991708328248E-2</v>
      </c>
      <c r="AE6" s="1">
        <f t="shared" si="29"/>
        <v>-36</v>
      </c>
      <c r="AF6" s="1">
        <f t="shared" si="30"/>
        <v>11</v>
      </c>
      <c r="AG6" s="1">
        <f t="shared" si="31"/>
        <v>-7</v>
      </c>
      <c r="AH6" s="1">
        <f t="shared" si="32"/>
        <v>-14</v>
      </c>
      <c r="AI6" s="1">
        <f t="shared" si="33"/>
        <v>3</v>
      </c>
      <c r="AJ6" s="1">
        <f t="shared" si="34"/>
        <v>5</v>
      </c>
      <c r="AK6" s="17">
        <f t="shared" si="35"/>
        <v>-6.333333333333333</v>
      </c>
      <c r="AL6" s="17">
        <f t="shared" si="36"/>
        <v>-2</v>
      </c>
      <c r="AM6" s="1">
        <f t="shared" si="7"/>
        <v>-0.15189873417721519</v>
      </c>
      <c r="AN6" s="1">
        <f t="shared" si="8"/>
        <v>0.20895522388059701</v>
      </c>
      <c r="AO6" s="1">
        <f t="shared" si="9"/>
        <v>-6.1728395061728392E-2</v>
      </c>
      <c r="AP6" s="1">
        <f t="shared" si="10"/>
        <v>-0.25</v>
      </c>
      <c r="AQ6" s="1">
        <f t="shared" si="11"/>
        <v>-1.7543859649122806E-2</v>
      </c>
      <c r="AR6" s="1">
        <f t="shared" si="12"/>
        <v>0.3392857142857143</v>
      </c>
      <c r="AS6" s="12">
        <f t="shared" si="37"/>
        <v>1.1178324879707482E-2</v>
      </c>
      <c r="AT6" s="12">
        <f t="shared" si="38"/>
        <v>-3.9636127355425599E-2</v>
      </c>
      <c r="AU6" s="1">
        <f t="shared" si="39"/>
        <v>-12</v>
      </c>
      <c r="AV6" s="1">
        <f t="shared" si="40"/>
        <v>14</v>
      </c>
      <c r="AW6" s="1">
        <f t="shared" si="41"/>
        <v>-5</v>
      </c>
      <c r="AX6" s="1">
        <f t="shared" si="42"/>
        <v>-19</v>
      </c>
      <c r="AY6" s="1">
        <f t="shared" si="43"/>
        <v>-1</v>
      </c>
      <c r="AZ6" s="1">
        <f t="shared" si="44"/>
        <v>19</v>
      </c>
      <c r="BA6" s="19">
        <f t="shared" si="14"/>
        <v>-0.66666666666666663</v>
      </c>
      <c r="BB6" s="19">
        <f t="shared" si="15"/>
        <v>-3</v>
      </c>
      <c r="BC6" s="9">
        <f t="shared" si="16"/>
        <v>-0.28235294117647058</v>
      </c>
      <c r="BD6" s="9">
        <f t="shared" si="17"/>
        <v>-4.9180327868852458E-2</v>
      </c>
      <c r="BE6" s="9">
        <f t="shared" si="18"/>
        <v>-3.4482758620689655E-2</v>
      </c>
      <c r="BF6" s="9">
        <f t="shared" si="19"/>
        <v>8.9285714285714288E-2</v>
      </c>
      <c r="BG6" s="9">
        <f t="shared" si="20"/>
        <v>6.5573770491803282E-2</v>
      </c>
      <c r="BH6" s="9">
        <f t="shared" si="21"/>
        <v>-0.2153846153846154</v>
      </c>
      <c r="BI6" s="12">
        <f t="shared" si="22"/>
        <v>-7.1090193045518418E-2</v>
      </c>
      <c r="BJ6" s="13">
        <f t="shared" si="23"/>
        <v>-4.1831543244771056E-2</v>
      </c>
      <c r="BK6" s="1">
        <f t="shared" si="45"/>
        <v>-24</v>
      </c>
      <c r="BL6" s="1">
        <f t="shared" si="46"/>
        <v>-3</v>
      </c>
      <c r="BM6" s="1">
        <f t="shared" si="47"/>
        <v>-2</v>
      </c>
      <c r="BN6" s="1">
        <f t="shared" si="48"/>
        <v>5</v>
      </c>
      <c r="BO6" s="1">
        <f t="shared" si="49"/>
        <v>4</v>
      </c>
      <c r="BP6" s="1">
        <f t="shared" si="50"/>
        <v>-14</v>
      </c>
      <c r="BQ6" s="19">
        <f t="shared" si="25"/>
        <v>-5.666666666666667</v>
      </c>
      <c r="BR6" s="17">
        <f t="shared" si="26"/>
        <v>-2.5</v>
      </c>
    </row>
    <row r="7" spans="1:70" x14ac:dyDescent="0.25">
      <c r="A7" s="20">
        <v>5</v>
      </c>
      <c r="B7" s="1">
        <v>126</v>
      </c>
      <c r="C7" s="1">
        <v>127</v>
      </c>
      <c r="D7" s="1">
        <v>111</v>
      </c>
      <c r="E7" s="1">
        <v>70</v>
      </c>
      <c r="F7" s="1">
        <v>83</v>
      </c>
      <c r="G7" s="1">
        <v>105</v>
      </c>
      <c r="H7" s="1">
        <v>100</v>
      </c>
      <c r="I7" s="1">
        <v>66</v>
      </c>
      <c r="J7" s="1">
        <v>61</v>
      </c>
      <c r="K7" s="1">
        <v>61</v>
      </c>
      <c r="L7" s="1">
        <v>40</v>
      </c>
      <c r="M7" s="1">
        <v>46</v>
      </c>
      <c r="N7" s="1">
        <v>46</v>
      </c>
      <c r="O7" s="1">
        <v>51</v>
      </c>
      <c r="P7" s="1">
        <v>60</v>
      </c>
      <c r="Q7" s="1">
        <v>66</v>
      </c>
      <c r="R7" s="1">
        <v>50</v>
      </c>
      <c r="S7" s="1">
        <v>30</v>
      </c>
      <c r="T7" s="1">
        <v>37</v>
      </c>
      <c r="U7" s="1">
        <v>59</v>
      </c>
      <c r="V7" s="1">
        <v>49</v>
      </c>
      <c r="W7" s="8">
        <f t="shared" si="0"/>
        <v>7.9365079365079361E-3</v>
      </c>
      <c r="X7" s="8">
        <f t="shared" si="1"/>
        <v>-0.12598425196850394</v>
      </c>
      <c r="Y7" s="8">
        <f t="shared" si="2"/>
        <v>-0.36936936936936937</v>
      </c>
      <c r="Z7" s="8">
        <f t="shared" si="3"/>
        <v>0.18571428571428572</v>
      </c>
      <c r="AA7" s="8">
        <f t="shared" si="4"/>
        <v>0.26506024096385544</v>
      </c>
      <c r="AB7" s="8">
        <f t="shared" si="5"/>
        <v>-4.7619047619047616E-2</v>
      </c>
      <c r="AC7" s="12">
        <f t="shared" si="27"/>
        <v>-1.4043605723711975E-2</v>
      </c>
      <c r="AD7" s="12">
        <f t="shared" si="28"/>
        <v>-1.984126984126984E-2</v>
      </c>
      <c r="AE7" s="1">
        <f t="shared" si="29"/>
        <v>1</v>
      </c>
      <c r="AF7" s="1">
        <f t="shared" si="30"/>
        <v>-16</v>
      </c>
      <c r="AG7" s="1">
        <f t="shared" si="31"/>
        <v>-41</v>
      </c>
      <c r="AH7" s="1">
        <f t="shared" si="32"/>
        <v>13</v>
      </c>
      <c r="AI7" s="1">
        <f t="shared" si="33"/>
        <v>22</v>
      </c>
      <c r="AJ7" s="1">
        <f t="shared" si="34"/>
        <v>-5</v>
      </c>
      <c r="AK7" s="17">
        <f t="shared" si="35"/>
        <v>-4.333333333333333</v>
      </c>
      <c r="AL7" s="17">
        <f t="shared" si="36"/>
        <v>-2</v>
      </c>
      <c r="AM7" s="1">
        <f t="shared" si="7"/>
        <v>-7.575757575757576E-2</v>
      </c>
      <c r="AN7" s="1">
        <f t="shared" si="8"/>
        <v>0</v>
      </c>
      <c r="AO7" s="1">
        <f t="shared" si="9"/>
        <v>-0.34426229508196721</v>
      </c>
      <c r="AP7" s="1">
        <f t="shared" si="10"/>
        <v>0.15</v>
      </c>
      <c r="AQ7" s="1">
        <f t="shared" si="11"/>
        <v>0</v>
      </c>
      <c r="AR7" s="1">
        <f t="shared" si="12"/>
        <v>0.10869565217391304</v>
      </c>
      <c r="AS7" s="12">
        <f t="shared" si="37"/>
        <v>-2.6887369777604985E-2</v>
      </c>
      <c r="AT7" s="12">
        <f t="shared" si="38"/>
        <v>0</v>
      </c>
      <c r="AU7" s="1">
        <f t="shared" si="39"/>
        <v>-5</v>
      </c>
      <c r="AV7" s="1">
        <f t="shared" si="40"/>
        <v>0</v>
      </c>
      <c r="AW7" s="1">
        <f t="shared" si="41"/>
        <v>-21</v>
      </c>
      <c r="AX7" s="1">
        <f t="shared" si="42"/>
        <v>6</v>
      </c>
      <c r="AY7" s="1">
        <f t="shared" si="43"/>
        <v>0</v>
      </c>
      <c r="AZ7" s="1">
        <f t="shared" si="44"/>
        <v>5</v>
      </c>
      <c r="BA7" s="19">
        <f t="shared" si="14"/>
        <v>-2.5</v>
      </c>
      <c r="BB7" s="19">
        <f t="shared" si="15"/>
        <v>0</v>
      </c>
      <c r="BC7" s="9">
        <f t="shared" si="16"/>
        <v>0.1</v>
      </c>
      <c r="BD7" s="9">
        <f t="shared" si="17"/>
        <v>-0.24242424242424243</v>
      </c>
      <c r="BE7" s="9">
        <f t="shared" si="18"/>
        <v>-0.4</v>
      </c>
      <c r="BF7" s="9">
        <f t="shared" si="19"/>
        <v>0.23333333333333334</v>
      </c>
      <c r="BG7" s="9">
        <f t="shared" si="20"/>
        <v>0.59459459459459463</v>
      </c>
      <c r="BH7" s="9">
        <f t="shared" si="21"/>
        <v>-0.16949152542372881</v>
      </c>
      <c r="BI7" s="12">
        <f t="shared" si="22"/>
        <v>1.9335360013326114E-2</v>
      </c>
      <c r="BJ7" s="13">
        <f t="shared" si="23"/>
        <v>-3.4745762711864414E-2</v>
      </c>
      <c r="BK7" s="1">
        <f t="shared" si="45"/>
        <v>6</v>
      </c>
      <c r="BL7" s="1">
        <f t="shared" si="46"/>
        <v>-16</v>
      </c>
      <c r="BM7" s="1">
        <f t="shared" si="47"/>
        <v>-20</v>
      </c>
      <c r="BN7" s="1">
        <f t="shared" si="48"/>
        <v>7</v>
      </c>
      <c r="BO7" s="1">
        <f t="shared" si="49"/>
        <v>22</v>
      </c>
      <c r="BP7" s="1">
        <f t="shared" si="50"/>
        <v>-10</v>
      </c>
      <c r="BQ7" s="19">
        <f t="shared" si="25"/>
        <v>-1.8333333333333333</v>
      </c>
      <c r="BR7" s="17">
        <f t="shared" si="26"/>
        <v>-2</v>
      </c>
    </row>
    <row r="8" spans="1:70" x14ac:dyDescent="0.25">
      <c r="A8" s="20">
        <v>6</v>
      </c>
      <c r="B8" s="1">
        <v>123</v>
      </c>
      <c r="C8" s="1">
        <v>97</v>
      </c>
      <c r="D8" s="1">
        <v>95</v>
      </c>
      <c r="E8" s="1">
        <v>90</v>
      </c>
      <c r="F8" s="1">
        <v>95</v>
      </c>
      <c r="G8" s="1">
        <v>93</v>
      </c>
      <c r="H8" s="1">
        <v>102</v>
      </c>
      <c r="I8" s="1">
        <v>75</v>
      </c>
      <c r="J8" s="1">
        <v>48</v>
      </c>
      <c r="K8" s="1">
        <v>46</v>
      </c>
      <c r="L8" s="1">
        <v>51</v>
      </c>
      <c r="M8" s="1">
        <v>49</v>
      </c>
      <c r="N8" s="1">
        <v>41</v>
      </c>
      <c r="O8" s="1">
        <v>55</v>
      </c>
      <c r="P8" s="1">
        <v>48</v>
      </c>
      <c r="Q8" s="1">
        <v>49</v>
      </c>
      <c r="R8" s="1">
        <v>49</v>
      </c>
      <c r="S8" s="1">
        <v>39</v>
      </c>
      <c r="T8" s="1">
        <v>46</v>
      </c>
      <c r="U8" s="1">
        <v>52</v>
      </c>
      <c r="V8" s="1">
        <v>47</v>
      </c>
      <c r="W8" s="8">
        <f t="shared" si="0"/>
        <v>-0.21138211382113822</v>
      </c>
      <c r="X8" s="8">
        <f t="shared" si="1"/>
        <v>-2.0618556701030927E-2</v>
      </c>
      <c r="Y8" s="8">
        <f t="shared" si="2"/>
        <v>-5.2631578947368418E-2</v>
      </c>
      <c r="Z8" s="8">
        <f t="shared" si="3"/>
        <v>5.5555555555555552E-2</v>
      </c>
      <c r="AA8" s="8">
        <f t="shared" si="4"/>
        <v>-2.1052631578947368E-2</v>
      </c>
      <c r="AB8" s="8">
        <f t="shared" si="5"/>
        <v>9.6774193548387094E-2</v>
      </c>
      <c r="AC8" s="12">
        <f t="shared" si="27"/>
        <v>-2.5559188657423713E-2</v>
      </c>
      <c r="AD8" s="12">
        <f t="shared" si="28"/>
        <v>-2.0835594139989148E-2</v>
      </c>
      <c r="AE8" s="1">
        <f t="shared" si="29"/>
        <v>-26</v>
      </c>
      <c r="AF8" s="1">
        <f t="shared" si="30"/>
        <v>-2</v>
      </c>
      <c r="AG8" s="1">
        <f t="shared" si="31"/>
        <v>-5</v>
      </c>
      <c r="AH8" s="1">
        <f t="shared" si="32"/>
        <v>5</v>
      </c>
      <c r="AI8" s="1">
        <f t="shared" si="33"/>
        <v>-2</v>
      </c>
      <c r="AJ8" s="1">
        <f t="shared" si="34"/>
        <v>9</v>
      </c>
      <c r="AK8" s="17">
        <f t="shared" si="35"/>
        <v>-3.5</v>
      </c>
      <c r="AL8" s="17">
        <f t="shared" si="36"/>
        <v>-2</v>
      </c>
      <c r="AM8" s="1">
        <f t="shared" si="7"/>
        <v>-0.36</v>
      </c>
      <c r="AN8" s="1">
        <f t="shared" si="8"/>
        <v>-4.1666666666666664E-2</v>
      </c>
      <c r="AO8" s="1">
        <f t="shared" si="9"/>
        <v>0.10869565217391304</v>
      </c>
      <c r="AP8" s="1">
        <f t="shared" si="10"/>
        <v>-3.9215686274509803E-2</v>
      </c>
      <c r="AQ8" s="1">
        <f t="shared" si="11"/>
        <v>-0.16326530612244897</v>
      </c>
      <c r="AR8" s="1">
        <f t="shared" si="12"/>
        <v>0.34146341463414637</v>
      </c>
      <c r="AS8" s="12">
        <f t="shared" si="37"/>
        <v>-2.5664765375927667E-2</v>
      </c>
      <c r="AT8" s="12">
        <f t="shared" si="38"/>
        <v>-4.044117647058823E-2</v>
      </c>
      <c r="AU8" s="1">
        <f t="shared" si="39"/>
        <v>-27</v>
      </c>
      <c r="AV8" s="1">
        <f t="shared" si="40"/>
        <v>-2</v>
      </c>
      <c r="AW8" s="1">
        <f t="shared" si="41"/>
        <v>5</v>
      </c>
      <c r="AX8" s="1">
        <f t="shared" si="42"/>
        <v>-2</v>
      </c>
      <c r="AY8" s="1">
        <f t="shared" si="43"/>
        <v>-8</v>
      </c>
      <c r="AZ8" s="1">
        <f t="shared" si="44"/>
        <v>14</v>
      </c>
      <c r="BA8" s="19">
        <f t="shared" si="14"/>
        <v>-3.3333333333333335</v>
      </c>
      <c r="BB8" s="19">
        <f t="shared" si="15"/>
        <v>-2</v>
      </c>
      <c r="BC8" s="9">
        <f t="shared" si="16"/>
        <v>2.0833333333333332E-2</v>
      </c>
      <c r="BD8" s="9">
        <f t="shared" si="17"/>
        <v>0</v>
      </c>
      <c r="BE8" s="9">
        <f t="shared" si="18"/>
        <v>-0.20408163265306123</v>
      </c>
      <c r="BF8" s="9">
        <f t="shared" si="19"/>
        <v>0.17948717948717949</v>
      </c>
      <c r="BG8" s="9">
        <f t="shared" si="20"/>
        <v>0.13043478260869565</v>
      </c>
      <c r="BH8" s="9">
        <f t="shared" si="21"/>
        <v>-9.6153846153846159E-2</v>
      </c>
      <c r="BI8" s="12">
        <f t="shared" si="22"/>
        <v>5.0866361037168488E-3</v>
      </c>
      <c r="BJ8" s="13">
        <f t="shared" si="23"/>
        <v>1.0416666666666666E-2</v>
      </c>
      <c r="BK8" s="1">
        <f t="shared" si="45"/>
        <v>1</v>
      </c>
      <c r="BL8" s="1">
        <f t="shared" si="46"/>
        <v>0</v>
      </c>
      <c r="BM8" s="1">
        <f t="shared" si="47"/>
        <v>-10</v>
      </c>
      <c r="BN8" s="1">
        <f t="shared" si="48"/>
        <v>7</v>
      </c>
      <c r="BO8" s="1">
        <f t="shared" si="49"/>
        <v>6</v>
      </c>
      <c r="BP8" s="1">
        <f t="shared" si="50"/>
        <v>-5</v>
      </c>
      <c r="BQ8" s="19">
        <f t="shared" si="25"/>
        <v>-0.16666666666666666</v>
      </c>
      <c r="BR8" s="17">
        <f t="shared" si="26"/>
        <v>0.5</v>
      </c>
    </row>
    <row r="9" spans="1:70" x14ac:dyDescent="0.25">
      <c r="A9" s="20">
        <v>7</v>
      </c>
      <c r="B9" s="1">
        <v>92</v>
      </c>
      <c r="C9" s="1">
        <v>111</v>
      </c>
      <c r="D9" s="1">
        <v>87</v>
      </c>
      <c r="E9" s="1">
        <v>63</v>
      </c>
      <c r="F9" s="1">
        <v>65</v>
      </c>
      <c r="G9" s="1">
        <v>99</v>
      </c>
      <c r="H9" s="1">
        <v>80</v>
      </c>
      <c r="I9" s="1">
        <v>50</v>
      </c>
      <c r="J9" s="1">
        <v>63</v>
      </c>
      <c r="K9" s="1">
        <v>53</v>
      </c>
      <c r="L9" s="1">
        <v>31</v>
      </c>
      <c r="M9" s="1">
        <v>37</v>
      </c>
      <c r="N9" s="1">
        <v>57</v>
      </c>
      <c r="O9" s="1">
        <v>36</v>
      </c>
      <c r="P9" s="1">
        <v>42</v>
      </c>
      <c r="Q9" s="1">
        <v>48</v>
      </c>
      <c r="R9" s="1">
        <v>34</v>
      </c>
      <c r="S9" s="1">
        <v>32</v>
      </c>
      <c r="T9" s="1">
        <v>28</v>
      </c>
      <c r="U9" s="1">
        <v>42</v>
      </c>
      <c r="V9" s="1">
        <v>44</v>
      </c>
      <c r="W9" s="8">
        <f t="shared" si="0"/>
        <v>0.20652173913043478</v>
      </c>
      <c r="X9" s="8">
        <f t="shared" si="1"/>
        <v>-0.21621621621621623</v>
      </c>
      <c r="Y9" s="8">
        <f t="shared" si="2"/>
        <v>-0.27586206896551724</v>
      </c>
      <c r="Z9" s="8">
        <f t="shared" si="3"/>
        <v>3.1746031746031744E-2</v>
      </c>
      <c r="AA9" s="8">
        <f t="shared" si="4"/>
        <v>0.52307692307692311</v>
      </c>
      <c r="AB9" s="8">
        <f t="shared" si="5"/>
        <v>-0.19191919191919191</v>
      </c>
      <c r="AC9" s="12">
        <f t="shared" si="27"/>
        <v>1.2891202808744048E-2</v>
      </c>
      <c r="AD9" s="12">
        <f t="shared" si="28"/>
        <v>-8.0086580086580081E-2</v>
      </c>
      <c r="AE9" s="1">
        <f t="shared" si="29"/>
        <v>19</v>
      </c>
      <c r="AF9" s="1">
        <f t="shared" si="30"/>
        <v>-24</v>
      </c>
      <c r="AG9" s="1">
        <f t="shared" si="31"/>
        <v>-24</v>
      </c>
      <c r="AH9" s="1">
        <f t="shared" si="32"/>
        <v>2</v>
      </c>
      <c r="AI9" s="1">
        <f t="shared" si="33"/>
        <v>34</v>
      </c>
      <c r="AJ9" s="1">
        <f t="shared" si="34"/>
        <v>-19</v>
      </c>
      <c r="AK9" s="17">
        <f t="shared" si="35"/>
        <v>-2</v>
      </c>
      <c r="AL9" s="17">
        <f t="shared" si="36"/>
        <v>-8.5</v>
      </c>
      <c r="AM9" s="1">
        <f t="shared" si="7"/>
        <v>0.26</v>
      </c>
      <c r="AN9" s="1">
        <f t="shared" si="8"/>
        <v>-0.15873015873015872</v>
      </c>
      <c r="AO9" s="1">
        <f t="shared" si="9"/>
        <v>-0.41509433962264153</v>
      </c>
      <c r="AP9" s="1">
        <f t="shared" si="10"/>
        <v>0.19354838709677419</v>
      </c>
      <c r="AQ9" s="1">
        <f t="shared" si="11"/>
        <v>0.54054054054054057</v>
      </c>
      <c r="AR9" s="1">
        <f t="shared" si="12"/>
        <v>-0.36842105263157893</v>
      </c>
      <c r="AS9" s="12">
        <f t="shared" si="37"/>
        <v>8.6405627754892658E-3</v>
      </c>
      <c r="AT9" s="12">
        <f t="shared" si="38"/>
        <v>1.7409114183307733E-2</v>
      </c>
      <c r="AU9" s="1">
        <f t="shared" si="39"/>
        <v>13</v>
      </c>
      <c r="AV9" s="1">
        <f t="shared" si="40"/>
        <v>-10</v>
      </c>
      <c r="AW9" s="1">
        <f t="shared" si="41"/>
        <v>-22</v>
      </c>
      <c r="AX9" s="1">
        <f t="shared" si="42"/>
        <v>6</v>
      </c>
      <c r="AY9" s="1">
        <f t="shared" si="43"/>
        <v>20</v>
      </c>
      <c r="AZ9" s="1">
        <f t="shared" si="44"/>
        <v>-21</v>
      </c>
      <c r="BA9" s="19">
        <f t="shared" si="14"/>
        <v>-2.3333333333333335</v>
      </c>
      <c r="BB9" s="19">
        <f t="shared" si="15"/>
        <v>-2</v>
      </c>
      <c r="BC9" s="9">
        <f t="shared" si="16"/>
        <v>0.14285714285714285</v>
      </c>
      <c r="BD9" s="9">
        <f t="shared" si="17"/>
        <v>-0.29166666666666669</v>
      </c>
      <c r="BE9" s="9">
        <f t="shared" si="18"/>
        <v>-5.8823529411764705E-2</v>
      </c>
      <c r="BF9" s="9">
        <f t="shared" si="19"/>
        <v>-0.125</v>
      </c>
      <c r="BG9" s="9">
        <f t="shared" si="20"/>
        <v>0.5</v>
      </c>
      <c r="BH9" s="9">
        <f t="shared" si="21"/>
        <v>4.7619047619047616E-2</v>
      </c>
      <c r="BI9" s="12">
        <f t="shared" si="22"/>
        <v>3.5830999066293175E-2</v>
      </c>
      <c r="BJ9" s="13">
        <f t="shared" si="23"/>
        <v>-5.6022408963585443E-3</v>
      </c>
      <c r="BK9" s="1">
        <f t="shared" si="45"/>
        <v>6</v>
      </c>
      <c r="BL9" s="1">
        <f t="shared" si="46"/>
        <v>-14</v>
      </c>
      <c r="BM9" s="1">
        <f t="shared" si="47"/>
        <v>-2</v>
      </c>
      <c r="BN9" s="1">
        <f t="shared" si="48"/>
        <v>-4</v>
      </c>
      <c r="BO9" s="1">
        <f t="shared" si="49"/>
        <v>14</v>
      </c>
      <c r="BP9" s="1">
        <f t="shared" si="50"/>
        <v>2</v>
      </c>
      <c r="BQ9" s="19">
        <f t="shared" si="25"/>
        <v>0.33333333333333331</v>
      </c>
      <c r="BR9" s="17">
        <f t="shared" si="26"/>
        <v>0</v>
      </c>
    </row>
    <row r="10" spans="1:70" x14ac:dyDescent="0.25">
      <c r="A10" s="20">
        <v>8</v>
      </c>
      <c r="B10" s="1">
        <v>100</v>
      </c>
      <c r="C10" s="1">
        <v>83</v>
      </c>
      <c r="D10" s="1">
        <v>90</v>
      </c>
      <c r="E10" s="1">
        <v>66</v>
      </c>
      <c r="F10" s="1">
        <v>62</v>
      </c>
      <c r="G10" s="1">
        <v>84</v>
      </c>
      <c r="H10" s="1">
        <v>81</v>
      </c>
      <c r="I10" s="1">
        <v>54</v>
      </c>
      <c r="J10" s="1">
        <v>37</v>
      </c>
      <c r="K10" s="1">
        <v>48</v>
      </c>
      <c r="L10" s="1">
        <v>37</v>
      </c>
      <c r="M10" s="1">
        <v>31</v>
      </c>
      <c r="N10" s="1">
        <v>44</v>
      </c>
      <c r="O10" s="1">
        <v>41</v>
      </c>
      <c r="P10" s="1">
        <v>46</v>
      </c>
      <c r="Q10" s="1">
        <v>46</v>
      </c>
      <c r="R10" s="1">
        <v>42</v>
      </c>
      <c r="S10" s="1">
        <v>29</v>
      </c>
      <c r="T10" s="1">
        <v>31</v>
      </c>
      <c r="U10" s="1">
        <v>40</v>
      </c>
      <c r="V10" s="1">
        <v>40</v>
      </c>
      <c r="W10" s="8">
        <f t="shared" si="0"/>
        <v>-0.17</v>
      </c>
      <c r="X10" s="8">
        <f t="shared" si="1"/>
        <v>8.4337349397590355E-2</v>
      </c>
      <c r="Y10" s="8">
        <f t="shared" si="2"/>
        <v>-0.26666666666666666</v>
      </c>
      <c r="Z10" s="8">
        <f t="shared" si="3"/>
        <v>-6.0606060606060608E-2</v>
      </c>
      <c r="AA10" s="8">
        <f t="shared" si="4"/>
        <v>0.35483870967741937</v>
      </c>
      <c r="AB10" s="8">
        <f t="shared" si="5"/>
        <v>-3.5714285714285712E-2</v>
      </c>
      <c r="AC10" s="12">
        <f t="shared" si="27"/>
        <v>-1.5635158985333884E-2</v>
      </c>
      <c r="AD10" s="12">
        <f t="shared" si="28"/>
        <v>-4.816017316017316E-2</v>
      </c>
      <c r="AE10" s="1">
        <f t="shared" si="29"/>
        <v>-17</v>
      </c>
      <c r="AF10" s="1">
        <f t="shared" si="30"/>
        <v>7</v>
      </c>
      <c r="AG10" s="1">
        <f t="shared" si="31"/>
        <v>-24</v>
      </c>
      <c r="AH10" s="1">
        <f t="shared" si="32"/>
        <v>-4</v>
      </c>
      <c r="AI10" s="1">
        <f t="shared" si="33"/>
        <v>22</v>
      </c>
      <c r="AJ10" s="1">
        <f t="shared" si="34"/>
        <v>-3</v>
      </c>
      <c r="AK10" s="17">
        <f t="shared" si="35"/>
        <v>-3.1666666666666665</v>
      </c>
      <c r="AL10" s="17">
        <f t="shared" si="36"/>
        <v>-3.5</v>
      </c>
      <c r="AM10" s="1">
        <f t="shared" si="7"/>
        <v>-0.31481481481481483</v>
      </c>
      <c r="AN10" s="1">
        <f t="shared" si="8"/>
        <v>0.29729729729729731</v>
      </c>
      <c r="AO10" s="1">
        <f t="shared" si="9"/>
        <v>-0.22916666666666666</v>
      </c>
      <c r="AP10" s="1">
        <f t="shared" si="10"/>
        <v>-0.16216216216216217</v>
      </c>
      <c r="AQ10" s="1">
        <f t="shared" si="11"/>
        <v>0.41935483870967744</v>
      </c>
      <c r="AR10" s="1">
        <f t="shared" si="12"/>
        <v>-6.8181818181818177E-2</v>
      </c>
      <c r="AS10" s="12">
        <f t="shared" si="37"/>
        <v>-9.6122209697478422E-3</v>
      </c>
      <c r="AT10" s="12">
        <f t="shared" si="38"/>
        <v>-0.11517199017199017</v>
      </c>
      <c r="AU10" s="1">
        <f t="shared" si="39"/>
        <v>-17</v>
      </c>
      <c r="AV10" s="1">
        <f t="shared" si="40"/>
        <v>11</v>
      </c>
      <c r="AW10" s="1">
        <f t="shared" si="41"/>
        <v>-11</v>
      </c>
      <c r="AX10" s="1">
        <f t="shared" si="42"/>
        <v>-6</v>
      </c>
      <c r="AY10" s="1">
        <f t="shared" si="43"/>
        <v>13</v>
      </c>
      <c r="AZ10" s="1">
        <f t="shared" si="44"/>
        <v>-3</v>
      </c>
      <c r="BA10" s="19">
        <f t="shared" si="14"/>
        <v>-2.1666666666666665</v>
      </c>
      <c r="BB10" s="19">
        <f t="shared" si="15"/>
        <v>-4.5</v>
      </c>
      <c r="BC10" s="9">
        <f t="shared" si="16"/>
        <v>0</v>
      </c>
      <c r="BD10" s="9">
        <f t="shared" si="17"/>
        <v>-8.6956521739130432E-2</v>
      </c>
      <c r="BE10" s="9">
        <f t="shared" si="18"/>
        <v>-0.30952380952380953</v>
      </c>
      <c r="BF10" s="9">
        <f t="shared" si="19"/>
        <v>6.8965517241379309E-2</v>
      </c>
      <c r="BG10" s="9">
        <f t="shared" si="20"/>
        <v>0.29032258064516131</v>
      </c>
      <c r="BH10" s="9">
        <f t="shared" si="21"/>
        <v>0</v>
      </c>
      <c r="BI10" s="12">
        <f t="shared" si="22"/>
        <v>-6.1987055627332295E-3</v>
      </c>
      <c r="BJ10" s="13">
        <f t="shared" si="23"/>
        <v>0</v>
      </c>
      <c r="BK10" s="1">
        <f t="shared" si="45"/>
        <v>0</v>
      </c>
      <c r="BL10" s="1">
        <f t="shared" si="46"/>
        <v>-4</v>
      </c>
      <c r="BM10" s="1">
        <f t="shared" si="47"/>
        <v>-13</v>
      </c>
      <c r="BN10" s="1">
        <f t="shared" si="48"/>
        <v>2</v>
      </c>
      <c r="BO10" s="1">
        <f t="shared" si="49"/>
        <v>9</v>
      </c>
      <c r="BP10" s="1">
        <f t="shared" si="50"/>
        <v>0</v>
      </c>
      <c r="BQ10" s="19">
        <f t="shared" si="25"/>
        <v>-1</v>
      </c>
      <c r="BR10" s="17">
        <f t="shared" si="26"/>
        <v>0</v>
      </c>
    </row>
    <row r="11" spans="1:70" x14ac:dyDescent="0.25">
      <c r="A11" s="20">
        <v>9</v>
      </c>
      <c r="B11" s="1">
        <v>84</v>
      </c>
      <c r="C11" s="1">
        <v>80</v>
      </c>
      <c r="D11" s="1">
        <v>96</v>
      </c>
      <c r="E11" s="1">
        <v>70</v>
      </c>
      <c r="F11" s="1">
        <v>86</v>
      </c>
      <c r="G11" s="1">
        <v>61</v>
      </c>
      <c r="H11" s="1">
        <v>82</v>
      </c>
      <c r="I11" s="1">
        <v>38</v>
      </c>
      <c r="J11" s="1">
        <v>39</v>
      </c>
      <c r="K11" s="1">
        <v>48</v>
      </c>
      <c r="L11" s="1">
        <v>39</v>
      </c>
      <c r="M11" s="1">
        <v>42</v>
      </c>
      <c r="N11" s="1">
        <v>33</v>
      </c>
      <c r="O11" s="1">
        <v>50</v>
      </c>
      <c r="P11" s="1">
        <v>46</v>
      </c>
      <c r="Q11" s="1">
        <v>41</v>
      </c>
      <c r="R11" s="1">
        <v>48</v>
      </c>
      <c r="S11" s="1">
        <v>31</v>
      </c>
      <c r="T11" s="1">
        <v>44</v>
      </c>
      <c r="U11" s="1">
        <v>28</v>
      </c>
      <c r="V11" s="1">
        <v>32</v>
      </c>
      <c r="W11" s="8">
        <f t="shared" si="0"/>
        <v>-4.7619047619047616E-2</v>
      </c>
      <c r="X11" s="8">
        <f t="shared" si="1"/>
        <v>0.2</v>
      </c>
      <c r="Y11" s="8">
        <f t="shared" si="2"/>
        <v>-0.27083333333333331</v>
      </c>
      <c r="Z11" s="8">
        <f t="shared" si="3"/>
        <v>0.22857142857142856</v>
      </c>
      <c r="AA11" s="8">
        <f t="shared" si="4"/>
        <v>-0.29069767441860467</v>
      </c>
      <c r="AB11" s="8">
        <f t="shared" si="5"/>
        <v>0.34426229508196721</v>
      </c>
      <c r="AC11" s="12">
        <f t="shared" si="27"/>
        <v>2.7280611380401696E-2</v>
      </c>
      <c r="AD11" s="12">
        <f t="shared" si="28"/>
        <v>7.6190476190476197E-2</v>
      </c>
      <c r="AE11" s="1">
        <f t="shared" si="29"/>
        <v>-4</v>
      </c>
      <c r="AF11" s="1">
        <f t="shared" si="30"/>
        <v>16</v>
      </c>
      <c r="AG11" s="1">
        <f t="shared" si="31"/>
        <v>-26</v>
      </c>
      <c r="AH11" s="1">
        <f t="shared" si="32"/>
        <v>16</v>
      </c>
      <c r="AI11" s="1">
        <f t="shared" si="33"/>
        <v>-25</v>
      </c>
      <c r="AJ11" s="1">
        <f t="shared" si="34"/>
        <v>21</v>
      </c>
      <c r="AK11" s="17">
        <f t="shared" si="35"/>
        <v>-0.33333333333333331</v>
      </c>
      <c r="AL11" s="17">
        <f t="shared" si="36"/>
        <v>6</v>
      </c>
      <c r="AM11" s="1">
        <f t="shared" si="7"/>
        <v>2.6315789473684209E-2</v>
      </c>
      <c r="AN11" s="1">
        <f t="shared" si="8"/>
        <v>0.23076923076923078</v>
      </c>
      <c r="AO11" s="1">
        <f t="shared" si="9"/>
        <v>-0.1875</v>
      </c>
      <c r="AP11" s="1">
        <f t="shared" si="10"/>
        <v>7.6923076923076927E-2</v>
      </c>
      <c r="AQ11" s="1">
        <f t="shared" si="11"/>
        <v>-0.21428571428571427</v>
      </c>
      <c r="AR11" s="1">
        <f t="shared" si="12"/>
        <v>0.51515151515151514</v>
      </c>
      <c r="AS11" s="12">
        <f t="shared" si="37"/>
        <v>7.456231633863214E-2</v>
      </c>
      <c r="AT11" s="12">
        <f t="shared" si="38"/>
        <v>5.1619433198380568E-2</v>
      </c>
      <c r="AU11" s="1">
        <f t="shared" si="39"/>
        <v>1</v>
      </c>
      <c r="AV11" s="1">
        <f t="shared" si="40"/>
        <v>9</v>
      </c>
      <c r="AW11" s="1">
        <f t="shared" si="41"/>
        <v>-9</v>
      </c>
      <c r="AX11" s="1">
        <f t="shared" si="42"/>
        <v>3</v>
      </c>
      <c r="AY11" s="1">
        <f t="shared" si="43"/>
        <v>-9</v>
      </c>
      <c r="AZ11" s="1">
        <f t="shared" si="44"/>
        <v>17</v>
      </c>
      <c r="BA11" s="19">
        <f t="shared" si="14"/>
        <v>2</v>
      </c>
      <c r="BB11" s="19">
        <f t="shared" si="15"/>
        <v>2</v>
      </c>
      <c r="BC11" s="9">
        <f t="shared" si="16"/>
        <v>-0.10869565217391304</v>
      </c>
      <c r="BD11" s="9">
        <f t="shared" si="17"/>
        <v>0.17073170731707318</v>
      </c>
      <c r="BE11" s="9">
        <f t="shared" si="18"/>
        <v>-0.35416666666666669</v>
      </c>
      <c r="BF11" s="9">
        <f t="shared" si="19"/>
        <v>0.41935483870967744</v>
      </c>
      <c r="BG11" s="9">
        <f t="shared" si="20"/>
        <v>-0.36363636363636365</v>
      </c>
      <c r="BH11" s="9">
        <f t="shared" si="21"/>
        <v>0.14285714285714285</v>
      </c>
      <c r="BI11" s="12">
        <f t="shared" si="22"/>
        <v>-1.5592498932174986E-2</v>
      </c>
      <c r="BJ11" s="13">
        <f t="shared" si="23"/>
        <v>1.7080745341614897E-2</v>
      </c>
      <c r="BK11" s="1">
        <f t="shared" si="45"/>
        <v>-5</v>
      </c>
      <c r="BL11" s="1">
        <f t="shared" si="46"/>
        <v>7</v>
      </c>
      <c r="BM11" s="1">
        <f t="shared" si="47"/>
        <v>-17</v>
      </c>
      <c r="BN11" s="1">
        <f t="shared" si="48"/>
        <v>13</v>
      </c>
      <c r="BO11" s="1">
        <f t="shared" si="49"/>
        <v>-16</v>
      </c>
      <c r="BP11" s="1">
        <f t="shared" si="50"/>
        <v>4</v>
      </c>
      <c r="BQ11" s="19">
        <f t="shared" si="25"/>
        <v>-2.3333333333333335</v>
      </c>
      <c r="BR11" s="17">
        <f t="shared" si="26"/>
        <v>-0.5</v>
      </c>
    </row>
    <row r="12" spans="1:70" x14ac:dyDescent="0.25">
      <c r="A12" s="20">
        <v>10</v>
      </c>
      <c r="B12" s="1">
        <v>68</v>
      </c>
      <c r="C12" s="1">
        <v>73</v>
      </c>
      <c r="D12" s="1">
        <v>73</v>
      </c>
      <c r="E12" s="1">
        <v>62</v>
      </c>
      <c r="F12" s="1">
        <v>61</v>
      </c>
      <c r="G12" s="1">
        <v>71</v>
      </c>
      <c r="H12" s="1">
        <v>64</v>
      </c>
      <c r="I12" s="1">
        <v>36</v>
      </c>
      <c r="J12" s="1">
        <v>40</v>
      </c>
      <c r="K12" s="1">
        <v>31</v>
      </c>
      <c r="L12" s="1">
        <v>29</v>
      </c>
      <c r="M12" s="1">
        <v>30</v>
      </c>
      <c r="N12" s="1">
        <v>36</v>
      </c>
      <c r="O12" s="1">
        <v>36</v>
      </c>
      <c r="P12" s="1">
        <v>32</v>
      </c>
      <c r="Q12" s="1">
        <v>33</v>
      </c>
      <c r="R12" s="1">
        <v>42</v>
      </c>
      <c r="S12" s="1">
        <v>33</v>
      </c>
      <c r="T12" s="1">
        <v>31</v>
      </c>
      <c r="U12" s="1">
        <v>35</v>
      </c>
      <c r="V12" s="1">
        <v>28</v>
      </c>
      <c r="W12" s="8">
        <f t="shared" si="0"/>
        <v>7.3529411764705885E-2</v>
      </c>
      <c r="X12" s="8">
        <f t="shared" si="1"/>
        <v>0</v>
      </c>
      <c r="Y12" s="8">
        <f t="shared" si="2"/>
        <v>-0.15068493150684931</v>
      </c>
      <c r="Z12" s="8">
        <f t="shared" si="3"/>
        <v>-1.6129032258064516E-2</v>
      </c>
      <c r="AA12" s="8">
        <f t="shared" si="4"/>
        <v>0.16393442622950818</v>
      </c>
      <c r="AB12" s="8">
        <f t="shared" si="5"/>
        <v>-9.8591549295774641E-2</v>
      </c>
      <c r="AC12" s="12">
        <f t="shared" si="27"/>
        <v>-4.6569458444123994E-3</v>
      </c>
      <c r="AD12" s="12">
        <f t="shared" si="28"/>
        <v>-8.0645161290322578E-3</v>
      </c>
      <c r="AE12" s="1">
        <f t="shared" si="29"/>
        <v>5</v>
      </c>
      <c r="AF12" s="1">
        <f t="shared" si="30"/>
        <v>0</v>
      </c>
      <c r="AG12" s="1">
        <f t="shared" si="31"/>
        <v>-11</v>
      </c>
      <c r="AH12" s="1">
        <f t="shared" si="32"/>
        <v>-1</v>
      </c>
      <c r="AI12" s="1">
        <f t="shared" si="33"/>
        <v>10</v>
      </c>
      <c r="AJ12" s="1">
        <f t="shared" si="34"/>
        <v>-7</v>
      </c>
      <c r="AK12" s="17">
        <f t="shared" si="35"/>
        <v>-0.66666666666666663</v>
      </c>
      <c r="AL12" s="17">
        <f t="shared" si="36"/>
        <v>-0.5</v>
      </c>
      <c r="AM12" s="1">
        <f t="shared" si="7"/>
        <v>0.1111111111111111</v>
      </c>
      <c r="AN12" s="1">
        <f t="shared" si="8"/>
        <v>-0.22500000000000001</v>
      </c>
      <c r="AO12" s="1">
        <f t="shared" si="9"/>
        <v>-6.4516129032258063E-2</v>
      </c>
      <c r="AP12" s="1">
        <f t="shared" si="10"/>
        <v>3.4482758620689655E-2</v>
      </c>
      <c r="AQ12" s="1">
        <f t="shared" si="11"/>
        <v>0.2</v>
      </c>
      <c r="AR12" s="1">
        <f t="shared" si="12"/>
        <v>0</v>
      </c>
      <c r="AS12" s="12">
        <f t="shared" si="37"/>
        <v>9.3462901165904475E-3</v>
      </c>
      <c r="AT12" s="12">
        <f t="shared" si="38"/>
        <v>1.7241379310344827E-2</v>
      </c>
      <c r="AU12" s="1">
        <f t="shared" si="39"/>
        <v>4</v>
      </c>
      <c r="AV12" s="1">
        <f t="shared" si="40"/>
        <v>-9</v>
      </c>
      <c r="AW12" s="1">
        <f t="shared" si="41"/>
        <v>-2</v>
      </c>
      <c r="AX12" s="1">
        <f t="shared" si="42"/>
        <v>1</v>
      </c>
      <c r="AY12" s="1">
        <f t="shared" si="43"/>
        <v>6</v>
      </c>
      <c r="AZ12" s="1">
        <f t="shared" si="44"/>
        <v>0</v>
      </c>
      <c r="BA12" s="19">
        <f t="shared" si="14"/>
        <v>0</v>
      </c>
      <c r="BB12" s="19">
        <f t="shared" si="15"/>
        <v>0.5</v>
      </c>
      <c r="BC12" s="9">
        <f t="shared" si="16"/>
        <v>3.125E-2</v>
      </c>
      <c r="BD12" s="9">
        <f t="shared" si="17"/>
        <v>0.27272727272727271</v>
      </c>
      <c r="BE12" s="9">
        <f t="shared" si="18"/>
        <v>-0.21428571428571427</v>
      </c>
      <c r="BF12" s="9">
        <f t="shared" si="19"/>
        <v>-6.0606060606060608E-2</v>
      </c>
      <c r="BG12" s="9">
        <f t="shared" si="20"/>
        <v>0.12903225806451613</v>
      </c>
      <c r="BH12" s="9">
        <f t="shared" si="21"/>
        <v>-0.2</v>
      </c>
      <c r="BI12" s="12">
        <f t="shared" si="22"/>
        <v>-6.9803740166643436E-3</v>
      </c>
      <c r="BJ12" s="13">
        <f t="shared" si="23"/>
        <v>-1.4678030303030304E-2</v>
      </c>
      <c r="BK12" s="1">
        <f t="shared" si="45"/>
        <v>1</v>
      </c>
      <c r="BL12" s="1">
        <f t="shared" si="46"/>
        <v>9</v>
      </c>
      <c r="BM12" s="1">
        <f t="shared" si="47"/>
        <v>-9</v>
      </c>
      <c r="BN12" s="1">
        <f t="shared" si="48"/>
        <v>-2</v>
      </c>
      <c r="BO12" s="1">
        <f t="shared" si="49"/>
        <v>4</v>
      </c>
      <c r="BP12" s="1">
        <f t="shared" si="50"/>
        <v>-7</v>
      </c>
      <c r="BQ12" s="19">
        <f t="shared" si="25"/>
        <v>-0.66666666666666663</v>
      </c>
      <c r="BR12" s="17">
        <f t="shared" si="26"/>
        <v>-0.5</v>
      </c>
    </row>
    <row r="13" spans="1:70" x14ac:dyDescent="0.25">
      <c r="A13" s="20">
        <v>11</v>
      </c>
      <c r="B13" s="1">
        <v>72</v>
      </c>
      <c r="C13" s="1">
        <v>89</v>
      </c>
      <c r="D13" s="1">
        <v>87</v>
      </c>
      <c r="E13" s="1">
        <v>64</v>
      </c>
      <c r="F13" s="1">
        <v>80</v>
      </c>
      <c r="G13" s="1">
        <v>68</v>
      </c>
      <c r="H13" s="1">
        <v>76</v>
      </c>
      <c r="I13" s="1">
        <v>40</v>
      </c>
      <c r="J13" s="1">
        <v>43</v>
      </c>
      <c r="K13" s="1">
        <v>42</v>
      </c>
      <c r="L13" s="1">
        <v>27</v>
      </c>
      <c r="M13" s="1">
        <v>39</v>
      </c>
      <c r="N13" s="1">
        <v>34</v>
      </c>
      <c r="O13" s="1">
        <v>43</v>
      </c>
      <c r="P13" s="1">
        <v>32</v>
      </c>
      <c r="Q13" s="1">
        <v>46</v>
      </c>
      <c r="R13" s="1">
        <v>45</v>
      </c>
      <c r="S13" s="1">
        <v>37</v>
      </c>
      <c r="T13" s="1">
        <v>41</v>
      </c>
      <c r="U13" s="1">
        <v>34</v>
      </c>
      <c r="V13" s="1">
        <v>33</v>
      </c>
      <c r="W13" s="8">
        <f t="shared" si="0"/>
        <v>0.2361111111111111</v>
      </c>
      <c r="X13" s="8">
        <f t="shared" si="1"/>
        <v>-2.247191011235955E-2</v>
      </c>
      <c r="Y13" s="8">
        <f t="shared" si="2"/>
        <v>-0.26436781609195403</v>
      </c>
      <c r="Z13" s="8">
        <f t="shared" si="3"/>
        <v>0.25</v>
      </c>
      <c r="AA13" s="8">
        <f t="shared" si="4"/>
        <v>-0.15</v>
      </c>
      <c r="AB13" s="8">
        <f t="shared" si="5"/>
        <v>0.11764705882352941</v>
      </c>
      <c r="AC13" s="12">
        <f t="shared" si="27"/>
        <v>2.7819740621721156E-2</v>
      </c>
      <c r="AD13" s="12">
        <f t="shared" si="28"/>
        <v>4.758757435558493E-2</v>
      </c>
      <c r="AE13" s="1">
        <f t="shared" si="29"/>
        <v>17</v>
      </c>
      <c r="AF13" s="1">
        <f t="shared" si="30"/>
        <v>-2</v>
      </c>
      <c r="AG13" s="1">
        <f t="shared" si="31"/>
        <v>-23</v>
      </c>
      <c r="AH13" s="1">
        <f t="shared" si="32"/>
        <v>16</v>
      </c>
      <c r="AI13" s="1">
        <f t="shared" si="33"/>
        <v>-12</v>
      </c>
      <c r="AJ13" s="1">
        <f t="shared" si="34"/>
        <v>8</v>
      </c>
      <c r="AK13" s="17">
        <f t="shared" si="35"/>
        <v>0.66666666666666663</v>
      </c>
      <c r="AL13" s="17">
        <f t="shared" si="36"/>
        <v>3</v>
      </c>
      <c r="AM13" s="1">
        <f t="shared" si="7"/>
        <v>7.4999999999999997E-2</v>
      </c>
      <c r="AN13" s="1">
        <f t="shared" si="8"/>
        <v>-2.3255813953488372E-2</v>
      </c>
      <c r="AO13" s="1">
        <f t="shared" si="9"/>
        <v>-0.35714285714285715</v>
      </c>
      <c r="AP13" s="1">
        <f t="shared" si="10"/>
        <v>0.44444444444444442</v>
      </c>
      <c r="AQ13" s="1">
        <f t="shared" si="11"/>
        <v>-0.12820512820512819</v>
      </c>
      <c r="AR13" s="1">
        <f t="shared" si="12"/>
        <v>0.26470588235294118</v>
      </c>
      <c r="AS13" s="12">
        <f t="shared" si="37"/>
        <v>4.5924421249318642E-2</v>
      </c>
      <c r="AT13" s="12">
        <f t="shared" si="38"/>
        <v>2.5872093023255813E-2</v>
      </c>
      <c r="AU13" s="1">
        <f t="shared" si="39"/>
        <v>3</v>
      </c>
      <c r="AV13" s="1">
        <f t="shared" si="40"/>
        <v>-1</v>
      </c>
      <c r="AW13" s="1">
        <f t="shared" si="41"/>
        <v>-15</v>
      </c>
      <c r="AX13" s="1">
        <f t="shared" si="42"/>
        <v>12</v>
      </c>
      <c r="AY13" s="1">
        <f t="shared" si="43"/>
        <v>-5</v>
      </c>
      <c r="AZ13" s="1">
        <f t="shared" si="44"/>
        <v>9</v>
      </c>
      <c r="BA13" s="19">
        <f t="shared" si="14"/>
        <v>0.5</v>
      </c>
      <c r="BB13" s="19">
        <f t="shared" si="15"/>
        <v>1</v>
      </c>
      <c r="BC13" s="9">
        <f t="shared" si="16"/>
        <v>0.4375</v>
      </c>
      <c r="BD13" s="9">
        <f t="shared" si="17"/>
        <v>-2.1739130434782608E-2</v>
      </c>
      <c r="BE13" s="9">
        <f t="shared" si="18"/>
        <v>-0.17777777777777778</v>
      </c>
      <c r="BF13" s="9">
        <f t="shared" si="19"/>
        <v>0.10810810810810811</v>
      </c>
      <c r="BG13" s="9">
        <f t="shared" si="20"/>
        <v>-0.17073170731707318</v>
      </c>
      <c r="BH13" s="9">
        <f t="shared" si="21"/>
        <v>-2.9411764705882353E-2</v>
      </c>
      <c r="BI13" s="12">
        <f t="shared" si="22"/>
        <v>2.4324621312098695E-2</v>
      </c>
      <c r="BJ13" s="13">
        <f t="shared" si="23"/>
        <v>-2.557544757033248E-2</v>
      </c>
      <c r="BK13" s="1">
        <f t="shared" si="45"/>
        <v>14</v>
      </c>
      <c r="BL13" s="1">
        <f t="shared" si="46"/>
        <v>-1</v>
      </c>
      <c r="BM13" s="1">
        <f t="shared" si="47"/>
        <v>-8</v>
      </c>
      <c r="BN13" s="1">
        <f t="shared" si="48"/>
        <v>4</v>
      </c>
      <c r="BO13" s="1">
        <f t="shared" si="49"/>
        <v>-7</v>
      </c>
      <c r="BP13" s="1">
        <f t="shared" si="50"/>
        <v>-1</v>
      </c>
      <c r="BQ13" s="19">
        <f t="shared" si="25"/>
        <v>0.16666666666666666</v>
      </c>
      <c r="BR13" s="17">
        <f t="shared" si="26"/>
        <v>-1</v>
      </c>
    </row>
    <row r="14" spans="1:70" x14ac:dyDescent="0.25">
      <c r="A14" s="20">
        <v>12</v>
      </c>
      <c r="B14" s="1">
        <v>48</v>
      </c>
      <c r="C14" s="1">
        <v>52</v>
      </c>
      <c r="D14" s="1">
        <v>57</v>
      </c>
      <c r="E14" s="1">
        <v>45</v>
      </c>
      <c r="F14" s="1">
        <v>57</v>
      </c>
      <c r="G14" s="1">
        <v>78</v>
      </c>
      <c r="H14" s="1">
        <v>54</v>
      </c>
      <c r="I14" s="1">
        <v>25</v>
      </c>
      <c r="J14" s="1">
        <v>28</v>
      </c>
      <c r="K14" s="1">
        <v>31</v>
      </c>
      <c r="L14" s="1">
        <v>23</v>
      </c>
      <c r="M14" s="1">
        <v>28</v>
      </c>
      <c r="N14" s="1">
        <v>42</v>
      </c>
      <c r="O14" s="1">
        <v>29</v>
      </c>
      <c r="P14" s="1">
        <v>23</v>
      </c>
      <c r="Q14" s="1">
        <v>24</v>
      </c>
      <c r="R14" s="1">
        <v>26</v>
      </c>
      <c r="S14" s="1">
        <v>22</v>
      </c>
      <c r="T14" s="1">
        <v>29</v>
      </c>
      <c r="U14" s="1">
        <v>36</v>
      </c>
      <c r="V14" s="1">
        <v>25</v>
      </c>
      <c r="W14" s="8">
        <f t="shared" si="0"/>
        <v>8.3333333333333329E-2</v>
      </c>
      <c r="X14" s="8">
        <f t="shared" si="1"/>
        <v>9.6153846153846159E-2</v>
      </c>
      <c r="Y14" s="8">
        <f t="shared" si="2"/>
        <v>-0.21052631578947367</v>
      </c>
      <c r="Z14" s="8">
        <f t="shared" si="3"/>
        <v>0.26666666666666666</v>
      </c>
      <c r="AA14" s="8">
        <f t="shared" si="4"/>
        <v>0.36842105263157893</v>
      </c>
      <c r="AB14" s="8">
        <f t="shared" si="5"/>
        <v>-0.30769230769230771</v>
      </c>
      <c r="AC14" s="12">
        <f t="shared" si="27"/>
        <v>4.9392712550607287E-2</v>
      </c>
      <c r="AD14" s="12">
        <f t="shared" si="28"/>
        <v>8.9743589743589744E-2</v>
      </c>
      <c r="AE14" s="1">
        <f t="shared" si="29"/>
        <v>4</v>
      </c>
      <c r="AF14" s="1">
        <f t="shared" si="30"/>
        <v>5</v>
      </c>
      <c r="AG14" s="1">
        <f t="shared" si="31"/>
        <v>-12</v>
      </c>
      <c r="AH14" s="1">
        <f t="shared" si="32"/>
        <v>12</v>
      </c>
      <c r="AI14" s="1">
        <f t="shared" si="33"/>
        <v>21</v>
      </c>
      <c r="AJ14" s="1">
        <f t="shared" si="34"/>
        <v>-24</v>
      </c>
      <c r="AK14" s="17">
        <f t="shared" si="35"/>
        <v>1</v>
      </c>
      <c r="AL14" s="17">
        <f t="shared" si="36"/>
        <v>4.5</v>
      </c>
      <c r="AM14" s="1">
        <f t="shared" si="7"/>
        <v>0.12</v>
      </c>
      <c r="AN14" s="1">
        <f t="shared" si="8"/>
        <v>0.10714285714285714</v>
      </c>
      <c r="AO14" s="1">
        <f t="shared" si="9"/>
        <v>-0.25806451612903225</v>
      </c>
      <c r="AP14" s="1">
        <f t="shared" si="10"/>
        <v>0.21739130434782608</v>
      </c>
      <c r="AQ14" s="1">
        <f t="shared" si="11"/>
        <v>0.5</v>
      </c>
      <c r="AR14" s="1">
        <f t="shared" si="12"/>
        <v>-0.30952380952380953</v>
      </c>
      <c r="AS14" s="12">
        <f t="shared" si="37"/>
        <v>6.2824305972973574E-2</v>
      </c>
      <c r="AT14" s="12">
        <f t="shared" si="38"/>
        <v>0.11357142857142857</v>
      </c>
      <c r="AU14" s="1">
        <f t="shared" si="39"/>
        <v>3</v>
      </c>
      <c r="AV14" s="1">
        <f t="shared" si="40"/>
        <v>3</v>
      </c>
      <c r="AW14" s="1">
        <f t="shared" si="41"/>
        <v>-8</v>
      </c>
      <c r="AX14" s="1">
        <f t="shared" si="42"/>
        <v>5</v>
      </c>
      <c r="AY14" s="1">
        <f t="shared" si="43"/>
        <v>14</v>
      </c>
      <c r="AZ14" s="1">
        <f t="shared" si="44"/>
        <v>-13</v>
      </c>
      <c r="BA14" s="19">
        <f t="shared" si="14"/>
        <v>0.66666666666666663</v>
      </c>
      <c r="BB14" s="19">
        <f t="shared" si="15"/>
        <v>3</v>
      </c>
      <c r="BC14" s="9">
        <f t="shared" si="16"/>
        <v>4.3478260869565216E-2</v>
      </c>
      <c r="BD14" s="9">
        <f t="shared" si="17"/>
        <v>8.3333333333333329E-2</v>
      </c>
      <c r="BE14" s="9">
        <f t="shared" si="18"/>
        <v>-0.15384615384615385</v>
      </c>
      <c r="BF14" s="9">
        <f t="shared" si="19"/>
        <v>0.31818181818181818</v>
      </c>
      <c r="BG14" s="9">
        <f t="shared" si="20"/>
        <v>0.2413793103448276</v>
      </c>
      <c r="BH14" s="9">
        <f t="shared" si="21"/>
        <v>-0.30555555555555558</v>
      </c>
      <c r="BI14" s="12">
        <f t="shared" si="22"/>
        <v>3.7828502221305814E-2</v>
      </c>
      <c r="BJ14" s="13">
        <f t="shared" si="23"/>
        <v>6.3405797101449279E-2</v>
      </c>
      <c r="BK14" s="1">
        <f t="shared" si="45"/>
        <v>1</v>
      </c>
      <c r="BL14" s="1">
        <f t="shared" si="46"/>
        <v>2</v>
      </c>
      <c r="BM14" s="1">
        <f t="shared" si="47"/>
        <v>-4</v>
      </c>
      <c r="BN14" s="1">
        <f t="shared" si="48"/>
        <v>7</v>
      </c>
      <c r="BO14" s="1">
        <f t="shared" si="49"/>
        <v>7</v>
      </c>
      <c r="BP14" s="1">
        <f t="shared" si="50"/>
        <v>-11</v>
      </c>
      <c r="BQ14" s="19">
        <f t="shared" si="25"/>
        <v>0.33333333333333331</v>
      </c>
      <c r="BR14" s="17">
        <f t="shared" si="26"/>
        <v>1.5</v>
      </c>
    </row>
    <row r="15" spans="1:70" x14ac:dyDescent="0.25">
      <c r="A15" s="20">
        <v>13</v>
      </c>
      <c r="B15" s="1">
        <v>63</v>
      </c>
      <c r="C15" s="1">
        <v>47</v>
      </c>
      <c r="D15" s="1">
        <v>61</v>
      </c>
      <c r="E15" s="1">
        <v>44</v>
      </c>
      <c r="F15" s="1">
        <v>72</v>
      </c>
      <c r="G15" s="1">
        <v>63</v>
      </c>
      <c r="H15" s="1">
        <v>71</v>
      </c>
      <c r="I15" s="1">
        <v>28</v>
      </c>
      <c r="J15" s="1">
        <v>24</v>
      </c>
      <c r="K15" s="1">
        <v>28</v>
      </c>
      <c r="L15" s="1">
        <v>20</v>
      </c>
      <c r="M15" s="1">
        <v>38</v>
      </c>
      <c r="N15" s="1">
        <v>30</v>
      </c>
      <c r="O15" s="1">
        <v>40</v>
      </c>
      <c r="P15" s="1">
        <v>35</v>
      </c>
      <c r="Q15" s="1">
        <v>23</v>
      </c>
      <c r="R15" s="1">
        <v>33</v>
      </c>
      <c r="S15" s="1">
        <v>24</v>
      </c>
      <c r="T15" s="1">
        <v>34</v>
      </c>
      <c r="U15" s="1">
        <v>33</v>
      </c>
      <c r="V15" s="1">
        <v>31</v>
      </c>
      <c r="W15" s="8">
        <f t="shared" si="0"/>
        <v>-0.25396825396825395</v>
      </c>
      <c r="X15" s="8">
        <f t="shared" si="1"/>
        <v>0.2978723404255319</v>
      </c>
      <c r="Y15" s="8">
        <f t="shared" si="2"/>
        <v>-0.27868852459016391</v>
      </c>
      <c r="Z15" s="8">
        <f t="shared" si="3"/>
        <v>0.63636363636363635</v>
      </c>
      <c r="AA15" s="8">
        <f t="shared" si="4"/>
        <v>-0.125</v>
      </c>
      <c r="AB15" s="8">
        <f t="shared" si="5"/>
        <v>0.12698412698412698</v>
      </c>
      <c r="AC15" s="12">
        <f t="shared" si="27"/>
        <v>6.7260554202479561E-2</v>
      </c>
      <c r="AD15" s="12">
        <f t="shared" si="28"/>
        <v>9.9206349206348854E-4</v>
      </c>
      <c r="AE15" s="1">
        <f t="shared" si="29"/>
        <v>-16</v>
      </c>
      <c r="AF15" s="1">
        <f t="shared" si="30"/>
        <v>14</v>
      </c>
      <c r="AG15" s="1">
        <f t="shared" si="31"/>
        <v>-17</v>
      </c>
      <c r="AH15" s="1">
        <f t="shared" si="32"/>
        <v>28</v>
      </c>
      <c r="AI15" s="1">
        <f t="shared" si="33"/>
        <v>-9</v>
      </c>
      <c r="AJ15" s="1">
        <f t="shared" si="34"/>
        <v>8</v>
      </c>
      <c r="AK15" s="17">
        <f t="shared" si="35"/>
        <v>1.3333333333333333</v>
      </c>
      <c r="AL15" s="17">
        <f t="shared" si="36"/>
        <v>-0.5</v>
      </c>
      <c r="AM15" s="1">
        <f t="shared" si="7"/>
        <v>-0.14285714285714285</v>
      </c>
      <c r="AN15" s="1">
        <f t="shared" si="8"/>
        <v>0.16666666666666666</v>
      </c>
      <c r="AO15" s="1">
        <f t="shared" si="9"/>
        <v>-0.2857142857142857</v>
      </c>
      <c r="AP15" s="1">
        <f t="shared" si="10"/>
        <v>0.9</v>
      </c>
      <c r="AQ15" s="1">
        <f t="shared" si="11"/>
        <v>-0.21052631578947367</v>
      </c>
      <c r="AR15" s="1">
        <f t="shared" si="12"/>
        <v>0.33333333333333331</v>
      </c>
      <c r="AS15" s="12">
        <f t="shared" si="37"/>
        <v>0.1268170426065163</v>
      </c>
      <c r="AT15" s="12">
        <f t="shared" si="38"/>
        <v>1.1904761904761918E-2</v>
      </c>
      <c r="AU15" s="1">
        <f t="shared" si="39"/>
        <v>-4</v>
      </c>
      <c r="AV15" s="1">
        <f t="shared" si="40"/>
        <v>4</v>
      </c>
      <c r="AW15" s="1">
        <f t="shared" si="41"/>
        <v>-8</v>
      </c>
      <c r="AX15" s="1">
        <f t="shared" si="42"/>
        <v>18</v>
      </c>
      <c r="AY15" s="1">
        <f t="shared" si="43"/>
        <v>-8</v>
      </c>
      <c r="AZ15" s="1">
        <f t="shared" si="44"/>
        <v>10</v>
      </c>
      <c r="BA15" s="19">
        <f t="shared" si="14"/>
        <v>2</v>
      </c>
      <c r="BB15" s="19">
        <f t="shared" si="15"/>
        <v>0</v>
      </c>
      <c r="BC15" s="9">
        <f t="shared" si="16"/>
        <v>-0.34285714285714286</v>
      </c>
      <c r="BD15" s="9">
        <f t="shared" si="17"/>
        <v>0.43478260869565216</v>
      </c>
      <c r="BE15" s="9">
        <f t="shared" si="18"/>
        <v>-0.27272727272727271</v>
      </c>
      <c r="BF15" s="9">
        <f t="shared" si="19"/>
        <v>0.41666666666666669</v>
      </c>
      <c r="BG15" s="9">
        <f t="shared" si="20"/>
        <v>-2.9411764705882353E-2</v>
      </c>
      <c r="BH15" s="9">
        <f t="shared" si="21"/>
        <v>-6.0606060606060608E-2</v>
      </c>
      <c r="BI15" s="12">
        <f t="shared" si="22"/>
        <v>2.4307839077660053E-2</v>
      </c>
      <c r="BJ15" s="13">
        <f t="shared" si="23"/>
        <v>-4.5008912655971484E-2</v>
      </c>
      <c r="BK15" s="1">
        <f t="shared" si="45"/>
        <v>-12</v>
      </c>
      <c r="BL15" s="1">
        <f t="shared" si="46"/>
        <v>10</v>
      </c>
      <c r="BM15" s="1">
        <f t="shared" si="47"/>
        <v>-9</v>
      </c>
      <c r="BN15" s="1">
        <f t="shared" si="48"/>
        <v>10</v>
      </c>
      <c r="BO15" s="1">
        <f t="shared" si="49"/>
        <v>-1</v>
      </c>
      <c r="BP15" s="1">
        <f t="shared" si="50"/>
        <v>-2</v>
      </c>
      <c r="BQ15" s="19">
        <f t="shared" si="25"/>
        <v>-0.66666666666666663</v>
      </c>
      <c r="BR15" s="17">
        <f t="shared" si="26"/>
        <v>-1.5</v>
      </c>
    </row>
    <row r="16" spans="1:70" x14ac:dyDescent="0.25">
      <c r="A16" s="20">
        <v>14</v>
      </c>
      <c r="B16" s="1">
        <v>86</v>
      </c>
      <c r="C16" s="1">
        <v>69</v>
      </c>
      <c r="D16" s="1">
        <v>62</v>
      </c>
      <c r="E16" s="1">
        <v>49</v>
      </c>
      <c r="F16" s="1">
        <v>60</v>
      </c>
      <c r="G16" s="1">
        <v>68</v>
      </c>
      <c r="H16" s="1">
        <v>75</v>
      </c>
      <c r="I16" s="1">
        <v>46</v>
      </c>
      <c r="J16" s="1">
        <v>33</v>
      </c>
      <c r="K16" s="1">
        <v>36</v>
      </c>
      <c r="L16" s="1">
        <v>31</v>
      </c>
      <c r="M16" s="1">
        <v>32</v>
      </c>
      <c r="N16" s="1">
        <v>35</v>
      </c>
      <c r="O16" s="1">
        <v>45</v>
      </c>
      <c r="P16" s="1">
        <v>40</v>
      </c>
      <c r="Q16" s="1">
        <v>36</v>
      </c>
      <c r="R16" s="1">
        <v>26</v>
      </c>
      <c r="S16" s="1">
        <v>18</v>
      </c>
      <c r="T16" s="1">
        <v>28</v>
      </c>
      <c r="U16" s="1">
        <v>33</v>
      </c>
      <c r="V16" s="1">
        <v>30</v>
      </c>
      <c r="W16" s="8">
        <f t="shared" si="0"/>
        <v>-0.19767441860465115</v>
      </c>
      <c r="X16" s="8">
        <f t="shared" si="1"/>
        <v>-0.10144927536231885</v>
      </c>
      <c r="Y16" s="8">
        <f t="shared" si="2"/>
        <v>-0.20967741935483872</v>
      </c>
      <c r="Z16" s="8">
        <f t="shared" si="3"/>
        <v>0.22448979591836735</v>
      </c>
      <c r="AA16" s="8">
        <f t="shared" si="4"/>
        <v>0.13333333333333333</v>
      </c>
      <c r="AB16" s="8">
        <f t="shared" si="5"/>
        <v>0.10294117647058823</v>
      </c>
      <c r="AC16" s="12">
        <f t="shared" si="27"/>
        <v>-8.0061345999199729E-3</v>
      </c>
      <c r="AD16" s="12">
        <f t="shared" si="28"/>
        <v>7.4595055413469169E-4</v>
      </c>
      <c r="AE16" s="1">
        <f t="shared" si="29"/>
        <v>-17</v>
      </c>
      <c r="AF16" s="1">
        <f t="shared" si="30"/>
        <v>-7</v>
      </c>
      <c r="AG16" s="1">
        <f t="shared" si="31"/>
        <v>-13</v>
      </c>
      <c r="AH16" s="1">
        <f t="shared" si="32"/>
        <v>11</v>
      </c>
      <c r="AI16" s="1">
        <f t="shared" si="33"/>
        <v>8</v>
      </c>
      <c r="AJ16" s="1">
        <f t="shared" si="34"/>
        <v>7</v>
      </c>
      <c r="AK16" s="17">
        <f t="shared" si="35"/>
        <v>-1.8333333333333333</v>
      </c>
      <c r="AL16" s="17">
        <f t="shared" si="36"/>
        <v>0</v>
      </c>
      <c r="AM16" s="1">
        <f t="shared" si="7"/>
        <v>-0.28260869565217389</v>
      </c>
      <c r="AN16" s="1">
        <f t="shared" si="8"/>
        <v>9.0909090909090912E-2</v>
      </c>
      <c r="AO16" s="1">
        <f t="shared" si="9"/>
        <v>-0.1388888888888889</v>
      </c>
      <c r="AP16" s="1">
        <f t="shared" si="10"/>
        <v>3.2258064516129031E-2</v>
      </c>
      <c r="AQ16" s="1">
        <f t="shared" si="11"/>
        <v>9.375E-2</v>
      </c>
      <c r="AR16" s="1">
        <f t="shared" si="12"/>
        <v>0.2857142857142857</v>
      </c>
      <c r="AS16" s="12">
        <f t="shared" si="37"/>
        <v>1.3522309433073809E-2</v>
      </c>
      <c r="AT16" s="12">
        <f t="shared" si="38"/>
        <v>6.1583577712609971E-2</v>
      </c>
      <c r="AU16" s="1">
        <f t="shared" si="39"/>
        <v>-13</v>
      </c>
      <c r="AV16" s="1">
        <f t="shared" si="40"/>
        <v>3</v>
      </c>
      <c r="AW16" s="1">
        <f t="shared" si="41"/>
        <v>-5</v>
      </c>
      <c r="AX16" s="1">
        <f t="shared" si="42"/>
        <v>1</v>
      </c>
      <c r="AY16" s="1">
        <f t="shared" si="43"/>
        <v>3</v>
      </c>
      <c r="AZ16" s="1">
        <f t="shared" si="44"/>
        <v>10</v>
      </c>
      <c r="BA16" s="19">
        <f t="shared" si="14"/>
        <v>-0.16666666666666666</v>
      </c>
      <c r="BB16" s="19">
        <f t="shared" si="15"/>
        <v>2</v>
      </c>
      <c r="BC16" s="9">
        <f t="shared" si="16"/>
        <v>-0.1</v>
      </c>
      <c r="BD16" s="9">
        <f t="shared" si="17"/>
        <v>-0.27777777777777779</v>
      </c>
      <c r="BE16" s="9">
        <f t="shared" si="18"/>
        <v>-0.30769230769230771</v>
      </c>
      <c r="BF16" s="9">
        <f t="shared" si="19"/>
        <v>0.55555555555555558</v>
      </c>
      <c r="BG16" s="9">
        <f t="shared" si="20"/>
        <v>0.17857142857142858</v>
      </c>
      <c r="BH16" s="9">
        <f t="shared" si="21"/>
        <v>-9.0909090909090912E-2</v>
      </c>
      <c r="BI16" s="12">
        <f t="shared" si="22"/>
        <v>-7.0420320420320386E-3</v>
      </c>
      <c r="BJ16" s="13">
        <f t="shared" si="23"/>
        <v>-9.5454545454545459E-2</v>
      </c>
      <c r="BK16" s="1">
        <f t="shared" si="45"/>
        <v>-4</v>
      </c>
      <c r="BL16" s="1">
        <f t="shared" si="46"/>
        <v>-10</v>
      </c>
      <c r="BM16" s="1">
        <f t="shared" si="47"/>
        <v>-8</v>
      </c>
      <c r="BN16" s="1">
        <f t="shared" si="48"/>
        <v>10</v>
      </c>
      <c r="BO16" s="1">
        <f t="shared" si="49"/>
        <v>5</v>
      </c>
      <c r="BP16" s="1">
        <f t="shared" si="50"/>
        <v>-3</v>
      </c>
      <c r="BQ16" s="19">
        <f t="shared" si="25"/>
        <v>-1.6666666666666667</v>
      </c>
      <c r="BR16" s="17">
        <f t="shared" si="26"/>
        <v>-3.5</v>
      </c>
    </row>
    <row r="17" spans="1:70" x14ac:dyDescent="0.25">
      <c r="A17" s="20">
        <v>15</v>
      </c>
      <c r="B17" s="1">
        <v>78</v>
      </c>
      <c r="C17" s="1">
        <v>56</v>
      </c>
      <c r="D17" s="1">
        <v>58</v>
      </c>
      <c r="E17" s="1">
        <v>64</v>
      </c>
      <c r="F17" s="1">
        <v>67</v>
      </c>
      <c r="G17" s="1">
        <v>72</v>
      </c>
      <c r="H17" s="1">
        <v>81</v>
      </c>
      <c r="I17" s="1">
        <v>39</v>
      </c>
      <c r="J17" s="1">
        <v>28</v>
      </c>
      <c r="K17" s="1">
        <v>36</v>
      </c>
      <c r="L17" s="1">
        <v>37</v>
      </c>
      <c r="M17" s="1">
        <v>38</v>
      </c>
      <c r="N17" s="1">
        <v>31</v>
      </c>
      <c r="O17" s="1">
        <v>57</v>
      </c>
      <c r="P17" s="1">
        <v>39</v>
      </c>
      <c r="Q17" s="1">
        <v>28</v>
      </c>
      <c r="R17" s="1">
        <v>22</v>
      </c>
      <c r="S17" s="1">
        <v>27</v>
      </c>
      <c r="T17" s="1">
        <v>29</v>
      </c>
      <c r="U17" s="1">
        <v>41</v>
      </c>
      <c r="V17" s="1">
        <v>24</v>
      </c>
      <c r="W17" s="8">
        <f t="shared" si="0"/>
        <v>-0.28205128205128205</v>
      </c>
      <c r="X17" s="8">
        <f t="shared" si="1"/>
        <v>3.5714285714285712E-2</v>
      </c>
      <c r="Y17" s="8">
        <f t="shared" si="2"/>
        <v>0.10344827586206896</v>
      </c>
      <c r="Z17" s="8">
        <f t="shared" si="3"/>
        <v>4.6875E-2</v>
      </c>
      <c r="AA17" s="8">
        <f t="shared" si="4"/>
        <v>7.4626865671641784E-2</v>
      </c>
      <c r="AB17" s="8">
        <f t="shared" si="5"/>
        <v>0.125</v>
      </c>
      <c r="AC17" s="12">
        <f t="shared" si="27"/>
        <v>1.7268857532785731E-2</v>
      </c>
      <c r="AD17" s="12">
        <f t="shared" si="28"/>
        <v>6.0750932835820892E-2</v>
      </c>
      <c r="AE17" s="1">
        <f t="shared" si="29"/>
        <v>-22</v>
      </c>
      <c r="AF17" s="1">
        <f t="shared" si="30"/>
        <v>2</v>
      </c>
      <c r="AG17" s="1">
        <f t="shared" si="31"/>
        <v>6</v>
      </c>
      <c r="AH17" s="1">
        <f t="shared" si="32"/>
        <v>3</v>
      </c>
      <c r="AI17" s="1">
        <f t="shared" si="33"/>
        <v>5</v>
      </c>
      <c r="AJ17" s="1">
        <f t="shared" si="34"/>
        <v>9</v>
      </c>
      <c r="AK17" s="17">
        <f t="shared" si="35"/>
        <v>0.5</v>
      </c>
      <c r="AL17" s="17">
        <f t="shared" si="36"/>
        <v>4</v>
      </c>
      <c r="AM17" s="1">
        <f t="shared" si="7"/>
        <v>-0.28205128205128205</v>
      </c>
      <c r="AN17" s="1">
        <f t="shared" si="8"/>
        <v>0.2857142857142857</v>
      </c>
      <c r="AO17" s="1">
        <f t="shared" si="9"/>
        <v>2.7777777777777776E-2</v>
      </c>
      <c r="AP17" s="1">
        <f t="shared" si="10"/>
        <v>2.7027027027027029E-2</v>
      </c>
      <c r="AQ17" s="1">
        <f t="shared" si="11"/>
        <v>-0.18421052631578946</v>
      </c>
      <c r="AR17" s="1">
        <f t="shared" si="12"/>
        <v>0.83870967741935487</v>
      </c>
      <c r="AS17" s="12">
        <f t="shared" si="37"/>
        <v>0.11882782659522899</v>
      </c>
      <c r="AT17" s="12">
        <f t="shared" si="38"/>
        <v>2.7402402402402402E-2</v>
      </c>
      <c r="AU17" s="1">
        <f t="shared" si="39"/>
        <v>-11</v>
      </c>
      <c r="AV17" s="1">
        <f t="shared" si="40"/>
        <v>8</v>
      </c>
      <c r="AW17" s="1">
        <f t="shared" si="41"/>
        <v>1</v>
      </c>
      <c r="AX17" s="1">
        <f t="shared" si="42"/>
        <v>1</v>
      </c>
      <c r="AY17" s="1">
        <f t="shared" si="43"/>
        <v>-7</v>
      </c>
      <c r="AZ17" s="1">
        <f t="shared" si="44"/>
        <v>26</v>
      </c>
      <c r="BA17" s="19">
        <f t="shared" si="14"/>
        <v>3</v>
      </c>
      <c r="BB17" s="19">
        <f t="shared" si="15"/>
        <v>1</v>
      </c>
      <c r="BC17" s="9">
        <f t="shared" si="16"/>
        <v>-0.28205128205128205</v>
      </c>
      <c r="BD17" s="9">
        <f t="shared" si="17"/>
        <v>-0.21428571428571427</v>
      </c>
      <c r="BE17" s="9">
        <f t="shared" si="18"/>
        <v>0.22727272727272727</v>
      </c>
      <c r="BF17" s="9">
        <f t="shared" si="19"/>
        <v>7.407407407407407E-2</v>
      </c>
      <c r="BG17" s="9">
        <f t="shared" si="20"/>
        <v>0.41379310344827586</v>
      </c>
      <c r="BH17" s="9">
        <f t="shared" si="21"/>
        <v>-0.41463414634146339</v>
      </c>
      <c r="BI17" s="12">
        <f t="shared" si="22"/>
        <v>-3.2638539647230423E-2</v>
      </c>
      <c r="BJ17" s="13">
        <f t="shared" si="23"/>
        <v>-7.0105820105820088E-2</v>
      </c>
      <c r="BK17" s="1">
        <f t="shared" si="45"/>
        <v>-11</v>
      </c>
      <c r="BL17" s="1">
        <f t="shared" si="46"/>
        <v>-6</v>
      </c>
      <c r="BM17" s="1">
        <f t="shared" si="47"/>
        <v>5</v>
      </c>
      <c r="BN17" s="1">
        <f t="shared" si="48"/>
        <v>2</v>
      </c>
      <c r="BO17" s="1">
        <f t="shared" si="49"/>
        <v>12</v>
      </c>
      <c r="BP17" s="1">
        <f t="shared" si="50"/>
        <v>-17</v>
      </c>
      <c r="BQ17" s="19">
        <f t="shared" si="25"/>
        <v>-2.5</v>
      </c>
      <c r="BR17" s="17">
        <f t="shared" si="26"/>
        <v>-2</v>
      </c>
    </row>
    <row r="18" spans="1:70" x14ac:dyDescent="0.25">
      <c r="A18" s="20">
        <v>16</v>
      </c>
      <c r="B18" s="1">
        <v>72</v>
      </c>
      <c r="C18" s="1">
        <v>73</v>
      </c>
      <c r="D18" s="1">
        <v>68</v>
      </c>
      <c r="E18" s="1">
        <v>69</v>
      </c>
      <c r="F18" s="1">
        <v>79</v>
      </c>
      <c r="G18" s="1">
        <v>67</v>
      </c>
      <c r="H18" s="1">
        <v>78</v>
      </c>
      <c r="I18" s="1">
        <v>48</v>
      </c>
      <c r="J18" s="1">
        <v>40</v>
      </c>
      <c r="K18" s="1">
        <v>33</v>
      </c>
      <c r="L18" s="1">
        <v>37</v>
      </c>
      <c r="M18" s="1">
        <v>47</v>
      </c>
      <c r="N18" s="1">
        <v>38</v>
      </c>
      <c r="O18" s="1">
        <v>38</v>
      </c>
      <c r="P18" s="1">
        <v>24</v>
      </c>
      <c r="Q18" s="1">
        <v>33</v>
      </c>
      <c r="R18" s="1">
        <v>35</v>
      </c>
      <c r="S18" s="1">
        <v>32</v>
      </c>
      <c r="T18" s="1">
        <v>32</v>
      </c>
      <c r="U18" s="1">
        <v>29</v>
      </c>
      <c r="V18" s="1">
        <v>40</v>
      </c>
      <c r="W18" s="8">
        <f t="shared" si="0"/>
        <v>1.3888888888888888E-2</v>
      </c>
      <c r="X18" s="8">
        <f t="shared" si="1"/>
        <v>-6.8493150684931503E-2</v>
      </c>
      <c r="Y18" s="8">
        <f t="shared" si="2"/>
        <v>1.4705882352941176E-2</v>
      </c>
      <c r="Z18" s="8">
        <f t="shared" si="3"/>
        <v>0.14492753623188406</v>
      </c>
      <c r="AA18" s="8">
        <f t="shared" si="4"/>
        <v>-0.15189873417721519</v>
      </c>
      <c r="AB18" s="8">
        <f t="shared" si="5"/>
        <v>0.16417910447761194</v>
      </c>
      <c r="AC18" s="12">
        <f t="shared" si="27"/>
        <v>1.955158784819656E-2</v>
      </c>
      <c r="AD18" s="12">
        <f t="shared" si="28"/>
        <v>1.4297385620915032E-2</v>
      </c>
      <c r="AE18" s="1">
        <f t="shared" si="29"/>
        <v>1</v>
      </c>
      <c r="AF18" s="1">
        <f t="shared" si="30"/>
        <v>-5</v>
      </c>
      <c r="AG18" s="1">
        <f t="shared" si="31"/>
        <v>1</v>
      </c>
      <c r="AH18" s="1">
        <f t="shared" si="32"/>
        <v>10</v>
      </c>
      <c r="AI18" s="1">
        <f t="shared" si="33"/>
        <v>-12</v>
      </c>
      <c r="AJ18" s="1">
        <f t="shared" si="34"/>
        <v>11</v>
      </c>
      <c r="AK18" s="17">
        <f t="shared" si="35"/>
        <v>1</v>
      </c>
      <c r="AL18" s="17">
        <f t="shared" si="36"/>
        <v>1</v>
      </c>
      <c r="AM18" s="1">
        <f t="shared" si="7"/>
        <v>-0.16666666666666666</v>
      </c>
      <c r="AN18" s="1">
        <f t="shared" si="8"/>
        <v>-0.17499999999999999</v>
      </c>
      <c r="AO18" s="1">
        <f t="shared" si="9"/>
        <v>0.12121212121212122</v>
      </c>
      <c r="AP18" s="1">
        <f t="shared" si="10"/>
        <v>0.27027027027027029</v>
      </c>
      <c r="AQ18" s="1">
        <f t="shared" si="11"/>
        <v>-0.19148936170212766</v>
      </c>
      <c r="AR18" s="1">
        <f t="shared" si="12"/>
        <v>0</v>
      </c>
      <c r="AS18" s="12">
        <f t="shared" si="37"/>
        <v>-2.3612272814400471E-2</v>
      </c>
      <c r="AT18" s="12">
        <f t="shared" si="38"/>
        <v>-8.3333333333333329E-2</v>
      </c>
      <c r="AU18" s="1">
        <f t="shared" si="39"/>
        <v>-8</v>
      </c>
      <c r="AV18" s="1">
        <f t="shared" si="40"/>
        <v>-7</v>
      </c>
      <c r="AW18" s="1">
        <f t="shared" si="41"/>
        <v>4</v>
      </c>
      <c r="AX18" s="1">
        <f t="shared" si="42"/>
        <v>10</v>
      </c>
      <c r="AY18" s="1">
        <f t="shared" si="43"/>
        <v>-9</v>
      </c>
      <c r="AZ18" s="1">
        <f t="shared" si="44"/>
        <v>0</v>
      </c>
      <c r="BA18" s="19">
        <f t="shared" si="14"/>
        <v>-1.6666666666666667</v>
      </c>
      <c r="BB18" s="19">
        <f t="shared" si="15"/>
        <v>-3.5</v>
      </c>
      <c r="BC18" s="9">
        <f t="shared" si="16"/>
        <v>0.375</v>
      </c>
      <c r="BD18" s="9">
        <f t="shared" si="17"/>
        <v>6.0606060606060608E-2</v>
      </c>
      <c r="BE18" s="9">
        <f t="shared" si="18"/>
        <v>-8.5714285714285715E-2</v>
      </c>
      <c r="BF18" s="9">
        <f t="shared" si="19"/>
        <v>0</v>
      </c>
      <c r="BG18" s="9">
        <f t="shared" si="20"/>
        <v>-9.375E-2</v>
      </c>
      <c r="BH18" s="9">
        <f t="shared" si="21"/>
        <v>0.37931034482758619</v>
      </c>
      <c r="BI18" s="12">
        <f t="shared" si="22"/>
        <v>0.10590868661989351</v>
      </c>
      <c r="BJ18" s="13">
        <f t="shared" si="23"/>
        <v>3.0303030303030304E-2</v>
      </c>
      <c r="BK18" s="1">
        <f t="shared" si="45"/>
        <v>9</v>
      </c>
      <c r="BL18" s="1">
        <f t="shared" si="46"/>
        <v>2</v>
      </c>
      <c r="BM18" s="1">
        <f t="shared" si="47"/>
        <v>-3</v>
      </c>
      <c r="BN18" s="1">
        <f t="shared" si="48"/>
        <v>0</v>
      </c>
      <c r="BO18" s="1">
        <f t="shared" si="49"/>
        <v>-3</v>
      </c>
      <c r="BP18" s="1">
        <f t="shared" si="50"/>
        <v>11</v>
      </c>
      <c r="BQ18" s="19">
        <f t="shared" si="25"/>
        <v>2.6666666666666665</v>
      </c>
      <c r="BR18" s="17">
        <f t="shared" si="26"/>
        <v>1</v>
      </c>
    </row>
    <row r="19" spans="1:70" x14ac:dyDescent="0.25">
      <c r="A19" s="20">
        <v>17</v>
      </c>
      <c r="B19" s="1">
        <v>85</v>
      </c>
      <c r="C19" s="1">
        <v>74</v>
      </c>
      <c r="D19" s="1">
        <v>65</v>
      </c>
      <c r="E19" s="1">
        <v>64</v>
      </c>
      <c r="F19" s="1">
        <v>86</v>
      </c>
      <c r="G19" s="1">
        <v>84</v>
      </c>
      <c r="H19" s="1">
        <v>75</v>
      </c>
      <c r="I19" s="1">
        <v>49</v>
      </c>
      <c r="J19" s="1">
        <v>48</v>
      </c>
      <c r="K19" s="1">
        <v>41</v>
      </c>
      <c r="L19" s="1">
        <v>36</v>
      </c>
      <c r="M19" s="1">
        <v>48</v>
      </c>
      <c r="N19" s="1">
        <v>35</v>
      </c>
      <c r="O19" s="1">
        <v>45</v>
      </c>
      <c r="P19" s="1">
        <v>36</v>
      </c>
      <c r="Q19" s="1">
        <v>26</v>
      </c>
      <c r="R19" s="1">
        <v>24</v>
      </c>
      <c r="S19" s="1">
        <v>28</v>
      </c>
      <c r="T19" s="1">
        <v>38</v>
      </c>
      <c r="U19" s="1">
        <v>49</v>
      </c>
      <c r="V19" s="1">
        <v>30</v>
      </c>
      <c r="W19" s="8">
        <f t="shared" si="0"/>
        <v>-0.12941176470588237</v>
      </c>
      <c r="X19" s="8">
        <f t="shared" si="1"/>
        <v>-0.12162162162162163</v>
      </c>
      <c r="Y19" s="8">
        <f t="shared" si="2"/>
        <v>-1.5384615384615385E-2</v>
      </c>
      <c r="Z19" s="8">
        <f t="shared" si="3"/>
        <v>0.34375</v>
      </c>
      <c r="AA19" s="8">
        <f t="shared" si="4"/>
        <v>-2.3255813953488372E-2</v>
      </c>
      <c r="AB19" s="8">
        <f t="shared" si="5"/>
        <v>-0.10714285714285714</v>
      </c>
      <c r="AC19" s="12">
        <f t="shared" si="27"/>
        <v>-8.8444454680774807E-3</v>
      </c>
      <c r="AD19" s="12">
        <f t="shared" si="28"/>
        <v>-6.5199335548172754E-2</v>
      </c>
      <c r="AE19" s="1">
        <f t="shared" si="29"/>
        <v>-11</v>
      </c>
      <c r="AF19" s="1">
        <f t="shared" si="30"/>
        <v>-9</v>
      </c>
      <c r="AG19" s="1">
        <f t="shared" si="31"/>
        <v>-1</v>
      </c>
      <c r="AH19" s="1">
        <f t="shared" si="32"/>
        <v>22</v>
      </c>
      <c r="AI19" s="1">
        <f t="shared" si="33"/>
        <v>-2</v>
      </c>
      <c r="AJ19" s="1">
        <f t="shared" si="34"/>
        <v>-9</v>
      </c>
      <c r="AK19" s="17">
        <f t="shared" si="35"/>
        <v>-1.6666666666666667</v>
      </c>
      <c r="AL19" s="17">
        <f t="shared" si="36"/>
        <v>-5.5</v>
      </c>
      <c r="AM19" s="1">
        <f t="shared" si="7"/>
        <v>-2.0408163265306121E-2</v>
      </c>
      <c r="AN19" s="1">
        <f t="shared" si="8"/>
        <v>-0.14583333333333334</v>
      </c>
      <c r="AO19" s="1">
        <f t="shared" si="9"/>
        <v>-0.12195121951219512</v>
      </c>
      <c r="AP19" s="1">
        <f t="shared" si="10"/>
        <v>0.33333333333333331</v>
      </c>
      <c r="AQ19" s="1">
        <f t="shared" si="11"/>
        <v>-0.27083333333333331</v>
      </c>
      <c r="AR19" s="1">
        <f t="shared" si="12"/>
        <v>0.2857142857142857</v>
      </c>
      <c r="AS19" s="12">
        <f t="shared" si="37"/>
        <v>1.0003594933908519E-2</v>
      </c>
      <c r="AT19" s="12">
        <f t="shared" si="38"/>
        <v>-7.1179691388750618E-2</v>
      </c>
      <c r="AU19" s="1">
        <f t="shared" si="39"/>
        <v>-1</v>
      </c>
      <c r="AV19" s="1">
        <f t="shared" si="40"/>
        <v>-7</v>
      </c>
      <c r="AW19" s="1">
        <f t="shared" si="41"/>
        <v>-5</v>
      </c>
      <c r="AX19" s="1">
        <f t="shared" si="42"/>
        <v>12</v>
      </c>
      <c r="AY19" s="1">
        <f t="shared" si="43"/>
        <v>-13</v>
      </c>
      <c r="AZ19" s="1">
        <f t="shared" si="44"/>
        <v>10</v>
      </c>
      <c r="BA19" s="19">
        <f t="shared" si="14"/>
        <v>-0.66666666666666663</v>
      </c>
      <c r="BB19" s="19">
        <f t="shared" si="15"/>
        <v>-3</v>
      </c>
      <c r="BC19" s="9">
        <f t="shared" si="16"/>
        <v>-0.27777777777777779</v>
      </c>
      <c r="BD19" s="9">
        <f t="shared" si="17"/>
        <v>-7.6923076923076927E-2</v>
      </c>
      <c r="BE19" s="9">
        <f t="shared" si="18"/>
        <v>0.16666666666666666</v>
      </c>
      <c r="BF19" s="9">
        <f t="shared" si="19"/>
        <v>0.35714285714285715</v>
      </c>
      <c r="BG19" s="9">
        <f t="shared" si="20"/>
        <v>0.28947368421052633</v>
      </c>
      <c r="BH19" s="9">
        <f t="shared" si="21"/>
        <v>-0.38775510204081631</v>
      </c>
      <c r="BI19" s="12">
        <f t="shared" si="22"/>
        <v>1.1804541879729846E-2</v>
      </c>
      <c r="BJ19" s="13">
        <f t="shared" si="23"/>
        <v>4.4871794871794865E-2</v>
      </c>
      <c r="BK19" s="1">
        <f t="shared" si="45"/>
        <v>-10</v>
      </c>
      <c r="BL19" s="1">
        <f t="shared" si="46"/>
        <v>-2</v>
      </c>
      <c r="BM19" s="1">
        <f t="shared" si="47"/>
        <v>4</v>
      </c>
      <c r="BN19" s="1">
        <f t="shared" si="48"/>
        <v>10</v>
      </c>
      <c r="BO19" s="1">
        <f t="shared" si="49"/>
        <v>11</v>
      </c>
      <c r="BP19" s="1">
        <f t="shared" si="50"/>
        <v>-19</v>
      </c>
      <c r="BQ19" s="19">
        <f t="shared" si="25"/>
        <v>-1</v>
      </c>
      <c r="BR19" s="17">
        <f t="shared" si="26"/>
        <v>1</v>
      </c>
    </row>
    <row r="20" spans="1:70" x14ac:dyDescent="0.25">
      <c r="A20" s="20">
        <v>18</v>
      </c>
      <c r="B20" s="1">
        <v>85</v>
      </c>
      <c r="C20" s="1">
        <v>85</v>
      </c>
      <c r="D20" s="1">
        <v>80</v>
      </c>
      <c r="E20" s="1">
        <v>92</v>
      </c>
      <c r="F20" s="1">
        <v>93</v>
      </c>
      <c r="G20" s="1">
        <v>75</v>
      </c>
      <c r="H20" s="1">
        <v>78</v>
      </c>
      <c r="I20" s="1">
        <v>54</v>
      </c>
      <c r="J20" s="1">
        <v>46</v>
      </c>
      <c r="K20" s="1">
        <v>50</v>
      </c>
      <c r="L20" s="1">
        <v>49</v>
      </c>
      <c r="M20" s="1">
        <v>52</v>
      </c>
      <c r="N20" s="1">
        <v>45</v>
      </c>
      <c r="O20" s="1">
        <v>47</v>
      </c>
      <c r="P20" s="1">
        <v>31</v>
      </c>
      <c r="Q20" s="1">
        <v>39</v>
      </c>
      <c r="R20" s="1">
        <v>30</v>
      </c>
      <c r="S20" s="1">
        <v>43</v>
      </c>
      <c r="T20" s="1">
        <v>41</v>
      </c>
      <c r="U20" s="1">
        <v>30</v>
      </c>
      <c r="V20" s="1">
        <v>31</v>
      </c>
      <c r="W20" s="8">
        <f t="shared" si="0"/>
        <v>0</v>
      </c>
      <c r="X20" s="8">
        <f t="shared" si="1"/>
        <v>-5.8823529411764705E-2</v>
      </c>
      <c r="Y20" s="8">
        <f t="shared" si="2"/>
        <v>0.15</v>
      </c>
      <c r="Z20" s="8">
        <f t="shared" si="3"/>
        <v>1.0869565217391304E-2</v>
      </c>
      <c r="AA20" s="8">
        <f t="shared" si="4"/>
        <v>-0.19354838709677419</v>
      </c>
      <c r="AB20" s="8">
        <f t="shared" si="5"/>
        <v>0.04</v>
      </c>
      <c r="AC20" s="12">
        <f t="shared" si="27"/>
        <v>-8.5837252151912645E-3</v>
      </c>
      <c r="AD20" s="12">
        <f t="shared" si="28"/>
        <v>5.434782608695652E-3</v>
      </c>
      <c r="AE20" s="1">
        <f t="shared" si="29"/>
        <v>0</v>
      </c>
      <c r="AF20" s="1">
        <f t="shared" si="30"/>
        <v>-5</v>
      </c>
      <c r="AG20" s="1">
        <f t="shared" si="31"/>
        <v>12</v>
      </c>
      <c r="AH20" s="1">
        <f t="shared" si="32"/>
        <v>1</v>
      </c>
      <c r="AI20" s="1">
        <f t="shared" si="33"/>
        <v>-18</v>
      </c>
      <c r="AJ20" s="1">
        <f t="shared" si="34"/>
        <v>3</v>
      </c>
      <c r="AK20" s="17">
        <f t="shared" si="35"/>
        <v>-1.1666666666666667</v>
      </c>
      <c r="AL20" s="17">
        <f t="shared" si="36"/>
        <v>0.5</v>
      </c>
      <c r="AM20" s="1">
        <f t="shared" si="7"/>
        <v>-0.14814814814814814</v>
      </c>
      <c r="AN20" s="1">
        <f t="shared" si="8"/>
        <v>8.6956521739130432E-2</v>
      </c>
      <c r="AO20" s="1">
        <f t="shared" si="9"/>
        <v>-0.02</v>
      </c>
      <c r="AP20" s="1">
        <f t="shared" si="10"/>
        <v>6.1224489795918366E-2</v>
      </c>
      <c r="AQ20" s="1">
        <f t="shared" si="11"/>
        <v>-0.13461538461538461</v>
      </c>
      <c r="AR20" s="1">
        <f t="shared" si="12"/>
        <v>4.4444444444444446E-2</v>
      </c>
      <c r="AS20" s="12">
        <f t="shared" si="37"/>
        <v>-1.8356346130673249E-2</v>
      </c>
      <c r="AT20" s="12">
        <f t="shared" si="38"/>
        <v>1.2222222222222221E-2</v>
      </c>
      <c r="AU20" s="1">
        <f t="shared" si="39"/>
        <v>-8</v>
      </c>
      <c r="AV20" s="1">
        <f t="shared" si="40"/>
        <v>4</v>
      </c>
      <c r="AW20" s="1">
        <f t="shared" si="41"/>
        <v>-1</v>
      </c>
      <c r="AX20" s="1">
        <f t="shared" si="42"/>
        <v>3</v>
      </c>
      <c r="AY20" s="1">
        <f t="shared" si="43"/>
        <v>-7</v>
      </c>
      <c r="AZ20" s="1">
        <f t="shared" si="44"/>
        <v>2</v>
      </c>
      <c r="BA20" s="19">
        <f t="shared" si="14"/>
        <v>-1.1666666666666667</v>
      </c>
      <c r="BB20" s="19">
        <f t="shared" si="15"/>
        <v>0.5</v>
      </c>
      <c r="BC20" s="9">
        <f t="shared" si="16"/>
        <v>0.25806451612903225</v>
      </c>
      <c r="BD20" s="9">
        <f t="shared" si="17"/>
        <v>-0.23076923076923078</v>
      </c>
      <c r="BE20" s="9">
        <f t="shared" si="18"/>
        <v>0.43333333333333335</v>
      </c>
      <c r="BF20" s="9">
        <f t="shared" si="19"/>
        <v>-4.6511627906976744E-2</v>
      </c>
      <c r="BG20" s="9">
        <f t="shared" si="20"/>
        <v>-0.26829268292682928</v>
      </c>
      <c r="BH20" s="9">
        <f t="shared" si="21"/>
        <v>3.3333333333333333E-2</v>
      </c>
      <c r="BI20" s="12">
        <f t="shared" si="22"/>
        <v>2.9859606865443682E-2</v>
      </c>
      <c r="BJ20" s="13">
        <f t="shared" si="23"/>
        <v>-6.5891472868217088E-3</v>
      </c>
      <c r="BK20" s="1">
        <f t="shared" si="45"/>
        <v>8</v>
      </c>
      <c r="BL20" s="1">
        <f t="shared" si="46"/>
        <v>-9</v>
      </c>
      <c r="BM20" s="1">
        <f t="shared" si="47"/>
        <v>13</v>
      </c>
      <c r="BN20" s="1">
        <f t="shared" si="48"/>
        <v>-2</v>
      </c>
      <c r="BO20" s="1">
        <f t="shared" si="49"/>
        <v>-11</v>
      </c>
      <c r="BP20" s="1">
        <f t="shared" si="50"/>
        <v>1</v>
      </c>
      <c r="BQ20" s="19">
        <f t="shared" si="25"/>
        <v>0</v>
      </c>
      <c r="BR20" s="17">
        <f t="shared" si="26"/>
        <v>-0.5</v>
      </c>
    </row>
    <row r="21" spans="1:70" x14ac:dyDescent="0.25">
      <c r="A21" s="20">
        <v>19</v>
      </c>
      <c r="B21" s="1">
        <v>80</v>
      </c>
      <c r="C21" s="1">
        <v>96</v>
      </c>
      <c r="D21" s="1">
        <v>82</v>
      </c>
      <c r="E21" s="1">
        <v>74</v>
      </c>
      <c r="F21" s="1">
        <v>87</v>
      </c>
      <c r="G21" s="1">
        <v>106</v>
      </c>
      <c r="H21" s="1">
        <v>100</v>
      </c>
      <c r="I21" s="1">
        <v>49</v>
      </c>
      <c r="J21" s="1">
        <v>67</v>
      </c>
      <c r="K21" s="1">
        <v>47</v>
      </c>
      <c r="L21" s="1">
        <v>43</v>
      </c>
      <c r="M21" s="1">
        <v>52</v>
      </c>
      <c r="N21" s="1">
        <v>64</v>
      </c>
      <c r="O21" s="1">
        <v>66</v>
      </c>
      <c r="P21" s="1">
        <v>31</v>
      </c>
      <c r="Q21" s="1">
        <v>29</v>
      </c>
      <c r="R21" s="1">
        <v>35</v>
      </c>
      <c r="S21" s="1">
        <v>31</v>
      </c>
      <c r="T21" s="1">
        <v>35</v>
      </c>
      <c r="U21" s="1">
        <v>42</v>
      </c>
      <c r="V21" s="1">
        <v>34</v>
      </c>
      <c r="W21" s="8">
        <f t="shared" si="0"/>
        <v>0.2</v>
      </c>
      <c r="X21" s="8">
        <f t="shared" si="1"/>
        <v>-0.14583333333333334</v>
      </c>
      <c r="Y21" s="8">
        <f t="shared" si="2"/>
        <v>-9.7560975609756101E-2</v>
      </c>
      <c r="Z21" s="8">
        <f t="shared" si="3"/>
        <v>0.17567567567567569</v>
      </c>
      <c r="AA21" s="8">
        <f t="shared" si="4"/>
        <v>0.21839080459770116</v>
      </c>
      <c r="AB21" s="8">
        <f t="shared" si="5"/>
        <v>-5.6603773584905662E-2</v>
      </c>
      <c r="AC21" s="12">
        <f t="shared" si="27"/>
        <v>4.901139962423029E-2</v>
      </c>
      <c r="AD21" s="12">
        <f t="shared" si="28"/>
        <v>5.9535951045385019E-2</v>
      </c>
      <c r="AE21" s="1">
        <f t="shared" si="29"/>
        <v>16</v>
      </c>
      <c r="AF21" s="1">
        <f t="shared" si="30"/>
        <v>-14</v>
      </c>
      <c r="AG21" s="1">
        <f t="shared" si="31"/>
        <v>-8</v>
      </c>
      <c r="AH21" s="1">
        <f t="shared" si="32"/>
        <v>13</v>
      </c>
      <c r="AI21" s="1">
        <f t="shared" si="33"/>
        <v>19</v>
      </c>
      <c r="AJ21" s="1">
        <f t="shared" si="34"/>
        <v>-6</v>
      </c>
      <c r="AK21" s="17">
        <f t="shared" si="35"/>
        <v>3.3333333333333335</v>
      </c>
      <c r="AL21" s="17">
        <f t="shared" si="36"/>
        <v>3.5</v>
      </c>
      <c r="AM21" s="1">
        <f t="shared" si="7"/>
        <v>0.36734693877551022</v>
      </c>
      <c r="AN21" s="1">
        <f t="shared" si="8"/>
        <v>-0.29850746268656714</v>
      </c>
      <c r="AO21" s="1">
        <f t="shared" si="9"/>
        <v>-8.5106382978723402E-2</v>
      </c>
      <c r="AP21" s="1">
        <f t="shared" si="10"/>
        <v>0.20930232558139536</v>
      </c>
      <c r="AQ21" s="1">
        <f t="shared" si="11"/>
        <v>0.23076923076923078</v>
      </c>
      <c r="AR21" s="1">
        <f t="shared" si="12"/>
        <v>3.125E-2</v>
      </c>
      <c r="AS21" s="12">
        <f t="shared" si="37"/>
        <v>7.584244157680764E-2</v>
      </c>
      <c r="AT21" s="12">
        <f t="shared" si="38"/>
        <v>0.12027616279069768</v>
      </c>
      <c r="AU21" s="1">
        <f t="shared" si="39"/>
        <v>18</v>
      </c>
      <c r="AV21" s="1">
        <f t="shared" si="40"/>
        <v>-20</v>
      </c>
      <c r="AW21" s="1">
        <f t="shared" si="41"/>
        <v>-4</v>
      </c>
      <c r="AX21" s="1">
        <f t="shared" si="42"/>
        <v>9</v>
      </c>
      <c r="AY21" s="1">
        <f t="shared" si="43"/>
        <v>12</v>
      </c>
      <c r="AZ21" s="1">
        <f t="shared" si="44"/>
        <v>2</v>
      </c>
      <c r="BA21" s="19">
        <f t="shared" si="14"/>
        <v>2.8333333333333335</v>
      </c>
      <c r="BB21" s="19">
        <f t="shared" si="15"/>
        <v>5.5</v>
      </c>
      <c r="BC21" s="9">
        <f t="shared" si="16"/>
        <v>-6.4516129032258063E-2</v>
      </c>
      <c r="BD21" s="9">
        <f t="shared" si="17"/>
        <v>0.20689655172413793</v>
      </c>
      <c r="BE21" s="9">
        <f t="shared" si="18"/>
        <v>-0.11428571428571428</v>
      </c>
      <c r="BF21" s="9">
        <f t="shared" si="19"/>
        <v>0.12903225806451613</v>
      </c>
      <c r="BG21" s="9">
        <f t="shared" si="20"/>
        <v>0.2</v>
      </c>
      <c r="BH21" s="9">
        <f t="shared" si="21"/>
        <v>-0.19047619047619047</v>
      </c>
      <c r="BI21" s="12">
        <f t="shared" si="22"/>
        <v>2.7775129332415206E-2</v>
      </c>
      <c r="BJ21" s="13">
        <f t="shared" si="23"/>
        <v>3.2258064516129031E-2</v>
      </c>
      <c r="BK21" s="1">
        <f t="shared" si="45"/>
        <v>-2</v>
      </c>
      <c r="BL21" s="1">
        <f t="shared" si="46"/>
        <v>6</v>
      </c>
      <c r="BM21" s="1">
        <f t="shared" si="47"/>
        <v>-4</v>
      </c>
      <c r="BN21" s="1">
        <f t="shared" si="48"/>
        <v>4</v>
      </c>
      <c r="BO21" s="1">
        <f t="shared" si="49"/>
        <v>7</v>
      </c>
      <c r="BP21" s="1">
        <f t="shared" si="50"/>
        <v>-8</v>
      </c>
      <c r="BQ21" s="19">
        <f t="shared" si="25"/>
        <v>0.5</v>
      </c>
      <c r="BR21" s="17">
        <f t="shared" si="26"/>
        <v>1</v>
      </c>
    </row>
    <row r="22" spans="1:70" x14ac:dyDescent="0.25">
      <c r="A22" s="20">
        <v>20</v>
      </c>
      <c r="B22" s="1">
        <v>92</v>
      </c>
      <c r="C22" s="1">
        <v>80</v>
      </c>
      <c r="D22" s="1">
        <v>89</v>
      </c>
      <c r="E22" s="1">
        <v>91</v>
      </c>
      <c r="F22" s="1">
        <v>109</v>
      </c>
      <c r="G22" s="1">
        <v>113</v>
      </c>
      <c r="H22" s="1">
        <v>89</v>
      </c>
      <c r="I22" s="1">
        <v>56</v>
      </c>
      <c r="J22" s="1">
        <v>49</v>
      </c>
      <c r="K22" s="1">
        <v>54</v>
      </c>
      <c r="L22" s="1">
        <v>54</v>
      </c>
      <c r="M22" s="1">
        <v>69</v>
      </c>
      <c r="N22" s="1">
        <v>76</v>
      </c>
      <c r="O22" s="1">
        <v>57</v>
      </c>
      <c r="P22" s="1">
        <v>36</v>
      </c>
      <c r="Q22" s="1">
        <v>31</v>
      </c>
      <c r="R22" s="1">
        <v>35</v>
      </c>
      <c r="S22" s="1">
        <v>37</v>
      </c>
      <c r="T22" s="1">
        <v>40</v>
      </c>
      <c r="U22" s="1">
        <v>37</v>
      </c>
      <c r="V22" s="1">
        <v>32</v>
      </c>
      <c r="W22" s="8">
        <f t="shared" si="0"/>
        <v>-0.13043478260869565</v>
      </c>
      <c r="X22" s="8">
        <f t="shared" si="1"/>
        <v>0.1125</v>
      </c>
      <c r="Y22" s="8">
        <f t="shared" si="2"/>
        <v>2.247191011235955E-2</v>
      </c>
      <c r="Z22" s="8">
        <f t="shared" si="3"/>
        <v>0.19780219780219779</v>
      </c>
      <c r="AA22" s="8">
        <f t="shared" si="4"/>
        <v>3.669724770642202E-2</v>
      </c>
      <c r="AB22" s="8">
        <f t="shared" si="5"/>
        <v>-0.21238938053097345</v>
      </c>
      <c r="AC22" s="12">
        <f t="shared" si="27"/>
        <v>4.4411987468850429E-3</v>
      </c>
      <c r="AD22" s="12">
        <f t="shared" si="28"/>
        <v>2.9584578909390785E-2</v>
      </c>
      <c r="AE22" s="1">
        <f t="shared" si="29"/>
        <v>-12</v>
      </c>
      <c r="AF22" s="1">
        <f t="shared" si="30"/>
        <v>9</v>
      </c>
      <c r="AG22" s="1">
        <f t="shared" si="31"/>
        <v>2</v>
      </c>
      <c r="AH22" s="1">
        <f t="shared" si="32"/>
        <v>18</v>
      </c>
      <c r="AI22" s="1">
        <f t="shared" si="33"/>
        <v>4</v>
      </c>
      <c r="AJ22" s="1">
        <f t="shared" si="34"/>
        <v>-24</v>
      </c>
      <c r="AK22" s="17">
        <f t="shared" si="35"/>
        <v>-0.5</v>
      </c>
      <c r="AL22" s="17">
        <f t="shared" si="36"/>
        <v>3</v>
      </c>
      <c r="AM22" s="1">
        <f t="shared" si="7"/>
        <v>-0.125</v>
      </c>
      <c r="AN22" s="1">
        <f t="shared" si="8"/>
        <v>0.10204081632653061</v>
      </c>
      <c r="AO22" s="1">
        <f t="shared" si="9"/>
        <v>0</v>
      </c>
      <c r="AP22" s="1">
        <f t="shared" si="10"/>
        <v>0.27777777777777779</v>
      </c>
      <c r="AQ22" s="1">
        <f t="shared" si="11"/>
        <v>0.10144927536231885</v>
      </c>
      <c r="AR22" s="1">
        <f t="shared" si="12"/>
        <v>-0.25</v>
      </c>
      <c r="AS22" s="12">
        <f t="shared" si="37"/>
        <v>1.771131157777121E-2</v>
      </c>
      <c r="AT22" s="12">
        <f t="shared" si="38"/>
        <v>5.0724637681159424E-2</v>
      </c>
      <c r="AU22" s="1">
        <f t="shared" si="39"/>
        <v>-7</v>
      </c>
      <c r="AV22" s="1">
        <f t="shared" si="40"/>
        <v>5</v>
      </c>
      <c r="AW22" s="1">
        <f t="shared" si="41"/>
        <v>0</v>
      </c>
      <c r="AX22" s="1">
        <f t="shared" si="42"/>
        <v>15</v>
      </c>
      <c r="AY22" s="1">
        <f t="shared" si="43"/>
        <v>7</v>
      </c>
      <c r="AZ22" s="1">
        <f t="shared" si="44"/>
        <v>-19</v>
      </c>
      <c r="BA22" s="19">
        <f t="shared" si="14"/>
        <v>0.16666666666666666</v>
      </c>
      <c r="BB22" s="19">
        <f t="shared" si="15"/>
        <v>2.5</v>
      </c>
      <c r="BC22" s="9">
        <f t="shared" si="16"/>
        <v>-0.1388888888888889</v>
      </c>
      <c r="BD22" s="9">
        <f t="shared" si="17"/>
        <v>0.12903225806451613</v>
      </c>
      <c r="BE22" s="9">
        <f t="shared" si="18"/>
        <v>5.7142857142857141E-2</v>
      </c>
      <c r="BF22" s="9">
        <f t="shared" si="19"/>
        <v>8.1081081081081086E-2</v>
      </c>
      <c r="BG22" s="9">
        <f t="shared" si="20"/>
        <v>-7.4999999999999997E-2</v>
      </c>
      <c r="BH22" s="9">
        <f t="shared" si="21"/>
        <v>-0.13513513513513514</v>
      </c>
      <c r="BI22" s="12">
        <f t="shared" si="22"/>
        <v>-1.3627971289261616E-2</v>
      </c>
      <c r="BJ22" s="13">
        <f t="shared" si="23"/>
        <v>-8.9285714285714246E-3</v>
      </c>
      <c r="BK22" s="1">
        <f t="shared" si="45"/>
        <v>-5</v>
      </c>
      <c r="BL22" s="1">
        <f t="shared" si="46"/>
        <v>4</v>
      </c>
      <c r="BM22" s="1">
        <f t="shared" si="47"/>
        <v>2</v>
      </c>
      <c r="BN22" s="1">
        <f t="shared" si="48"/>
        <v>3</v>
      </c>
      <c r="BO22" s="1">
        <f t="shared" si="49"/>
        <v>-3</v>
      </c>
      <c r="BP22" s="1">
        <f t="shared" si="50"/>
        <v>-5</v>
      </c>
      <c r="BQ22" s="19">
        <f t="shared" si="25"/>
        <v>-0.66666666666666663</v>
      </c>
      <c r="BR22" s="17">
        <f t="shared" si="26"/>
        <v>-0.5</v>
      </c>
    </row>
    <row r="23" spans="1:70" x14ac:dyDescent="0.25">
      <c r="A23" s="20">
        <v>21</v>
      </c>
      <c r="B23" s="1">
        <v>73</v>
      </c>
      <c r="C23" s="1">
        <v>83</v>
      </c>
      <c r="D23" s="1">
        <v>77</v>
      </c>
      <c r="E23" s="1">
        <v>93</v>
      </c>
      <c r="F23" s="1">
        <v>114</v>
      </c>
      <c r="G23" s="1">
        <v>118</v>
      </c>
      <c r="H23" s="1">
        <v>115</v>
      </c>
      <c r="I23" s="1">
        <v>54</v>
      </c>
      <c r="J23" s="1">
        <v>50</v>
      </c>
      <c r="K23" s="1">
        <v>49</v>
      </c>
      <c r="L23" s="1">
        <v>63</v>
      </c>
      <c r="M23" s="1">
        <v>73</v>
      </c>
      <c r="N23" s="1">
        <v>68</v>
      </c>
      <c r="O23" s="1">
        <v>71</v>
      </c>
      <c r="P23" s="1">
        <v>19</v>
      </c>
      <c r="Q23" s="1">
        <v>33</v>
      </c>
      <c r="R23" s="1">
        <v>28</v>
      </c>
      <c r="S23" s="1">
        <v>30</v>
      </c>
      <c r="T23" s="1">
        <v>41</v>
      </c>
      <c r="U23" s="1">
        <v>50</v>
      </c>
      <c r="V23" s="1">
        <v>44</v>
      </c>
      <c r="W23" s="8">
        <f t="shared" si="0"/>
        <v>0.13698630136986301</v>
      </c>
      <c r="X23" s="8">
        <f t="shared" si="1"/>
        <v>-7.2289156626506021E-2</v>
      </c>
      <c r="Y23" s="8">
        <f t="shared" si="2"/>
        <v>0.20779220779220781</v>
      </c>
      <c r="Z23" s="8">
        <f t="shared" si="3"/>
        <v>0.22580645161290322</v>
      </c>
      <c r="AA23" s="8">
        <f t="shared" si="4"/>
        <v>3.5087719298245612E-2</v>
      </c>
      <c r="AB23" s="8">
        <f t="shared" si="5"/>
        <v>-2.5423728813559324E-2</v>
      </c>
      <c r="AC23" s="12">
        <f t="shared" si="27"/>
        <v>8.4659965772192369E-2</v>
      </c>
      <c r="AD23" s="12">
        <f t="shared" si="28"/>
        <v>8.6037010334054309E-2</v>
      </c>
      <c r="AE23" s="1">
        <f t="shared" si="29"/>
        <v>10</v>
      </c>
      <c r="AF23" s="1">
        <f t="shared" si="30"/>
        <v>-6</v>
      </c>
      <c r="AG23" s="1">
        <f t="shared" si="31"/>
        <v>16</v>
      </c>
      <c r="AH23" s="1">
        <f t="shared" si="32"/>
        <v>21</v>
      </c>
      <c r="AI23" s="1">
        <f t="shared" si="33"/>
        <v>4</v>
      </c>
      <c r="AJ23" s="1">
        <f t="shared" si="34"/>
        <v>-3</v>
      </c>
      <c r="AK23" s="17">
        <f t="shared" si="35"/>
        <v>7</v>
      </c>
      <c r="AL23" s="17">
        <f t="shared" si="36"/>
        <v>7</v>
      </c>
      <c r="AM23" s="1">
        <f t="shared" si="7"/>
        <v>-7.407407407407407E-2</v>
      </c>
      <c r="AN23" s="1">
        <f t="shared" si="8"/>
        <v>-0.02</v>
      </c>
      <c r="AO23" s="1">
        <f t="shared" si="9"/>
        <v>0.2857142857142857</v>
      </c>
      <c r="AP23" s="1">
        <f t="shared" si="10"/>
        <v>0.15873015873015872</v>
      </c>
      <c r="AQ23" s="1">
        <f t="shared" si="11"/>
        <v>-6.8493150684931503E-2</v>
      </c>
      <c r="AR23" s="1">
        <f t="shared" si="12"/>
        <v>4.4117647058823532E-2</v>
      </c>
      <c r="AS23" s="12">
        <f t="shared" si="37"/>
        <v>5.4332477790710397E-2</v>
      </c>
      <c r="AT23" s="12">
        <f t="shared" si="38"/>
        <v>1.2058823529411764E-2</v>
      </c>
      <c r="AU23" s="1">
        <f t="shared" si="39"/>
        <v>-4</v>
      </c>
      <c r="AV23" s="1">
        <f t="shared" si="40"/>
        <v>-1</v>
      </c>
      <c r="AW23" s="1">
        <f t="shared" si="41"/>
        <v>14</v>
      </c>
      <c r="AX23" s="1">
        <f t="shared" si="42"/>
        <v>10</v>
      </c>
      <c r="AY23" s="1">
        <f t="shared" si="43"/>
        <v>-5</v>
      </c>
      <c r="AZ23" s="1">
        <f t="shared" si="44"/>
        <v>3</v>
      </c>
      <c r="BA23" s="19">
        <f t="shared" si="14"/>
        <v>2.8333333333333335</v>
      </c>
      <c r="BB23" s="19">
        <f t="shared" si="15"/>
        <v>1</v>
      </c>
      <c r="BC23" s="9">
        <f t="shared" si="16"/>
        <v>0.73684210526315785</v>
      </c>
      <c r="BD23" s="9">
        <f t="shared" si="17"/>
        <v>-0.15151515151515152</v>
      </c>
      <c r="BE23" s="9">
        <f t="shared" si="18"/>
        <v>7.1428571428571425E-2</v>
      </c>
      <c r="BF23" s="9">
        <f t="shared" si="19"/>
        <v>0.36666666666666664</v>
      </c>
      <c r="BG23" s="9">
        <f t="shared" si="20"/>
        <v>0.21951219512195122</v>
      </c>
      <c r="BH23" s="9">
        <f t="shared" si="21"/>
        <v>-0.12</v>
      </c>
      <c r="BI23" s="12">
        <f t="shared" si="22"/>
        <v>0.18715573116086595</v>
      </c>
      <c r="BJ23" s="13">
        <f t="shared" si="23"/>
        <v>0.14547038327526132</v>
      </c>
      <c r="BK23" s="1">
        <f t="shared" si="45"/>
        <v>14</v>
      </c>
      <c r="BL23" s="1">
        <f t="shared" si="46"/>
        <v>-5</v>
      </c>
      <c r="BM23" s="1">
        <f t="shared" si="47"/>
        <v>2</v>
      </c>
      <c r="BN23" s="1">
        <f t="shared" si="48"/>
        <v>11</v>
      </c>
      <c r="BO23" s="1">
        <f t="shared" si="49"/>
        <v>9</v>
      </c>
      <c r="BP23" s="1">
        <f t="shared" si="50"/>
        <v>-6</v>
      </c>
      <c r="BQ23" s="19">
        <f t="shared" si="25"/>
        <v>4.166666666666667</v>
      </c>
      <c r="BR23" s="17">
        <f t="shared" si="26"/>
        <v>5.5</v>
      </c>
    </row>
    <row r="24" spans="1:70" x14ac:dyDescent="0.25">
      <c r="A24" s="20">
        <v>22</v>
      </c>
      <c r="B24" s="1">
        <v>78</v>
      </c>
      <c r="C24" s="1">
        <v>89</v>
      </c>
      <c r="D24" s="1">
        <v>104</v>
      </c>
      <c r="E24" s="1">
        <v>121</v>
      </c>
      <c r="F24" s="1">
        <v>114</v>
      </c>
      <c r="G24" s="1">
        <v>107</v>
      </c>
      <c r="H24" s="1">
        <v>120</v>
      </c>
      <c r="I24" s="1">
        <v>52</v>
      </c>
      <c r="J24" s="1">
        <v>55</v>
      </c>
      <c r="K24" s="1">
        <v>68</v>
      </c>
      <c r="L24" s="1">
        <v>82</v>
      </c>
      <c r="M24" s="1">
        <v>75</v>
      </c>
      <c r="N24" s="1">
        <v>65</v>
      </c>
      <c r="O24" s="1">
        <v>81</v>
      </c>
      <c r="P24" s="1">
        <v>26</v>
      </c>
      <c r="Q24" s="1">
        <v>34</v>
      </c>
      <c r="R24" s="1">
        <v>36</v>
      </c>
      <c r="S24" s="1">
        <v>39</v>
      </c>
      <c r="T24" s="1">
        <v>39</v>
      </c>
      <c r="U24" s="1">
        <v>42</v>
      </c>
      <c r="V24" s="1">
        <v>39</v>
      </c>
      <c r="W24" s="8">
        <f t="shared" si="0"/>
        <v>0.14102564102564102</v>
      </c>
      <c r="X24" s="8">
        <f t="shared" si="1"/>
        <v>0.16853932584269662</v>
      </c>
      <c r="Y24" s="8">
        <f t="shared" si="2"/>
        <v>0.16346153846153846</v>
      </c>
      <c r="Z24" s="8">
        <f t="shared" si="3"/>
        <v>-5.7851239669421489E-2</v>
      </c>
      <c r="AA24" s="8">
        <f t="shared" si="4"/>
        <v>-6.1403508771929821E-2</v>
      </c>
      <c r="AB24" s="8">
        <f t="shared" si="5"/>
        <v>0.12149532710280374</v>
      </c>
      <c r="AC24" s="12">
        <f t="shared" si="27"/>
        <v>7.9211180665221426E-2</v>
      </c>
      <c r="AD24" s="12">
        <f t="shared" si="28"/>
        <v>0.13126048406422239</v>
      </c>
      <c r="AE24" s="1">
        <f t="shared" si="29"/>
        <v>11</v>
      </c>
      <c r="AF24" s="1">
        <f t="shared" si="30"/>
        <v>15</v>
      </c>
      <c r="AG24" s="1">
        <f t="shared" si="31"/>
        <v>17</v>
      </c>
      <c r="AH24" s="1">
        <f t="shared" si="32"/>
        <v>-7</v>
      </c>
      <c r="AI24" s="1">
        <f t="shared" si="33"/>
        <v>-7</v>
      </c>
      <c r="AJ24" s="1">
        <f t="shared" si="34"/>
        <v>13</v>
      </c>
      <c r="AK24" s="17">
        <f t="shared" si="35"/>
        <v>7</v>
      </c>
      <c r="AL24" s="17">
        <f t="shared" si="36"/>
        <v>12</v>
      </c>
      <c r="AM24" s="1">
        <f t="shared" si="7"/>
        <v>5.7692307692307696E-2</v>
      </c>
      <c r="AN24" s="1">
        <f t="shared" si="8"/>
        <v>0.23636363636363636</v>
      </c>
      <c r="AO24" s="1">
        <f t="shared" si="9"/>
        <v>0.20588235294117646</v>
      </c>
      <c r="AP24" s="1">
        <f t="shared" si="10"/>
        <v>-8.5365853658536592E-2</v>
      </c>
      <c r="AQ24" s="1">
        <f t="shared" si="11"/>
        <v>-0.13333333333333333</v>
      </c>
      <c r="AR24" s="1">
        <f t="shared" si="12"/>
        <v>0.24615384615384617</v>
      </c>
      <c r="AS24" s="12">
        <f t="shared" si="37"/>
        <v>8.7898826026516122E-2</v>
      </c>
      <c r="AT24" s="12">
        <f t="shared" si="38"/>
        <v>0.13178733031674206</v>
      </c>
      <c r="AU24" s="1">
        <f t="shared" si="39"/>
        <v>3</v>
      </c>
      <c r="AV24" s="1">
        <f t="shared" si="40"/>
        <v>13</v>
      </c>
      <c r="AW24" s="1">
        <f t="shared" si="41"/>
        <v>14</v>
      </c>
      <c r="AX24" s="1">
        <f t="shared" si="42"/>
        <v>-7</v>
      </c>
      <c r="AY24" s="1">
        <f t="shared" si="43"/>
        <v>-10</v>
      </c>
      <c r="AZ24" s="1">
        <f t="shared" si="44"/>
        <v>16</v>
      </c>
      <c r="BA24" s="19">
        <f t="shared" si="14"/>
        <v>4.833333333333333</v>
      </c>
      <c r="BB24" s="19">
        <f t="shared" si="15"/>
        <v>8</v>
      </c>
      <c r="BC24" s="9">
        <f t="shared" si="16"/>
        <v>0.30769230769230771</v>
      </c>
      <c r="BD24" s="9">
        <f t="shared" si="17"/>
        <v>5.8823529411764705E-2</v>
      </c>
      <c r="BE24" s="9">
        <f t="shared" si="18"/>
        <v>8.3333333333333329E-2</v>
      </c>
      <c r="BF24" s="9">
        <f t="shared" si="19"/>
        <v>0</v>
      </c>
      <c r="BG24" s="9">
        <f t="shared" si="20"/>
        <v>7.6923076923076927E-2</v>
      </c>
      <c r="BH24" s="9">
        <f t="shared" si="21"/>
        <v>-7.1428571428571425E-2</v>
      </c>
      <c r="BI24" s="12">
        <f t="shared" si="22"/>
        <v>7.5890612655318546E-2</v>
      </c>
      <c r="BJ24" s="13">
        <f t="shared" si="23"/>
        <v>6.7873303167420823E-2</v>
      </c>
      <c r="BK24" s="1">
        <f t="shared" si="45"/>
        <v>8</v>
      </c>
      <c r="BL24" s="1">
        <f t="shared" si="46"/>
        <v>2</v>
      </c>
      <c r="BM24" s="1">
        <f t="shared" si="47"/>
        <v>3</v>
      </c>
      <c r="BN24" s="1">
        <f t="shared" si="48"/>
        <v>0</v>
      </c>
      <c r="BO24" s="1">
        <f t="shared" si="49"/>
        <v>3</v>
      </c>
      <c r="BP24" s="1">
        <f t="shared" si="50"/>
        <v>-3</v>
      </c>
      <c r="BQ24" s="19">
        <f t="shared" si="25"/>
        <v>2.1666666666666665</v>
      </c>
      <c r="BR24" s="17">
        <f t="shared" si="26"/>
        <v>2.5</v>
      </c>
    </row>
    <row r="25" spans="1:70" x14ac:dyDescent="0.25">
      <c r="A25" s="20">
        <v>23</v>
      </c>
      <c r="B25" s="1">
        <v>98</v>
      </c>
      <c r="C25" s="1">
        <v>81</v>
      </c>
      <c r="D25" s="1">
        <v>96</v>
      </c>
      <c r="E25" s="1">
        <v>114</v>
      </c>
      <c r="F25" s="1">
        <v>104</v>
      </c>
      <c r="G25" s="1">
        <v>101</v>
      </c>
      <c r="H25" s="1">
        <v>103</v>
      </c>
      <c r="I25" s="1">
        <v>63</v>
      </c>
      <c r="J25" s="1">
        <v>50</v>
      </c>
      <c r="K25" s="1">
        <v>58</v>
      </c>
      <c r="L25" s="1">
        <v>69</v>
      </c>
      <c r="M25" s="1">
        <v>69</v>
      </c>
      <c r="N25" s="1">
        <v>61</v>
      </c>
      <c r="O25" s="1">
        <v>69</v>
      </c>
      <c r="P25" s="1">
        <v>35</v>
      </c>
      <c r="Q25" s="1">
        <v>31</v>
      </c>
      <c r="R25" s="1">
        <v>38</v>
      </c>
      <c r="S25" s="1">
        <v>45</v>
      </c>
      <c r="T25" s="1">
        <v>35</v>
      </c>
      <c r="U25" s="1">
        <v>40</v>
      </c>
      <c r="V25" s="1">
        <v>34</v>
      </c>
      <c r="W25" s="8">
        <f t="shared" si="0"/>
        <v>-0.17346938775510204</v>
      </c>
      <c r="X25" s="8">
        <f t="shared" si="1"/>
        <v>0.18518518518518517</v>
      </c>
      <c r="Y25" s="8">
        <f t="shared" si="2"/>
        <v>0.1875</v>
      </c>
      <c r="Z25" s="8">
        <f t="shared" si="3"/>
        <v>-8.771929824561403E-2</v>
      </c>
      <c r="AA25" s="8">
        <f t="shared" si="4"/>
        <v>-2.8846153846153848E-2</v>
      </c>
      <c r="AB25" s="8">
        <f t="shared" si="5"/>
        <v>1.9801980198019802E-2</v>
      </c>
      <c r="AC25" s="12">
        <f t="shared" si="27"/>
        <v>1.7075387589389177E-2</v>
      </c>
      <c r="AD25" s="12">
        <f t="shared" si="28"/>
        <v>-4.5220868240670245E-3</v>
      </c>
      <c r="AE25" s="1">
        <f t="shared" si="29"/>
        <v>-17</v>
      </c>
      <c r="AF25" s="1">
        <f t="shared" si="30"/>
        <v>15</v>
      </c>
      <c r="AG25" s="1">
        <f t="shared" si="31"/>
        <v>18</v>
      </c>
      <c r="AH25" s="1">
        <f t="shared" si="32"/>
        <v>-10</v>
      </c>
      <c r="AI25" s="1">
        <f t="shared" si="33"/>
        <v>-3</v>
      </c>
      <c r="AJ25" s="1">
        <f t="shared" si="34"/>
        <v>2</v>
      </c>
      <c r="AK25" s="17">
        <f t="shared" si="35"/>
        <v>0.83333333333333337</v>
      </c>
      <c r="AL25" s="17">
        <f t="shared" si="36"/>
        <v>-0.5</v>
      </c>
      <c r="AM25" s="1">
        <f t="shared" si="7"/>
        <v>-0.20634920634920634</v>
      </c>
      <c r="AN25" s="1">
        <f t="shared" si="8"/>
        <v>0.16</v>
      </c>
      <c r="AO25" s="1">
        <f t="shared" si="9"/>
        <v>0.18965517241379309</v>
      </c>
      <c r="AP25" s="1">
        <f t="shared" si="10"/>
        <v>0</v>
      </c>
      <c r="AQ25" s="1">
        <f t="shared" si="11"/>
        <v>-0.11594202898550725</v>
      </c>
      <c r="AR25" s="1">
        <f t="shared" si="12"/>
        <v>0.13114754098360656</v>
      </c>
      <c r="AS25" s="12">
        <f t="shared" si="37"/>
        <v>2.6418579677114345E-2</v>
      </c>
      <c r="AT25" s="12">
        <f t="shared" si="38"/>
        <v>6.5573770491803282E-2</v>
      </c>
      <c r="AU25" s="1">
        <f t="shared" si="39"/>
        <v>-13</v>
      </c>
      <c r="AV25" s="1">
        <f t="shared" si="40"/>
        <v>8</v>
      </c>
      <c r="AW25" s="1">
        <f t="shared" si="41"/>
        <v>11</v>
      </c>
      <c r="AX25" s="1">
        <f t="shared" si="42"/>
        <v>0</v>
      </c>
      <c r="AY25" s="1">
        <f t="shared" si="43"/>
        <v>-8</v>
      </c>
      <c r="AZ25" s="1">
        <f t="shared" si="44"/>
        <v>8</v>
      </c>
      <c r="BA25" s="19">
        <f t="shared" si="14"/>
        <v>1</v>
      </c>
      <c r="BB25" s="19">
        <f t="shared" si="15"/>
        <v>4</v>
      </c>
      <c r="BC25" s="9">
        <f t="shared" si="16"/>
        <v>-0.11428571428571428</v>
      </c>
      <c r="BD25" s="9">
        <f t="shared" si="17"/>
        <v>0.22580645161290322</v>
      </c>
      <c r="BE25" s="9">
        <f t="shared" si="18"/>
        <v>0.18421052631578946</v>
      </c>
      <c r="BF25" s="9">
        <f t="shared" si="19"/>
        <v>-0.22222222222222221</v>
      </c>
      <c r="BG25" s="9">
        <f t="shared" si="20"/>
        <v>0.14285714285714285</v>
      </c>
      <c r="BH25" s="9">
        <f t="shared" si="21"/>
        <v>-0.15</v>
      </c>
      <c r="BI25" s="12">
        <f t="shared" si="22"/>
        <v>1.1061030712983177E-2</v>
      </c>
      <c r="BJ25" s="13">
        <f t="shared" si="23"/>
        <v>1.4285714285714277E-2</v>
      </c>
      <c r="BK25" s="1">
        <f t="shared" si="45"/>
        <v>-4</v>
      </c>
      <c r="BL25" s="1">
        <f t="shared" si="46"/>
        <v>7</v>
      </c>
      <c r="BM25" s="1">
        <f t="shared" si="47"/>
        <v>7</v>
      </c>
      <c r="BN25" s="1">
        <f t="shared" si="48"/>
        <v>-10</v>
      </c>
      <c r="BO25" s="1">
        <f t="shared" si="49"/>
        <v>5</v>
      </c>
      <c r="BP25" s="1">
        <f t="shared" si="50"/>
        <v>-6</v>
      </c>
      <c r="BQ25" s="19">
        <f t="shared" si="25"/>
        <v>-0.16666666666666666</v>
      </c>
      <c r="BR25" s="17">
        <f t="shared" si="26"/>
        <v>0.5</v>
      </c>
    </row>
    <row r="26" spans="1:70" x14ac:dyDescent="0.25">
      <c r="A26" s="20">
        <v>24</v>
      </c>
      <c r="B26" s="1">
        <v>98</v>
      </c>
      <c r="C26" s="1">
        <v>81</v>
      </c>
      <c r="D26" s="1">
        <v>83</v>
      </c>
      <c r="E26" s="1">
        <v>102</v>
      </c>
      <c r="F26" s="1">
        <v>104</v>
      </c>
      <c r="G26" s="1">
        <v>111</v>
      </c>
      <c r="H26" s="1">
        <v>108</v>
      </c>
      <c r="I26" s="1">
        <v>54</v>
      </c>
      <c r="J26" s="1">
        <v>54</v>
      </c>
      <c r="K26" s="1">
        <v>44</v>
      </c>
      <c r="L26" s="1">
        <v>66</v>
      </c>
      <c r="M26" s="1">
        <v>68</v>
      </c>
      <c r="N26" s="1">
        <v>67</v>
      </c>
      <c r="O26" s="1">
        <v>72</v>
      </c>
      <c r="P26" s="1">
        <v>44</v>
      </c>
      <c r="Q26" s="1">
        <v>27</v>
      </c>
      <c r="R26" s="1">
        <v>39</v>
      </c>
      <c r="S26" s="1">
        <v>36</v>
      </c>
      <c r="T26" s="1">
        <v>36</v>
      </c>
      <c r="U26" s="1">
        <v>44</v>
      </c>
      <c r="V26" s="1">
        <v>36</v>
      </c>
      <c r="W26" s="8">
        <f t="shared" si="0"/>
        <v>-0.17346938775510204</v>
      </c>
      <c r="X26" s="8">
        <f t="shared" si="1"/>
        <v>2.4691358024691357E-2</v>
      </c>
      <c r="Y26" s="8">
        <f t="shared" si="2"/>
        <v>0.2289156626506024</v>
      </c>
      <c r="Z26" s="8">
        <f t="shared" si="3"/>
        <v>1.9607843137254902E-2</v>
      </c>
      <c r="AA26" s="8">
        <f t="shared" si="4"/>
        <v>6.7307692307692304E-2</v>
      </c>
      <c r="AB26" s="8">
        <f t="shared" si="5"/>
        <v>-2.7027027027027029E-2</v>
      </c>
      <c r="AC26" s="12">
        <f t="shared" si="27"/>
        <v>2.333769022301865E-2</v>
      </c>
      <c r="AD26" s="12">
        <f t="shared" si="28"/>
        <v>2.2149600580973129E-2</v>
      </c>
      <c r="AE26" s="1">
        <f t="shared" si="29"/>
        <v>-17</v>
      </c>
      <c r="AF26" s="1">
        <f t="shared" si="30"/>
        <v>2</v>
      </c>
      <c r="AG26" s="1">
        <f t="shared" si="31"/>
        <v>19</v>
      </c>
      <c r="AH26" s="1">
        <f t="shared" si="32"/>
        <v>2</v>
      </c>
      <c r="AI26" s="1">
        <f t="shared" si="33"/>
        <v>7</v>
      </c>
      <c r="AJ26" s="1">
        <f t="shared" si="34"/>
        <v>-3</v>
      </c>
      <c r="AK26" s="17">
        <f t="shared" si="35"/>
        <v>1.6666666666666667</v>
      </c>
      <c r="AL26" s="17">
        <f t="shared" si="36"/>
        <v>2</v>
      </c>
      <c r="AM26" s="1">
        <f t="shared" si="7"/>
        <v>0</v>
      </c>
      <c r="AN26" s="1">
        <f t="shared" si="8"/>
        <v>-0.18518518518518517</v>
      </c>
      <c r="AO26" s="1">
        <f t="shared" si="9"/>
        <v>0.5</v>
      </c>
      <c r="AP26" s="1">
        <f t="shared" si="10"/>
        <v>3.0303030303030304E-2</v>
      </c>
      <c r="AQ26" s="1">
        <f t="shared" si="11"/>
        <v>-1.4705882352941176E-2</v>
      </c>
      <c r="AR26" s="1">
        <f t="shared" si="12"/>
        <v>7.4626865671641784E-2</v>
      </c>
      <c r="AS26" s="12">
        <f t="shared" si="37"/>
        <v>6.7506471406090965E-2</v>
      </c>
      <c r="AT26" s="12">
        <f t="shared" si="38"/>
        <v>1.5151515151515152E-2</v>
      </c>
      <c r="AU26" s="1">
        <f t="shared" si="39"/>
        <v>0</v>
      </c>
      <c r="AV26" s="1">
        <f t="shared" si="40"/>
        <v>-10</v>
      </c>
      <c r="AW26" s="1">
        <f t="shared" si="41"/>
        <v>22</v>
      </c>
      <c r="AX26" s="1">
        <f t="shared" si="42"/>
        <v>2</v>
      </c>
      <c r="AY26" s="1">
        <f t="shared" si="43"/>
        <v>-1</v>
      </c>
      <c r="AZ26" s="1">
        <f t="shared" si="44"/>
        <v>5</v>
      </c>
      <c r="BA26" s="19">
        <f t="shared" si="14"/>
        <v>3</v>
      </c>
      <c r="BB26" s="19">
        <f t="shared" si="15"/>
        <v>1</v>
      </c>
      <c r="BC26" s="9">
        <f t="shared" si="16"/>
        <v>-0.38636363636363635</v>
      </c>
      <c r="BD26" s="9">
        <f t="shared" si="17"/>
        <v>0.44444444444444442</v>
      </c>
      <c r="BE26" s="9">
        <f t="shared" si="18"/>
        <v>-7.6923076923076927E-2</v>
      </c>
      <c r="BF26" s="9">
        <f t="shared" si="19"/>
        <v>0</v>
      </c>
      <c r="BG26" s="9">
        <f t="shared" si="20"/>
        <v>0.22222222222222221</v>
      </c>
      <c r="BH26" s="9">
        <f t="shared" si="21"/>
        <v>-0.18181818181818182</v>
      </c>
      <c r="BI26" s="12">
        <f t="shared" si="22"/>
        <v>3.5936285936285874E-3</v>
      </c>
      <c r="BJ26" s="13">
        <f t="shared" si="23"/>
        <v>-3.8461538461538464E-2</v>
      </c>
      <c r="BK26" s="1">
        <f t="shared" si="45"/>
        <v>-17</v>
      </c>
      <c r="BL26" s="1">
        <f t="shared" si="46"/>
        <v>12</v>
      </c>
      <c r="BM26" s="1">
        <f t="shared" si="47"/>
        <v>-3</v>
      </c>
      <c r="BN26" s="1">
        <f t="shared" si="48"/>
        <v>0</v>
      </c>
      <c r="BO26" s="1">
        <f t="shared" si="49"/>
        <v>8</v>
      </c>
      <c r="BP26" s="1">
        <f t="shared" si="50"/>
        <v>-8</v>
      </c>
      <c r="BQ26" s="19">
        <f t="shared" si="25"/>
        <v>-1.3333333333333333</v>
      </c>
      <c r="BR26" s="17">
        <f t="shared" si="26"/>
        <v>-1.5</v>
      </c>
    </row>
    <row r="27" spans="1:70" x14ac:dyDescent="0.25">
      <c r="A27" s="20">
        <v>25</v>
      </c>
      <c r="B27" s="1">
        <v>79</v>
      </c>
      <c r="C27" s="1">
        <v>91</v>
      </c>
      <c r="D27" s="1">
        <v>113</v>
      </c>
      <c r="E27" s="1">
        <v>84</v>
      </c>
      <c r="F27" s="1">
        <v>138</v>
      </c>
      <c r="G27" s="1">
        <v>138</v>
      </c>
      <c r="H27" s="1">
        <v>100</v>
      </c>
      <c r="I27" s="1">
        <v>54</v>
      </c>
      <c r="J27" s="1">
        <v>61</v>
      </c>
      <c r="K27" s="1">
        <v>64</v>
      </c>
      <c r="L27" s="1">
        <v>58</v>
      </c>
      <c r="M27" s="1">
        <v>88</v>
      </c>
      <c r="N27" s="1">
        <v>91</v>
      </c>
      <c r="O27" s="1">
        <v>69</v>
      </c>
      <c r="P27" s="1">
        <v>25</v>
      </c>
      <c r="Q27" s="1">
        <v>30</v>
      </c>
      <c r="R27" s="1">
        <v>49</v>
      </c>
      <c r="S27" s="1">
        <v>26</v>
      </c>
      <c r="T27" s="1">
        <v>50</v>
      </c>
      <c r="U27" s="1">
        <v>47</v>
      </c>
      <c r="V27" s="1">
        <v>31</v>
      </c>
      <c r="W27" s="8">
        <f t="shared" si="0"/>
        <v>0.15189873417721519</v>
      </c>
      <c r="X27" s="8">
        <f t="shared" si="1"/>
        <v>0.24175824175824176</v>
      </c>
      <c r="Y27" s="8">
        <f t="shared" si="2"/>
        <v>-0.25663716814159293</v>
      </c>
      <c r="Z27" s="8">
        <f t="shared" si="3"/>
        <v>0.6428571428571429</v>
      </c>
      <c r="AA27" s="8">
        <f t="shared" si="4"/>
        <v>0</v>
      </c>
      <c r="AB27" s="8">
        <f t="shared" si="5"/>
        <v>-0.27536231884057971</v>
      </c>
      <c r="AC27" s="12">
        <f t="shared" si="27"/>
        <v>8.4085771968404541E-2</v>
      </c>
      <c r="AD27" s="12">
        <f t="shared" si="28"/>
        <v>7.5949367088607597E-2</v>
      </c>
      <c r="AE27" s="1">
        <f t="shared" si="29"/>
        <v>12</v>
      </c>
      <c r="AF27" s="1">
        <f t="shared" si="30"/>
        <v>22</v>
      </c>
      <c r="AG27" s="1">
        <f t="shared" si="31"/>
        <v>-29</v>
      </c>
      <c r="AH27" s="1">
        <f t="shared" si="32"/>
        <v>54</v>
      </c>
      <c r="AI27" s="1">
        <f t="shared" si="33"/>
        <v>0</v>
      </c>
      <c r="AJ27" s="1">
        <f t="shared" si="34"/>
        <v>-38</v>
      </c>
      <c r="AK27" s="17">
        <f t="shared" si="35"/>
        <v>3.5</v>
      </c>
      <c r="AL27" s="17">
        <f t="shared" si="36"/>
        <v>6</v>
      </c>
      <c r="AM27" s="1">
        <f t="shared" si="7"/>
        <v>0.12962962962962962</v>
      </c>
      <c r="AN27" s="1">
        <f t="shared" si="8"/>
        <v>4.9180327868852458E-2</v>
      </c>
      <c r="AO27" s="1">
        <f t="shared" si="9"/>
        <v>-9.375E-2</v>
      </c>
      <c r="AP27" s="1">
        <f t="shared" si="10"/>
        <v>0.51724137931034486</v>
      </c>
      <c r="AQ27" s="1">
        <f t="shared" si="11"/>
        <v>3.4090909090909088E-2</v>
      </c>
      <c r="AR27" s="1">
        <f t="shared" si="12"/>
        <v>-0.24175824175824176</v>
      </c>
      <c r="AS27" s="12">
        <f t="shared" si="37"/>
        <v>6.577233402358236E-2</v>
      </c>
      <c r="AT27" s="12">
        <f t="shared" si="38"/>
        <v>4.1635618479880773E-2</v>
      </c>
      <c r="AU27" s="1">
        <f t="shared" si="39"/>
        <v>7</v>
      </c>
      <c r="AV27" s="1">
        <f t="shared" si="40"/>
        <v>3</v>
      </c>
      <c r="AW27" s="1">
        <f t="shared" si="41"/>
        <v>-6</v>
      </c>
      <c r="AX27" s="1">
        <f t="shared" si="42"/>
        <v>30</v>
      </c>
      <c r="AY27" s="1">
        <f t="shared" si="43"/>
        <v>3</v>
      </c>
      <c r="AZ27" s="1">
        <f t="shared" si="44"/>
        <v>-22</v>
      </c>
      <c r="BA27" s="19">
        <f t="shared" si="14"/>
        <v>2.5</v>
      </c>
      <c r="BB27" s="19">
        <f t="shared" si="15"/>
        <v>3</v>
      </c>
      <c r="BC27" s="9">
        <f t="shared" si="16"/>
        <v>0.2</v>
      </c>
      <c r="BD27" s="9">
        <f t="shared" si="17"/>
        <v>0.6333333333333333</v>
      </c>
      <c r="BE27" s="9">
        <f t="shared" si="18"/>
        <v>-0.46938775510204084</v>
      </c>
      <c r="BF27" s="9">
        <f t="shared" si="19"/>
        <v>0.92307692307692313</v>
      </c>
      <c r="BG27" s="9">
        <f t="shared" si="20"/>
        <v>-0.06</v>
      </c>
      <c r="BH27" s="9">
        <f t="shared" si="21"/>
        <v>-0.34042553191489361</v>
      </c>
      <c r="BI27" s="12">
        <f t="shared" si="22"/>
        <v>0.14776616156555364</v>
      </c>
      <c r="BJ27" s="13">
        <f t="shared" si="23"/>
        <v>7.0000000000000007E-2</v>
      </c>
      <c r="BK27" s="1">
        <f t="shared" si="45"/>
        <v>5</v>
      </c>
      <c r="BL27" s="1">
        <f t="shared" si="46"/>
        <v>19</v>
      </c>
      <c r="BM27" s="1">
        <f t="shared" si="47"/>
        <v>-23</v>
      </c>
      <c r="BN27" s="1">
        <f t="shared" si="48"/>
        <v>24</v>
      </c>
      <c r="BO27" s="1">
        <f t="shared" si="49"/>
        <v>-3</v>
      </c>
      <c r="BP27" s="1">
        <f t="shared" si="50"/>
        <v>-16</v>
      </c>
      <c r="BQ27" s="19">
        <f t="shared" si="25"/>
        <v>1</v>
      </c>
      <c r="BR27" s="17">
        <f t="shared" si="26"/>
        <v>1</v>
      </c>
    </row>
    <row r="28" spans="1:70" x14ac:dyDescent="0.25">
      <c r="A28" s="20">
        <v>26</v>
      </c>
      <c r="B28" s="1">
        <v>87</v>
      </c>
      <c r="C28" s="1">
        <v>91</v>
      </c>
      <c r="D28" s="1">
        <v>99</v>
      </c>
      <c r="E28" s="1">
        <v>130</v>
      </c>
      <c r="F28" s="1">
        <v>119</v>
      </c>
      <c r="G28" s="1">
        <v>130</v>
      </c>
      <c r="H28" s="1">
        <v>119</v>
      </c>
      <c r="I28" s="1">
        <v>52</v>
      </c>
      <c r="J28" s="1">
        <v>54</v>
      </c>
      <c r="K28" s="1">
        <v>75</v>
      </c>
      <c r="L28" s="1">
        <v>88</v>
      </c>
      <c r="M28" s="1">
        <v>77</v>
      </c>
      <c r="N28" s="1">
        <v>75</v>
      </c>
      <c r="O28" s="1">
        <v>70</v>
      </c>
      <c r="P28" s="1">
        <v>35</v>
      </c>
      <c r="Q28" s="1">
        <v>37</v>
      </c>
      <c r="R28" s="1">
        <v>24</v>
      </c>
      <c r="S28" s="1">
        <v>42</v>
      </c>
      <c r="T28" s="1">
        <v>42</v>
      </c>
      <c r="U28" s="1">
        <v>55</v>
      </c>
      <c r="V28" s="1">
        <v>49</v>
      </c>
      <c r="W28" s="8">
        <f t="shared" si="0"/>
        <v>4.5977011494252873E-2</v>
      </c>
      <c r="X28" s="8">
        <f t="shared" si="1"/>
        <v>8.7912087912087919E-2</v>
      </c>
      <c r="Y28" s="8">
        <f t="shared" si="2"/>
        <v>0.31313131313131315</v>
      </c>
      <c r="Z28" s="8">
        <f t="shared" si="3"/>
        <v>-8.461538461538462E-2</v>
      </c>
      <c r="AA28" s="8">
        <f t="shared" si="4"/>
        <v>9.2436974789915971E-2</v>
      </c>
      <c r="AB28" s="8">
        <f t="shared" si="5"/>
        <v>-8.461538461538462E-2</v>
      </c>
      <c r="AC28" s="12">
        <f t="shared" si="27"/>
        <v>6.1704436349466783E-2</v>
      </c>
      <c r="AD28" s="12">
        <f t="shared" si="28"/>
        <v>6.6944549703170403E-2</v>
      </c>
      <c r="AE28" s="1">
        <f t="shared" si="29"/>
        <v>4</v>
      </c>
      <c r="AF28" s="1">
        <f t="shared" si="30"/>
        <v>8</v>
      </c>
      <c r="AG28" s="1">
        <f t="shared" si="31"/>
        <v>31</v>
      </c>
      <c r="AH28" s="1">
        <f t="shared" si="32"/>
        <v>-11</v>
      </c>
      <c r="AI28" s="1">
        <f t="shared" si="33"/>
        <v>11</v>
      </c>
      <c r="AJ28" s="1">
        <f t="shared" si="34"/>
        <v>-11</v>
      </c>
      <c r="AK28" s="17">
        <f t="shared" si="35"/>
        <v>5.333333333333333</v>
      </c>
      <c r="AL28" s="17">
        <f t="shared" si="36"/>
        <v>6</v>
      </c>
      <c r="AM28" s="1">
        <f t="shared" si="7"/>
        <v>3.8461538461538464E-2</v>
      </c>
      <c r="AN28" s="1">
        <f t="shared" si="8"/>
        <v>0.3888888888888889</v>
      </c>
      <c r="AO28" s="1">
        <f t="shared" si="9"/>
        <v>0.17333333333333334</v>
      </c>
      <c r="AP28" s="1">
        <f t="shared" si="10"/>
        <v>-0.125</v>
      </c>
      <c r="AQ28" s="1">
        <f t="shared" si="11"/>
        <v>-2.5974025974025976E-2</v>
      </c>
      <c r="AR28" s="1">
        <f t="shared" si="12"/>
        <v>-6.6666666666666666E-2</v>
      </c>
      <c r="AS28" s="12">
        <f t="shared" si="37"/>
        <v>6.3840511340511344E-2</v>
      </c>
      <c r="AT28" s="12">
        <f t="shared" si="38"/>
        <v>6.2437562437562474E-3</v>
      </c>
      <c r="AU28" s="1">
        <f t="shared" si="39"/>
        <v>2</v>
      </c>
      <c r="AV28" s="1">
        <f t="shared" si="40"/>
        <v>21</v>
      </c>
      <c r="AW28" s="1">
        <f t="shared" si="41"/>
        <v>13</v>
      </c>
      <c r="AX28" s="1">
        <f t="shared" si="42"/>
        <v>-11</v>
      </c>
      <c r="AY28" s="1">
        <f t="shared" si="43"/>
        <v>-2</v>
      </c>
      <c r="AZ28" s="1">
        <f t="shared" si="44"/>
        <v>-5</v>
      </c>
      <c r="BA28" s="19">
        <f t="shared" si="14"/>
        <v>3</v>
      </c>
      <c r="BB28" s="19">
        <f t="shared" si="15"/>
        <v>0</v>
      </c>
      <c r="BC28" s="9">
        <f t="shared" si="16"/>
        <v>5.7142857142857141E-2</v>
      </c>
      <c r="BD28" s="9">
        <f t="shared" si="17"/>
        <v>-0.35135135135135137</v>
      </c>
      <c r="BE28" s="9">
        <f t="shared" si="18"/>
        <v>0.75</v>
      </c>
      <c r="BF28" s="9">
        <f t="shared" si="19"/>
        <v>0</v>
      </c>
      <c r="BG28" s="9">
        <f t="shared" si="20"/>
        <v>0.30952380952380953</v>
      </c>
      <c r="BH28" s="9">
        <f t="shared" si="21"/>
        <v>-0.10909090909090909</v>
      </c>
      <c r="BI28" s="12">
        <f t="shared" si="22"/>
        <v>0.10937073437073437</v>
      </c>
      <c r="BJ28" s="13">
        <f t="shared" si="23"/>
        <v>2.8571428571428571E-2</v>
      </c>
      <c r="BK28" s="1">
        <f t="shared" si="45"/>
        <v>2</v>
      </c>
      <c r="BL28" s="1">
        <f t="shared" si="46"/>
        <v>-13</v>
      </c>
      <c r="BM28" s="1">
        <f t="shared" si="47"/>
        <v>18</v>
      </c>
      <c r="BN28" s="1">
        <f t="shared" si="48"/>
        <v>0</v>
      </c>
      <c r="BO28" s="1">
        <f t="shared" si="49"/>
        <v>13</v>
      </c>
      <c r="BP28" s="1">
        <f t="shared" si="50"/>
        <v>-6</v>
      </c>
      <c r="BQ28" s="19">
        <f t="shared" si="25"/>
        <v>2.3333333333333335</v>
      </c>
      <c r="BR28" s="17">
        <f t="shared" si="26"/>
        <v>1</v>
      </c>
    </row>
    <row r="29" spans="1:70" x14ac:dyDescent="0.25">
      <c r="A29" s="20">
        <v>27</v>
      </c>
      <c r="B29" s="1">
        <v>90</v>
      </c>
      <c r="C29" s="1">
        <v>87</v>
      </c>
      <c r="D29" s="1">
        <v>97</v>
      </c>
      <c r="E29" s="1">
        <v>122</v>
      </c>
      <c r="F29" s="1">
        <v>130</v>
      </c>
      <c r="G29" s="1">
        <v>122</v>
      </c>
      <c r="H29" s="1">
        <v>147</v>
      </c>
      <c r="I29" s="1">
        <v>64</v>
      </c>
      <c r="J29" s="1">
        <v>47</v>
      </c>
      <c r="K29" s="1">
        <v>67</v>
      </c>
      <c r="L29" s="1">
        <v>74</v>
      </c>
      <c r="M29" s="1">
        <v>77</v>
      </c>
      <c r="N29" s="1">
        <v>74</v>
      </c>
      <c r="O29" s="1">
        <v>101</v>
      </c>
      <c r="P29" s="1">
        <v>26</v>
      </c>
      <c r="Q29" s="1">
        <v>40</v>
      </c>
      <c r="R29" s="1">
        <v>30</v>
      </c>
      <c r="S29" s="1">
        <v>48</v>
      </c>
      <c r="T29" s="1">
        <v>53</v>
      </c>
      <c r="U29" s="1">
        <v>48</v>
      </c>
      <c r="V29" s="1">
        <v>46</v>
      </c>
      <c r="W29" s="8">
        <f t="shared" si="0"/>
        <v>-3.3333333333333333E-2</v>
      </c>
      <c r="X29" s="8">
        <f t="shared" si="1"/>
        <v>0.11494252873563218</v>
      </c>
      <c r="Y29" s="8">
        <f t="shared" si="2"/>
        <v>0.25773195876288657</v>
      </c>
      <c r="Z29" s="8">
        <f t="shared" si="3"/>
        <v>6.5573770491803282E-2</v>
      </c>
      <c r="AA29" s="8">
        <f t="shared" si="4"/>
        <v>-6.1538461538461542E-2</v>
      </c>
      <c r="AB29" s="8">
        <f t="shared" si="5"/>
        <v>0.20491803278688525</v>
      </c>
      <c r="AC29" s="12">
        <f t="shared" si="27"/>
        <v>9.1382415984235396E-2</v>
      </c>
      <c r="AD29" s="12">
        <f t="shared" si="28"/>
        <v>9.0258149613717725E-2</v>
      </c>
      <c r="AE29" s="1">
        <f t="shared" si="29"/>
        <v>-3</v>
      </c>
      <c r="AF29" s="1">
        <f t="shared" si="30"/>
        <v>10</v>
      </c>
      <c r="AG29" s="1">
        <f t="shared" si="31"/>
        <v>25</v>
      </c>
      <c r="AH29" s="1">
        <f t="shared" si="32"/>
        <v>8</v>
      </c>
      <c r="AI29" s="1">
        <f t="shared" si="33"/>
        <v>-8</v>
      </c>
      <c r="AJ29" s="1">
        <f t="shared" si="34"/>
        <v>25</v>
      </c>
      <c r="AK29" s="17">
        <f t="shared" si="35"/>
        <v>9.5</v>
      </c>
      <c r="AL29" s="17">
        <f t="shared" si="36"/>
        <v>9</v>
      </c>
      <c r="AM29" s="1">
        <f t="shared" si="7"/>
        <v>-0.265625</v>
      </c>
      <c r="AN29" s="1">
        <f t="shared" si="8"/>
        <v>0.42553191489361702</v>
      </c>
      <c r="AO29" s="1">
        <f t="shared" si="9"/>
        <v>0.1044776119402985</v>
      </c>
      <c r="AP29" s="1">
        <f t="shared" si="10"/>
        <v>4.0540540540540543E-2</v>
      </c>
      <c r="AQ29" s="1">
        <f t="shared" si="11"/>
        <v>-3.896103896103896E-2</v>
      </c>
      <c r="AR29" s="1">
        <f t="shared" si="12"/>
        <v>0.36486486486486486</v>
      </c>
      <c r="AS29" s="12">
        <f t="shared" si="37"/>
        <v>0.10513814887971366</v>
      </c>
      <c r="AT29" s="12">
        <f t="shared" si="38"/>
        <v>7.2509076240419523E-2</v>
      </c>
      <c r="AU29" s="1">
        <f t="shared" si="39"/>
        <v>-17</v>
      </c>
      <c r="AV29" s="1">
        <f t="shared" si="40"/>
        <v>20</v>
      </c>
      <c r="AW29" s="1">
        <f t="shared" si="41"/>
        <v>7</v>
      </c>
      <c r="AX29" s="1">
        <f t="shared" si="42"/>
        <v>3</v>
      </c>
      <c r="AY29" s="1">
        <f t="shared" si="43"/>
        <v>-3</v>
      </c>
      <c r="AZ29" s="1">
        <f t="shared" si="44"/>
        <v>27</v>
      </c>
      <c r="BA29" s="19">
        <f t="shared" si="14"/>
        <v>6.166666666666667</v>
      </c>
      <c r="BB29" s="19">
        <f t="shared" si="15"/>
        <v>5</v>
      </c>
      <c r="BC29" s="9">
        <f t="shared" si="16"/>
        <v>0.53846153846153844</v>
      </c>
      <c r="BD29" s="9">
        <f t="shared" si="17"/>
        <v>-0.25</v>
      </c>
      <c r="BE29" s="9">
        <f t="shared" si="18"/>
        <v>0.6</v>
      </c>
      <c r="BF29" s="9">
        <f t="shared" si="19"/>
        <v>0.10416666666666667</v>
      </c>
      <c r="BG29" s="9">
        <f t="shared" si="20"/>
        <v>-9.4339622641509441E-2</v>
      </c>
      <c r="BH29" s="9">
        <f t="shared" si="21"/>
        <v>-4.1666666666666664E-2</v>
      </c>
      <c r="BI29" s="12">
        <f t="shared" si="22"/>
        <v>0.14277031930333817</v>
      </c>
      <c r="BJ29" s="13">
        <f t="shared" si="23"/>
        <v>3.1250000000000007E-2</v>
      </c>
      <c r="BK29" s="1">
        <f t="shared" si="45"/>
        <v>14</v>
      </c>
      <c r="BL29" s="1">
        <f t="shared" si="46"/>
        <v>-10</v>
      </c>
      <c r="BM29" s="1">
        <f t="shared" si="47"/>
        <v>18</v>
      </c>
      <c r="BN29" s="1">
        <f t="shared" si="48"/>
        <v>5</v>
      </c>
      <c r="BO29" s="1">
        <f t="shared" si="49"/>
        <v>-5</v>
      </c>
      <c r="BP29" s="1">
        <f t="shared" si="50"/>
        <v>-2</v>
      </c>
      <c r="BQ29" s="19">
        <f t="shared" si="25"/>
        <v>3.3333333333333335</v>
      </c>
      <c r="BR29" s="17">
        <f t="shared" si="26"/>
        <v>1.5</v>
      </c>
    </row>
    <row r="30" spans="1:70" x14ac:dyDescent="0.25">
      <c r="A30" s="20">
        <v>28</v>
      </c>
      <c r="B30" s="1">
        <v>96</v>
      </c>
      <c r="C30" s="1">
        <v>108</v>
      </c>
      <c r="D30" s="1">
        <v>103</v>
      </c>
      <c r="E30" s="1">
        <v>126</v>
      </c>
      <c r="F30" s="1">
        <v>126</v>
      </c>
      <c r="G30" s="1">
        <v>106</v>
      </c>
      <c r="H30" s="1">
        <v>134</v>
      </c>
      <c r="I30" s="1">
        <v>63</v>
      </c>
      <c r="J30" s="1">
        <v>65</v>
      </c>
      <c r="K30" s="1">
        <v>63</v>
      </c>
      <c r="L30" s="1">
        <v>73</v>
      </c>
      <c r="M30" s="1">
        <v>79</v>
      </c>
      <c r="N30" s="1">
        <v>60</v>
      </c>
      <c r="O30" s="1">
        <v>84</v>
      </c>
      <c r="P30" s="1">
        <v>33</v>
      </c>
      <c r="Q30" s="1">
        <v>43</v>
      </c>
      <c r="R30" s="1">
        <v>40</v>
      </c>
      <c r="S30" s="1">
        <v>53</v>
      </c>
      <c r="T30" s="1">
        <v>47</v>
      </c>
      <c r="U30" s="1">
        <v>46</v>
      </c>
      <c r="V30" s="1">
        <v>50</v>
      </c>
      <c r="W30" s="8">
        <f t="shared" si="0"/>
        <v>0.125</v>
      </c>
      <c r="X30" s="8">
        <f t="shared" si="1"/>
        <v>-4.6296296296296294E-2</v>
      </c>
      <c r="Y30" s="8">
        <f t="shared" si="2"/>
        <v>0.22330097087378642</v>
      </c>
      <c r="Z30" s="8">
        <f t="shared" si="3"/>
        <v>0</v>
      </c>
      <c r="AA30" s="8">
        <f t="shared" si="4"/>
        <v>-0.15873015873015872</v>
      </c>
      <c r="AB30" s="8">
        <f t="shared" si="5"/>
        <v>0.26415094339622641</v>
      </c>
      <c r="AC30" s="12">
        <f t="shared" si="27"/>
        <v>6.7904243207259643E-2</v>
      </c>
      <c r="AD30" s="12">
        <f t="shared" si="28"/>
        <v>6.25E-2</v>
      </c>
      <c r="AE30" s="1">
        <f t="shared" si="29"/>
        <v>12</v>
      </c>
      <c r="AF30" s="1">
        <f t="shared" si="30"/>
        <v>-5</v>
      </c>
      <c r="AG30" s="1">
        <f t="shared" si="31"/>
        <v>23</v>
      </c>
      <c r="AH30" s="1">
        <f t="shared" si="32"/>
        <v>0</v>
      </c>
      <c r="AI30" s="1">
        <f t="shared" si="33"/>
        <v>-20</v>
      </c>
      <c r="AJ30" s="1">
        <f t="shared" si="34"/>
        <v>28</v>
      </c>
      <c r="AK30" s="17">
        <f t="shared" si="35"/>
        <v>6.333333333333333</v>
      </c>
      <c r="AL30" s="17">
        <f t="shared" si="36"/>
        <v>6</v>
      </c>
      <c r="AM30" s="1">
        <f t="shared" si="7"/>
        <v>3.1746031746031744E-2</v>
      </c>
      <c r="AN30" s="1">
        <f t="shared" si="8"/>
        <v>-3.0769230769230771E-2</v>
      </c>
      <c r="AO30" s="1">
        <f t="shared" si="9"/>
        <v>0.15873015873015872</v>
      </c>
      <c r="AP30" s="1">
        <f t="shared" si="10"/>
        <v>8.2191780821917804E-2</v>
      </c>
      <c r="AQ30" s="1">
        <f t="shared" si="11"/>
        <v>-0.24050632911392406</v>
      </c>
      <c r="AR30" s="1">
        <f t="shared" si="12"/>
        <v>0.4</v>
      </c>
      <c r="AS30" s="12">
        <f t="shared" si="37"/>
        <v>6.6898735235825582E-2</v>
      </c>
      <c r="AT30" s="12">
        <f t="shared" si="38"/>
        <v>5.6968906283974774E-2</v>
      </c>
      <c r="AU30" s="1">
        <f t="shared" si="39"/>
        <v>2</v>
      </c>
      <c r="AV30" s="1">
        <f t="shared" si="40"/>
        <v>-2</v>
      </c>
      <c r="AW30" s="1">
        <f t="shared" si="41"/>
        <v>10</v>
      </c>
      <c r="AX30" s="1">
        <f t="shared" si="42"/>
        <v>6</v>
      </c>
      <c r="AY30" s="1">
        <f t="shared" si="43"/>
        <v>-19</v>
      </c>
      <c r="AZ30" s="1">
        <f t="shared" si="44"/>
        <v>24</v>
      </c>
      <c r="BA30" s="19">
        <f t="shared" si="14"/>
        <v>3.5</v>
      </c>
      <c r="BB30" s="19">
        <f t="shared" si="15"/>
        <v>4</v>
      </c>
      <c r="BC30" s="9">
        <f t="shared" si="16"/>
        <v>0.30303030303030304</v>
      </c>
      <c r="BD30" s="9">
        <f t="shared" si="17"/>
        <v>-6.9767441860465115E-2</v>
      </c>
      <c r="BE30" s="9">
        <f t="shared" si="18"/>
        <v>0.32500000000000001</v>
      </c>
      <c r="BF30" s="9">
        <f t="shared" si="19"/>
        <v>-0.11320754716981132</v>
      </c>
      <c r="BG30" s="9">
        <f t="shared" si="20"/>
        <v>-2.1276595744680851E-2</v>
      </c>
      <c r="BH30" s="9">
        <f t="shared" si="21"/>
        <v>8.6956521739130432E-2</v>
      </c>
      <c r="BI30" s="12">
        <f t="shared" si="22"/>
        <v>8.5122539999079372E-2</v>
      </c>
      <c r="BJ30" s="13">
        <f t="shared" si="23"/>
        <v>3.2839962997224789E-2</v>
      </c>
      <c r="BK30" s="1">
        <f t="shared" si="45"/>
        <v>10</v>
      </c>
      <c r="BL30" s="1">
        <f t="shared" si="46"/>
        <v>-3</v>
      </c>
      <c r="BM30" s="1">
        <f t="shared" si="47"/>
        <v>13</v>
      </c>
      <c r="BN30" s="1">
        <f t="shared" si="48"/>
        <v>-6</v>
      </c>
      <c r="BO30" s="1">
        <f t="shared" si="49"/>
        <v>-1</v>
      </c>
      <c r="BP30" s="1">
        <f t="shared" si="50"/>
        <v>4</v>
      </c>
      <c r="BQ30" s="19">
        <f t="shared" si="25"/>
        <v>2.8333333333333335</v>
      </c>
      <c r="BR30" s="17">
        <f t="shared" si="26"/>
        <v>1.5</v>
      </c>
    </row>
    <row r="31" spans="1:70" x14ac:dyDescent="0.25">
      <c r="A31" s="20">
        <v>29</v>
      </c>
      <c r="B31" s="1">
        <v>94</v>
      </c>
      <c r="C31" s="1">
        <v>101</v>
      </c>
      <c r="D31" s="1">
        <v>114</v>
      </c>
      <c r="E31" s="1">
        <v>129</v>
      </c>
      <c r="F31" s="1">
        <v>140</v>
      </c>
      <c r="G31" s="1">
        <v>148</v>
      </c>
      <c r="H31" s="1">
        <v>129</v>
      </c>
      <c r="I31" s="1">
        <v>59</v>
      </c>
      <c r="J31" s="1">
        <v>65</v>
      </c>
      <c r="K31" s="1">
        <v>66</v>
      </c>
      <c r="L31" s="1">
        <v>82</v>
      </c>
      <c r="M31" s="1">
        <v>77</v>
      </c>
      <c r="N31" s="1">
        <v>95</v>
      </c>
      <c r="O31" s="1">
        <v>80</v>
      </c>
      <c r="P31" s="1">
        <v>35</v>
      </c>
      <c r="Q31" s="1">
        <v>36</v>
      </c>
      <c r="R31" s="1">
        <v>48</v>
      </c>
      <c r="S31" s="1">
        <v>47</v>
      </c>
      <c r="T31" s="1">
        <v>63</v>
      </c>
      <c r="U31" s="1">
        <v>53</v>
      </c>
      <c r="V31" s="1">
        <v>49</v>
      </c>
      <c r="W31" s="8">
        <f t="shared" si="0"/>
        <v>7.4468085106382975E-2</v>
      </c>
      <c r="X31" s="8">
        <f t="shared" si="1"/>
        <v>0.12871287128712872</v>
      </c>
      <c r="Y31" s="8">
        <f t="shared" si="2"/>
        <v>0.13157894736842105</v>
      </c>
      <c r="Z31" s="8">
        <f t="shared" si="3"/>
        <v>8.5271317829457363E-2</v>
      </c>
      <c r="AA31" s="8">
        <f t="shared" si="4"/>
        <v>5.7142857142857141E-2</v>
      </c>
      <c r="AB31" s="8">
        <f t="shared" si="5"/>
        <v>-0.12837837837837837</v>
      </c>
      <c r="AC31" s="12">
        <f t="shared" si="27"/>
        <v>5.8132616725978158E-2</v>
      </c>
      <c r="AD31" s="12">
        <f t="shared" si="28"/>
        <v>7.9869701467920162E-2</v>
      </c>
      <c r="AE31" s="1">
        <f t="shared" si="29"/>
        <v>7</v>
      </c>
      <c r="AF31" s="1">
        <f t="shared" si="30"/>
        <v>13</v>
      </c>
      <c r="AG31" s="1">
        <f t="shared" si="31"/>
        <v>15</v>
      </c>
      <c r="AH31" s="1">
        <f t="shared" si="32"/>
        <v>11</v>
      </c>
      <c r="AI31" s="1">
        <f t="shared" si="33"/>
        <v>8</v>
      </c>
      <c r="AJ31" s="1">
        <f t="shared" si="34"/>
        <v>-19</v>
      </c>
      <c r="AK31" s="17">
        <f t="shared" si="35"/>
        <v>5.833333333333333</v>
      </c>
      <c r="AL31" s="17">
        <f t="shared" si="36"/>
        <v>9.5</v>
      </c>
      <c r="AM31" s="1">
        <f t="shared" si="7"/>
        <v>0.10169491525423729</v>
      </c>
      <c r="AN31" s="1">
        <f t="shared" si="8"/>
        <v>1.5384615384615385E-2</v>
      </c>
      <c r="AO31" s="1">
        <f t="shared" si="9"/>
        <v>0.24242424242424243</v>
      </c>
      <c r="AP31" s="1">
        <f t="shared" si="10"/>
        <v>-6.097560975609756E-2</v>
      </c>
      <c r="AQ31" s="1">
        <f t="shared" si="11"/>
        <v>0.23376623376623376</v>
      </c>
      <c r="AR31" s="1">
        <f t="shared" si="12"/>
        <v>-0.15789473684210525</v>
      </c>
      <c r="AS31" s="12">
        <f t="shared" si="37"/>
        <v>6.2399943371854345E-2</v>
      </c>
      <c r="AT31" s="12">
        <f t="shared" si="38"/>
        <v>5.853976531942634E-2</v>
      </c>
      <c r="AU31" s="1">
        <f t="shared" si="39"/>
        <v>6</v>
      </c>
      <c r="AV31" s="1">
        <f t="shared" si="40"/>
        <v>1</v>
      </c>
      <c r="AW31" s="1">
        <f t="shared" si="41"/>
        <v>16</v>
      </c>
      <c r="AX31" s="1">
        <f t="shared" si="42"/>
        <v>-5</v>
      </c>
      <c r="AY31" s="1">
        <f t="shared" si="43"/>
        <v>18</v>
      </c>
      <c r="AZ31" s="1">
        <f t="shared" si="44"/>
        <v>-15</v>
      </c>
      <c r="BA31" s="19">
        <f t="shared" si="14"/>
        <v>3.5</v>
      </c>
      <c r="BB31" s="19">
        <f t="shared" si="15"/>
        <v>3.5</v>
      </c>
      <c r="BC31" s="9">
        <f t="shared" si="16"/>
        <v>2.8571428571428571E-2</v>
      </c>
      <c r="BD31" s="9">
        <f t="shared" si="17"/>
        <v>0.33333333333333331</v>
      </c>
      <c r="BE31" s="9">
        <f t="shared" si="18"/>
        <v>-2.0833333333333332E-2</v>
      </c>
      <c r="BF31" s="9">
        <f t="shared" si="19"/>
        <v>0.34042553191489361</v>
      </c>
      <c r="BG31" s="9">
        <f t="shared" si="20"/>
        <v>-0.15873015873015872</v>
      </c>
      <c r="BH31" s="9">
        <f t="shared" si="21"/>
        <v>-7.5471698113207544E-2</v>
      </c>
      <c r="BI31" s="12">
        <f t="shared" si="22"/>
        <v>7.4549183940492647E-2</v>
      </c>
      <c r="BJ31" s="13">
        <f t="shared" si="23"/>
        <v>3.8690476190476192E-3</v>
      </c>
      <c r="BK31" s="1">
        <f t="shared" si="45"/>
        <v>1</v>
      </c>
      <c r="BL31" s="1">
        <f t="shared" si="46"/>
        <v>12</v>
      </c>
      <c r="BM31" s="1">
        <f t="shared" si="47"/>
        <v>-1</v>
      </c>
      <c r="BN31" s="1">
        <f t="shared" si="48"/>
        <v>16</v>
      </c>
      <c r="BO31" s="1">
        <f t="shared" si="49"/>
        <v>-10</v>
      </c>
      <c r="BP31" s="1">
        <f t="shared" si="50"/>
        <v>-4</v>
      </c>
      <c r="BQ31" s="19">
        <f t="shared" si="25"/>
        <v>2.3333333333333335</v>
      </c>
      <c r="BR31" s="17">
        <f t="shared" si="26"/>
        <v>0</v>
      </c>
    </row>
    <row r="32" spans="1:70" x14ac:dyDescent="0.25">
      <c r="A32" s="20">
        <v>30</v>
      </c>
      <c r="B32" s="1">
        <v>96</v>
      </c>
      <c r="C32" s="1">
        <v>111</v>
      </c>
      <c r="D32" s="1">
        <v>121</v>
      </c>
      <c r="E32" s="1">
        <v>152</v>
      </c>
      <c r="F32" s="1">
        <v>156</v>
      </c>
      <c r="G32" s="1">
        <v>160</v>
      </c>
      <c r="H32" s="1">
        <v>148</v>
      </c>
      <c r="I32" s="1">
        <v>54</v>
      </c>
      <c r="J32" s="1">
        <v>59</v>
      </c>
      <c r="K32" s="1">
        <v>78</v>
      </c>
      <c r="L32" s="1">
        <v>96</v>
      </c>
      <c r="M32" s="1">
        <v>109</v>
      </c>
      <c r="N32" s="1">
        <v>89</v>
      </c>
      <c r="O32" s="1">
        <v>93</v>
      </c>
      <c r="P32" s="1">
        <v>42</v>
      </c>
      <c r="Q32" s="1">
        <v>52</v>
      </c>
      <c r="R32" s="1">
        <v>43</v>
      </c>
      <c r="S32" s="1">
        <v>56</v>
      </c>
      <c r="T32" s="1">
        <v>47</v>
      </c>
      <c r="U32" s="1">
        <v>71</v>
      </c>
      <c r="V32" s="1">
        <v>55</v>
      </c>
      <c r="W32" s="8">
        <f t="shared" si="0"/>
        <v>0.15625</v>
      </c>
      <c r="X32" s="8">
        <f t="shared" si="1"/>
        <v>9.0090090090090086E-2</v>
      </c>
      <c r="Y32" s="8">
        <f t="shared" si="2"/>
        <v>0.256198347107438</v>
      </c>
      <c r="Z32" s="8">
        <f t="shared" si="3"/>
        <v>2.6315789473684209E-2</v>
      </c>
      <c r="AA32" s="8">
        <f t="shared" si="4"/>
        <v>2.564102564102564E-2</v>
      </c>
      <c r="AB32" s="8">
        <f t="shared" si="5"/>
        <v>-7.4999999999999997E-2</v>
      </c>
      <c r="AC32" s="12">
        <f t="shared" si="27"/>
        <v>7.9915875385372995E-2</v>
      </c>
      <c r="AD32" s="12">
        <f t="shared" si="28"/>
        <v>5.8202939781887147E-2</v>
      </c>
      <c r="AE32" s="1">
        <f t="shared" si="29"/>
        <v>15</v>
      </c>
      <c r="AF32" s="1">
        <f t="shared" si="30"/>
        <v>10</v>
      </c>
      <c r="AG32" s="1">
        <f t="shared" si="31"/>
        <v>31</v>
      </c>
      <c r="AH32" s="1">
        <f t="shared" si="32"/>
        <v>4</v>
      </c>
      <c r="AI32" s="1">
        <f t="shared" si="33"/>
        <v>4</v>
      </c>
      <c r="AJ32" s="1">
        <f t="shared" si="34"/>
        <v>-12</v>
      </c>
      <c r="AK32" s="17">
        <f t="shared" si="35"/>
        <v>8.6666666666666661</v>
      </c>
      <c r="AL32" s="17">
        <f t="shared" si="36"/>
        <v>7</v>
      </c>
      <c r="AM32" s="1">
        <f t="shared" si="7"/>
        <v>9.2592592592592587E-2</v>
      </c>
      <c r="AN32" s="1">
        <f t="shared" si="8"/>
        <v>0.32203389830508472</v>
      </c>
      <c r="AO32" s="1">
        <f t="shared" si="9"/>
        <v>0.23076923076923078</v>
      </c>
      <c r="AP32" s="1">
        <f t="shared" si="10"/>
        <v>0.13541666666666666</v>
      </c>
      <c r="AQ32" s="1">
        <f t="shared" si="11"/>
        <v>-0.1834862385321101</v>
      </c>
      <c r="AR32" s="1">
        <f t="shared" si="12"/>
        <v>4.49438202247191E-2</v>
      </c>
      <c r="AS32" s="12">
        <f t="shared" si="37"/>
        <v>0.10704499500436397</v>
      </c>
      <c r="AT32" s="12">
        <f t="shared" si="38"/>
        <v>0.11400462962962962</v>
      </c>
      <c r="AU32" s="1">
        <f t="shared" si="39"/>
        <v>5</v>
      </c>
      <c r="AV32" s="1">
        <f t="shared" si="40"/>
        <v>19</v>
      </c>
      <c r="AW32" s="1">
        <f t="shared" si="41"/>
        <v>18</v>
      </c>
      <c r="AX32" s="1">
        <f t="shared" si="42"/>
        <v>13</v>
      </c>
      <c r="AY32" s="1">
        <f t="shared" si="43"/>
        <v>-20</v>
      </c>
      <c r="AZ32" s="1">
        <f t="shared" si="44"/>
        <v>4</v>
      </c>
      <c r="BA32" s="19">
        <f t="shared" si="14"/>
        <v>6.5</v>
      </c>
      <c r="BB32" s="19">
        <f t="shared" si="15"/>
        <v>9</v>
      </c>
      <c r="BC32" s="9">
        <f t="shared" si="16"/>
        <v>0.23809523809523808</v>
      </c>
      <c r="BD32" s="9">
        <f t="shared" si="17"/>
        <v>-0.17307692307692307</v>
      </c>
      <c r="BE32" s="9">
        <f t="shared" si="18"/>
        <v>0.30232558139534882</v>
      </c>
      <c r="BF32" s="9">
        <f t="shared" si="19"/>
        <v>-0.16071428571428573</v>
      </c>
      <c r="BG32" s="9">
        <f t="shared" si="20"/>
        <v>0.51063829787234039</v>
      </c>
      <c r="BH32" s="9">
        <f t="shared" si="21"/>
        <v>-0.22535211267605634</v>
      </c>
      <c r="BI32" s="12">
        <f t="shared" si="22"/>
        <v>8.1985965982610362E-2</v>
      </c>
      <c r="BJ32" s="13">
        <f t="shared" si="23"/>
        <v>3.8690476190476192E-2</v>
      </c>
      <c r="BK32" s="1">
        <f t="shared" si="45"/>
        <v>10</v>
      </c>
      <c r="BL32" s="1">
        <f t="shared" si="46"/>
        <v>-9</v>
      </c>
      <c r="BM32" s="1">
        <f t="shared" si="47"/>
        <v>13</v>
      </c>
      <c r="BN32" s="1">
        <f t="shared" si="48"/>
        <v>-9</v>
      </c>
      <c r="BO32" s="1">
        <f t="shared" si="49"/>
        <v>24</v>
      </c>
      <c r="BP32" s="1">
        <f t="shared" si="50"/>
        <v>-16</v>
      </c>
      <c r="BQ32" s="19">
        <f t="shared" si="25"/>
        <v>2.1666666666666665</v>
      </c>
      <c r="BR32" s="17">
        <f t="shared" si="26"/>
        <v>0.5</v>
      </c>
    </row>
    <row r="33" spans="1:70" x14ac:dyDescent="0.25">
      <c r="A33" s="20">
        <v>31</v>
      </c>
      <c r="B33" s="1">
        <v>122</v>
      </c>
      <c r="C33" s="1">
        <v>99</v>
      </c>
      <c r="D33" s="1">
        <v>126</v>
      </c>
      <c r="E33" s="1">
        <v>119</v>
      </c>
      <c r="F33" s="1">
        <v>129</v>
      </c>
      <c r="G33" s="1">
        <v>127</v>
      </c>
      <c r="H33" s="1">
        <v>141</v>
      </c>
      <c r="I33" s="1">
        <v>74</v>
      </c>
      <c r="J33" s="1">
        <v>60</v>
      </c>
      <c r="K33" s="1">
        <v>87</v>
      </c>
      <c r="L33" s="1">
        <v>75</v>
      </c>
      <c r="M33" s="1">
        <v>75</v>
      </c>
      <c r="N33" s="1">
        <v>74</v>
      </c>
      <c r="O33" s="1">
        <v>101</v>
      </c>
      <c r="P33" s="1">
        <v>48</v>
      </c>
      <c r="Q33" s="1">
        <v>39</v>
      </c>
      <c r="R33" s="1">
        <v>39</v>
      </c>
      <c r="S33" s="1">
        <v>44</v>
      </c>
      <c r="T33" s="1">
        <v>54</v>
      </c>
      <c r="U33" s="1">
        <v>53</v>
      </c>
      <c r="V33" s="1">
        <v>40</v>
      </c>
      <c r="W33" s="8">
        <f t="shared" si="0"/>
        <v>-0.18852459016393441</v>
      </c>
      <c r="X33" s="8">
        <f t="shared" si="1"/>
        <v>0.27272727272727271</v>
      </c>
      <c r="Y33" s="8">
        <f t="shared" si="2"/>
        <v>-5.5555555555555552E-2</v>
      </c>
      <c r="Z33" s="8">
        <f t="shared" si="3"/>
        <v>8.4033613445378158E-2</v>
      </c>
      <c r="AA33" s="8">
        <f t="shared" si="4"/>
        <v>-1.5503875968992248E-2</v>
      </c>
      <c r="AB33" s="8">
        <f t="shared" si="5"/>
        <v>0.11023622047244094</v>
      </c>
      <c r="AC33" s="12">
        <f t="shared" si="27"/>
        <v>3.4568847492768263E-2</v>
      </c>
      <c r="AD33" s="12">
        <f t="shared" si="28"/>
        <v>3.4264868738192955E-2</v>
      </c>
      <c r="AE33" s="1">
        <f t="shared" si="29"/>
        <v>-23</v>
      </c>
      <c r="AF33" s="1">
        <f t="shared" si="30"/>
        <v>27</v>
      </c>
      <c r="AG33" s="1">
        <f t="shared" si="31"/>
        <v>-7</v>
      </c>
      <c r="AH33" s="1">
        <f t="shared" si="32"/>
        <v>10</v>
      </c>
      <c r="AI33" s="1">
        <f t="shared" si="33"/>
        <v>-2</v>
      </c>
      <c r="AJ33" s="1">
        <f t="shared" si="34"/>
        <v>14</v>
      </c>
      <c r="AK33" s="17">
        <f t="shared" si="35"/>
        <v>3.1666666666666665</v>
      </c>
      <c r="AL33" s="17">
        <f t="shared" si="36"/>
        <v>4</v>
      </c>
      <c r="AM33" s="1">
        <f t="shared" si="7"/>
        <v>-0.1891891891891892</v>
      </c>
      <c r="AN33" s="1">
        <f t="shared" si="8"/>
        <v>0.45</v>
      </c>
      <c r="AO33" s="1">
        <f t="shared" si="9"/>
        <v>-0.13793103448275862</v>
      </c>
      <c r="AP33" s="1">
        <f t="shared" si="10"/>
        <v>0</v>
      </c>
      <c r="AQ33" s="1">
        <f t="shared" si="11"/>
        <v>-1.3333333333333334E-2</v>
      </c>
      <c r="AR33" s="1">
        <f t="shared" si="12"/>
        <v>0.36486486486486486</v>
      </c>
      <c r="AS33" s="12">
        <f t="shared" si="37"/>
        <v>7.9068551309930624E-2</v>
      </c>
      <c r="AT33" s="12">
        <f t="shared" si="38"/>
        <v>-6.6666666666666671E-3</v>
      </c>
      <c r="AU33" s="1">
        <f t="shared" si="39"/>
        <v>-14</v>
      </c>
      <c r="AV33" s="1">
        <f t="shared" si="40"/>
        <v>27</v>
      </c>
      <c r="AW33" s="1">
        <f t="shared" si="41"/>
        <v>-12</v>
      </c>
      <c r="AX33" s="1">
        <f t="shared" si="42"/>
        <v>0</v>
      </c>
      <c r="AY33" s="1">
        <f t="shared" si="43"/>
        <v>-1</v>
      </c>
      <c r="AZ33" s="1">
        <f t="shared" si="44"/>
        <v>27</v>
      </c>
      <c r="BA33" s="19">
        <f t="shared" si="14"/>
        <v>4.5</v>
      </c>
      <c r="BB33" s="19">
        <f t="shared" si="15"/>
        <v>-0.5</v>
      </c>
      <c r="BC33" s="9">
        <f t="shared" si="16"/>
        <v>-0.1875</v>
      </c>
      <c r="BD33" s="9">
        <f t="shared" si="17"/>
        <v>0</v>
      </c>
      <c r="BE33" s="9">
        <f t="shared" si="18"/>
        <v>0.12820512820512819</v>
      </c>
      <c r="BF33" s="9">
        <f t="shared" si="19"/>
        <v>0.22727272727272727</v>
      </c>
      <c r="BG33" s="9">
        <f t="shared" si="20"/>
        <v>-1.8518518518518517E-2</v>
      </c>
      <c r="BH33" s="9">
        <f t="shared" si="21"/>
        <v>-0.24528301886792453</v>
      </c>
      <c r="BI33" s="12">
        <f t="shared" si="22"/>
        <v>-1.5970613651431265E-2</v>
      </c>
      <c r="BJ33" s="13">
        <f t="shared" si="23"/>
        <v>-9.2592592592592587E-3</v>
      </c>
      <c r="BK33" s="1">
        <f t="shared" si="45"/>
        <v>-9</v>
      </c>
      <c r="BL33" s="1">
        <f t="shared" si="46"/>
        <v>0</v>
      </c>
      <c r="BM33" s="1">
        <f t="shared" si="47"/>
        <v>5</v>
      </c>
      <c r="BN33" s="1">
        <f t="shared" si="48"/>
        <v>10</v>
      </c>
      <c r="BO33" s="1">
        <f t="shared" si="49"/>
        <v>-1</v>
      </c>
      <c r="BP33" s="1">
        <f t="shared" si="50"/>
        <v>-13</v>
      </c>
      <c r="BQ33" s="19">
        <f t="shared" si="25"/>
        <v>-1.3333333333333333</v>
      </c>
      <c r="BR33" s="17">
        <f t="shared" si="26"/>
        <v>-0.5</v>
      </c>
    </row>
    <row r="34" spans="1:70" x14ac:dyDescent="0.25">
      <c r="A34" s="20">
        <v>32</v>
      </c>
      <c r="B34" s="1">
        <v>106</v>
      </c>
      <c r="C34" s="1">
        <v>132</v>
      </c>
      <c r="D34" s="1">
        <v>104</v>
      </c>
      <c r="E34" s="1">
        <v>136</v>
      </c>
      <c r="F34" s="1">
        <v>146</v>
      </c>
      <c r="G34" s="1">
        <v>152</v>
      </c>
      <c r="H34" s="1">
        <v>157</v>
      </c>
      <c r="I34" s="1">
        <v>62</v>
      </c>
      <c r="J34" s="1">
        <v>76</v>
      </c>
      <c r="K34" s="1">
        <v>58</v>
      </c>
      <c r="L34" s="1">
        <v>80</v>
      </c>
      <c r="M34" s="1">
        <v>82</v>
      </c>
      <c r="N34" s="1">
        <v>84</v>
      </c>
      <c r="O34" s="1">
        <v>104</v>
      </c>
      <c r="P34" s="1">
        <v>44</v>
      </c>
      <c r="Q34" s="1">
        <v>56</v>
      </c>
      <c r="R34" s="1">
        <v>46</v>
      </c>
      <c r="S34" s="1">
        <v>56</v>
      </c>
      <c r="T34" s="1">
        <v>64</v>
      </c>
      <c r="U34" s="1">
        <v>68</v>
      </c>
      <c r="V34" s="1">
        <v>53</v>
      </c>
      <c r="W34" s="8">
        <f t="shared" ref="W34:W65" si="51">+(C34-B34)/B34</f>
        <v>0.24528301886792453</v>
      </c>
      <c r="X34" s="8">
        <f t="shared" ref="X34:X65" si="52">+(D34-C34)/C34</f>
        <v>-0.21212121212121213</v>
      </c>
      <c r="Y34" s="8">
        <f t="shared" ref="Y34:Y65" si="53">+(E34-D34)/D34</f>
        <v>0.30769230769230771</v>
      </c>
      <c r="Z34" s="8">
        <f t="shared" ref="Z34:Z65" si="54">+(F34-E34)/E34</f>
        <v>7.3529411764705885E-2</v>
      </c>
      <c r="AA34" s="8">
        <f t="shared" ref="AA34:AA65" si="55">+(G34-F34)/F34</f>
        <v>4.1095890410958902E-2</v>
      </c>
      <c r="AB34" s="8">
        <f t="shared" ref="AB34:AB65" si="56">+(H34-G34)/G34</f>
        <v>3.2894736842105261E-2</v>
      </c>
      <c r="AC34" s="12">
        <f t="shared" si="27"/>
        <v>8.139569224279837E-2</v>
      </c>
      <c r="AD34" s="12">
        <f t="shared" si="28"/>
        <v>5.7312651087832393E-2</v>
      </c>
      <c r="AE34" s="1">
        <f t="shared" si="29"/>
        <v>26</v>
      </c>
      <c r="AF34" s="1">
        <f t="shared" si="30"/>
        <v>-28</v>
      </c>
      <c r="AG34" s="1">
        <f t="shared" si="31"/>
        <v>32</v>
      </c>
      <c r="AH34" s="1">
        <f t="shared" si="32"/>
        <v>10</v>
      </c>
      <c r="AI34" s="1">
        <f t="shared" si="33"/>
        <v>6</v>
      </c>
      <c r="AJ34" s="1">
        <f t="shared" si="34"/>
        <v>5</v>
      </c>
      <c r="AK34" s="17">
        <f t="shared" si="35"/>
        <v>8.5</v>
      </c>
      <c r="AL34" s="17">
        <f t="shared" si="36"/>
        <v>8</v>
      </c>
      <c r="AM34" s="1">
        <f t="shared" ref="AM34:AM65" si="57">+(J34-I34)/I34</f>
        <v>0.22580645161290322</v>
      </c>
      <c r="AN34" s="1">
        <f t="shared" ref="AN34:AN65" si="58">+(K34-J34)/J34</f>
        <v>-0.23684210526315788</v>
      </c>
      <c r="AO34" s="1">
        <f t="shared" ref="AO34:AO65" si="59">+(L34-K34)/K34</f>
        <v>0.37931034482758619</v>
      </c>
      <c r="AP34" s="1">
        <f t="shared" ref="AP34:AP65" si="60">+(M34-L34)/L34</f>
        <v>2.5000000000000001E-2</v>
      </c>
      <c r="AQ34" s="1">
        <f t="shared" ref="AQ34:AQ65" si="61">+(N34-M34)/M34</f>
        <v>2.4390243902439025E-2</v>
      </c>
      <c r="AR34" s="1">
        <f t="shared" ref="AR34:AR65" si="62">+(O34-N34)/N34</f>
        <v>0.23809523809523808</v>
      </c>
      <c r="AS34" s="12">
        <f t="shared" si="37"/>
        <v>0.10929336219583478</v>
      </c>
      <c r="AT34" s="12">
        <f t="shared" si="38"/>
        <v>0.12540322580645161</v>
      </c>
      <c r="AU34" s="1">
        <f t="shared" si="39"/>
        <v>14</v>
      </c>
      <c r="AV34" s="1">
        <f t="shared" si="40"/>
        <v>-18</v>
      </c>
      <c r="AW34" s="1">
        <f t="shared" si="41"/>
        <v>22</v>
      </c>
      <c r="AX34" s="1">
        <f t="shared" si="42"/>
        <v>2</v>
      </c>
      <c r="AY34" s="1">
        <f t="shared" si="43"/>
        <v>2</v>
      </c>
      <c r="AZ34" s="1">
        <f t="shared" si="44"/>
        <v>20</v>
      </c>
      <c r="BA34" s="19">
        <f t="shared" ref="BA34:BA65" si="63">+AVERAGE(AU34:AZ34)</f>
        <v>7</v>
      </c>
      <c r="BB34" s="19">
        <f t="shared" ref="BB34:BB65" si="64">MEDIAN(AU34:AZ34)</f>
        <v>8</v>
      </c>
      <c r="BC34" s="9">
        <f t="shared" ref="BC34:BC65" si="65">+(Q34-P34)/P34</f>
        <v>0.27272727272727271</v>
      </c>
      <c r="BD34" s="9">
        <f t="shared" ref="BD34:BD65" si="66">+(R34-Q34)/Q34</f>
        <v>-0.17857142857142858</v>
      </c>
      <c r="BE34" s="9">
        <f t="shared" ref="BE34:BE65" si="67">+(S34-R34)/R34</f>
        <v>0.21739130434782608</v>
      </c>
      <c r="BF34" s="9">
        <f t="shared" ref="BF34:BF65" si="68">+(T34-S34)/S34</f>
        <v>0.14285714285714285</v>
      </c>
      <c r="BG34" s="9">
        <f t="shared" ref="BG34:BG65" si="69">+(U34-T34)/T34</f>
        <v>6.25E-2</v>
      </c>
      <c r="BH34" s="9">
        <f t="shared" ref="BH34:BH65" si="70">+(V34-U34)/U34</f>
        <v>-0.22058823529411764</v>
      </c>
      <c r="BI34" s="12">
        <f t="shared" ref="BI34:BI65" si="71">+AVERAGE(BC34:BH34)</f>
        <v>4.9386009344449235E-2</v>
      </c>
      <c r="BJ34" s="13">
        <f t="shared" ref="BJ34:BJ65" si="72">MEDIAN(BC34:BH34)</f>
        <v>0.10267857142857142</v>
      </c>
      <c r="BK34" s="1">
        <f t="shared" si="45"/>
        <v>12</v>
      </c>
      <c r="BL34" s="1">
        <f t="shared" si="46"/>
        <v>-10</v>
      </c>
      <c r="BM34" s="1">
        <f t="shared" si="47"/>
        <v>10</v>
      </c>
      <c r="BN34" s="1">
        <f t="shared" si="48"/>
        <v>8</v>
      </c>
      <c r="BO34" s="1">
        <f t="shared" si="49"/>
        <v>4</v>
      </c>
      <c r="BP34" s="1">
        <f t="shared" si="50"/>
        <v>-15</v>
      </c>
      <c r="BQ34" s="19">
        <f t="shared" ref="BQ34:BQ65" si="73">+AVERAGE(BK34:BP34)</f>
        <v>1.5</v>
      </c>
      <c r="BR34" s="17">
        <f t="shared" ref="BR34:BR65" si="74">MEDIAN(BK34:BP34)</f>
        <v>6</v>
      </c>
    </row>
    <row r="35" spans="1:70" x14ac:dyDescent="0.25">
      <c r="A35" s="20">
        <v>33</v>
      </c>
      <c r="B35" s="1">
        <v>117</v>
      </c>
      <c r="C35" s="1">
        <v>124</v>
      </c>
      <c r="D35" s="1">
        <v>136</v>
      </c>
      <c r="E35" s="1">
        <v>155</v>
      </c>
      <c r="F35" s="1">
        <v>166</v>
      </c>
      <c r="G35" s="1">
        <v>175</v>
      </c>
      <c r="H35" s="1">
        <v>180</v>
      </c>
      <c r="I35" s="1">
        <v>60</v>
      </c>
      <c r="J35" s="1">
        <v>63</v>
      </c>
      <c r="K35" s="1">
        <v>76</v>
      </c>
      <c r="L35" s="1">
        <v>93</v>
      </c>
      <c r="M35" s="1">
        <v>98</v>
      </c>
      <c r="N35" s="1">
        <v>111</v>
      </c>
      <c r="O35" s="1">
        <v>113</v>
      </c>
      <c r="P35" s="1">
        <v>57</v>
      </c>
      <c r="Q35" s="1">
        <v>61</v>
      </c>
      <c r="R35" s="1">
        <v>60</v>
      </c>
      <c r="S35" s="1">
        <v>62</v>
      </c>
      <c r="T35" s="1">
        <v>68</v>
      </c>
      <c r="U35" s="1">
        <v>64</v>
      </c>
      <c r="V35" s="1">
        <v>67</v>
      </c>
      <c r="W35" s="8">
        <f t="shared" si="51"/>
        <v>5.9829059829059832E-2</v>
      </c>
      <c r="X35" s="8">
        <f t="shared" si="52"/>
        <v>9.6774193548387094E-2</v>
      </c>
      <c r="Y35" s="8">
        <f t="shared" si="53"/>
        <v>0.13970588235294118</v>
      </c>
      <c r="Z35" s="8">
        <f t="shared" si="54"/>
        <v>7.0967741935483872E-2</v>
      </c>
      <c r="AA35" s="8">
        <f t="shared" si="55"/>
        <v>5.4216867469879519E-2</v>
      </c>
      <c r="AB35" s="8">
        <f t="shared" si="56"/>
        <v>2.8571428571428571E-2</v>
      </c>
      <c r="AC35" s="12">
        <f t="shared" si="27"/>
        <v>7.5010862284530008E-2</v>
      </c>
      <c r="AD35" s="12">
        <f t="shared" si="28"/>
        <v>6.5398400882271848E-2</v>
      </c>
      <c r="AE35" s="1">
        <f t="shared" si="29"/>
        <v>7</v>
      </c>
      <c r="AF35" s="1">
        <f t="shared" si="30"/>
        <v>12</v>
      </c>
      <c r="AG35" s="1">
        <f t="shared" si="31"/>
        <v>19</v>
      </c>
      <c r="AH35" s="1">
        <f t="shared" si="32"/>
        <v>11</v>
      </c>
      <c r="AI35" s="1">
        <f t="shared" si="33"/>
        <v>9</v>
      </c>
      <c r="AJ35" s="1">
        <f t="shared" si="34"/>
        <v>5</v>
      </c>
      <c r="AK35" s="17">
        <f t="shared" si="35"/>
        <v>10.5</v>
      </c>
      <c r="AL35" s="17">
        <f t="shared" si="36"/>
        <v>10</v>
      </c>
      <c r="AM35" s="1">
        <f t="shared" si="57"/>
        <v>0.05</v>
      </c>
      <c r="AN35" s="1">
        <f t="shared" si="58"/>
        <v>0.20634920634920634</v>
      </c>
      <c r="AO35" s="1">
        <f t="shared" si="59"/>
        <v>0.22368421052631579</v>
      </c>
      <c r="AP35" s="1">
        <f t="shared" si="60"/>
        <v>5.3763440860215055E-2</v>
      </c>
      <c r="AQ35" s="1">
        <f t="shared" si="61"/>
        <v>0.1326530612244898</v>
      </c>
      <c r="AR35" s="1">
        <f t="shared" si="62"/>
        <v>1.8018018018018018E-2</v>
      </c>
      <c r="AS35" s="12">
        <f t="shared" si="37"/>
        <v>0.11407798949637417</v>
      </c>
      <c r="AT35" s="12">
        <f t="shared" si="38"/>
        <v>9.3208251042352419E-2</v>
      </c>
      <c r="AU35" s="1">
        <f t="shared" si="39"/>
        <v>3</v>
      </c>
      <c r="AV35" s="1">
        <f t="shared" si="40"/>
        <v>13</v>
      </c>
      <c r="AW35" s="1">
        <f t="shared" si="41"/>
        <v>17</v>
      </c>
      <c r="AX35" s="1">
        <f t="shared" si="42"/>
        <v>5</v>
      </c>
      <c r="AY35" s="1">
        <f t="shared" si="43"/>
        <v>13</v>
      </c>
      <c r="AZ35" s="1">
        <f t="shared" si="44"/>
        <v>2</v>
      </c>
      <c r="BA35" s="19">
        <f t="shared" si="63"/>
        <v>8.8333333333333339</v>
      </c>
      <c r="BB35" s="19">
        <f t="shared" si="64"/>
        <v>9</v>
      </c>
      <c r="BC35" s="9">
        <f t="shared" si="65"/>
        <v>7.0175438596491224E-2</v>
      </c>
      <c r="BD35" s="9">
        <f t="shared" si="66"/>
        <v>-1.6393442622950821E-2</v>
      </c>
      <c r="BE35" s="9">
        <f t="shared" si="67"/>
        <v>3.3333333333333333E-2</v>
      </c>
      <c r="BF35" s="9">
        <f t="shared" si="68"/>
        <v>9.6774193548387094E-2</v>
      </c>
      <c r="BG35" s="9">
        <f t="shared" si="69"/>
        <v>-5.8823529411764705E-2</v>
      </c>
      <c r="BH35" s="9">
        <f t="shared" si="70"/>
        <v>4.6875E-2</v>
      </c>
      <c r="BI35" s="12">
        <f t="shared" si="71"/>
        <v>2.8656832240582686E-2</v>
      </c>
      <c r="BJ35" s="13">
        <f t="shared" si="72"/>
        <v>4.0104166666666663E-2</v>
      </c>
      <c r="BK35" s="1">
        <f t="shared" si="45"/>
        <v>4</v>
      </c>
      <c r="BL35" s="1">
        <f t="shared" si="46"/>
        <v>-1</v>
      </c>
      <c r="BM35" s="1">
        <f t="shared" si="47"/>
        <v>2</v>
      </c>
      <c r="BN35" s="1">
        <f t="shared" si="48"/>
        <v>6</v>
      </c>
      <c r="BO35" s="1">
        <f t="shared" si="49"/>
        <v>-4</v>
      </c>
      <c r="BP35" s="1">
        <f t="shared" si="50"/>
        <v>3</v>
      </c>
      <c r="BQ35" s="19">
        <f t="shared" si="73"/>
        <v>1.6666666666666667</v>
      </c>
      <c r="BR35" s="17">
        <f t="shared" si="74"/>
        <v>2.5</v>
      </c>
    </row>
    <row r="36" spans="1:70" x14ac:dyDescent="0.25">
      <c r="A36" s="20">
        <v>34</v>
      </c>
      <c r="B36" s="1">
        <v>129</v>
      </c>
      <c r="C36" s="1">
        <v>123</v>
      </c>
      <c r="D36" s="1">
        <v>138</v>
      </c>
      <c r="E36" s="1">
        <v>159</v>
      </c>
      <c r="F36" s="1">
        <v>170</v>
      </c>
      <c r="G36" s="1">
        <v>190</v>
      </c>
      <c r="H36" s="1">
        <v>167</v>
      </c>
      <c r="I36" s="1">
        <v>74</v>
      </c>
      <c r="J36" s="1">
        <v>71</v>
      </c>
      <c r="K36" s="1">
        <v>83</v>
      </c>
      <c r="L36" s="1">
        <v>85</v>
      </c>
      <c r="M36" s="1">
        <v>94</v>
      </c>
      <c r="N36" s="1">
        <v>110</v>
      </c>
      <c r="O36" s="1">
        <v>89</v>
      </c>
      <c r="P36" s="1">
        <v>55</v>
      </c>
      <c r="Q36" s="1">
        <v>52</v>
      </c>
      <c r="R36" s="1">
        <v>55</v>
      </c>
      <c r="S36" s="1">
        <v>74</v>
      </c>
      <c r="T36" s="1">
        <v>76</v>
      </c>
      <c r="U36" s="1">
        <v>80</v>
      </c>
      <c r="V36" s="1">
        <v>78</v>
      </c>
      <c r="W36" s="8">
        <f t="shared" si="51"/>
        <v>-4.6511627906976744E-2</v>
      </c>
      <c r="X36" s="8">
        <f t="shared" si="52"/>
        <v>0.12195121951219512</v>
      </c>
      <c r="Y36" s="8">
        <f t="shared" si="53"/>
        <v>0.15217391304347827</v>
      </c>
      <c r="Z36" s="8">
        <f t="shared" si="54"/>
        <v>6.9182389937106917E-2</v>
      </c>
      <c r="AA36" s="8">
        <f t="shared" si="55"/>
        <v>0.11764705882352941</v>
      </c>
      <c r="AB36" s="8">
        <f t="shared" si="56"/>
        <v>-0.12105263157894737</v>
      </c>
      <c r="AC36" s="12">
        <f t="shared" si="27"/>
        <v>4.8898386971730941E-2</v>
      </c>
      <c r="AD36" s="12">
        <f t="shared" si="28"/>
        <v>9.341472438031817E-2</v>
      </c>
      <c r="AE36" s="1">
        <f t="shared" si="29"/>
        <v>-6</v>
      </c>
      <c r="AF36" s="1">
        <f t="shared" si="30"/>
        <v>15</v>
      </c>
      <c r="AG36" s="1">
        <f t="shared" si="31"/>
        <v>21</v>
      </c>
      <c r="AH36" s="1">
        <f t="shared" si="32"/>
        <v>11</v>
      </c>
      <c r="AI36" s="1">
        <f t="shared" si="33"/>
        <v>20</v>
      </c>
      <c r="AJ36" s="1">
        <f t="shared" si="34"/>
        <v>-23</v>
      </c>
      <c r="AK36" s="17">
        <f t="shared" si="35"/>
        <v>6.333333333333333</v>
      </c>
      <c r="AL36" s="17">
        <f t="shared" si="36"/>
        <v>13</v>
      </c>
      <c r="AM36" s="1">
        <f t="shared" si="57"/>
        <v>-4.0540540540540543E-2</v>
      </c>
      <c r="AN36" s="1">
        <f t="shared" si="58"/>
        <v>0.16901408450704225</v>
      </c>
      <c r="AO36" s="1">
        <f t="shared" si="59"/>
        <v>2.4096385542168676E-2</v>
      </c>
      <c r="AP36" s="1">
        <f t="shared" si="60"/>
        <v>0.10588235294117647</v>
      </c>
      <c r="AQ36" s="1">
        <f t="shared" si="61"/>
        <v>0.1702127659574468</v>
      </c>
      <c r="AR36" s="1">
        <f t="shared" si="62"/>
        <v>-0.19090909090909092</v>
      </c>
      <c r="AS36" s="12">
        <f t="shared" si="37"/>
        <v>3.9625992916367127E-2</v>
      </c>
      <c r="AT36" s="12">
        <f t="shared" si="38"/>
        <v>6.4989369241672562E-2</v>
      </c>
      <c r="AU36" s="1">
        <f t="shared" si="39"/>
        <v>-3</v>
      </c>
      <c r="AV36" s="1">
        <f t="shared" si="40"/>
        <v>12</v>
      </c>
      <c r="AW36" s="1">
        <f t="shared" si="41"/>
        <v>2</v>
      </c>
      <c r="AX36" s="1">
        <f t="shared" si="42"/>
        <v>9</v>
      </c>
      <c r="AY36" s="1">
        <f t="shared" si="43"/>
        <v>16</v>
      </c>
      <c r="AZ36" s="1">
        <f t="shared" si="44"/>
        <v>-21</v>
      </c>
      <c r="BA36" s="19">
        <f t="shared" si="63"/>
        <v>2.5</v>
      </c>
      <c r="BB36" s="19">
        <f t="shared" si="64"/>
        <v>5.5</v>
      </c>
      <c r="BC36" s="9">
        <f t="shared" si="65"/>
        <v>-5.4545454545454543E-2</v>
      </c>
      <c r="BD36" s="9">
        <f t="shared" si="66"/>
        <v>5.7692307692307696E-2</v>
      </c>
      <c r="BE36" s="9">
        <f t="shared" si="67"/>
        <v>0.34545454545454546</v>
      </c>
      <c r="BF36" s="9">
        <f t="shared" si="68"/>
        <v>2.7027027027027029E-2</v>
      </c>
      <c r="BG36" s="9">
        <f t="shared" si="69"/>
        <v>5.2631578947368418E-2</v>
      </c>
      <c r="BH36" s="9">
        <f t="shared" si="70"/>
        <v>-2.5000000000000001E-2</v>
      </c>
      <c r="BI36" s="12">
        <f t="shared" si="71"/>
        <v>6.7210000762632338E-2</v>
      </c>
      <c r="BJ36" s="13">
        <f t="shared" si="72"/>
        <v>3.9829302987197723E-2</v>
      </c>
      <c r="BK36" s="1">
        <f t="shared" si="45"/>
        <v>-3</v>
      </c>
      <c r="BL36" s="1">
        <f t="shared" si="46"/>
        <v>3</v>
      </c>
      <c r="BM36" s="1">
        <f t="shared" si="47"/>
        <v>19</v>
      </c>
      <c r="BN36" s="1">
        <f t="shared" si="48"/>
        <v>2</v>
      </c>
      <c r="BO36" s="1">
        <f t="shared" si="49"/>
        <v>4</v>
      </c>
      <c r="BP36" s="1">
        <f t="shared" si="50"/>
        <v>-2</v>
      </c>
      <c r="BQ36" s="19">
        <f t="shared" si="73"/>
        <v>3.8333333333333335</v>
      </c>
      <c r="BR36" s="17">
        <f t="shared" si="74"/>
        <v>2.5</v>
      </c>
    </row>
    <row r="37" spans="1:70" x14ac:dyDescent="0.25">
      <c r="A37" s="20">
        <v>35</v>
      </c>
      <c r="B37" s="1">
        <v>136</v>
      </c>
      <c r="C37" s="1">
        <v>153</v>
      </c>
      <c r="D37" s="1">
        <v>126</v>
      </c>
      <c r="E37" s="1">
        <v>185</v>
      </c>
      <c r="F37" s="1">
        <v>181</v>
      </c>
      <c r="G37" s="1">
        <v>204</v>
      </c>
      <c r="H37" s="1">
        <v>171</v>
      </c>
      <c r="I37" s="1">
        <v>78</v>
      </c>
      <c r="J37" s="1">
        <v>83</v>
      </c>
      <c r="K37" s="1">
        <v>67</v>
      </c>
      <c r="L37" s="1">
        <v>111</v>
      </c>
      <c r="M37" s="1">
        <v>110</v>
      </c>
      <c r="N37" s="1">
        <v>114</v>
      </c>
      <c r="O37" s="1">
        <v>100</v>
      </c>
      <c r="P37" s="1">
        <v>58</v>
      </c>
      <c r="Q37" s="1">
        <v>70</v>
      </c>
      <c r="R37" s="1">
        <v>59</v>
      </c>
      <c r="S37" s="1">
        <v>74</v>
      </c>
      <c r="T37" s="1">
        <v>71</v>
      </c>
      <c r="U37" s="1">
        <v>90</v>
      </c>
      <c r="V37" s="1">
        <v>71</v>
      </c>
      <c r="W37" s="8">
        <f t="shared" si="51"/>
        <v>0.125</v>
      </c>
      <c r="X37" s="8">
        <f t="shared" si="52"/>
        <v>-0.17647058823529413</v>
      </c>
      <c r="Y37" s="8">
        <f t="shared" si="53"/>
        <v>0.46825396825396826</v>
      </c>
      <c r="Z37" s="8">
        <f t="shared" si="54"/>
        <v>-2.1621621621621623E-2</v>
      </c>
      <c r="AA37" s="8">
        <f t="shared" si="55"/>
        <v>0.1270718232044199</v>
      </c>
      <c r="AB37" s="8">
        <f t="shared" si="56"/>
        <v>-0.16176470588235295</v>
      </c>
      <c r="AC37" s="12">
        <f t="shared" si="27"/>
        <v>6.0078145953186578E-2</v>
      </c>
      <c r="AD37" s="12">
        <f t="shared" si="28"/>
        <v>5.1689189189189189E-2</v>
      </c>
      <c r="AE37" s="1">
        <f t="shared" si="29"/>
        <v>17</v>
      </c>
      <c r="AF37" s="1">
        <f t="shared" si="30"/>
        <v>-27</v>
      </c>
      <c r="AG37" s="1">
        <f t="shared" si="31"/>
        <v>59</v>
      </c>
      <c r="AH37" s="1">
        <f t="shared" si="32"/>
        <v>-4</v>
      </c>
      <c r="AI37" s="1">
        <f t="shared" si="33"/>
        <v>23</v>
      </c>
      <c r="AJ37" s="1">
        <f t="shared" si="34"/>
        <v>-33</v>
      </c>
      <c r="AK37" s="17">
        <f t="shared" si="35"/>
        <v>5.833333333333333</v>
      </c>
      <c r="AL37" s="17">
        <f t="shared" si="36"/>
        <v>6.5</v>
      </c>
      <c r="AM37" s="1">
        <f t="shared" si="57"/>
        <v>6.4102564102564097E-2</v>
      </c>
      <c r="AN37" s="1">
        <f t="shared" si="58"/>
        <v>-0.19277108433734941</v>
      </c>
      <c r="AO37" s="1">
        <f t="shared" si="59"/>
        <v>0.65671641791044777</v>
      </c>
      <c r="AP37" s="1">
        <f t="shared" si="60"/>
        <v>-9.0090090090090089E-3</v>
      </c>
      <c r="AQ37" s="1">
        <f t="shared" si="61"/>
        <v>3.6363636363636362E-2</v>
      </c>
      <c r="AR37" s="1">
        <f t="shared" si="62"/>
        <v>-0.12280701754385964</v>
      </c>
      <c r="AS37" s="12">
        <f t="shared" si="37"/>
        <v>7.2099251247738347E-2</v>
      </c>
      <c r="AT37" s="12">
        <f t="shared" si="38"/>
        <v>1.3677313677313676E-2</v>
      </c>
      <c r="AU37" s="1">
        <f t="shared" si="39"/>
        <v>5</v>
      </c>
      <c r="AV37" s="1">
        <f t="shared" si="40"/>
        <v>-16</v>
      </c>
      <c r="AW37" s="1">
        <f t="shared" si="41"/>
        <v>44</v>
      </c>
      <c r="AX37" s="1">
        <f t="shared" si="42"/>
        <v>-1</v>
      </c>
      <c r="AY37" s="1">
        <f t="shared" si="43"/>
        <v>4</v>
      </c>
      <c r="AZ37" s="1">
        <f t="shared" si="44"/>
        <v>-14</v>
      </c>
      <c r="BA37" s="19">
        <f t="shared" si="63"/>
        <v>3.6666666666666665</v>
      </c>
      <c r="BB37" s="19">
        <f t="shared" si="64"/>
        <v>1.5</v>
      </c>
      <c r="BC37" s="9">
        <f t="shared" si="65"/>
        <v>0.20689655172413793</v>
      </c>
      <c r="BD37" s="9">
        <f t="shared" si="66"/>
        <v>-0.15714285714285714</v>
      </c>
      <c r="BE37" s="9">
        <f t="shared" si="67"/>
        <v>0.25423728813559321</v>
      </c>
      <c r="BF37" s="9">
        <f t="shared" si="68"/>
        <v>-4.0540540540540543E-2</v>
      </c>
      <c r="BG37" s="9">
        <f t="shared" si="69"/>
        <v>0.26760563380281688</v>
      </c>
      <c r="BH37" s="9">
        <f t="shared" si="70"/>
        <v>-0.21111111111111111</v>
      </c>
      <c r="BI37" s="12">
        <f t="shared" si="71"/>
        <v>5.3324160811339859E-2</v>
      </c>
      <c r="BJ37" s="13">
        <f t="shared" si="72"/>
        <v>8.3178005591798693E-2</v>
      </c>
      <c r="BK37" s="1">
        <f t="shared" si="45"/>
        <v>12</v>
      </c>
      <c r="BL37" s="1">
        <f t="shared" si="46"/>
        <v>-11</v>
      </c>
      <c r="BM37" s="1">
        <f t="shared" si="47"/>
        <v>15</v>
      </c>
      <c r="BN37" s="1">
        <f t="shared" si="48"/>
        <v>-3</v>
      </c>
      <c r="BO37" s="1">
        <f t="shared" si="49"/>
        <v>19</v>
      </c>
      <c r="BP37" s="1">
        <f t="shared" si="50"/>
        <v>-19</v>
      </c>
      <c r="BQ37" s="19">
        <f t="shared" si="73"/>
        <v>2.1666666666666665</v>
      </c>
      <c r="BR37" s="17">
        <f t="shared" si="74"/>
        <v>4.5</v>
      </c>
    </row>
    <row r="38" spans="1:70" x14ac:dyDescent="0.25">
      <c r="A38" s="20">
        <v>36</v>
      </c>
      <c r="B38" s="1">
        <v>146</v>
      </c>
      <c r="C38" s="1">
        <v>162</v>
      </c>
      <c r="D38" s="1">
        <v>168</v>
      </c>
      <c r="E38" s="1">
        <v>166</v>
      </c>
      <c r="F38" s="1">
        <v>190</v>
      </c>
      <c r="G38" s="1">
        <v>176</v>
      </c>
      <c r="H38" s="1">
        <v>189</v>
      </c>
      <c r="I38" s="1">
        <v>83</v>
      </c>
      <c r="J38" s="1">
        <v>81</v>
      </c>
      <c r="K38" s="1">
        <v>99</v>
      </c>
      <c r="L38" s="1">
        <v>97</v>
      </c>
      <c r="M38" s="1">
        <v>115</v>
      </c>
      <c r="N38" s="1">
        <v>97</v>
      </c>
      <c r="O38" s="1">
        <v>105</v>
      </c>
      <c r="P38" s="1">
        <v>63</v>
      </c>
      <c r="Q38" s="1">
        <v>81</v>
      </c>
      <c r="R38" s="1">
        <v>69</v>
      </c>
      <c r="S38" s="1">
        <v>69</v>
      </c>
      <c r="T38" s="1">
        <v>75</v>
      </c>
      <c r="U38" s="1">
        <v>79</v>
      </c>
      <c r="V38" s="1">
        <v>84</v>
      </c>
      <c r="W38" s="8">
        <f t="shared" si="51"/>
        <v>0.1095890410958904</v>
      </c>
      <c r="X38" s="8">
        <f t="shared" si="52"/>
        <v>3.7037037037037035E-2</v>
      </c>
      <c r="Y38" s="8">
        <f t="shared" si="53"/>
        <v>-1.1904761904761904E-2</v>
      </c>
      <c r="Z38" s="8">
        <f t="shared" si="54"/>
        <v>0.14457831325301204</v>
      </c>
      <c r="AA38" s="8">
        <f t="shared" si="55"/>
        <v>-7.3684210526315783E-2</v>
      </c>
      <c r="AB38" s="8">
        <f t="shared" si="56"/>
        <v>7.3863636363636367E-2</v>
      </c>
      <c r="AC38" s="12">
        <f t="shared" si="27"/>
        <v>4.6579842553083027E-2</v>
      </c>
      <c r="AD38" s="12">
        <f t="shared" si="28"/>
        <v>5.5450336700336701E-2</v>
      </c>
      <c r="AE38" s="1">
        <f t="shared" si="29"/>
        <v>16</v>
      </c>
      <c r="AF38" s="1">
        <f t="shared" si="30"/>
        <v>6</v>
      </c>
      <c r="AG38" s="1">
        <f t="shared" si="31"/>
        <v>-2</v>
      </c>
      <c r="AH38" s="1">
        <f t="shared" si="32"/>
        <v>24</v>
      </c>
      <c r="AI38" s="1">
        <f t="shared" si="33"/>
        <v>-14</v>
      </c>
      <c r="AJ38" s="1">
        <f t="shared" si="34"/>
        <v>13</v>
      </c>
      <c r="AK38" s="17">
        <f t="shared" si="35"/>
        <v>7.166666666666667</v>
      </c>
      <c r="AL38" s="17">
        <f t="shared" si="36"/>
        <v>9.5</v>
      </c>
      <c r="AM38" s="1">
        <f t="shared" si="57"/>
        <v>-2.4096385542168676E-2</v>
      </c>
      <c r="AN38" s="1">
        <f t="shared" si="58"/>
        <v>0.22222222222222221</v>
      </c>
      <c r="AO38" s="1">
        <f t="shared" si="59"/>
        <v>-2.0202020202020204E-2</v>
      </c>
      <c r="AP38" s="1">
        <f t="shared" si="60"/>
        <v>0.18556701030927836</v>
      </c>
      <c r="AQ38" s="1">
        <f t="shared" si="61"/>
        <v>-0.15652173913043479</v>
      </c>
      <c r="AR38" s="1">
        <f t="shared" si="62"/>
        <v>8.247422680412371E-2</v>
      </c>
      <c r="AS38" s="12">
        <f t="shared" si="37"/>
        <v>4.8240552410166775E-2</v>
      </c>
      <c r="AT38" s="12">
        <f t="shared" si="38"/>
        <v>3.1136103301051755E-2</v>
      </c>
      <c r="AU38" s="1">
        <f t="shared" si="39"/>
        <v>-2</v>
      </c>
      <c r="AV38" s="1">
        <f t="shared" si="40"/>
        <v>18</v>
      </c>
      <c r="AW38" s="1">
        <f t="shared" si="41"/>
        <v>-2</v>
      </c>
      <c r="AX38" s="1">
        <f t="shared" si="42"/>
        <v>18</v>
      </c>
      <c r="AY38" s="1">
        <f t="shared" si="43"/>
        <v>-18</v>
      </c>
      <c r="AZ38" s="1">
        <f t="shared" si="44"/>
        <v>8</v>
      </c>
      <c r="BA38" s="19">
        <f t="shared" si="63"/>
        <v>3.6666666666666665</v>
      </c>
      <c r="BB38" s="19">
        <f t="shared" si="64"/>
        <v>3</v>
      </c>
      <c r="BC38" s="9">
        <f t="shared" si="65"/>
        <v>0.2857142857142857</v>
      </c>
      <c r="BD38" s="9">
        <f t="shared" si="66"/>
        <v>-0.14814814814814814</v>
      </c>
      <c r="BE38" s="9">
        <f t="shared" si="67"/>
        <v>0</v>
      </c>
      <c r="BF38" s="9">
        <f t="shared" si="68"/>
        <v>8.6956521739130432E-2</v>
      </c>
      <c r="BG38" s="9">
        <f t="shared" si="69"/>
        <v>5.3333333333333337E-2</v>
      </c>
      <c r="BH38" s="9">
        <f t="shared" si="70"/>
        <v>6.3291139240506333E-2</v>
      </c>
      <c r="BI38" s="12">
        <f t="shared" si="71"/>
        <v>5.6857855313184609E-2</v>
      </c>
      <c r="BJ38" s="13">
        <f t="shared" si="72"/>
        <v>5.8312236286919839E-2</v>
      </c>
      <c r="BK38" s="1">
        <f t="shared" si="45"/>
        <v>18</v>
      </c>
      <c r="BL38" s="1">
        <f t="shared" si="46"/>
        <v>-12</v>
      </c>
      <c r="BM38" s="1">
        <f t="shared" si="47"/>
        <v>0</v>
      </c>
      <c r="BN38" s="1">
        <f t="shared" si="48"/>
        <v>6</v>
      </c>
      <c r="BO38" s="1">
        <f t="shared" si="49"/>
        <v>4</v>
      </c>
      <c r="BP38" s="1">
        <f t="shared" si="50"/>
        <v>5</v>
      </c>
      <c r="BQ38" s="19">
        <f t="shared" si="73"/>
        <v>3.5</v>
      </c>
      <c r="BR38" s="17">
        <f t="shared" si="74"/>
        <v>4.5</v>
      </c>
    </row>
    <row r="39" spans="1:70" x14ac:dyDescent="0.25">
      <c r="A39" s="20">
        <v>37</v>
      </c>
      <c r="B39" s="1">
        <v>149</v>
      </c>
      <c r="C39" s="1">
        <v>147</v>
      </c>
      <c r="D39" s="1">
        <v>169</v>
      </c>
      <c r="E39" s="1">
        <v>226</v>
      </c>
      <c r="F39" s="1">
        <v>225</v>
      </c>
      <c r="G39" s="1">
        <v>195</v>
      </c>
      <c r="H39" s="1">
        <v>200</v>
      </c>
      <c r="I39" s="1">
        <v>78</v>
      </c>
      <c r="J39" s="1">
        <v>87</v>
      </c>
      <c r="K39" s="1">
        <v>89</v>
      </c>
      <c r="L39" s="1">
        <v>143</v>
      </c>
      <c r="M39" s="1">
        <v>127</v>
      </c>
      <c r="N39" s="1">
        <v>116</v>
      </c>
      <c r="O39" s="1">
        <v>116</v>
      </c>
      <c r="P39" s="1">
        <v>71</v>
      </c>
      <c r="Q39" s="1">
        <v>60</v>
      </c>
      <c r="R39" s="1">
        <v>80</v>
      </c>
      <c r="S39" s="1">
        <v>83</v>
      </c>
      <c r="T39" s="1">
        <v>98</v>
      </c>
      <c r="U39" s="1">
        <v>79</v>
      </c>
      <c r="V39" s="1">
        <v>84</v>
      </c>
      <c r="W39" s="8">
        <f t="shared" si="51"/>
        <v>-1.3422818791946308E-2</v>
      </c>
      <c r="X39" s="8">
        <f t="shared" si="52"/>
        <v>0.14965986394557823</v>
      </c>
      <c r="Y39" s="8">
        <f t="shared" si="53"/>
        <v>0.33727810650887574</v>
      </c>
      <c r="Z39" s="8">
        <f t="shared" si="54"/>
        <v>-4.4247787610619468E-3</v>
      </c>
      <c r="AA39" s="8">
        <f t="shared" si="55"/>
        <v>-0.13333333333333333</v>
      </c>
      <c r="AB39" s="8">
        <f t="shared" si="56"/>
        <v>2.564102564102564E-2</v>
      </c>
      <c r="AC39" s="12">
        <f t="shared" si="27"/>
        <v>6.0233010868189683E-2</v>
      </c>
      <c r="AD39" s="12">
        <f t="shared" si="28"/>
        <v>1.0608123439981847E-2</v>
      </c>
      <c r="AE39" s="1">
        <f t="shared" si="29"/>
        <v>-2</v>
      </c>
      <c r="AF39" s="1">
        <f t="shared" si="30"/>
        <v>22</v>
      </c>
      <c r="AG39" s="1">
        <f t="shared" si="31"/>
        <v>57</v>
      </c>
      <c r="AH39" s="1">
        <f t="shared" si="32"/>
        <v>-1</v>
      </c>
      <c r="AI39" s="1">
        <f t="shared" si="33"/>
        <v>-30</v>
      </c>
      <c r="AJ39" s="1">
        <f t="shared" si="34"/>
        <v>5</v>
      </c>
      <c r="AK39" s="17">
        <f t="shared" si="35"/>
        <v>8.5</v>
      </c>
      <c r="AL39" s="17">
        <f t="shared" si="36"/>
        <v>2</v>
      </c>
      <c r="AM39" s="1">
        <f t="shared" si="57"/>
        <v>0.11538461538461539</v>
      </c>
      <c r="AN39" s="1">
        <f t="shared" si="58"/>
        <v>2.2988505747126436E-2</v>
      </c>
      <c r="AO39" s="1">
        <f t="shared" si="59"/>
        <v>0.6067415730337079</v>
      </c>
      <c r="AP39" s="1">
        <f t="shared" si="60"/>
        <v>-0.11188811188811189</v>
      </c>
      <c r="AQ39" s="1">
        <f t="shared" si="61"/>
        <v>-8.6614173228346455E-2</v>
      </c>
      <c r="AR39" s="1">
        <f t="shared" si="62"/>
        <v>0</v>
      </c>
      <c r="AS39" s="12">
        <f t="shared" si="37"/>
        <v>9.1102068174831907E-2</v>
      </c>
      <c r="AT39" s="12">
        <f t="shared" si="38"/>
        <v>1.1494252873563218E-2</v>
      </c>
      <c r="AU39" s="1">
        <f t="shared" si="39"/>
        <v>9</v>
      </c>
      <c r="AV39" s="1">
        <f t="shared" si="40"/>
        <v>2</v>
      </c>
      <c r="AW39" s="1">
        <f t="shared" si="41"/>
        <v>54</v>
      </c>
      <c r="AX39" s="1">
        <f t="shared" si="42"/>
        <v>-16</v>
      </c>
      <c r="AY39" s="1">
        <f t="shared" si="43"/>
        <v>-11</v>
      </c>
      <c r="AZ39" s="1">
        <f t="shared" si="44"/>
        <v>0</v>
      </c>
      <c r="BA39" s="19">
        <f t="shared" si="63"/>
        <v>6.333333333333333</v>
      </c>
      <c r="BB39" s="19">
        <f t="shared" si="64"/>
        <v>1</v>
      </c>
      <c r="BC39" s="9">
        <f t="shared" si="65"/>
        <v>-0.15492957746478872</v>
      </c>
      <c r="BD39" s="9">
        <f t="shared" si="66"/>
        <v>0.33333333333333331</v>
      </c>
      <c r="BE39" s="9">
        <f t="shared" si="67"/>
        <v>3.7499999999999999E-2</v>
      </c>
      <c r="BF39" s="9">
        <f t="shared" si="68"/>
        <v>0.18072289156626506</v>
      </c>
      <c r="BG39" s="9">
        <f t="shared" si="69"/>
        <v>-0.19387755102040816</v>
      </c>
      <c r="BH39" s="9">
        <f t="shared" si="70"/>
        <v>6.3291139240506333E-2</v>
      </c>
      <c r="BI39" s="12">
        <f t="shared" si="71"/>
        <v>4.4340039275817977E-2</v>
      </c>
      <c r="BJ39" s="13">
        <f t="shared" si="72"/>
        <v>5.0395569620253169E-2</v>
      </c>
      <c r="BK39" s="1">
        <f t="shared" si="45"/>
        <v>-11</v>
      </c>
      <c r="BL39" s="1">
        <f t="shared" si="46"/>
        <v>20</v>
      </c>
      <c r="BM39" s="1">
        <f t="shared" si="47"/>
        <v>3</v>
      </c>
      <c r="BN39" s="1">
        <f t="shared" si="48"/>
        <v>15</v>
      </c>
      <c r="BO39" s="1">
        <f t="shared" si="49"/>
        <v>-19</v>
      </c>
      <c r="BP39" s="1">
        <f t="shared" si="50"/>
        <v>5</v>
      </c>
      <c r="BQ39" s="19">
        <f t="shared" si="73"/>
        <v>2.1666666666666665</v>
      </c>
      <c r="BR39" s="17">
        <f t="shared" si="74"/>
        <v>4</v>
      </c>
    </row>
    <row r="40" spans="1:70" x14ac:dyDescent="0.25">
      <c r="A40" s="20">
        <v>38</v>
      </c>
      <c r="B40" s="1">
        <v>185</v>
      </c>
      <c r="C40" s="1">
        <v>184</v>
      </c>
      <c r="D40" s="1">
        <v>182</v>
      </c>
      <c r="E40" s="1">
        <v>247</v>
      </c>
      <c r="F40" s="1">
        <v>232</v>
      </c>
      <c r="G40" s="1">
        <v>203</v>
      </c>
      <c r="H40" s="1">
        <v>227</v>
      </c>
      <c r="I40" s="1">
        <v>96</v>
      </c>
      <c r="J40" s="1">
        <v>96</v>
      </c>
      <c r="K40" s="1">
        <v>106</v>
      </c>
      <c r="L40" s="1">
        <v>138</v>
      </c>
      <c r="M40" s="1">
        <v>128</v>
      </c>
      <c r="N40" s="1">
        <v>108</v>
      </c>
      <c r="O40" s="1">
        <v>133</v>
      </c>
      <c r="P40" s="1">
        <v>89</v>
      </c>
      <c r="Q40" s="1">
        <v>88</v>
      </c>
      <c r="R40" s="1">
        <v>76</v>
      </c>
      <c r="S40" s="1">
        <v>109</v>
      </c>
      <c r="T40" s="1">
        <v>104</v>
      </c>
      <c r="U40" s="1">
        <v>95</v>
      </c>
      <c r="V40" s="1">
        <v>94</v>
      </c>
      <c r="W40" s="8">
        <f t="shared" si="51"/>
        <v>-5.4054054054054057E-3</v>
      </c>
      <c r="X40" s="8">
        <f t="shared" si="52"/>
        <v>-1.0869565217391304E-2</v>
      </c>
      <c r="Y40" s="8">
        <f t="shared" si="53"/>
        <v>0.35714285714285715</v>
      </c>
      <c r="Z40" s="8">
        <f t="shared" si="54"/>
        <v>-6.0728744939271252E-2</v>
      </c>
      <c r="AA40" s="8">
        <f t="shared" si="55"/>
        <v>-0.125</v>
      </c>
      <c r="AB40" s="8">
        <f t="shared" si="56"/>
        <v>0.11822660098522167</v>
      </c>
      <c r="AC40" s="12">
        <f t="shared" si="27"/>
        <v>4.5560957094335143E-2</v>
      </c>
      <c r="AD40" s="12">
        <f t="shared" si="28"/>
        <v>-8.1374853113983549E-3</v>
      </c>
      <c r="AE40" s="1">
        <f t="shared" si="29"/>
        <v>-1</v>
      </c>
      <c r="AF40" s="1">
        <f t="shared" si="30"/>
        <v>-2</v>
      </c>
      <c r="AG40" s="1">
        <f t="shared" si="31"/>
        <v>65</v>
      </c>
      <c r="AH40" s="1">
        <f t="shared" si="32"/>
        <v>-15</v>
      </c>
      <c r="AI40" s="1">
        <f t="shared" si="33"/>
        <v>-29</v>
      </c>
      <c r="AJ40" s="1">
        <f t="shared" si="34"/>
        <v>24</v>
      </c>
      <c r="AK40" s="17">
        <f t="shared" si="35"/>
        <v>7</v>
      </c>
      <c r="AL40" s="17">
        <f t="shared" si="36"/>
        <v>-1.5</v>
      </c>
      <c r="AM40" s="1">
        <f t="shared" si="57"/>
        <v>0</v>
      </c>
      <c r="AN40" s="1">
        <f t="shared" si="58"/>
        <v>0.10416666666666667</v>
      </c>
      <c r="AO40" s="1">
        <f t="shared" si="59"/>
        <v>0.30188679245283018</v>
      </c>
      <c r="AP40" s="1">
        <f t="shared" si="60"/>
        <v>-7.2463768115942032E-2</v>
      </c>
      <c r="AQ40" s="1">
        <f t="shared" si="61"/>
        <v>-0.15625</v>
      </c>
      <c r="AR40" s="1">
        <f t="shared" si="62"/>
        <v>0.23148148148148148</v>
      </c>
      <c r="AS40" s="12">
        <f t="shared" si="37"/>
        <v>6.8136862080839397E-2</v>
      </c>
      <c r="AT40" s="12">
        <f t="shared" si="38"/>
        <v>5.2083333333333336E-2</v>
      </c>
      <c r="AU40" s="1">
        <f t="shared" si="39"/>
        <v>0</v>
      </c>
      <c r="AV40" s="1">
        <f t="shared" si="40"/>
        <v>10</v>
      </c>
      <c r="AW40" s="1">
        <f t="shared" si="41"/>
        <v>32</v>
      </c>
      <c r="AX40" s="1">
        <f t="shared" si="42"/>
        <v>-10</v>
      </c>
      <c r="AY40" s="1">
        <f t="shared" si="43"/>
        <v>-20</v>
      </c>
      <c r="AZ40" s="1">
        <f t="shared" si="44"/>
        <v>25</v>
      </c>
      <c r="BA40" s="19">
        <f t="shared" si="63"/>
        <v>6.166666666666667</v>
      </c>
      <c r="BB40" s="19">
        <f t="shared" si="64"/>
        <v>5</v>
      </c>
      <c r="BC40" s="9">
        <f t="shared" si="65"/>
        <v>-1.1235955056179775E-2</v>
      </c>
      <c r="BD40" s="9">
        <f t="shared" si="66"/>
        <v>-0.13636363636363635</v>
      </c>
      <c r="BE40" s="9">
        <f t="shared" si="67"/>
        <v>0.43421052631578949</v>
      </c>
      <c r="BF40" s="9">
        <f t="shared" si="68"/>
        <v>-4.5871559633027525E-2</v>
      </c>
      <c r="BG40" s="9">
        <f t="shared" si="69"/>
        <v>-8.6538461538461536E-2</v>
      </c>
      <c r="BH40" s="9">
        <f t="shared" si="70"/>
        <v>-1.0526315789473684E-2</v>
      </c>
      <c r="BI40" s="12">
        <f t="shared" si="71"/>
        <v>2.3945766322501765E-2</v>
      </c>
      <c r="BJ40" s="13">
        <f t="shared" si="72"/>
        <v>-2.855375734460365E-2</v>
      </c>
      <c r="BK40" s="1">
        <f t="shared" si="45"/>
        <v>-1</v>
      </c>
      <c r="BL40" s="1">
        <f t="shared" si="46"/>
        <v>-12</v>
      </c>
      <c r="BM40" s="1">
        <f t="shared" si="47"/>
        <v>33</v>
      </c>
      <c r="BN40" s="1">
        <f t="shared" si="48"/>
        <v>-5</v>
      </c>
      <c r="BO40" s="1">
        <f t="shared" si="49"/>
        <v>-9</v>
      </c>
      <c r="BP40" s="1">
        <f t="shared" si="50"/>
        <v>-1</v>
      </c>
      <c r="BQ40" s="19">
        <f t="shared" si="73"/>
        <v>0.83333333333333337</v>
      </c>
      <c r="BR40" s="17">
        <f t="shared" si="74"/>
        <v>-3</v>
      </c>
    </row>
    <row r="41" spans="1:70" x14ac:dyDescent="0.25">
      <c r="A41" s="20">
        <v>39</v>
      </c>
      <c r="B41" s="1">
        <v>153</v>
      </c>
      <c r="C41" s="1">
        <v>220</v>
      </c>
      <c r="D41" s="1">
        <v>176</v>
      </c>
      <c r="E41" s="1">
        <v>233</v>
      </c>
      <c r="F41" s="1">
        <v>223</v>
      </c>
      <c r="G41" s="1">
        <v>250</v>
      </c>
      <c r="H41" s="1">
        <v>234</v>
      </c>
      <c r="I41" s="1">
        <v>88</v>
      </c>
      <c r="J41" s="1">
        <v>114</v>
      </c>
      <c r="K41" s="1">
        <v>81</v>
      </c>
      <c r="L41" s="1">
        <v>121</v>
      </c>
      <c r="M41" s="1">
        <v>132</v>
      </c>
      <c r="N41" s="1">
        <v>143</v>
      </c>
      <c r="O41" s="1">
        <v>136</v>
      </c>
      <c r="P41" s="1">
        <v>65</v>
      </c>
      <c r="Q41" s="1">
        <v>106</v>
      </c>
      <c r="R41" s="1">
        <v>95</v>
      </c>
      <c r="S41" s="1">
        <v>112</v>
      </c>
      <c r="T41" s="1">
        <v>91</v>
      </c>
      <c r="U41" s="1">
        <v>107</v>
      </c>
      <c r="V41" s="1">
        <v>98</v>
      </c>
      <c r="W41" s="8">
        <f t="shared" si="51"/>
        <v>0.43790849673202614</v>
      </c>
      <c r="X41" s="8">
        <f t="shared" si="52"/>
        <v>-0.2</v>
      </c>
      <c r="Y41" s="8">
        <f t="shared" si="53"/>
        <v>0.32386363636363635</v>
      </c>
      <c r="Z41" s="8">
        <f t="shared" si="54"/>
        <v>-4.2918454935622317E-2</v>
      </c>
      <c r="AA41" s="8">
        <f t="shared" si="55"/>
        <v>0.1210762331838565</v>
      </c>
      <c r="AB41" s="8">
        <f t="shared" si="56"/>
        <v>-6.4000000000000001E-2</v>
      </c>
      <c r="AC41" s="12">
        <f t="shared" si="27"/>
        <v>9.5988318557316113E-2</v>
      </c>
      <c r="AD41" s="12">
        <f t="shared" si="28"/>
        <v>3.907888912411709E-2</v>
      </c>
      <c r="AE41" s="1">
        <f t="shared" si="29"/>
        <v>67</v>
      </c>
      <c r="AF41" s="1">
        <f t="shared" si="30"/>
        <v>-44</v>
      </c>
      <c r="AG41" s="1">
        <f t="shared" si="31"/>
        <v>57</v>
      </c>
      <c r="AH41" s="1">
        <f t="shared" si="32"/>
        <v>-10</v>
      </c>
      <c r="AI41" s="1">
        <f t="shared" si="33"/>
        <v>27</v>
      </c>
      <c r="AJ41" s="1">
        <f t="shared" si="34"/>
        <v>-16</v>
      </c>
      <c r="AK41" s="17">
        <f t="shared" si="35"/>
        <v>13.5</v>
      </c>
      <c r="AL41" s="17">
        <f t="shared" si="36"/>
        <v>8.5</v>
      </c>
      <c r="AM41" s="1">
        <f t="shared" si="57"/>
        <v>0.29545454545454547</v>
      </c>
      <c r="AN41" s="1">
        <f t="shared" si="58"/>
        <v>-0.28947368421052633</v>
      </c>
      <c r="AO41" s="1">
        <f t="shared" si="59"/>
        <v>0.49382716049382713</v>
      </c>
      <c r="AP41" s="1">
        <f t="shared" si="60"/>
        <v>9.0909090909090912E-2</v>
      </c>
      <c r="AQ41" s="1">
        <f t="shared" si="61"/>
        <v>8.3333333333333329E-2</v>
      </c>
      <c r="AR41" s="1">
        <f t="shared" si="62"/>
        <v>-4.8951048951048952E-2</v>
      </c>
      <c r="AS41" s="12">
        <f t="shared" si="37"/>
        <v>0.10418323283820359</v>
      </c>
      <c r="AT41" s="12">
        <f t="shared" si="38"/>
        <v>8.7121212121212127E-2</v>
      </c>
      <c r="AU41" s="1">
        <f t="shared" si="39"/>
        <v>26</v>
      </c>
      <c r="AV41" s="1">
        <f t="shared" si="40"/>
        <v>-33</v>
      </c>
      <c r="AW41" s="1">
        <f t="shared" si="41"/>
        <v>40</v>
      </c>
      <c r="AX41" s="1">
        <f t="shared" si="42"/>
        <v>11</v>
      </c>
      <c r="AY41" s="1">
        <f t="shared" si="43"/>
        <v>11</v>
      </c>
      <c r="AZ41" s="1">
        <f t="shared" si="44"/>
        <v>-7</v>
      </c>
      <c r="BA41" s="19">
        <f t="shared" si="63"/>
        <v>8</v>
      </c>
      <c r="BB41" s="19">
        <f t="shared" si="64"/>
        <v>11</v>
      </c>
      <c r="BC41" s="9">
        <f t="shared" si="65"/>
        <v>0.63076923076923075</v>
      </c>
      <c r="BD41" s="9">
        <f t="shared" si="66"/>
        <v>-0.10377358490566038</v>
      </c>
      <c r="BE41" s="9">
        <f t="shared" si="67"/>
        <v>0.17894736842105263</v>
      </c>
      <c r="BF41" s="9">
        <f t="shared" si="68"/>
        <v>-0.1875</v>
      </c>
      <c r="BG41" s="9">
        <f t="shared" si="69"/>
        <v>0.17582417582417584</v>
      </c>
      <c r="BH41" s="9">
        <f t="shared" si="70"/>
        <v>-8.4112149532710276E-2</v>
      </c>
      <c r="BI41" s="12">
        <f t="shared" si="71"/>
        <v>0.10169250676268143</v>
      </c>
      <c r="BJ41" s="13">
        <f t="shared" si="72"/>
        <v>4.5856013145732774E-2</v>
      </c>
      <c r="BK41" s="1">
        <f t="shared" si="45"/>
        <v>41</v>
      </c>
      <c r="BL41" s="1">
        <f t="shared" si="46"/>
        <v>-11</v>
      </c>
      <c r="BM41" s="1">
        <f t="shared" si="47"/>
        <v>17</v>
      </c>
      <c r="BN41" s="1">
        <f t="shared" si="48"/>
        <v>-21</v>
      </c>
      <c r="BO41" s="1">
        <f t="shared" si="49"/>
        <v>16</v>
      </c>
      <c r="BP41" s="1">
        <f t="shared" si="50"/>
        <v>-9</v>
      </c>
      <c r="BQ41" s="19">
        <f t="shared" si="73"/>
        <v>5.5</v>
      </c>
      <c r="BR41" s="17">
        <f t="shared" si="74"/>
        <v>3.5</v>
      </c>
    </row>
    <row r="42" spans="1:70" x14ac:dyDescent="0.25">
      <c r="A42" s="20">
        <v>40</v>
      </c>
      <c r="B42" s="1">
        <v>163</v>
      </c>
      <c r="C42" s="1">
        <v>200</v>
      </c>
      <c r="D42" s="1">
        <v>211</v>
      </c>
      <c r="E42" s="1">
        <v>288</v>
      </c>
      <c r="F42" s="1">
        <v>250</v>
      </c>
      <c r="G42" s="1">
        <v>253</v>
      </c>
      <c r="H42" s="1">
        <v>274</v>
      </c>
      <c r="I42" s="1">
        <v>80</v>
      </c>
      <c r="J42" s="1">
        <v>115</v>
      </c>
      <c r="K42" s="1">
        <v>112</v>
      </c>
      <c r="L42" s="1">
        <v>169</v>
      </c>
      <c r="M42" s="1">
        <v>136</v>
      </c>
      <c r="N42" s="1">
        <v>151</v>
      </c>
      <c r="O42" s="1">
        <v>173</v>
      </c>
      <c r="P42" s="1">
        <v>83</v>
      </c>
      <c r="Q42" s="1">
        <v>85</v>
      </c>
      <c r="R42" s="1">
        <v>99</v>
      </c>
      <c r="S42" s="1">
        <v>119</v>
      </c>
      <c r="T42" s="1">
        <v>114</v>
      </c>
      <c r="U42" s="1">
        <v>102</v>
      </c>
      <c r="V42" s="1">
        <v>101</v>
      </c>
      <c r="W42" s="8">
        <f t="shared" si="51"/>
        <v>0.22699386503067484</v>
      </c>
      <c r="X42" s="8">
        <f t="shared" si="52"/>
        <v>5.5E-2</v>
      </c>
      <c r="Y42" s="8">
        <f t="shared" si="53"/>
        <v>0.36492890995260663</v>
      </c>
      <c r="Z42" s="8">
        <f t="shared" si="54"/>
        <v>-0.13194444444444445</v>
      </c>
      <c r="AA42" s="8">
        <f t="shared" si="55"/>
        <v>1.2E-2</v>
      </c>
      <c r="AB42" s="8">
        <f t="shared" si="56"/>
        <v>8.3003952569169967E-2</v>
      </c>
      <c r="AC42" s="12">
        <f t="shared" si="27"/>
        <v>0.10166371385133451</v>
      </c>
      <c r="AD42" s="12">
        <f t="shared" si="28"/>
        <v>6.9001976284584987E-2</v>
      </c>
      <c r="AE42" s="1">
        <f t="shared" si="29"/>
        <v>37</v>
      </c>
      <c r="AF42" s="1">
        <f t="shared" si="30"/>
        <v>11</v>
      </c>
      <c r="AG42" s="1">
        <f t="shared" si="31"/>
        <v>77</v>
      </c>
      <c r="AH42" s="1">
        <f t="shared" si="32"/>
        <v>-38</v>
      </c>
      <c r="AI42" s="1">
        <f t="shared" si="33"/>
        <v>3</v>
      </c>
      <c r="AJ42" s="1">
        <f t="shared" si="34"/>
        <v>21</v>
      </c>
      <c r="AK42" s="17">
        <f t="shared" si="35"/>
        <v>18.5</v>
      </c>
      <c r="AL42" s="17">
        <f t="shared" si="36"/>
        <v>16</v>
      </c>
      <c r="AM42" s="1">
        <f t="shared" si="57"/>
        <v>0.4375</v>
      </c>
      <c r="AN42" s="1">
        <f t="shared" si="58"/>
        <v>-2.6086956521739129E-2</v>
      </c>
      <c r="AO42" s="1">
        <f t="shared" si="59"/>
        <v>0.5089285714285714</v>
      </c>
      <c r="AP42" s="1">
        <f t="shared" si="60"/>
        <v>-0.19526627218934911</v>
      </c>
      <c r="AQ42" s="1">
        <f t="shared" si="61"/>
        <v>0.11029411764705882</v>
      </c>
      <c r="AR42" s="1">
        <f t="shared" si="62"/>
        <v>0.14569536423841059</v>
      </c>
      <c r="AS42" s="12">
        <f t="shared" si="37"/>
        <v>0.16351080410049207</v>
      </c>
      <c r="AT42" s="12">
        <f t="shared" si="38"/>
        <v>0.12799474094273472</v>
      </c>
      <c r="AU42" s="1">
        <f t="shared" si="39"/>
        <v>35</v>
      </c>
      <c r="AV42" s="1">
        <f t="shared" si="40"/>
        <v>-3</v>
      </c>
      <c r="AW42" s="1">
        <f t="shared" si="41"/>
        <v>57</v>
      </c>
      <c r="AX42" s="1">
        <f t="shared" si="42"/>
        <v>-33</v>
      </c>
      <c r="AY42" s="1">
        <f t="shared" si="43"/>
        <v>15</v>
      </c>
      <c r="AZ42" s="1">
        <f t="shared" si="44"/>
        <v>22</v>
      </c>
      <c r="BA42" s="19">
        <f t="shared" si="63"/>
        <v>15.5</v>
      </c>
      <c r="BB42" s="19">
        <f t="shared" si="64"/>
        <v>18.5</v>
      </c>
      <c r="BC42" s="9">
        <f t="shared" si="65"/>
        <v>2.4096385542168676E-2</v>
      </c>
      <c r="BD42" s="9">
        <f t="shared" si="66"/>
        <v>0.16470588235294117</v>
      </c>
      <c r="BE42" s="9">
        <f t="shared" si="67"/>
        <v>0.20202020202020202</v>
      </c>
      <c r="BF42" s="9">
        <f t="shared" si="68"/>
        <v>-4.2016806722689079E-2</v>
      </c>
      <c r="BG42" s="9">
        <f t="shared" si="69"/>
        <v>-0.10526315789473684</v>
      </c>
      <c r="BH42" s="9">
        <f t="shared" si="70"/>
        <v>-9.8039215686274508E-3</v>
      </c>
      <c r="BI42" s="12">
        <f t="shared" si="71"/>
        <v>3.8956430621543088E-2</v>
      </c>
      <c r="BJ42" s="13">
        <f t="shared" si="72"/>
        <v>7.1462319867706126E-3</v>
      </c>
      <c r="BK42" s="1">
        <f t="shared" si="45"/>
        <v>2</v>
      </c>
      <c r="BL42" s="1">
        <f t="shared" si="46"/>
        <v>14</v>
      </c>
      <c r="BM42" s="1">
        <f t="shared" si="47"/>
        <v>20</v>
      </c>
      <c r="BN42" s="1">
        <f t="shared" si="48"/>
        <v>-5</v>
      </c>
      <c r="BO42" s="1">
        <f t="shared" si="49"/>
        <v>-12</v>
      </c>
      <c r="BP42" s="1">
        <f t="shared" si="50"/>
        <v>-1</v>
      </c>
      <c r="BQ42" s="19">
        <f t="shared" si="73"/>
        <v>3</v>
      </c>
      <c r="BR42" s="17">
        <f t="shared" si="74"/>
        <v>0.5</v>
      </c>
    </row>
    <row r="43" spans="1:70" x14ac:dyDescent="0.25">
      <c r="A43" s="20">
        <v>41</v>
      </c>
      <c r="B43" s="1">
        <v>201</v>
      </c>
      <c r="C43" s="1">
        <v>209</v>
      </c>
      <c r="D43" s="1">
        <v>235</v>
      </c>
      <c r="E43" s="1">
        <v>301</v>
      </c>
      <c r="F43" s="1">
        <v>260</v>
      </c>
      <c r="G43" s="1">
        <v>284</v>
      </c>
      <c r="H43" s="1">
        <v>266</v>
      </c>
      <c r="I43" s="1">
        <v>127</v>
      </c>
      <c r="J43" s="1">
        <v>118</v>
      </c>
      <c r="K43" s="1">
        <v>146</v>
      </c>
      <c r="L43" s="1">
        <v>164</v>
      </c>
      <c r="M43" s="1">
        <v>152</v>
      </c>
      <c r="N43" s="1">
        <v>158</v>
      </c>
      <c r="O43" s="1">
        <v>144</v>
      </c>
      <c r="P43" s="1">
        <v>74</v>
      </c>
      <c r="Q43" s="1">
        <v>91</v>
      </c>
      <c r="R43" s="1">
        <v>89</v>
      </c>
      <c r="S43" s="1">
        <v>137</v>
      </c>
      <c r="T43" s="1">
        <v>108</v>
      </c>
      <c r="U43" s="1">
        <v>126</v>
      </c>
      <c r="V43" s="1">
        <v>122</v>
      </c>
      <c r="W43" s="8">
        <f t="shared" si="51"/>
        <v>3.9800995024875621E-2</v>
      </c>
      <c r="X43" s="8">
        <f t="shared" si="52"/>
        <v>0.12440191387559808</v>
      </c>
      <c r="Y43" s="8">
        <f t="shared" si="53"/>
        <v>0.28085106382978725</v>
      </c>
      <c r="Z43" s="8">
        <f t="shared" si="54"/>
        <v>-0.13621262458471761</v>
      </c>
      <c r="AA43" s="8">
        <f t="shared" si="55"/>
        <v>9.2307692307692313E-2</v>
      </c>
      <c r="AB43" s="8">
        <f t="shared" si="56"/>
        <v>-6.3380281690140844E-2</v>
      </c>
      <c r="AC43" s="12">
        <f t="shared" si="27"/>
        <v>5.6294793127182462E-2</v>
      </c>
      <c r="AD43" s="12">
        <f t="shared" si="28"/>
        <v>6.605434366628396E-2</v>
      </c>
      <c r="AE43" s="1">
        <f t="shared" si="29"/>
        <v>8</v>
      </c>
      <c r="AF43" s="1">
        <f t="shared" si="30"/>
        <v>26</v>
      </c>
      <c r="AG43" s="1">
        <f t="shared" si="31"/>
        <v>66</v>
      </c>
      <c r="AH43" s="1">
        <f t="shared" si="32"/>
        <v>-41</v>
      </c>
      <c r="AI43" s="1">
        <f t="shared" si="33"/>
        <v>24</v>
      </c>
      <c r="AJ43" s="1">
        <f t="shared" si="34"/>
        <v>-18</v>
      </c>
      <c r="AK43" s="17">
        <f t="shared" si="35"/>
        <v>10.833333333333334</v>
      </c>
      <c r="AL43" s="17">
        <f t="shared" si="36"/>
        <v>16</v>
      </c>
      <c r="AM43" s="1">
        <f t="shared" si="57"/>
        <v>-7.0866141732283464E-2</v>
      </c>
      <c r="AN43" s="1">
        <f t="shared" si="58"/>
        <v>0.23728813559322035</v>
      </c>
      <c r="AO43" s="1">
        <f t="shared" si="59"/>
        <v>0.12328767123287671</v>
      </c>
      <c r="AP43" s="1">
        <f t="shared" si="60"/>
        <v>-7.3170731707317069E-2</v>
      </c>
      <c r="AQ43" s="1">
        <f t="shared" si="61"/>
        <v>3.9473684210526314E-2</v>
      </c>
      <c r="AR43" s="1">
        <f t="shared" si="62"/>
        <v>-8.8607594936708861E-2</v>
      </c>
      <c r="AS43" s="12">
        <f t="shared" si="37"/>
        <v>2.7900837110052326E-2</v>
      </c>
      <c r="AT43" s="12">
        <f t="shared" si="38"/>
        <v>-1.5696228760878575E-2</v>
      </c>
      <c r="AU43" s="1">
        <f t="shared" si="39"/>
        <v>-9</v>
      </c>
      <c r="AV43" s="1">
        <f t="shared" si="40"/>
        <v>28</v>
      </c>
      <c r="AW43" s="1">
        <f t="shared" si="41"/>
        <v>18</v>
      </c>
      <c r="AX43" s="1">
        <f t="shared" si="42"/>
        <v>-12</v>
      </c>
      <c r="AY43" s="1">
        <f t="shared" si="43"/>
        <v>6</v>
      </c>
      <c r="AZ43" s="1">
        <f t="shared" si="44"/>
        <v>-14</v>
      </c>
      <c r="BA43" s="19">
        <f t="shared" si="63"/>
        <v>2.8333333333333335</v>
      </c>
      <c r="BB43" s="19">
        <f t="shared" si="64"/>
        <v>-1.5</v>
      </c>
      <c r="BC43" s="9">
        <f t="shared" si="65"/>
        <v>0.22972972972972974</v>
      </c>
      <c r="BD43" s="9">
        <f t="shared" si="66"/>
        <v>-2.197802197802198E-2</v>
      </c>
      <c r="BE43" s="9">
        <f t="shared" si="67"/>
        <v>0.5393258426966292</v>
      </c>
      <c r="BF43" s="9">
        <f t="shared" si="68"/>
        <v>-0.21167883211678831</v>
      </c>
      <c r="BG43" s="9">
        <f t="shared" si="69"/>
        <v>0.16666666666666666</v>
      </c>
      <c r="BH43" s="9">
        <f t="shared" si="70"/>
        <v>-3.1746031746031744E-2</v>
      </c>
      <c r="BI43" s="12">
        <f t="shared" si="71"/>
        <v>0.11171989220869726</v>
      </c>
      <c r="BJ43" s="13">
        <f t="shared" si="72"/>
        <v>7.2344322344322337E-2</v>
      </c>
      <c r="BK43" s="1">
        <f t="shared" si="45"/>
        <v>17</v>
      </c>
      <c r="BL43" s="1">
        <f t="shared" si="46"/>
        <v>-2</v>
      </c>
      <c r="BM43" s="1">
        <f t="shared" si="47"/>
        <v>48</v>
      </c>
      <c r="BN43" s="1">
        <f t="shared" si="48"/>
        <v>-29</v>
      </c>
      <c r="BO43" s="1">
        <f t="shared" si="49"/>
        <v>18</v>
      </c>
      <c r="BP43" s="1">
        <f t="shared" si="50"/>
        <v>-4</v>
      </c>
      <c r="BQ43" s="19">
        <f t="shared" si="73"/>
        <v>8</v>
      </c>
      <c r="BR43" s="17">
        <f t="shared" si="74"/>
        <v>7.5</v>
      </c>
    </row>
    <row r="44" spans="1:70" x14ac:dyDescent="0.25">
      <c r="A44" s="20">
        <v>42</v>
      </c>
      <c r="B44" s="1">
        <v>206</v>
      </c>
      <c r="C44" s="1">
        <v>207</v>
      </c>
      <c r="D44" s="1">
        <v>233</v>
      </c>
      <c r="E44" s="1">
        <v>316</v>
      </c>
      <c r="F44" s="1">
        <v>317</v>
      </c>
      <c r="G44" s="1">
        <v>309</v>
      </c>
      <c r="H44" s="1">
        <v>293</v>
      </c>
      <c r="I44" s="1">
        <v>111</v>
      </c>
      <c r="J44" s="1">
        <v>104</v>
      </c>
      <c r="K44" s="1">
        <v>119</v>
      </c>
      <c r="L44" s="1">
        <v>186</v>
      </c>
      <c r="M44" s="1">
        <v>185</v>
      </c>
      <c r="N44" s="1">
        <v>169</v>
      </c>
      <c r="O44" s="1">
        <v>163</v>
      </c>
      <c r="P44" s="1">
        <v>95</v>
      </c>
      <c r="Q44" s="1">
        <v>103</v>
      </c>
      <c r="R44" s="1">
        <v>114</v>
      </c>
      <c r="S44" s="1">
        <v>130</v>
      </c>
      <c r="T44" s="1">
        <v>132</v>
      </c>
      <c r="U44" s="1">
        <v>140</v>
      </c>
      <c r="V44" s="1">
        <v>130</v>
      </c>
      <c r="W44" s="8">
        <f t="shared" si="51"/>
        <v>4.8543689320388345E-3</v>
      </c>
      <c r="X44" s="8">
        <f t="shared" si="52"/>
        <v>0.12560386473429952</v>
      </c>
      <c r="Y44" s="8">
        <f t="shared" si="53"/>
        <v>0.35622317596566522</v>
      </c>
      <c r="Z44" s="8">
        <f t="shared" si="54"/>
        <v>3.1645569620253164E-3</v>
      </c>
      <c r="AA44" s="8">
        <f t="shared" si="55"/>
        <v>-2.5236593059936908E-2</v>
      </c>
      <c r="AB44" s="8">
        <f t="shared" si="56"/>
        <v>-5.1779935275080909E-2</v>
      </c>
      <c r="AC44" s="12">
        <f t="shared" si="27"/>
        <v>6.8804906376501843E-2</v>
      </c>
      <c r="AD44" s="12">
        <f t="shared" si="28"/>
        <v>4.0094629470320753E-3</v>
      </c>
      <c r="AE44" s="1">
        <f t="shared" si="29"/>
        <v>1</v>
      </c>
      <c r="AF44" s="1">
        <f t="shared" si="30"/>
        <v>26</v>
      </c>
      <c r="AG44" s="1">
        <f t="shared" si="31"/>
        <v>83</v>
      </c>
      <c r="AH44" s="1">
        <f t="shared" si="32"/>
        <v>1</v>
      </c>
      <c r="AI44" s="1">
        <f t="shared" si="33"/>
        <v>-8</v>
      </c>
      <c r="AJ44" s="1">
        <f t="shared" si="34"/>
        <v>-16</v>
      </c>
      <c r="AK44" s="17">
        <f t="shared" si="35"/>
        <v>14.5</v>
      </c>
      <c r="AL44" s="17">
        <f t="shared" si="36"/>
        <v>1</v>
      </c>
      <c r="AM44" s="1">
        <f t="shared" si="57"/>
        <v>-6.3063063063063057E-2</v>
      </c>
      <c r="AN44" s="1">
        <f t="shared" si="58"/>
        <v>0.14423076923076922</v>
      </c>
      <c r="AO44" s="1">
        <f t="shared" si="59"/>
        <v>0.56302521008403361</v>
      </c>
      <c r="AP44" s="1">
        <f t="shared" si="60"/>
        <v>-5.3763440860215058E-3</v>
      </c>
      <c r="AQ44" s="1">
        <f t="shared" si="61"/>
        <v>-8.6486486486486491E-2</v>
      </c>
      <c r="AR44" s="1">
        <f t="shared" si="62"/>
        <v>-3.5502958579881658E-2</v>
      </c>
      <c r="AS44" s="12">
        <f t="shared" si="37"/>
        <v>8.6137854516558365E-2</v>
      </c>
      <c r="AT44" s="12">
        <f t="shared" si="38"/>
        <v>-2.0439651332951583E-2</v>
      </c>
      <c r="AU44" s="1">
        <f t="shared" si="39"/>
        <v>-7</v>
      </c>
      <c r="AV44" s="1">
        <f t="shared" si="40"/>
        <v>15</v>
      </c>
      <c r="AW44" s="1">
        <f t="shared" si="41"/>
        <v>67</v>
      </c>
      <c r="AX44" s="1">
        <f t="shared" si="42"/>
        <v>-1</v>
      </c>
      <c r="AY44" s="1">
        <f t="shared" si="43"/>
        <v>-16</v>
      </c>
      <c r="AZ44" s="1">
        <f t="shared" si="44"/>
        <v>-6</v>
      </c>
      <c r="BA44" s="19">
        <f t="shared" si="63"/>
        <v>8.6666666666666661</v>
      </c>
      <c r="BB44" s="19">
        <f t="shared" si="64"/>
        <v>-3.5</v>
      </c>
      <c r="BC44" s="9">
        <f t="shared" si="65"/>
        <v>8.4210526315789472E-2</v>
      </c>
      <c r="BD44" s="9">
        <f t="shared" si="66"/>
        <v>0.10679611650485436</v>
      </c>
      <c r="BE44" s="9">
        <f t="shared" si="67"/>
        <v>0.14035087719298245</v>
      </c>
      <c r="BF44" s="9">
        <f t="shared" si="68"/>
        <v>1.5384615384615385E-2</v>
      </c>
      <c r="BG44" s="9">
        <f t="shared" si="69"/>
        <v>6.0606060606060608E-2</v>
      </c>
      <c r="BH44" s="9">
        <f t="shared" si="70"/>
        <v>-7.1428571428571425E-2</v>
      </c>
      <c r="BI44" s="12">
        <f t="shared" si="71"/>
        <v>5.5986604095955149E-2</v>
      </c>
      <c r="BJ44" s="13">
        <f t="shared" si="72"/>
        <v>7.2408293460925033E-2</v>
      </c>
      <c r="BK44" s="1">
        <f t="shared" si="45"/>
        <v>8</v>
      </c>
      <c r="BL44" s="1">
        <f t="shared" si="46"/>
        <v>11</v>
      </c>
      <c r="BM44" s="1">
        <f t="shared" si="47"/>
        <v>16</v>
      </c>
      <c r="BN44" s="1">
        <f t="shared" si="48"/>
        <v>2</v>
      </c>
      <c r="BO44" s="1">
        <f t="shared" si="49"/>
        <v>8</v>
      </c>
      <c r="BP44" s="1">
        <f t="shared" si="50"/>
        <v>-10</v>
      </c>
      <c r="BQ44" s="19">
        <f t="shared" si="73"/>
        <v>5.833333333333333</v>
      </c>
      <c r="BR44" s="17">
        <f t="shared" si="74"/>
        <v>8</v>
      </c>
    </row>
    <row r="45" spans="1:70" x14ac:dyDescent="0.25">
      <c r="A45" s="20">
        <v>43</v>
      </c>
      <c r="B45" s="1">
        <v>215</v>
      </c>
      <c r="C45" s="1">
        <v>234</v>
      </c>
      <c r="D45" s="1">
        <v>224</v>
      </c>
      <c r="E45" s="1">
        <v>323</v>
      </c>
      <c r="F45" s="1">
        <v>305</v>
      </c>
      <c r="G45" s="1">
        <v>305</v>
      </c>
      <c r="H45" s="1">
        <v>307</v>
      </c>
      <c r="I45" s="1">
        <v>117</v>
      </c>
      <c r="J45" s="1">
        <v>113</v>
      </c>
      <c r="K45" s="1">
        <v>128</v>
      </c>
      <c r="L45" s="1">
        <v>185</v>
      </c>
      <c r="M45" s="1">
        <v>165</v>
      </c>
      <c r="N45" s="1">
        <v>166</v>
      </c>
      <c r="O45" s="1">
        <v>169</v>
      </c>
      <c r="P45" s="1">
        <v>98</v>
      </c>
      <c r="Q45" s="1">
        <v>121</v>
      </c>
      <c r="R45" s="1">
        <v>96</v>
      </c>
      <c r="S45" s="1">
        <v>138</v>
      </c>
      <c r="T45" s="1">
        <v>140</v>
      </c>
      <c r="U45" s="1">
        <v>139</v>
      </c>
      <c r="V45" s="1">
        <v>138</v>
      </c>
      <c r="W45" s="8">
        <f t="shared" si="51"/>
        <v>8.8372093023255813E-2</v>
      </c>
      <c r="X45" s="8">
        <f t="shared" si="52"/>
        <v>-4.2735042735042736E-2</v>
      </c>
      <c r="Y45" s="8">
        <f t="shared" si="53"/>
        <v>0.4419642857142857</v>
      </c>
      <c r="Z45" s="8">
        <f t="shared" si="54"/>
        <v>-5.5727554179566562E-2</v>
      </c>
      <c r="AA45" s="8">
        <f t="shared" si="55"/>
        <v>0</v>
      </c>
      <c r="AB45" s="8">
        <f t="shared" si="56"/>
        <v>6.5573770491803279E-3</v>
      </c>
      <c r="AC45" s="12">
        <f t="shared" si="27"/>
        <v>7.3071859812018761E-2</v>
      </c>
      <c r="AD45" s="12">
        <f t="shared" si="28"/>
        <v>3.2786885245901639E-3</v>
      </c>
      <c r="AE45" s="1">
        <f t="shared" si="29"/>
        <v>19</v>
      </c>
      <c r="AF45" s="1">
        <f t="shared" si="30"/>
        <v>-10</v>
      </c>
      <c r="AG45" s="1">
        <f t="shared" si="31"/>
        <v>99</v>
      </c>
      <c r="AH45" s="1">
        <f t="shared" si="32"/>
        <v>-18</v>
      </c>
      <c r="AI45" s="1">
        <f t="shared" si="33"/>
        <v>0</v>
      </c>
      <c r="AJ45" s="1">
        <f t="shared" si="34"/>
        <v>2</v>
      </c>
      <c r="AK45" s="17">
        <f t="shared" si="35"/>
        <v>15.333333333333334</v>
      </c>
      <c r="AL45" s="17">
        <f t="shared" si="36"/>
        <v>1</v>
      </c>
      <c r="AM45" s="1">
        <f t="shared" si="57"/>
        <v>-3.4188034188034191E-2</v>
      </c>
      <c r="AN45" s="1">
        <f t="shared" si="58"/>
        <v>0.13274336283185842</v>
      </c>
      <c r="AO45" s="1">
        <f t="shared" si="59"/>
        <v>0.4453125</v>
      </c>
      <c r="AP45" s="1">
        <f t="shared" si="60"/>
        <v>-0.10810810810810811</v>
      </c>
      <c r="AQ45" s="1">
        <f t="shared" si="61"/>
        <v>6.0606060606060606E-3</v>
      </c>
      <c r="AR45" s="1">
        <f t="shared" si="62"/>
        <v>1.8072289156626505E-2</v>
      </c>
      <c r="AS45" s="12">
        <f t="shared" si="37"/>
        <v>7.6648769292158109E-2</v>
      </c>
      <c r="AT45" s="12">
        <f t="shared" si="38"/>
        <v>1.2066447608616283E-2</v>
      </c>
      <c r="AU45" s="1">
        <f t="shared" si="39"/>
        <v>-4</v>
      </c>
      <c r="AV45" s="1">
        <f t="shared" si="40"/>
        <v>15</v>
      </c>
      <c r="AW45" s="1">
        <f t="shared" si="41"/>
        <v>57</v>
      </c>
      <c r="AX45" s="1">
        <f t="shared" si="42"/>
        <v>-20</v>
      </c>
      <c r="AY45" s="1">
        <f t="shared" si="43"/>
        <v>1</v>
      </c>
      <c r="AZ45" s="1">
        <f t="shared" si="44"/>
        <v>3</v>
      </c>
      <c r="BA45" s="19">
        <f t="shared" si="63"/>
        <v>8.6666666666666661</v>
      </c>
      <c r="BB45" s="19">
        <f t="shared" si="64"/>
        <v>2</v>
      </c>
      <c r="BC45" s="9">
        <f t="shared" si="65"/>
        <v>0.23469387755102042</v>
      </c>
      <c r="BD45" s="9">
        <f t="shared" si="66"/>
        <v>-0.20661157024793389</v>
      </c>
      <c r="BE45" s="9">
        <f t="shared" si="67"/>
        <v>0.4375</v>
      </c>
      <c r="BF45" s="9">
        <f t="shared" si="68"/>
        <v>1.4492753623188406E-2</v>
      </c>
      <c r="BG45" s="9">
        <f t="shared" si="69"/>
        <v>-7.1428571428571426E-3</v>
      </c>
      <c r="BH45" s="9">
        <f t="shared" si="70"/>
        <v>-7.1942446043165471E-3</v>
      </c>
      <c r="BI45" s="12">
        <f t="shared" si="71"/>
        <v>7.7622993196516873E-2</v>
      </c>
      <c r="BJ45" s="13">
        <f t="shared" si="72"/>
        <v>3.6749482401656321E-3</v>
      </c>
      <c r="BK45" s="1">
        <f t="shared" si="45"/>
        <v>23</v>
      </c>
      <c r="BL45" s="1">
        <f t="shared" si="46"/>
        <v>-25</v>
      </c>
      <c r="BM45" s="1">
        <f t="shared" si="47"/>
        <v>42</v>
      </c>
      <c r="BN45" s="1">
        <f t="shared" si="48"/>
        <v>2</v>
      </c>
      <c r="BO45" s="1">
        <f t="shared" si="49"/>
        <v>-1</v>
      </c>
      <c r="BP45" s="1">
        <f t="shared" si="50"/>
        <v>-1</v>
      </c>
      <c r="BQ45" s="19">
        <f t="shared" si="73"/>
        <v>6.666666666666667</v>
      </c>
      <c r="BR45" s="17">
        <f t="shared" si="74"/>
        <v>0.5</v>
      </c>
    </row>
    <row r="46" spans="1:70" x14ac:dyDescent="0.25">
      <c r="A46" s="20">
        <v>44</v>
      </c>
      <c r="B46" s="1">
        <v>264</v>
      </c>
      <c r="C46" s="1">
        <v>248</v>
      </c>
      <c r="D46" s="1">
        <v>271</v>
      </c>
      <c r="E46" s="1">
        <v>332</v>
      </c>
      <c r="F46" s="1">
        <v>336</v>
      </c>
      <c r="G46" s="1">
        <v>335</v>
      </c>
      <c r="H46" s="1">
        <v>352</v>
      </c>
      <c r="I46" s="1">
        <v>118</v>
      </c>
      <c r="J46" s="1">
        <v>139</v>
      </c>
      <c r="K46" s="1">
        <v>140</v>
      </c>
      <c r="L46" s="1">
        <v>185</v>
      </c>
      <c r="M46" s="1">
        <v>197</v>
      </c>
      <c r="N46" s="1">
        <v>192</v>
      </c>
      <c r="O46" s="1">
        <v>180</v>
      </c>
      <c r="P46" s="1">
        <v>146</v>
      </c>
      <c r="Q46" s="1">
        <v>109</v>
      </c>
      <c r="R46" s="1">
        <v>131</v>
      </c>
      <c r="S46" s="1">
        <v>147</v>
      </c>
      <c r="T46" s="1">
        <v>139</v>
      </c>
      <c r="U46" s="1">
        <v>143</v>
      </c>
      <c r="V46" s="1">
        <v>172</v>
      </c>
      <c r="W46" s="8">
        <f t="shared" si="51"/>
        <v>-6.0606060606060608E-2</v>
      </c>
      <c r="X46" s="8">
        <f t="shared" si="52"/>
        <v>9.2741935483870969E-2</v>
      </c>
      <c r="Y46" s="8">
        <f t="shared" si="53"/>
        <v>0.22509225092250923</v>
      </c>
      <c r="Z46" s="8">
        <f t="shared" si="54"/>
        <v>1.2048192771084338E-2</v>
      </c>
      <c r="AA46" s="8">
        <f t="shared" si="55"/>
        <v>-2.976190476190476E-3</v>
      </c>
      <c r="AB46" s="8">
        <f t="shared" si="56"/>
        <v>5.0746268656716415E-2</v>
      </c>
      <c r="AC46" s="12">
        <f t="shared" si="27"/>
        <v>5.2841066125321655E-2</v>
      </c>
      <c r="AD46" s="12">
        <f t="shared" si="28"/>
        <v>3.1397230713900381E-2</v>
      </c>
      <c r="AE46" s="1">
        <f t="shared" si="29"/>
        <v>-16</v>
      </c>
      <c r="AF46" s="1">
        <f t="shared" si="30"/>
        <v>23</v>
      </c>
      <c r="AG46" s="1">
        <f t="shared" si="31"/>
        <v>61</v>
      </c>
      <c r="AH46" s="1">
        <f t="shared" si="32"/>
        <v>4</v>
      </c>
      <c r="AI46" s="1">
        <f t="shared" si="33"/>
        <v>-1</v>
      </c>
      <c r="AJ46" s="1">
        <f t="shared" si="34"/>
        <v>17</v>
      </c>
      <c r="AK46" s="17">
        <f t="shared" si="35"/>
        <v>14.666666666666666</v>
      </c>
      <c r="AL46" s="17">
        <f t="shared" si="36"/>
        <v>10.5</v>
      </c>
      <c r="AM46" s="1">
        <f t="shared" si="57"/>
        <v>0.17796610169491525</v>
      </c>
      <c r="AN46" s="1">
        <f t="shared" si="58"/>
        <v>7.1942446043165471E-3</v>
      </c>
      <c r="AO46" s="1">
        <f t="shared" si="59"/>
        <v>0.32142857142857145</v>
      </c>
      <c r="AP46" s="1">
        <f t="shared" si="60"/>
        <v>6.4864864864864868E-2</v>
      </c>
      <c r="AQ46" s="1">
        <f t="shared" si="61"/>
        <v>-2.5380710659898477E-2</v>
      </c>
      <c r="AR46" s="1">
        <f t="shared" si="62"/>
        <v>-6.25E-2</v>
      </c>
      <c r="AS46" s="12">
        <f t="shared" si="37"/>
        <v>8.0595511988794943E-2</v>
      </c>
      <c r="AT46" s="12">
        <f t="shared" si="38"/>
        <v>3.6029554734590713E-2</v>
      </c>
      <c r="AU46" s="1">
        <f t="shared" si="39"/>
        <v>21</v>
      </c>
      <c r="AV46" s="1">
        <f t="shared" si="40"/>
        <v>1</v>
      </c>
      <c r="AW46" s="1">
        <f t="shared" si="41"/>
        <v>45</v>
      </c>
      <c r="AX46" s="1">
        <f t="shared" si="42"/>
        <v>12</v>
      </c>
      <c r="AY46" s="1">
        <f t="shared" si="43"/>
        <v>-5</v>
      </c>
      <c r="AZ46" s="1">
        <f t="shared" si="44"/>
        <v>-12</v>
      </c>
      <c r="BA46" s="19">
        <f t="shared" si="63"/>
        <v>10.333333333333334</v>
      </c>
      <c r="BB46" s="19">
        <f t="shared" si="64"/>
        <v>6.5</v>
      </c>
      <c r="BC46" s="9">
        <f t="shared" si="65"/>
        <v>-0.25342465753424659</v>
      </c>
      <c r="BD46" s="9">
        <f t="shared" si="66"/>
        <v>0.20183486238532111</v>
      </c>
      <c r="BE46" s="9">
        <f t="shared" si="67"/>
        <v>0.12213740458015267</v>
      </c>
      <c r="BF46" s="9">
        <f t="shared" si="68"/>
        <v>-5.4421768707482991E-2</v>
      </c>
      <c r="BG46" s="9">
        <f t="shared" si="69"/>
        <v>2.8776978417266189E-2</v>
      </c>
      <c r="BH46" s="9">
        <f t="shared" si="70"/>
        <v>0.20279720279720279</v>
      </c>
      <c r="BI46" s="12">
        <f t="shared" si="71"/>
        <v>4.1283336989702192E-2</v>
      </c>
      <c r="BJ46" s="13">
        <f t="shared" si="72"/>
        <v>7.5457191498709428E-2</v>
      </c>
      <c r="BK46" s="1">
        <f t="shared" si="45"/>
        <v>-37</v>
      </c>
      <c r="BL46" s="1">
        <f t="shared" si="46"/>
        <v>22</v>
      </c>
      <c r="BM46" s="1">
        <f t="shared" si="47"/>
        <v>16</v>
      </c>
      <c r="BN46" s="1">
        <f t="shared" si="48"/>
        <v>-8</v>
      </c>
      <c r="BO46" s="1">
        <f t="shared" si="49"/>
        <v>4</v>
      </c>
      <c r="BP46" s="1">
        <f t="shared" si="50"/>
        <v>29</v>
      </c>
      <c r="BQ46" s="19">
        <f t="shared" si="73"/>
        <v>4.333333333333333</v>
      </c>
      <c r="BR46" s="17">
        <f t="shared" si="74"/>
        <v>10</v>
      </c>
    </row>
    <row r="47" spans="1:70" x14ac:dyDescent="0.25">
      <c r="A47" s="20">
        <v>45</v>
      </c>
      <c r="B47" s="1">
        <v>265</v>
      </c>
      <c r="C47" s="1">
        <v>263</v>
      </c>
      <c r="D47" s="1">
        <v>285</v>
      </c>
      <c r="E47" s="1">
        <v>377</v>
      </c>
      <c r="F47" s="1">
        <v>325</v>
      </c>
      <c r="G47" s="1">
        <v>329</v>
      </c>
      <c r="H47" s="1">
        <v>337</v>
      </c>
      <c r="I47" s="1">
        <v>128</v>
      </c>
      <c r="J47" s="1">
        <v>148</v>
      </c>
      <c r="K47" s="1">
        <v>145</v>
      </c>
      <c r="L47" s="1">
        <v>205</v>
      </c>
      <c r="M47" s="1">
        <v>171</v>
      </c>
      <c r="N47" s="1">
        <v>170</v>
      </c>
      <c r="O47" s="1">
        <v>179</v>
      </c>
      <c r="P47" s="1">
        <v>137</v>
      </c>
      <c r="Q47" s="1">
        <v>115</v>
      </c>
      <c r="R47" s="1">
        <v>140</v>
      </c>
      <c r="S47" s="1">
        <v>172</v>
      </c>
      <c r="T47" s="1">
        <v>154</v>
      </c>
      <c r="U47" s="1">
        <v>159</v>
      </c>
      <c r="V47" s="1">
        <v>158</v>
      </c>
      <c r="W47" s="8">
        <f t="shared" si="51"/>
        <v>-7.5471698113207548E-3</v>
      </c>
      <c r="X47" s="8">
        <f t="shared" si="52"/>
        <v>8.3650190114068435E-2</v>
      </c>
      <c r="Y47" s="8">
        <f t="shared" si="53"/>
        <v>0.32280701754385965</v>
      </c>
      <c r="Z47" s="8">
        <f t="shared" si="54"/>
        <v>-0.13793103448275862</v>
      </c>
      <c r="AA47" s="8">
        <f t="shared" si="55"/>
        <v>1.2307692307692308E-2</v>
      </c>
      <c r="AB47" s="8">
        <f t="shared" si="56"/>
        <v>2.4316109422492401E-2</v>
      </c>
      <c r="AC47" s="12">
        <f t="shared" si="27"/>
        <v>4.9600467515672236E-2</v>
      </c>
      <c r="AD47" s="12">
        <f t="shared" si="28"/>
        <v>1.8311900865092354E-2</v>
      </c>
      <c r="AE47" s="1">
        <f t="shared" si="29"/>
        <v>-2</v>
      </c>
      <c r="AF47" s="1">
        <f t="shared" si="30"/>
        <v>22</v>
      </c>
      <c r="AG47" s="1">
        <f t="shared" si="31"/>
        <v>92</v>
      </c>
      <c r="AH47" s="1">
        <f t="shared" si="32"/>
        <v>-52</v>
      </c>
      <c r="AI47" s="1">
        <f t="shared" si="33"/>
        <v>4</v>
      </c>
      <c r="AJ47" s="1">
        <f t="shared" si="34"/>
        <v>8</v>
      </c>
      <c r="AK47" s="17">
        <f t="shared" si="35"/>
        <v>12</v>
      </c>
      <c r="AL47" s="17">
        <f t="shared" si="36"/>
        <v>6</v>
      </c>
      <c r="AM47" s="1">
        <f t="shared" si="57"/>
        <v>0.15625</v>
      </c>
      <c r="AN47" s="1">
        <f t="shared" si="58"/>
        <v>-2.0270270270270271E-2</v>
      </c>
      <c r="AO47" s="1">
        <f t="shared" si="59"/>
        <v>0.41379310344827586</v>
      </c>
      <c r="AP47" s="1">
        <f t="shared" si="60"/>
        <v>-0.16585365853658537</v>
      </c>
      <c r="AQ47" s="1">
        <f t="shared" si="61"/>
        <v>-5.8479532163742687E-3</v>
      </c>
      <c r="AR47" s="1">
        <f t="shared" si="62"/>
        <v>5.2941176470588235E-2</v>
      </c>
      <c r="AS47" s="12">
        <f t="shared" si="37"/>
        <v>7.1835399649272366E-2</v>
      </c>
      <c r="AT47" s="12">
        <f t="shared" si="38"/>
        <v>2.3546611627106983E-2</v>
      </c>
      <c r="AU47" s="1">
        <f t="shared" si="39"/>
        <v>20</v>
      </c>
      <c r="AV47" s="1">
        <f t="shared" si="40"/>
        <v>-3</v>
      </c>
      <c r="AW47" s="1">
        <f t="shared" si="41"/>
        <v>60</v>
      </c>
      <c r="AX47" s="1">
        <f t="shared" si="42"/>
        <v>-34</v>
      </c>
      <c r="AY47" s="1">
        <f t="shared" si="43"/>
        <v>-1</v>
      </c>
      <c r="AZ47" s="1">
        <f t="shared" si="44"/>
        <v>9</v>
      </c>
      <c r="BA47" s="19">
        <f t="shared" si="63"/>
        <v>8.5</v>
      </c>
      <c r="BB47" s="19">
        <f t="shared" si="64"/>
        <v>4</v>
      </c>
      <c r="BC47" s="9">
        <f t="shared" si="65"/>
        <v>-0.16058394160583941</v>
      </c>
      <c r="BD47" s="9">
        <f t="shared" si="66"/>
        <v>0.21739130434782608</v>
      </c>
      <c r="BE47" s="9">
        <f t="shared" si="67"/>
        <v>0.22857142857142856</v>
      </c>
      <c r="BF47" s="9">
        <f t="shared" si="68"/>
        <v>-0.10465116279069768</v>
      </c>
      <c r="BG47" s="9">
        <f t="shared" si="69"/>
        <v>3.2467532467532464E-2</v>
      </c>
      <c r="BH47" s="9">
        <f t="shared" si="70"/>
        <v>-6.2893081761006293E-3</v>
      </c>
      <c r="BI47" s="12">
        <f t="shared" si="71"/>
        <v>3.4484308802358234E-2</v>
      </c>
      <c r="BJ47" s="13">
        <f t="shared" si="72"/>
        <v>1.3089112145715917E-2</v>
      </c>
      <c r="BK47" s="1">
        <f t="shared" si="45"/>
        <v>-22</v>
      </c>
      <c r="BL47" s="1">
        <f t="shared" si="46"/>
        <v>25</v>
      </c>
      <c r="BM47" s="1">
        <f t="shared" si="47"/>
        <v>32</v>
      </c>
      <c r="BN47" s="1">
        <f t="shared" si="48"/>
        <v>-18</v>
      </c>
      <c r="BO47" s="1">
        <f t="shared" si="49"/>
        <v>5</v>
      </c>
      <c r="BP47" s="1">
        <f t="shared" si="50"/>
        <v>-1</v>
      </c>
      <c r="BQ47" s="19">
        <f t="shared" si="73"/>
        <v>3.5</v>
      </c>
      <c r="BR47" s="17">
        <f t="shared" si="74"/>
        <v>2</v>
      </c>
    </row>
    <row r="48" spans="1:70" x14ac:dyDescent="0.25">
      <c r="A48" s="20">
        <v>46</v>
      </c>
      <c r="B48" s="1">
        <v>298</v>
      </c>
      <c r="C48" s="1">
        <v>299</v>
      </c>
      <c r="D48" s="1">
        <v>300</v>
      </c>
      <c r="E48" s="1">
        <v>395</v>
      </c>
      <c r="F48" s="1">
        <v>345</v>
      </c>
      <c r="G48" s="1">
        <v>352</v>
      </c>
      <c r="H48" s="1">
        <v>347</v>
      </c>
      <c r="I48" s="1">
        <v>157</v>
      </c>
      <c r="J48" s="1">
        <v>169</v>
      </c>
      <c r="K48" s="1">
        <v>159</v>
      </c>
      <c r="L48" s="1">
        <v>222</v>
      </c>
      <c r="M48" s="1">
        <v>195</v>
      </c>
      <c r="N48" s="1">
        <v>187</v>
      </c>
      <c r="O48" s="1">
        <v>188</v>
      </c>
      <c r="P48" s="1">
        <v>141</v>
      </c>
      <c r="Q48" s="1">
        <v>130</v>
      </c>
      <c r="R48" s="1">
        <v>141</v>
      </c>
      <c r="S48" s="1">
        <v>173</v>
      </c>
      <c r="T48" s="1">
        <v>150</v>
      </c>
      <c r="U48" s="1">
        <v>165</v>
      </c>
      <c r="V48" s="1">
        <v>159</v>
      </c>
      <c r="W48" s="8">
        <f t="shared" si="51"/>
        <v>3.3557046979865771E-3</v>
      </c>
      <c r="X48" s="8">
        <f t="shared" si="52"/>
        <v>3.3444816053511705E-3</v>
      </c>
      <c r="Y48" s="8">
        <f t="shared" si="53"/>
        <v>0.31666666666666665</v>
      </c>
      <c r="Z48" s="8">
        <f t="shared" si="54"/>
        <v>-0.12658227848101267</v>
      </c>
      <c r="AA48" s="8">
        <f t="shared" si="55"/>
        <v>2.0289855072463767E-2</v>
      </c>
      <c r="AB48" s="8">
        <f t="shared" si="56"/>
        <v>-1.4204545454545454E-2</v>
      </c>
      <c r="AC48" s="12">
        <f t="shared" si="27"/>
        <v>3.3811647351151677E-2</v>
      </c>
      <c r="AD48" s="12">
        <f t="shared" si="28"/>
        <v>3.3500931516688738E-3</v>
      </c>
      <c r="AE48" s="1">
        <f t="shared" si="29"/>
        <v>1</v>
      </c>
      <c r="AF48" s="1">
        <f t="shared" si="30"/>
        <v>1</v>
      </c>
      <c r="AG48" s="1">
        <f t="shared" si="31"/>
        <v>95</v>
      </c>
      <c r="AH48" s="1">
        <f t="shared" si="32"/>
        <v>-50</v>
      </c>
      <c r="AI48" s="1">
        <f t="shared" si="33"/>
        <v>7</v>
      </c>
      <c r="AJ48" s="1">
        <f t="shared" si="34"/>
        <v>-5</v>
      </c>
      <c r="AK48" s="17">
        <f t="shared" si="35"/>
        <v>8.1666666666666661</v>
      </c>
      <c r="AL48" s="17">
        <f t="shared" si="36"/>
        <v>1</v>
      </c>
      <c r="AM48" s="1">
        <f t="shared" si="57"/>
        <v>7.6433121019108277E-2</v>
      </c>
      <c r="AN48" s="1">
        <f t="shared" si="58"/>
        <v>-5.9171597633136092E-2</v>
      </c>
      <c r="AO48" s="1">
        <f t="shared" si="59"/>
        <v>0.39622641509433965</v>
      </c>
      <c r="AP48" s="1">
        <f t="shared" si="60"/>
        <v>-0.12162162162162163</v>
      </c>
      <c r="AQ48" s="1">
        <f t="shared" si="61"/>
        <v>-4.1025641025641026E-2</v>
      </c>
      <c r="AR48" s="1">
        <f t="shared" si="62"/>
        <v>5.3475935828877002E-3</v>
      </c>
      <c r="AS48" s="12">
        <f t="shared" si="37"/>
        <v>4.2698044902656156E-2</v>
      </c>
      <c r="AT48" s="12">
        <f t="shared" si="38"/>
        <v>-1.7839023721376662E-2</v>
      </c>
      <c r="AU48" s="1">
        <f t="shared" si="39"/>
        <v>12</v>
      </c>
      <c r="AV48" s="1">
        <f t="shared" si="40"/>
        <v>-10</v>
      </c>
      <c r="AW48" s="1">
        <f t="shared" si="41"/>
        <v>63</v>
      </c>
      <c r="AX48" s="1">
        <f t="shared" si="42"/>
        <v>-27</v>
      </c>
      <c r="AY48" s="1">
        <f t="shared" si="43"/>
        <v>-8</v>
      </c>
      <c r="AZ48" s="1">
        <f t="shared" si="44"/>
        <v>1</v>
      </c>
      <c r="BA48" s="19">
        <f t="shared" si="63"/>
        <v>5.166666666666667</v>
      </c>
      <c r="BB48" s="19">
        <f t="shared" si="64"/>
        <v>-3.5</v>
      </c>
      <c r="BC48" s="9">
        <f t="shared" si="65"/>
        <v>-7.8014184397163122E-2</v>
      </c>
      <c r="BD48" s="9">
        <f t="shared" si="66"/>
        <v>8.461538461538462E-2</v>
      </c>
      <c r="BE48" s="9">
        <f t="shared" si="67"/>
        <v>0.22695035460992907</v>
      </c>
      <c r="BF48" s="9">
        <f t="shared" si="68"/>
        <v>-0.13294797687861271</v>
      </c>
      <c r="BG48" s="9">
        <f t="shared" si="69"/>
        <v>0.1</v>
      </c>
      <c r="BH48" s="9">
        <f t="shared" si="70"/>
        <v>-3.6363636363636362E-2</v>
      </c>
      <c r="BI48" s="12">
        <f t="shared" si="71"/>
        <v>2.737332359765025E-2</v>
      </c>
      <c r="BJ48" s="13">
        <f t="shared" si="72"/>
        <v>2.4125874125874129E-2</v>
      </c>
      <c r="BK48" s="1">
        <f t="shared" si="45"/>
        <v>-11</v>
      </c>
      <c r="BL48" s="1">
        <f t="shared" si="46"/>
        <v>11</v>
      </c>
      <c r="BM48" s="1">
        <f t="shared" si="47"/>
        <v>32</v>
      </c>
      <c r="BN48" s="1">
        <f t="shared" si="48"/>
        <v>-23</v>
      </c>
      <c r="BO48" s="1">
        <f t="shared" si="49"/>
        <v>15</v>
      </c>
      <c r="BP48" s="1">
        <f t="shared" si="50"/>
        <v>-6</v>
      </c>
      <c r="BQ48" s="19">
        <f t="shared" si="73"/>
        <v>3</v>
      </c>
      <c r="BR48" s="17">
        <f t="shared" si="74"/>
        <v>2.5</v>
      </c>
    </row>
    <row r="49" spans="1:70" x14ac:dyDescent="0.25">
      <c r="A49" s="20">
        <v>47</v>
      </c>
      <c r="B49" s="1">
        <v>293</v>
      </c>
      <c r="C49" s="1">
        <v>294</v>
      </c>
      <c r="D49" s="1">
        <v>300</v>
      </c>
      <c r="E49" s="1">
        <v>391</v>
      </c>
      <c r="F49" s="1">
        <v>378</v>
      </c>
      <c r="G49" s="1">
        <v>362</v>
      </c>
      <c r="H49" s="1">
        <v>358</v>
      </c>
      <c r="I49" s="1">
        <v>158</v>
      </c>
      <c r="J49" s="1">
        <v>145</v>
      </c>
      <c r="K49" s="1">
        <v>162</v>
      </c>
      <c r="L49" s="1">
        <v>222</v>
      </c>
      <c r="M49" s="1">
        <v>206</v>
      </c>
      <c r="N49" s="1">
        <v>199</v>
      </c>
      <c r="O49" s="1">
        <v>194</v>
      </c>
      <c r="P49" s="1">
        <v>135</v>
      </c>
      <c r="Q49" s="1">
        <v>149</v>
      </c>
      <c r="R49" s="1">
        <v>138</v>
      </c>
      <c r="S49" s="1">
        <v>169</v>
      </c>
      <c r="T49" s="1">
        <v>172</v>
      </c>
      <c r="U49" s="1">
        <v>163</v>
      </c>
      <c r="V49" s="1">
        <v>164</v>
      </c>
      <c r="W49" s="8">
        <f t="shared" si="51"/>
        <v>3.4129692832764505E-3</v>
      </c>
      <c r="X49" s="8">
        <f t="shared" si="52"/>
        <v>2.0408163265306121E-2</v>
      </c>
      <c r="Y49" s="8">
        <f t="shared" si="53"/>
        <v>0.30333333333333334</v>
      </c>
      <c r="Z49" s="8">
        <f t="shared" si="54"/>
        <v>-3.3248081841432228E-2</v>
      </c>
      <c r="AA49" s="8">
        <f t="shared" si="55"/>
        <v>-4.2328042328042326E-2</v>
      </c>
      <c r="AB49" s="8">
        <f t="shared" si="56"/>
        <v>-1.1049723756906077E-2</v>
      </c>
      <c r="AC49" s="12">
        <f t="shared" si="27"/>
        <v>4.0088102992589213E-2</v>
      </c>
      <c r="AD49" s="12">
        <f t="shared" si="28"/>
        <v>-3.818377236814813E-3</v>
      </c>
      <c r="AE49" s="1">
        <f t="shared" si="29"/>
        <v>1</v>
      </c>
      <c r="AF49" s="1">
        <f t="shared" si="30"/>
        <v>6</v>
      </c>
      <c r="AG49" s="1">
        <f t="shared" si="31"/>
        <v>91</v>
      </c>
      <c r="AH49" s="1">
        <f t="shared" si="32"/>
        <v>-13</v>
      </c>
      <c r="AI49" s="1">
        <f t="shared" si="33"/>
        <v>-16</v>
      </c>
      <c r="AJ49" s="1">
        <f t="shared" si="34"/>
        <v>-4</v>
      </c>
      <c r="AK49" s="17">
        <f t="shared" si="35"/>
        <v>10.833333333333334</v>
      </c>
      <c r="AL49" s="17">
        <f t="shared" si="36"/>
        <v>-1.5</v>
      </c>
      <c r="AM49" s="1">
        <f t="shared" si="57"/>
        <v>-8.2278481012658222E-2</v>
      </c>
      <c r="AN49" s="1">
        <f t="shared" si="58"/>
        <v>0.11724137931034483</v>
      </c>
      <c r="AO49" s="1">
        <f t="shared" si="59"/>
        <v>0.37037037037037035</v>
      </c>
      <c r="AP49" s="1">
        <f t="shared" si="60"/>
        <v>-7.2072072072072071E-2</v>
      </c>
      <c r="AQ49" s="1">
        <f t="shared" si="61"/>
        <v>-3.3980582524271843E-2</v>
      </c>
      <c r="AR49" s="1">
        <f t="shared" si="62"/>
        <v>-2.5125628140703519E-2</v>
      </c>
      <c r="AS49" s="12">
        <f t="shared" si="37"/>
        <v>4.5692497655168259E-2</v>
      </c>
      <c r="AT49" s="12">
        <f t="shared" si="38"/>
        <v>-2.9553105332487679E-2</v>
      </c>
      <c r="AU49" s="1">
        <f t="shared" si="39"/>
        <v>-13</v>
      </c>
      <c r="AV49" s="1">
        <f t="shared" si="40"/>
        <v>17</v>
      </c>
      <c r="AW49" s="1">
        <f t="shared" si="41"/>
        <v>60</v>
      </c>
      <c r="AX49" s="1">
        <f t="shared" si="42"/>
        <v>-16</v>
      </c>
      <c r="AY49" s="1">
        <f t="shared" si="43"/>
        <v>-7</v>
      </c>
      <c r="AZ49" s="1">
        <f t="shared" si="44"/>
        <v>-5</v>
      </c>
      <c r="BA49" s="19">
        <f t="shared" si="63"/>
        <v>6</v>
      </c>
      <c r="BB49" s="19">
        <f t="shared" si="64"/>
        <v>-6</v>
      </c>
      <c r="BC49" s="9">
        <f t="shared" si="65"/>
        <v>0.1037037037037037</v>
      </c>
      <c r="BD49" s="9">
        <f t="shared" si="66"/>
        <v>-7.3825503355704702E-2</v>
      </c>
      <c r="BE49" s="9">
        <f t="shared" si="67"/>
        <v>0.22463768115942029</v>
      </c>
      <c r="BF49" s="9">
        <f t="shared" si="68"/>
        <v>1.7751479289940829E-2</v>
      </c>
      <c r="BG49" s="9">
        <f t="shared" si="69"/>
        <v>-5.232558139534884E-2</v>
      </c>
      <c r="BH49" s="9">
        <f t="shared" si="70"/>
        <v>6.1349693251533744E-3</v>
      </c>
      <c r="BI49" s="12">
        <f t="shared" si="71"/>
        <v>3.7679458121194102E-2</v>
      </c>
      <c r="BJ49" s="13">
        <f t="shared" si="72"/>
        <v>1.1943224307547101E-2</v>
      </c>
      <c r="BK49" s="1">
        <f t="shared" si="45"/>
        <v>14</v>
      </c>
      <c r="BL49" s="1">
        <f t="shared" si="46"/>
        <v>-11</v>
      </c>
      <c r="BM49" s="1">
        <f t="shared" si="47"/>
        <v>31</v>
      </c>
      <c r="BN49" s="1">
        <f t="shared" si="48"/>
        <v>3</v>
      </c>
      <c r="BO49" s="1">
        <f t="shared" si="49"/>
        <v>-9</v>
      </c>
      <c r="BP49" s="1">
        <f t="shared" si="50"/>
        <v>1</v>
      </c>
      <c r="BQ49" s="19">
        <f t="shared" si="73"/>
        <v>4.833333333333333</v>
      </c>
      <c r="BR49" s="17">
        <f t="shared" si="74"/>
        <v>2</v>
      </c>
    </row>
    <row r="50" spans="1:70" x14ac:dyDescent="0.25">
      <c r="A50" s="20">
        <v>48</v>
      </c>
      <c r="B50" s="1">
        <v>320</v>
      </c>
      <c r="C50" s="1">
        <v>324</v>
      </c>
      <c r="D50" s="1">
        <v>366</v>
      </c>
      <c r="E50" s="1">
        <v>442</v>
      </c>
      <c r="F50" s="1">
        <v>412</v>
      </c>
      <c r="G50" s="1">
        <v>402</v>
      </c>
      <c r="H50" s="1">
        <v>359</v>
      </c>
      <c r="I50" s="1">
        <v>165</v>
      </c>
      <c r="J50" s="1">
        <v>174</v>
      </c>
      <c r="K50" s="1">
        <v>198</v>
      </c>
      <c r="L50" s="1">
        <v>238</v>
      </c>
      <c r="M50" s="1">
        <v>212</v>
      </c>
      <c r="N50" s="1">
        <v>220</v>
      </c>
      <c r="O50" s="1">
        <v>196</v>
      </c>
      <c r="P50" s="1">
        <v>155</v>
      </c>
      <c r="Q50" s="1">
        <v>150</v>
      </c>
      <c r="R50" s="1">
        <v>168</v>
      </c>
      <c r="S50" s="1">
        <v>204</v>
      </c>
      <c r="T50" s="1">
        <v>200</v>
      </c>
      <c r="U50" s="1">
        <v>182</v>
      </c>
      <c r="V50" s="1">
        <v>163</v>
      </c>
      <c r="W50" s="8">
        <f t="shared" si="51"/>
        <v>1.2500000000000001E-2</v>
      </c>
      <c r="X50" s="8">
        <f t="shared" si="52"/>
        <v>0.12962962962962962</v>
      </c>
      <c r="Y50" s="8">
        <f t="shared" si="53"/>
        <v>0.20765027322404372</v>
      </c>
      <c r="Z50" s="8">
        <f t="shared" si="54"/>
        <v>-6.7873303167420809E-2</v>
      </c>
      <c r="AA50" s="8">
        <f t="shared" si="55"/>
        <v>-2.4271844660194174E-2</v>
      </c>
      <c r="AB50" s="8">
        <f t="shared" si="56"/>
        <v>-0.10696517412935323</v>
      </c>
      <c r="AC50" s="12">
        <f t="shared" si="27"/>
        <v>2.5111596816117521E-2</v>
      </c>
      <c r="AD50" s="12">
        <f t="shared" si="28"/>
        <v>-5.8859223300970868E-3</v>
      </c>
      <c r="AE50" s="1">
        <f t="shared" si="29"/>
        <v>4</v>
      </c>
      <c r="AF50" s="1">
        <f t="shared" si="30"/>
        <v>42</v>
      </c>
      <c r="AG50" s="1">
        <f t="shared" si="31"/>
        <v>76</v>
      </c>
      <c r="AH50" s="1">
        <f t="shared" si="32"/>
        <v>-30</v>
      </c>
      <c r="AI50" s="1">
        <f t="shared" si="33"/>
        <v>-10</v>
      </c>
      <c r="AJ50" s="1">
        <f t="shared" si="34"/>
        <v>-43</v>
      </c>
      <c r="AK50" s="17">
        <f t="shared" si="35"/>
        <v>6.5</v>
      </c>
      <c r="AL50" s="17">
        <f t="shared" si="36"/>
        <v>-3</v>
      </c>
      <c r="AM50" s="1">
        <f t="shared" si="57"/>
        <v>5.4545454545454543E-2</v>
      </c>
      <c r="AN50" s="1">
        <f t="shared" si="58"/>
        <v>0.13793103448275862</v>
      </c>
      <c r="AO50" s="1">
        <f t="shared" si="59"/>
        <v>0.20202020202020202</v>
      </c>
      <c r="AP50" s="1">
        <f t="shared" si="60"/>
        <v>-0.1092436974789916</v>
      </c>
      <c r="AQ50" s="1">
        <f t="shared" si="61"/>
        <v>3.7735849056603772E-2</v>
      </c>
      <c r="AR50" s="1">
        <f t="shared" si="62"/>
        <v>-0.10909090909090909</v>
      </c>
      <c r="AS50" s="12">
        <f t="shared" si="37"/>
        <v>3.5649655589186376E-2</v>
      </c>
      <c r="AT50" s="12">
        <f t="shared" si="38"/>
        <v>4.6140651801029157E-2</v>
      </c>
      <c r="AU50" s="1">
        <f t="shared" si="39"/>
        <v>9</v>
      </c>
      <c r="AV50" s="1">
        <f t="shared" si="40"/>
        <v>24</v>
      </c>
      <c r="AW50" s="1">
        <f t="shared" si="41"/>
        <v>40</v>
      </c>
      <c r="AX50" s="1">
        <f t="shared" si="42"/>
        <v>-26</v>
      </c>
      <c r="AY50" s="1">
        <f t="shared" si="43"/>
        <v>8</v>
      </c>
      <c r="AZ50" s="1">
        <f t="shared" si="44"/>
        <v>-24</v>
      </c>
      <c r="BA50" s="19">
        <f t="shared" si="63"/>
        <v>5.166666666666667</v>
      </c>
      <c r="BB50" s="19">
        <f t="shared" si="64"/>
        <v>8.5</v>
      </c>
      <c r="BC50" s="9">
        <f t="shared" si="65"/>
        <v>-3.2258064516129031E-2</v>
      </c>
      <c r="BD50" s="9">
        <f t="shared" si="66"/>
        <v>0.12</v>
      </c>
      <c r="BE50" s="9">
        <f t="shared" si="67"/>
        <v>0.21428571428571427</v>
      </c>
      <c r="BF50" s="9">
        <f t="shared" si="68"/>
        <v>-1.9607843137254902E-2</v>
      </c>
      <c r="BG50" s="9">
        <f t="shared" si="69"/>
        <v>-0.09</v>
      </c>
      <c r="BH50" s="9">
        <f t="shared" si="70"/>
        <v>-0.1043956043956044</v>
      </c>
      <c r="BI50" s="12">
        <f t="shared" si="71"/>
        <v>1.4670700372787658E-2</v>
      </c>
      <c r="BJ50" s="13">
        <f t="shared" si="72"/>
        <v>-2.5932953826691967E-2</v>
      </c>
      <c r="BK50" s="1">
        <f t="shared" si="45"/>
        <v>-5</v>
      </c>
      <c r="BL50" s="1">
        <f t="shared" si="46"/>
        <v>18</v>
      </c>
      <c r="BM50" s="1">
        <f t="shared" si="47"/>
        <v>36</v>
      </c>
      <c r="BN50" s="1">
        <f t="shared" si="48"/>
        <v>-4</v>
      </c>
      <c r="BO50" s="1">
        <f t="shared" si="49"/>
        <v>-18</v>
      </c>
      <c r="BP50" s="1">
        <f t="shared" si="50"/>
        <v>-19</v>
      </c>
      <c r="BQ50" s="19">
        <f t="shared" si="73"/>
        <v>1.3333333333333333</v>
      </c>
      <c r="BR50" s="17">
        <f t="shared" si="74"/>
        <v>-4.5</v>
      </c>
    </row>
    <row r="51" spans="1:70" x14ac:dyDescent="0.25">
      <c r="A51" s="20">
        <v>49</v>
      </c>
      <c r="B51" s="1">
        <v>322</v>
      </c>
      <c r="C51" s="1">
        <v>379</v>
      </c>
      <c r="D51" s="1">
        <v>351</v>
      </c>
      <c r="E51" s="1">
        <v>494</v>
      </c>
      <c r="F51" s="1">
        <v>483</v>
      </c>
      <c r="G51" s="1">
        <v>427</v>
      </c>
      <c r="H51" s="1">
        <v>422</v>
      </c>
      <c r="I51" s="1">
        <v>166</v>
      </c>
      <c r="J51" s="1">
        <v>190</v>
      </c>
      <c r="K51" s="1">
        <v>182</v>
      </c>
      <c r="L51" s="1">
        <v>282</v>
      </c>
      <c r="M51" s="1">
        <v>264</v>
      </c>
      <c r="N51" s="1">
        <v>239</v>
      </c>
      <c r="O51" s="1">
        <v>211</v>
      </c>
      <c r="P51" s="1">
        <v>156</v>
      </c>
      <c r="Q51" s="1">
        <v>189</v>
      </c>
      <c r="R51" s="1">
        <v>169</v>
      </c>
      <c r="S51" s="1">
        <v>212</v>
      </c>
      <c r="T51" s="1">
        <v>219</v>
      </c>
      <c r="U51" s="1">
        <v>188</v>
      </c>
      <c r="V51" s="1">
        <v>211</v>
      </c>
      <c r="W51" s="8">
        <f t="shared" si="51"/>
        <v>0.17701863354037267</v>
      </c>
      <c r="X51" s="8">
        <f t="shared" si="52"/>
        <v>-7.3878627968337732E-2</v>
      </c>
      <c r="Y51" s="8">
        <f t="shared" si="53"/>
        <v>0.40740740740740738</v>
      </c>
      <c r="Z51" s="8">
        <f t="shared" si="54"/>
        <v>-2.2267206477732792E-2</v>
      </c>
      <c r="AA51" s="8">
        <f t="shared" si="55"/>
        <v>-0.11594202898550725</v>
      </c>
      <c r="AB51" s="8">
        <f t="shared" si="56"/>
        <v>-1.1709601873536301E-2</v>
      </c>
      <c r="AC51" s="12">
        <f t="shared" si="27"/>
        <v>6.0104762607110986E-2</v>
      </c>
      <c r="AD51" s="12">
        <f t="shared" si="28"/>
        <v>-1.6988404175634547E-2</v>
      </c>
      <c r="AE51" s="1">
        <f t="shared" si="29"/>
        <v>57</v>
      </c>
      <c r="AF51" s="1">
        <f t="shared" si="30"/>
        <v>-28</v>
      </c>
      <c r="AG51" s="1">
        <f t="shared" si="31"/>
        <v>143</v>
      </c>
      <c r="AH51" s="1">
        <f t="shared" si="32"/>
        <v>-11</v>
      </c>
      <c r="AI51" s="1">
        <f t="shared" si="33"/>
        <v>-56</v>
      </c>
      <c r="AJ51" s="1">
        <f t="shared" si="34"/>
        <v>-5</v>
      </c>
      <c r="AK51" s="17">
        <f t="shared" si="35"/>
        <v>16.666666666666668</v>
      </c>
      <c r="AL51" s="17">
        <f t="shared" si="36"/>
        <v>-8</v>
      </c>
      <c r="AM51" s="1">
        <f t="shared" si="57"/>
        <v>0.14457831325301204</v>
      </c>
      <c r="AN51" s="1">
        <f t="shared" si="58"/>
        <v>-4.2105263157894736E-2</v>
      </c>
      <c r="AO51" s="1">
        <f t="shared" si="59"/>
        <v>0.5494505494505495</v>
      </c>
      <c r="AP51" s="1">
        <f t="shared" si="60"/>
        <v>-6.3829787234042548E-2</v>
      </c>
      <c r="AQ51" s="1">
        <f t="shared" si="61"/>
        <v>-9.4696969696969696E-2</v>
      </c>
      <c r="AR51" s="1">
        <f t="shared" si="62"/>
        <v>-0.11715481171548117</v>
      </c>
      <c r="AS51" s="12">
        <f t="shared" si="37"/>
        <v>6.270700514986223E-2</v>
      </c>
      <c r="AT51" s="12">
        <f t="shared" si="38"/>
        <v>-5.2967525195968646E-2</v>
      </c>
      <c r="AU51" s="1">
        <f t="shared" si="39"/>
        <v>24</v>
      </c>
      <c r="AV51" s="1">
        <f t="shared" si="40"/>
        <v>-8</v>
      </c>
      <c r="AW51" s="1">
        <f t="shared" si="41"/>
        <v>100</v>
      </c>
      <c r="AX51" s="1">
        <f t="shared" si="42"/>
        <v>-18</v>
      </c>
      <c r="AY51" s="1">
        <f t="shared" si="43"/>
        <v>-25</v>
      </c>
      <c r="AZ51" s="1">
        <f t="shared" si="44"/>
        <v>-28</v>
      </c>
      <c r="BA51" s="19">
        <f t="shared" si="63"/>
        <v>7.5</v>
      </c>
      <c r="BB51" s="19">
        <f t="shared" si="64"/>
        <v>-13</v>
      </c>
      <c r="BC51" s="9">
        <f t="shared" si="65"/>
        <v>0.21153846153846154</v>
      </c>
      <c r="BD51" s="9">
        <f t="shared" si="66"/>
        <v>-0.10582010582010581</v>
      </c>
      <c r="BE51" s="9">
        <f t="shared" si="67"/>
        <v>0.25443786982248523</v>
      </c>
      <c r="BF51" s="9">
        <f t="shared" si="68"/>
        <v>3.3018867924528301E-2</v>
      </c>
      <c r="BG51" s="9">
        <f t="shared" si="69"/>
        <v>-0.14155251141552511</v>
      </c>
      <c r="BH51" s="9">
        <f t="shared" si="70"/>
        <v>0.12234042553191489</v>
      </c>
      <c r="BI51" s="12">
        <f t="shared" si="71"/>
        <v>6.2327167930293165E-2</v>
      </c>
      <c r="BJ51" s="13">
        <f t="shared" si="72"/>
        <v>7.7679646728221585E-2</v>
      </c>
      <c r="BK51" s="1">
        <f t="shared" si="45"/>
        <v>33</v>
      </c>
      <c r="BL51" s="1">
        <f t="shared" si="46"/>
        <v>-20</v>
      </c>
      <c r="BM51" s="1">
        <f t="shared" si="47"/>
        <v>43</v>
      </c>
      <c r="BN51" s="1">
        <f t="shared" si="48"/>
        <v>7</v>
      </c>
      <c r="BO51" s="1">
        <f t="shared" si="49"/>
        <v>-31</v>
      </c>
      <c r="BP51" s="1">
        <f t="shared" si="50"/>
        <v>23</v>
      </c>
      <c r="BQ51" s="19">
        <f t="shared" si="73"/>
        <v>9.1666666666666661</v>
      </c>
      <c r="BR51" s="17">
        <f t="shared" si="74"/>
        <v>15</v>
      </c>
    </row>
    <row r="52" spans="1:70" x14ac:dyDescent="0.25">
      <c r="A52" s="20">
        <v>50</v>
      </c>
      <c r="B52" s="1">
        <v>354</v>
      </c>
      <c r="C52" s="1">
        <v>376</v>
      </c>
      <c r="D52" s="1">
        <v>400</v>
      </c>
      <c r="E52" s="1">
        <v>502</v>
      </c>
      <c r="F52" s="1">
        <v>488</v>
      </c>
      <c r="G52" s="1">
        <v>467</v>
      </c>
      <c r="H52" s="1">
        <v>457</v>
      </c>
      <c r="I52" s="1">
        <v>187</v>
      </c>
      <c r="J52" s="1">
        <v>208</v>
      </c>
      <c r="K52" s="1">
        <v>211</v>
      </c>
      <c r="L52" s="1">
        <v>307</v>
      </c>
      <c r="M52" s="1">
        <v>258</v>
      </c>
      <c r="N52" s="1">
        <v>260</v>
      </c>
      <c r="O52" s="1">
        <v>255</v>
      </c>
      <c r="P52" s="1">
        <v>167</v>
      </c>
      <c r="Q52" s="1">
        <v>168</v>
      </c>
      <c r="R52" s="1">
        <v>189</v>
      </c>
      <c r="S52" s="1">
        <v>195</v>
      </c>
      <c r="T52" s="1">
        <v>230</v>
      </c>
      <c r="U52" s="1">
        <v>207</v>
      </c>
      <c r="V52" s="1">
        <v>202</v>
      </c>
      <c r="W52" s="8">
        <f t="shared" si="51"/>
        <v>6.2146892655367235E-2</v>
      </c>
      <c r="X52" s="8">
        <f t="shared" si="52"/>
        <v>6.3829787234042548E-2</v>
      </c>
      <c r="Y52" s="8">
        <f t="shared" si="53"/>
        <v>0.255</v>
      </c>
      <c r="Z52" s="8">
        <f t="shared" si="54"/>
        <v>-2.7888446215139442E-2</v>
      </c>
      <c r="AA52" s="8">
        <f t="shared" si="55"/>
        <v>-4.3032786885245901E-2</v>
      </c>
      <c r="AB52" s="8">
        <f t="shared" si="56"/>
        <v>-2.1413276231263382E-2</v>
      </c>
      <c r="AC52" s="12">
        <f t="shared" si="27"/>
        <v>4.8107028426293504E-2</v>
      </c>
      <c r="AD52" s="12">
        <f t="shared" si="28"/>
        <v>2.0366808212051928E-2</v>
      </c>
      <c r="AE52" s="1">
        <f t="shared" si="29"/>
        <v>22</v>
      </c>
      <c r="AF52" s="1">
        <f t="shared" si="30"/>
        <v>24</v>
      </c>
      <c r="AG52" s="1">
        <f t="shared" si="31"/>
        <v>102</v>
      </c>
      <c r="AH52" s="1">
        <f t="shared" si="32"/>
        <v>-14</v>
      </c>
      <c r="AI52" s="1">
        <f t="shared" si="33"/>
        <v>-21</v>
      </c>
      <c r="AJ52" s="1">
        <f t="shared" si="34"/>
        <v>-10</v>
      </c>
      <c r="AK52" s="17">
        <f t="shared" si="35"/>
        <v>17.166666666666668</v>
      </c>
      <c r="AL52" s="17">
        <f t="shared" si="36"/>
        <v>6</v>
      </c>
      <c r="AM52" s="1">
        <f t="shared" si="57"/>
        <v>0.11229946524064172</v>
      </c>
      <c r="AN52" s="1">
        <f t="shared" si="58"/>
        <v>1.4423076923076924E-2</v>
      </c>
      <c r="AO52" s="1">
        <f t="shared" si="59"/>
        <v>0.45497630331753552</v>
      </c>
      <c r="AP52" s="1">
        <f t="shared" si="60"/>
        <v>-0.15960912052117263</v>
      </c>
      <c r="AQ52" s="1">
        <f t="shared" si="61"/>
        <v>7.7519379844961239E-3</v>
      </c>
      <c r="AR52" s="1">
        <f t="shared" si="62"/>
        <v>-1.9230769230769232E-2</v>
      </c>
      <c r="AS52" s="12">
        <f t="shared" si="37"/>
        <v>6.8435148952301419E-2</v>
      </c>
      <c r="AT52" s="12">
        <f t="shared" si="38"/>
        <v>1.1087507453786524E-2</v>
      </c>
      <c r="AU52" s="1">
        <f t="shared" si="39"/>
        <v>21</v>
      </c>
      <c r="AV52" s="1">
        <f t="shared" si="40"/>
        <v>3</v>
      </c>
      <c r="AW52" s="1">
        <f t="shared" si="41"/>
        <v>96</v>
      </c>
      <c r="AX52" s="1">
        <f t="shared" si="42"/>
        <v>-49</v>
      </c>
      <c r="AY52" s="1">
        <f t="shared" si="43"/>
        <v>2</v>
      </c>
      <c r="AZ52" s="1">
        <f t="shared" si="44"/>
        <v>-5</v>
      </c>
      <c r="BA52" s="19">
        <f t="shared" si="63"/>
        <v>11.333333333333334</v>
      </c>
      <c r="BB52" s="19">
        <f t="shared" si="64"/>
        <v>2.5</v>
      </c>
      <c r="BC52" s="9">
        <f t="shared" si="65"/>
        <v>5.9880239520958087E-3</v>
      </c>
      <c r="BD52" s="9">
        <f t="shared" si="66"/>
        <v>0.125</v>
      </c>
      <c r="BE52" s="9">
        <f t="shared" si="67"/>
        <v>3.1746031746031744E-2</v>
      </c>
      <c r="BF52" s="9">
        <f t="shared" si="68"/>
        <v>0.17948717948717949</v>
      </c>
      <c r="BG52" s="9">
        <f t="shared" si="69"/>
        <v>-0.1</v>
      </c>
      <c r="BH52" s="9">
        <f t="shared" si="70"/>
        <v>-2.4154589371980676E-2</v>
      </c>
      <c r="BI52" s="12">
        <f t="shared" si="71"/>
        <v>3.6344440968887719E-2</v>
      </c>
      <c r="BJ52" s="13">
        <f t="shared" si="72"/>
        <v>1.8867027849063779E-2</v>
      </c>
      <c r="BK52" s="1">
        <f t="shared" si="45"/>
        <v>1</v>
      </c>
      <c r="BL52" s="1">
        <f t="shared" si="46"/>
        <v>21</v>
      </c>
      <c r="BM52" s="1">
        <f t="shared" si="47"/>
        <v>6</v>
      </c>
      <c r="BN52" s="1">
        <f t="shared" si="48"/>
        <v>35</v>
      </c>
      <c r="BO52" s="1">
        <f t="shared" si="49"/>
        <v>-23</v>
      </c>
      <c r="BP52" s="1">
        <f t="shared" si="50"/>
        <v>-5</v>
      </c>
      <c r="BQ52" s="19">
        <f t="shared" si="73"/>
        <v>5.833333333333333</v>
      </c>
      <c r="BR52" s="17">
        <f t="shared" si="74"/>
        <v>3.5</v>
      </c>
    </row>
    <row r="53" spans="1:70" x14ac:dyDescent="0.25">
      <c r="A53" s="20">
        <v>51</v>
      </c>
      <c r="B53" s="1">
        <v>398</v>
      </c>
      <c r="C53" s="1">
        <v>400</v>
      </c>
      <c r="D53" s="1">
        <v>401</v>
      </c>
      <c r="E53" s="1">
        <v>546</v>
      </c>
      <c r="F53" s="1">
        <v>499</v>
      </c>
      <c r="G53" s="1">
        <v>490</v>
      </c>
      <c r="H53" s="1">
        <v>453</v>
      </c>
      <c r="I53" s="1">
        <v>203</v>
      </c>
      <c r="J53" s="1">
        <v>207</v>
      </c>
      <c r="K53" s="1">
        <v>209</v>
      </c>
      <c r="L53" s="1">
        <v>320</v>
      </c>
      <c r="M53" s="1">
        <v>239</v>
      </c>
      <c r="N53" s="1">
        <v>273</v>
      </c>
      <c r="O53" s="1">
        <v>233</v>
      </c>
      <c r="P53" s="1">
        <v>195</v>
      </c>
      <c r="Q53" s="1">
        <v>193</v>
      </c>
      <c r="R53" s="1">
        <v>192</v>
      </c>
      <c r="S53" s="1">
        <v>226</v>
      </c>
      <c r="T53" s="1">
        <v>260</v>
      </c>
      <c r="U53" s="1">
        <v>217</v>
      </c>
      <c r="V53" s="1">
        <v>220</v>
      </c>
      <c r="W53" s="8">
        <f t="shared" si="51"/>
        <v>5.0251256281407036E-3</v>
      </c>
      <c r="X53" s="8">
        <f t="shared" si="52"/>
        <v>2.5000000000000001E-3</v>
      </c>
      <c r="Y53" s="8">
        <f t="shared" si="53"/>
        <v>0.36159600997506236</v>
      </c>
      <c r="Z53" s="8">
        <f t="shared" si="54"/>
        <v>-8.608058608058608E-2</v>
      </c>
      <c r="AA53" s="8">
        <f t="shared" si="55"/>
        <v>-1.8036072144288578E-2</v>
      </c>
      <c r="AB53" s="8">
        <f t="shared" si="56"/>
        <v>-7.5510204081632656E-2</v>
      </c>
      <c r="AC53" s="12">
        <f t="shared" si="27"/>
        <v>3.1582378882782626E-2</v>
      </c>
      <c r="AD53" s="12">
        <f t="shared" si="28"/>
        <v>-7.7680360721442895E-3</v>
      </c>
      <c r="AE53" s="1">
        <f t="shared" si="29"/>
        <v>2</v>
      </c>
      <c r="AF53" s="1">
        <f t="shared" si="30"/>
        <v>1</v>
      </c>
      <c r="AG53" s="1">
        <f t="shared" si="31"/>
        <v>145</v>
      </c>
      <c r="AH53" s="1">
        <f t="shared" si="32"/>
        <v>-47</v>
      </c>
      <c r="AI53" s="1">
        <f t="shared" si="33"/>
        <v>-9</v>
      </c>
      <c r="AJ53" s="1">
        <f t="shared" si="34"/>
        <v>-37</v>
      </c>
      <c r="AK53" s="17">
        <f t="shared" si="35"/>
        <v>9.1666666666666661</v>
      </c>
      <c r="AL53" s="17">
        <f t="shared" si="36"/>
        <v>-4</v>
      </c>
      <c r="AM53" s="1">
        <f t="shared" si="57"/>
        <v>1.9704433497536946E-2</v>
      </c>
      <c r="AN53" s="1">
        <f t="shared" si="58"/>
        <v>9.6618357487922701E-3</v>
      </c>
      <c r="AO53" s="1">
        <f t="shared" si="59"/>
        <v>0.53110047846889952</v>
      </c>
      <c r="AP53" s="1">
        <f t="shared" si="60"/>
        <v>-0.25312499999999999</v>
      </c>
      <c r="AQ53" s="1">
        <f t="shared" si="61"/>
        <v>0.14225941422594143</v>
      </c>
      <c r="AR53" s="1">
        <f t="shared" si="62"/>
        <v>-0.14652014652014653</v>
      </c>
      <c r="AS53" s="12">
        <f t="shared" si="37"/>
        <v>5.05135025701706E-2</v>
      </c>
      <c r="AT53" s="12">
        <f t="shared" si="38"/>
        <v>1.4683134623164607E-2</v>
      </c>
      <c r="AU53" s="1">
        <f t="shared" si="39"/>
        <v>4</v>
      </c>
      <c r="AV53" s="1">
        <f t="shared" si="40"/>
        <v>2</v>
      </c>
      <c r="AW53" s="1">
        <f t="shared" si="41"/>
        <v>111</v>
      </c>
      <c r="AX53" s="1">
        <f t="shared" si="42"/>
        <v>-81</v>
      </c>
      <c r="AY53" s="1">
        <f t="shared" si="43"/>
        <v>34</v>
      </c>
      <c r="AZ53" s="1">
        <f t="shared" si="44"/>
        <v>-40</v>
      </c>
      <c r="BA53" s="19">
        <f t="shared" si="63"/>
        <v>5</v>
      </c>
      <c r="BB53" s="19">
        <f t="shared" si="64"/>
        <v>3</v>
      </c>
      <c r="BC53" s="9">
        <f t="shared" si="65"/>
        <v>-1.0256410256410256E-2</v>
      </c>
      <c r="BD53" s="9">
        <f t="shared" si="66"/>
        <v>-5.1813471502590676E-3</v>
      </c>
      <c r="BE53" s="9">
        <f t="shared" si="67"/>
        <v>0.17708333333333334</v>
      </c>
      <c r="BF53" s="9">
        <f t="shared" si="68"/>
        <v>0.15044247787610621</v>
      </c>
      <c r="BG53" s="9">
        <f t="shared" si="69"/>
        <v>-0.16538461538461538</v>
      </c>
      <c r="BH53" s="9">
        <f t="shared" si="70"/>
        <v>1.3824884792626729E-2</v>
      </c>
      <c r="BI53" s="12">
        <f t="shared" si="71"/>
        <v>2.6754720535130259E-2</v>
      </c>
      <c r="BJ53" s="13">
        <f t="shared" si="72"/>
        <v>4.3217688211838303E-3</v>
      </c>
      <c r="BK53" s="1">
        <f t="shared" si="45"/>
        <v>-2</v>
      </c>
      <c r="BL53" s="1">
        <f t="shared" si="46"/>
        <v>-1</v>
      </c>
      <c r="BM53" s="1">
        <f t="shared" si="47"/>
        <v>34</v>
      </c>
      <c r="BN53" s="1">
        <f t="shared" si="48"/>
        <v>34</v>
      </c>
      <c r="BO53" s="1">
        <f t="shared" si="49"/>
        <v>-43</v>
      </c>
      <c r="BP53" s="1">
        <f t="shared" si="50"/>
        <v>3</v>
      </c>
      <c r="BQ53" s="19">
        <f t="shared" si="73"/>
        <v>4.166666666666667</v>
      </c>
      <c r="BR53" s="17">
        <f t="shared" si="74"/>
        <v>1</v>
      </c>
    </row>
    <row r="54" spans="1:70" x14ac:dyDescent="0.25">
      <c r="A54" s="20">
        <v>52</v>
      </c>
      <c r="B54" s="1">
        <v>402</v>
      </c>
      <c r="C54" s="1">
        <v>413</v>
      </c>
      <c r="D54" s="1">
        <v>432</v>
      </c>
      <c r="E54" s="1">
        <v>601</v>
      </c>
      <c r="F54" s="1">
        <v>540</v>
      </c>
      <c r="G54" s="1">
        <v>508</v>
      </c>
      <c r="H54" s="1">
        <v>497</v>
      </c>
      <c r="I54" s="1">
        <v>210</v>
      </c>
      <c r="J54" s="1">
        <v>219</v>
      </c>
      <c r="K54" s="1">
        <v>217</v>
      </c>
      <c r="L54" s="1">
        <v>335</v>
      </c>
      <c r="M54" s="1">
        <v>317</v>
      </c>
      <c r="N54" s="1">
        <v>264</v>
      </c>
      <c r="O54" s="1">
        <v>280</v>
      </c>
      <c r="P54" s="1">
        <v>192</v>
      </c>
      <c r="Q54" s="1">
        <v>194</v>
      </c>
      <c r="R54" s="1">
        <v>215</v>
      </c>
      <c r="S54" s="1">
        <v>266</v>
      </c>
      <c r="T54" s="1">
        <v>223</v>
      </c>
      <c r="U54" s="1">
        <v>244</v>
      </c>
      <c r="V54" s="1">
        <v>217</v>
      </c>
      <c r="W54" s="8">
        <f t="shared" si="51"/>
        <v>2.736318407960199E-2</v>
      </c>
      <c r="X54" s="8">
        <f t="shared" si="52"/>
        <v>4.6004842615012108E-2</v>
      </c>
      <c r="Y54" s="8">
        <f t="shared" si="53"/>
        <v>0.39120370370370372</v>
      </c>
      <c r="Z54" s="8">
        <f t="shared" si="54"/>
        <v>-0.10149750415973377</v>
      </c>
      <c r="AA54" s="8">
        <f t="shared" si="55"/>
        <v>-5.9259259259259262E-2</v>
      </c>
      <c r="AB54" s="8">
        <f t="shared" si="56"/>
        <v>-2.1653543307086614E-2</v>
      </c>
      <c r="AC54" s="12">
        <f t="shared" si="27"/>
        <v>4.7026903945373018E-2</v>
      </c>
      <c r="AD54" s="12">
        <f t="shared" si="28"/>
        <v>2.85482038625769E-3</v>
      </c>
      <c r="AE54" s="1">
        <f t="shared" si="29"/>
        <v>11</v>
      </c>
      <c r="AF54" s="1">
        <f t="shared" si="30"/>
        <v>19</v>
      </c>
      <c r="AG54" s="1">
        <f t="shared" si="31"/>
        <v>169</v>
      </c>
      <c r="AH54" s="1">
        <f t="shared" si="32"/>
        <v>-61</v>
      </c>
      <c r="AI54" s="1">
        <f t="shared" si="33"/>
        <v>-32</v>
      </c>
      <c r="AJ54" s="1">
        <f t="shared" si="34"/>
        <v>-11</v>
      </c>
      <c r="AK54" s="17">
        <f t="shared" si="35"/>
        <v>15.833333333333334</v>
      </c>
      <c r="AL54" s="17">
        <f t="shared" si="36"/>
        <v>0</v>
      </c>
      <c r="AM54" s="1">
        <f t="shared" si="57"/>
        <v>4.2857142857142858E-2</v>
      </c>
      <c r="AN54" s="1">
        <f t="shared" si="58"/>
        <v>-9.1324200913242004E-3</v>
      </c>
      <c r="AO54" s="1">
        <f t="shared" si="59"/>
        <v>0.54377880184331795</v>
      </c>
      <c r="AP54" s="1">
        <f t="shared" si="60"/>
        <v>-5.3731343283582089E-2</v>
      </c>
      <c r="AQ54" s="1">
        <f t="shared" si="61"/>
        <v>-0.16719242902208201</v>
      </c>
      <c r="AR54" s="1">
        <f t="shared" si="62"/>
        <v>6.0606060606060608E-2</v>
      </c>
      <c r="AS54" s="12">
        <f t="shared" si="37"/>
        <v>6.9530968818255517E-2</v>
      </c>
      <c r="AT54" s="12">
        <f t="shared" si="38"/>
        <v>1.6862361382909329E-2</v>
      </c>
      <c r="AU54" s="1">
        <f t="shared" si="39"/>
        <v>9</v>
      </c>
      <c r="AV54" s="1">
        <f t="shared" si="40"/>
        <v>-2</v>
      </c>
      <c r="AW54" s="1">
        <f t="shared" si="41"/>
        <v>118</v>
      </c>
      <c r="AX54" s="1">
        <f t="shared" si="42"/>
        <v>-18</v>
      </c>
      <c r="AY54" s="1">
        <f t="shared" si="43"/>
        <v>-53</v>
      </c>
      <c r="AZ54" s="1">
        <f t="shared" si="44"/>
        <v>16</v>
      </c>
      <c r="BA54" s="19">
        <f t="shared" si="63"/>
        <v>11.666666666666666</v>
      </c>
      <c r="BB54" s="19">
        <f t="shared" si="64"/>
        <v>3.5</v>
      </c>
      <c r="BC54" s="9">
        <f t="shared" si="65"/>
        <v>1.0416666666666666E-2</v>
      </c>
      <c r="BD54" s="9">
        <f t="shared" si="66"/>
        <v>0.10824742268041238</v>
      </c>
      <c r="BE54" s="9">
        <f t="shared" si="67"/>
        <v>0.23720930232558141</v>
      </c>
      <c r="BF54" s="9">
        <f t="shared" si="68"/>
        <v>-0.16165413533834586</v>
      </c>
      <c r="BG54" s="9">
        <f t="shared" si="69"/>
        <v>9.417040358744394E-2</v>
      </c>
      <c r="BH54" s="9">
        <f t="shared" si="70"/>
        <v>-0.11065573770491803</v>
      </c>
      <c r="BI54" s="12">
        <f t="shared" si="71"/>
        <v>2.9622320369473421E-2</v>
      </c>
      <c r="BJ54" s="13">
        <f t="shared" si="72"/>
        <v>5.2293535127055299E-2</v>
      </c>
      <c r="BK54" s="1">
        <f t="shared" si="45"/>
        <v>2</v>
      </c>
      <c r="BL54" s="1">
        <f t="shared" si="46"/>
        <v>21</v>
      </c>
      <c r="BM54" s="1">
        <f t="shared" si="47"/>
        <v>51</v>
      </c>
      <c r="BN54" s="1">
        <f t="shared" si="48"/>
        <v>-43</v>
      </c>
      <c r="BO54" s="1">
        <f t="shared" si="49"/>
        <v>21</v>
      </c>
      <c r="BP54" s="1">
        <f t="shared" si="50"/>
        <v>-27</v>
      </c>
      <c r="BQ54" s="19">
        <f t="shared" si="73"/>
        <v>4.166666666666667</v>
      </c>
      <c r="BR54" s="17">
        <f t="shared" si="74"/>
        <v>11.5</v>
      </c>
    </row>
    <row r="55" spans="1:70" x14ac:dyDescent="0.25">
      <c r="A55" s="20">
        <v>53</v>
      </c>
      <c r="B55" s="1">
        <v>448</v>
      </c>
      <c r="C55" s="1">
        <v>474</v>
      </c>
      <c r="D55" s="1">
        <v>462</v>
      </c>
      <c r="E55" s="1">
        <v>600</v>
      </c>
      <c r="F55" s="1">
        <v>592</v>
      </c>
      <c r="G55" s="1">
        <v>574</v>
      </c>
      <c r="H55" s="1">
        <v>510</v>
      </c>
      <c r="I55" s="1">
        <v>240</v>
      </c>
      <c r="J55" s="1">
        <v>251</v>
      </c>
      <c r="K55" s="1">
        <v>258</v>
      </c>
      <c r="L55" s="1">
        <v>352</v>
      </c>
      <c r="M55" s="1">
        <v>316</v>
      </c>
      <c r="N55" s="1">
        <v>301</v>
      </c>
      <c r="O55" s="1">
        <v>268</v>
      </c>
      <c r="P55" s="1">
        <v>208</v>
      </c>
      <c r="Q55" s="1">
        <v>223</v>
      </c>
      <c r="R55" s="1">
        <v>204</v>
      </c>
      <c r="S55" s="1">
        <v>248</v>
      </c>
      <c r="T55" s="1">
        <v>276</v>
      </c>
      <c r="U55" s="1">
        <v>273</v>
      </c>
      <c r="V55" s="1">
        <v>242</v>
      </c>
      <c r="W55" s="8">
        <f t="shared" si="51"/>
        <v>5.8035714285714288E-2</v>
      </c>
      <c r="X55" s="8">
        <f t="shared" si="52"/>
        <v>-2.5316455696202531E-2</v>
      </c>
      <c r="Y55" s="8">
        <f t="shared" si="53"/>
        <v>0.29870129870129869</v>
      </c>
      <c r="Z55" s="8">
        <f t="shared" si="54"/>
        <v>-1.3333333333333334E-2</v>
      </c>
      <c r="AA55" s="8">
        <f t="shared" si="55"/>
        <v>-3.0405405405405407E-2</v>
      </c>
      <c r="AB55" s="8">
        <f t="shared" si="56"/>
        <v>-0.11149825783972125</v>
      </c>
      <c r="AC55" s="12">
        <f t="shared" si="27"/>
        <v>2.936392678539174E-2</v>
      </c>
      <c r="AD55" s="12">
        <f t="shared" si="28"/>
        <v>-1.9324894514767932E-2</v>
      </c>
      <c r="AE55" s="1">
        <f t="shared" si="29"/>
        <v>26</v>
      </c>
      <c r="AF55" s="1">
        <f t="shared" si="30"/>
        <v>-12</v>
      </c>
      <c r="AG55" s="1">
        <f t="shared" si="31"/>
        <v>138</v>
      </c>
      <c r="AH55" s="1">
        <f t="shared" si="32"/>
        <v>-8</v>
      </c>
      <c r="AI55" s="1">
        <f t="shared" si="33"/>
        <v>-18</v>
      </c>
      <c r="AJ55" s="1">
        <f t="shared" si="34"/>
        <v>-64</v>
      </c>
      <c r="AK55" s="17">
        <f t="shared" si="35"/>
        <v>10.333333333333334</v>
      </c>
      <c r="AL55" s="17">
        <f t="shared" si="36"/>
        <v>-10</v>
      </c>
      <c r="AM55" s="1">
        <f t="shared" si="57"/>
        <v>4.583333333333333E-2</v>
      </c>
      <c r="AN55" s="1">
        <f t="shared" si="58"/>
        <v>2.7888446215139442E-2</v>
      </c>
      <c r="AO55" s="1">
        <f t="shared" si="59"/>
        <v>0.36434108527131781</v>
      </c>
      <c r="AP55" s="1">
        <f t="shared" si="60"/>
        <v>-0.10227272727272728</v>
      </c>
      <c r="AQ55" s="1">
        <f t="shared" si="61"/>
        <v>-4.746835443037975E-2</v>
      </c>
      <c r="AR55" s="1">
        <f t="shared" si="62"/>
        <v>-0.10963455149501661</v>
      </c>
      <c r="AS55" s="12">
        <f t="shared" si="37"/>
        <v>2.9781205270277823E-2</v>
      </c>
      <c r="AT55" s="12">
        <f t="shared" si="38"/>
        <v>-9.7899541076201524E-3</v>
      </c>
      <c r="AU55" s="1">
        <f t="shared" si="39"/>
        <v>11</v>
      </c>
      <c r="AV55" s="1">
        <f t="shared" si="40"/>
        <v>7</v>
      </c>
      <c r="AW55" s="1">
        <f t="shared" si="41"/>
        <v>94</v>
      </c>
      <c r="AX55" s="1">
        <f t="shared" si="42"/>
        <v>-36</v>
      </c>
      <c r="AY55" s="1">
        <f t="shared" si="43"/>
        <v>-15</v>
      </c>
      <c r="AZ55" s="1">
        <f t="shared" si="44"/>
        <v>-33</v>
      </c>
      <c r="BA55" s="19">
        <f t="shared" si="63"/>
        <v>4.666666666666667</v>
      </c>
      <c r="BB55" s="19">
        <f t="shared" si="64"/>
        <v>-4</v>
      </c>
      <c r="BC55" s="9">
        <f t="shared" si="65"/>
        <v>7.2115384615384609E-2</v>
      </c>
      <c r="BD55" s="9">
        <f t="shared" si="66"/>
        <v>-8.520179372197309E-2</v>
      </c>
      <c r="BE55" s="9">
        <f t="shared" si="67"/>
        <v>0.21568627450980393</v>
      </c>
      <c r="BF55" s="9">
        <f t="shared" si="68"/>
        <v>0.11290322580645161</v>
      </c>
      <c r="BG55" s="9">
        <f t="shared" si="69"/>
        <v>-1.0869565217391304E-2</v>
      </c>
      <c r="BH55" s="9">
        <f t="shared" si="70"/>
        <v>-0.11355311355311355</v>
      </c>
      <c r="BI55" s="12">
        <f t="shared" si="71"/>
        <v>3.1846735406527042E-2</v>
      </c>
      <c r="BJ55" s="13">
        <f t="shared" si="72"/>
        <v>3.0622909698996649E-2</v>
      </c>
      <c r="BK55" s="1">
        <f t="shared" si="45"/>
        <v>15</v>
      </c>
      <c r="BL55" s="1">
        <f t="shared" si="46"/>
        <v>-19</v>
      </c>
      <c r="BM55" s="1">
        <f t="shared" si="47"/>
        <v>44</v>
      </c>
      <c r="BN55" s="1">
        <f t="shared" si="48"/>
        <v>28</v>
      </c>
      <c r="BO55" s="1">
        <f t="shared" si="49"/>
        <v>-3</v>
      </c>
      <c r="BP55" s="1">
        <f t="shared" si="50"/>
        <v>-31</v>
      </c>
      <c r="BQ55" s="19">
        <f t="shared" si="73"/>
        <v>5.666666666666667</v>
      </c>
      <c r="BR55" s="17">
        <f t="shared" si="74"/>
        <v>6</v>
      </c>
    </row>
    <row r="56" spans="1:70" x14ac:dyDescent="0.25">
      <c r="A56" s="20">
        <v>54</v>
      </c>
      <c r="B56" s="1">
        <v>480</v>
      </c>
      <c r="C56" s="1">
        <v>472</v>
      </c>
      <c r="D56" s="1">
        <v>486</v>
      </c>
      <c r="E56" s="1">
        <v>658</v>
      </c>
      <c r="F56" s="1">
        <v>596</v>
      </c>
      <c r="G56" s="1">
        <v>559</v>
      </c>
      <c r="H56" s="1">
        <v>580</v>
      </c>
      <c r="I56" s="1">
        <v>257</v>
      </c>
      <c r="J56" s="1">
        <v>254</v>
      </c>
      <c r="K56" s="1">
        <v>277</v>
      </c>
      <c r="L56" s="1">
        <v>364</v>
      </c>
      <c r="M56" s="1">
        <v>337</v>
      </c>
      <c r="N56" s="1">
        <v>293</v>
      </c>
      <c r="O56" s="1">
        <v>319</v>
      </c>
      <c r="P56" s="1">
        <v>223</v>
      </c>
      <c r="Q56" s="1">
        <v>218</v>
      </c>
      <c r="R56" s="1">
        <v>209</v>
      </c>
      <c r="S56" s="1">
        <v>294</v>
      </c>
      <c r="T56" s="1">
        <v>259</v>
      </c>
      <c r="U56" s="1">
        <v>266</v>
      </c>
      <c r="V56" s="1">
        <v>261</v>
      </c>
      <c r="W56" s="8">
        <f t="shared" si="51"/>
        <v>-1.6666666666666666E-2</v>
      </c>
      <c r="X56" s="8">
        <f t="shared" si="52"/>
        <v>2.9661016949152543E-2</v>
      </c>
      <c r="Y56" s="8">
        <f t="shared" si="53"/>
        <v>0.35390946502057613</v>
      </c>
      <c r="Z56" s="8">
        <f t="shared" si="54"/>
        <v>-9.4224924012158054E-2</v>
      </c>
      <c r="AA56" s="8">
        <f t="shared" si="55"/>
        <v>-6.2080536912751678E-2</v>
      </c>
      <c r="AB56" s="8">
        <f t="shared" si="56"/>
        <v>3.7567084078711989E-2</v>
      </c>
      <c r="AC56" s="12">
        <f t="shared" si="27"/>
        <v>4.1360906409477378E-2</v>
      </c>
      <c r="AD56" s="12">
        <f t="shared" si="28"/>
        <v>6.4971751412429384E-3</v>
      </c>
      <c r="AE56" s="1">
        <f t="shared" si="29"/>
        <v>-8</v>
      </c>
      <c r="AF56" s="1">
        <f t="shared" si="30"/>
        <v>14</v>
      </c>
      <c r="AG56" s="1">
        <f t="shared" si="31"/>
        <v>172</v>
      </c>
      <c r="AH56" s="1">
        <f t="shared" si="32"/>
        <v>-62</v>
      </c>
      <c r="AI56" s="1">
        <f t="shared" si="33"/>
        <v>-37</v>
      </c>
      <c r="AJ56" s="1">
        <f t="shared" si="34"/>
        <v>21</v>
      </c>
      <c r="AK56" s="17">
        <f t="shared" si="35"/>
        <v>16.666666666666668</v>
      </c>
      <c r="AL56" s="17">
        <f t="shared" si="36"/>
        <v>3</v>
      </c>
      <c r="AM56" s="1">
        <f t="shared" si="57"/>
        <v>-1.1673151750972763E-2</v>
      </c>
      <c r="AN56" s="1">
        <f t="shared" si="58"/>
        <v>9.055118110236221E-2</v>
      </c>
      <c r="AO56" s="1">
        <f t="shared" si="59"/>
        <v>0.3140794223826715</v>
      </c>
      <c r="AP56" s="1">
        <f t="shared" si="60"/>
        <v>-7.4175824175824176E-2</v>
      </c>
      <c r="AQ56" s="1">
        <f t="shared" si="61"/>
        <v>-0.13056379821958458</v>
      </c>
      <c r="AR56" s="1">
        <f t="shared" si="62"/>
        <v>8.8737201365187715E-2</v>
      </c>
      <c r="AS56" s="12">
        <f t="shared" si="37"/>
        <v>4.6159171783973309E-2</v>
      </c>
      <c r="AT56" s="12">
        <f t="shared" si="38"/>
        <v>3.8532024807107476E-2</v>
      </c>
      <c r="AU56" s="1">
        <f t="shared" si="39"/>
        <v>-3</v>
      </c>
      <c r="AV56" s="1">
        <f t="shared" si="40"/>
        <v>23</v>
      </c>
      <c r="AW56" s="1">
        <f t="shared" si="41"/>
        <v>87</v>
      </c>
      <c r="AX56" s="1">
        <f t="shared" si="42"/>
        <v>-27</v>
      </c>
      <c r="AY56" s="1">
        <f t="shared" si="43"/>
        <v>-44</v>
      </c>
      <c r="AZ56" s="1">
        <f t="shared" si="44"/>
        <v>26</v>
      </c>
      <c r="BA56" s="19">
        <f t="shared" si="63"/>
        <v>10.333333333333334</v>
      </c>
      <c r="BB56" s="19">
        <f t="shared" si="64"/>
        <v>10</v>
      </c>
      <c r="BC56" s="9">
        <f t="shared" si="65"/>
        <v>-2.2421524663677129E-2</v>
      </c>
      <c r="BD56" s="9">
        <f t="shared" si="66"/>
        <v>-4.1284403669724773E-2</v>
      </c>
      <c r="BE56" s="9">
        <f t="shared" si="67"/>
        <v>0.40669856459330145</v>
      </c>
      <c r="BF56" s="9">
        <f t="shared" si="68"/>
        <v>-0.11904761904761904</v>
      </c>
      <c r="BG56" s="9">
        <f t="shared" si="69"/>
        <v>2.7027027027027029E-2</v>
      </c>
      <c r="BH56" s="9">
        <f t="shared" si="70"/>
        <v>-1.8796992481203006E-2</v>
      </c>
      <c r="BI56" s="12">
        <f t="shared" si="71"/>
        <v>3.8695841959684084E-2</v>
      </c>
      <c r="BJ56" s="13">
        <f t="shared" si="72"/>
        <v>-2.0609258572440066E-2</v>
      </c>
      <c r="BK56" s="1">
        <f t="shared" si="45"/>
        <v>-5</v>
      </c>
      <c r="BL56" s="1">
        <f t="shared" si="46"/>
        <v>-9</v>
      </c>
      <c r="BM56" s="1">
        <f t="shared" si="47"/>
        <v>85</v>
      </c>
      <c r="BN56" s="1">
        <f t="shared" si="48"/>
        <v>-35</v>
      </c>
      <c r="BO56" s="1">
        <f t="shared" si="49"/>
        <v>7</v>
      </c>
      <c r="BP56" s="1">
        <f t="shared" si="50"/>
        <v>-5</v>
      </c>
      <c r="BQ56" s="19">
        <f t="shared" si="73"/>
        <v>6.333333333333333</v>
      </c>
      <c r="BR56" s="17">
        <f t="shared" si="74"/>
        <v>-5</v>
      </c>
    </row>
    <row r="57" spans="1:70" x14ac:dyDescent="0.25">
      <c r="A57" s="20">
        <v>55</v>
      </c>
      <c r="B57" s="1">
        <v>487</v>
      </c>
      <c r="C57" s="1">
        <v>541</v>
      </c>
      <c r="D57" s="1">
        <v>538</v>
      </c>
      <c r="E57" s="1">
        <v>748</v>
      </c>
      <c r="F57" s="1">
        <v>624</v>
      </c>
      <c r="G57" s="1">
        <v>614</v>
      </c>
      <c r="H57" s="1">
        <v>622</v>
      </c>
      <c r="I57" s="1">
        <v>271</v>
      </c>
      <c r="J57" s="1">
        <v>304</v>
      </c>
      <c r="K57" s="1">
        <v>291</v>
      </c>
      <c r="L57" s="1">
        <v>417</v>
      </c>
      <c r="M57" s="1">
        <v>359</v>
      </c>
      <c r="N57" s="1">
        <v>332</v>
      </c>
      <c r="O57" s="1">
        <v>354</v>
      </c>
      <c r="P57" s="1">
        <v>216</v>
      </c>
      <c r="Q57" s="1">
        <v>237</v>
      </c>
      <c r="R57" s="1">
        <v>247</v>
      </c>
      <c r="S57" s="1">
        <v>331</v>
      </c>
      <c r="T57" s="1">
        <v>265</v>
      </c>
      <c r="U57" s="1">
        <v>282</v>
      </c>
      <c r="V57" s="1">
        <v>268</v>
      </c>
      <c r="W57" s="8">
        <f t="shared" si="51"/>
        <v>0.11088295687885011</v>
      </c>
      <c r="X57" s="8">
        <f t="shared" si="52"/>
        <v>-5.5452865064695009E-3</v>
      </c>
      <c r="Y57" s="8">
        <f t="shared" si="53"/>
        <v>0.3903345724907063</v>
      </c>
      <c r="Z57" s="8">
        <f t="shared" si="54"/>
        <v>-0.16577540106951871</v>
      </c>
      <c r="AA57" s="8">
        <f t="shared" si="55"/>
        <v>-1.6025641025641024E-2</v>
      </c>
      <c r="AB57" s="8">
        <f t="shared" si="56"/>
        <v>1.3029315960912053E-2</v>
      </c>
      <c r="AC57" s="12">
        <f t="shared" si="27"/>
        <v>5.4483419454806538E-2</v>
      </c>
      <c r="AD57" s="12">
        <f t="shared" si="28"/>
        <v>3.7420147272212755E-3</v>
      </c>
      <c r="AE57" s="1">
        <f t="shared" si="29"/>
        <v>54</v>
      </c>
      <c r="AF57" s="1">
        <f t="shared" si="30"/>
        <v>-3</v>
      </c>
      <c r="AG57" s="1">
        <f t="shared" si="31"/>
        <v>210</v>
      </c>
      <c r="AH57" s="1">
        <f t="shared" si="32"/>
        <v>-124</v>
      </c>
      <c r="AI57" s="1">
        <f t="shared" si="33"/>
        <v>-10</v>
      </c>
      <c r="AJ57" s="1">
        <f t="shared" si="34"/>
        <v>8</v>
      </c>
      <c r="AK57" s="17">
        <f t="shared" si="35"/>
        <v>22.5</v>
      </c>
      <c r="AL57" s="17">
        <f t="shared" si="36"/>
        <v>2.5</v>
      </c>
      <c r="AM57" s="1">
        <f t="shared" si="57"/>
        <v>0.12177121771217712</v>
      </c>
      <c r="AN57" s="1">
        <f t="shared" si="58"/>
        <v>-4.2763157894736843E-2</v>
      </c>
      <c r="AO57" s="1">
        <f t="shared" si="59"/>
        <v>0.4329896907216495</v>
      </c>
      <c r="AP57" s="1">
        <f t="shared" si="60"/>
        <v>-0.13908872901678657</v>
      </c>
      <c r="AQ57" s="1">
        <f t="shared" si="61"/>
        <v>-7.5208913649025072E-2</v>
      </c>
      <c r="AR57" s="1">
        <f t="shared" si="62"/>
        <v>6.6265060240963861E-2</v>
      </c>
      <c r="AS57" s="12">
        <f t="shared" si="37"/>
        <v>6.0660861352373668E-2</v>
      </c>
      <c r="AT57" s="12">
        <f t="shared" si="38"/>
        <v>1.1750951173113512E-2</v>
      </c>
      <c r="AU57" s="1">
        <f t="shared" si="39"/>
        <v>33</v>
      </c>
      <c r="AV57" s="1">
        <f t="shared" si="40"/>
        <v>-13</v>
      </c>
      <c r="AW57" s="1">
        <f t="shared" si="41"/>
        <v>126</v>
      </c>
      <c r="AX57" s="1">
        <f t="shared" si="42"/>
        <v>-58</v>
      </c>
      <c r="AY57" s="1">
        <f t="shared" si="43"/>
        <v>-27</v>
      </c>
      <c r="AZ57" s="1">
        <f t="shared" si="44"/>
        <v>22</v>
      </c>
      <c r="BA57" s="19">
        <f t="shared" si="63"/>
        <v>13.833333333333334</v>
      </c>
      <c r="BB57" s="19">
        <f t="shared" si="64"/>
        <v>4.5</v>
      </c>
      <c r="BC57" s="9">
        <f t="shared" si="65"/>
        <v>9.7222222222222224E-2</v>
      </c>
      <c r="BD57" s="9">
        <f t="shared" si="66"/>
        <v>4.2194092827004218E-2</v>
      </c>
      <c r="BE57" s="9">
        <f t="shared" si="67"/>
        <v>0.34008097165991902</v>
      </c>
      <c r="BF57" s="9">
        <f t="shared" si="68"/>
        <v>-0.19939577039274925</v>
      </c>
      <c r="BG57" s="9">
        <f t="shared" si="69"/>
        <v>6.4150943396226415E-2</v>
      </c>
      <c r="BH57" s="9">
        <f t="shared" si="70"/>
        <v>-4.9645390070921988E-2</v>
      </c>
      <c r="BI57" s="12">
        <f t="shared" si="71"/>
        <v>4.910117827361677E-2</v>
      </c>
      <c r="BJ57" s="13">
        <f t="shared" si="72"/>
        <v>5.3172518111615316E-2</v>
      </c>
      <c r="BK57" s="1">
        <f t="shared" si="45"/>
        <v>21</v>
      </c>
      <c r="BL57" s="1">
        <f t="shared" si="46"/>
        <v>10</v>
      </c>
      <c r="BM57" s="1">
        <f t="shared" si="47"/>
        <v>84</v>
      </c>
      <c r="BN57" s="1">
        <f t="shared" si="48"/>
        <v>-66</v>
      </c>
      <c r="BO57" s="1">
        <f t="shared" si="49"/>
        <v>17</v>
      </c>
      <c r="BP57" s="1">
        <f t="shared" si="50"/>
        <v>-14</v>
      </c>
      <c r="BQ57" s="19">
        <f t="shared" si="73"/>
        <v>8.6666666666666661</v>
      </c>
      <c r="BR57" s="17">
        <f t="shared" si="74"/>
        <v>13.5</v>
      </c>
    </row>
    <row r="58" spans="1:70" x14ac:dyDescent="0.25">
      <c r="A58" s="20">
        <v>56</v>
      </c>
      <c r="B58" s="1">
        <v>515</v>
      </c>
      <c r="C58" s="1">
        <v>554</v>
      </c>
      <c r="D58" s="1">
        <v>563</v>
      </c>
      <c r="E58" s="1">
        <v>827</v>
      </c>
      <c r="F58" s="1">
        <v>701</v>
      </c>
      <c r="G58" s="1">
        <v>648</v>
      </c>
      <c r="H58" s="1">
        <v>645</v>
      </c>
      <c r="I58" s="1">
        <v>279</v>
      </c>
      <c r="J58" s="1">
        <v>296</v>
      </c>
      <c r="K58" s="1">
        <v>296</v>
      </c>
      <c r="L58" s="1">
        <v>497</v>
      </c>
      <c r="M58" s="1">
        <v>377</v>
      </c>
      <c r="N58" s="1">
        <v>340</v>
      </c>
      <c r="O58" s="1">
        <v>347</v>
      </c>
      <c r="P58" s="1">
        <v>236</v>
      </c>
      <c r="Q58" s="1">
        <v>258</v>
      </c>
      <c r="R58" s="1">
        <v>267</v>
      </c>
      <c r="S58" s="1">
        <v>330</v>
      </c>
      <c r="T58" s="1">
        <v>324</v>
      </c>
      <c r="U58" s="1">
        <v>308</v>
      </c>
      <c r="V58" s="1">
        <v>298</v>
      </c>
      <c r="W58" s="8">
        <f t="shared" si="51"/>
        <v>7.5728155339805828E-2</v>
      </c>
      <c r="X58" s="8">
        <f t="shared" si="52"/>
        <v>1.6245487364620937E-2</v>
      </c>
      <c r="Y58" s="8">
        <f t="shared" si="53"/>
        <v>0.46891651865008882</v>
      </c>
      <c r="Z58" s="8">
        <f t="shared" si="54"/>
        <v>-0.15235792019347039</v>
      </c>
      <c r="AA58" s="8">
        <f t="shared" si="55"/>
        <v>-7.5606276747503573E-2</v>
      </c>
      <c r="AB58" s="8">
        <f t="shared" si="56"/>
        <v>-4.6296296296296294E-3</v>
      </c>
      <c r="AC58" s="12">
        <f t="shared" si="27"/>
        <v>5.4716055797318669E-2</v>
      </c>
      <c r="AD58" s="12">
        <f t="shared" si="28"/>
        <v>5.8079288674956538E-3</v>
      </c>
      <c r="AE58" s="1">
        <f t="shared" si="29"/>
        <v>39</v>
      </c>
      <c r="AF58" s="1">
        <f t="shared" si="30"/>
        <v>9</v>
      </c>
      <c r="AG58" s="1">
        <f t="shared" si="31"/>
        <v>264</v>
      </c>
      <c r="AH58" s="1">
        <f t="shared" si="32"/>
        <v>-126</v>
      </c>
      <c r="AI58" s="1">
        <f t="shared" si="33"/>
        <v>-53</v>
      </c>
      <c r="AJ58" s="1">
        <f t="shared" si="34"/>
        <v>-3</v>
      </c>
      <c r="AK58" s="17">
        <f t="shared" si="35"/>
        <v>21.666666666666668</v>
      </c>
      <c r="AL58" s="17">
        <f t="shared" si="36"/>
        <v>3</v>
      </c>
      <c r="AM58" s="1">
        <f t="shared" si="57"/>
        <v>6.093189964157706E-2</v>
      </c>
      <c r="AN58" s="1">
        <f t="shared" si="58"/>
        <v>0</v>
      </c>
      <c r="AO58" s="1">
        <f t="shared" si="59"/>
        <v>0.67905405405405406</v>
      </c>
      <c r="AP58" s="1">
        <f t="shared" si="60"/>
        <v>-0.2414486921529175</v>
      </c>
      <c r="AQ58" s="1">
        <f t="shared" si="61"/>
        <v>-9.8143236074270557E-2</v>
      </c>
      <c r="AR58" s="1">
        <f t="shared" si="62"/>
        <v>2.0588235294117647E-2</v>
      </c>
      <c r="AS58" s="12">
        <f t="shared" si="37"/>
        <v>7.0163710127093451E-2</v>
      </c>
      <c r="AT58" s="12">
        <f t="shared" si="38"/>
        <v>1.0294117647058823E-2</v>
      </c>
      <c r="AU58" s="1">
        <f t="shared" si="39"/>
        <v>17</v>
      </c>
      <c r="AV58" s="1">
        <f t="shared" si="40"/>
        <v>0</v>
      </c>
      <c r="AW58" s="1">
        <f t="shared" si="41"/>
        <v>201</v>
      </c>
      <c r="AX58" s="1">
        <f t="shared" si="42"/>
        <v>-120</v>
      </c>
      <c r="AY58" s="1">
        <f t="shared" si="43"/>
        <v>-37</v>
      </c>
      <c r="AZ58" s="1">
        <f t="shared" si="44"/>
        <v>7</v>
      </c>
      <c r="BA58" s="19">
        <f t="shared" si="63"/>
        <v>11.333333333333334</v>
      </c>
      <c r="BB58" s="19">
        <f t="shared" si="64"/>
        <v>3.5</v>
      </c>
      <c r="BC58" s="9">
        <f t="shared" si="65"/>
        <v>9.3220338983050849E-2</v>
      </c>
      <c r="BD58" s="9">
        <f t="shared" si="66"/>
        <v>3.4883720930232558E-2</v>
      </c>
      <c r="BE58" s="9">
        <f t="shared" si="67"/>
        <v>0.23595505617977527</v>
      </c>
      <c r="BF58" s="9">
        <f t="shared" si="68"/>
        <v>-1.8181818181818181E-2</v>
      </c>
      <c r="BG58" s="9">
        <f t="shared" si="69"/>
        <v>-4.9382716049382713E-2</v>
      </c>
      <c r="BH58" s="9">
        <f t="shared" si="70"/>
        <v>-3.2467532467532464E-2</v>
      </c>
      <c r="BI58" s="12">
        <f t="shared" si="71"/>
        <v>4.4004508232387551E-2</v>
      </c>
      <c r="BJ58" s="13">
        <f t="shared" si="72"/>
        <v>8.3509513742071884E-3</v>
      </c>
      <c r="BK58" s="1">
        <f t="shared" si="45"/>
        <v>22</v>
      </c>
      <c r="BL58" s="1">
        <f t="shared" si="46"/>
        <v>9</v>
      </c>
      <c r="BM58" s="1">
        <f t="shared" si="47"/>
        <v>63</v>
      </c>
      <c r="BN58" s="1">
        <f t="shared" si="48"/>
        <v>-6</v>
      </c>
      <c r="BO58" s="1">
        <f t="shared" si="49"/>
        <v>-16</v>
      </c>
      <c r="BP58" s="1">
        <f t="shared" si="50"/>
        <v>-10</v>
      </c>
      <c r="BQ58" s="19">
        <f t="shared" si="73"/>
        <v>10.333333333333334</v>
      </c>
      <c r="BR58" s="17">
        <f t="shared" si="74"/>
        <v>1.5</v>
      </c>
    </row>
    <row r="59" spans="1:70" x14ac:dyDescent="0.25">
      <c r="A59" s="20">
        <v>57</v>
      </c>
      <c r="B59" s="1">
        <v>592</v>
      </c>
      <c r="C59" s="1">
        <v>595</v>
      </c>
      <c r="D59" s="1">
        <v>632</v>
      </c>
      <c r="E59" s="1">
        <v>872</v>
      </c>
      <c r="F59" s="1">
        <v>736</v>
      </c>
      <c r="G59" s="1">
        <v>724</v>
      </c>
      <c r="H59" s="1">
        <v>654</v>
      </c>
      <c r="I59" s="1">
        <v>338</v>
      </c>
      <c r="J59" s="1">
        <v>328</v>
      </c>
      <c r="K59" s="1">
        <v>319</v>
      </c>
      <c r="L59" s="1">
        <v>510</v>
      </c>
      <c r="M59" s="1">
        <v>400</v>
      </c>
      <c r="N59" s="1">
        <v>390</v>
      </c>
      <c r="O59" s="1">
        <v>367</v>
      </c>
      <c r="P59" s="1">
        <v>254</v>
      </c>
      <c r="Q59" s="1">
        <v>267</v>
      </c>
      <c r="R59" s="1">
        <v>313</v>
      </c>
      <c r="S59" s="1">
        <v>362</v>
      </c>
      <c r="T59" s="1">
        <v>336</v>
      </c>
      <c r="U59" s="1">
        <v>334</v>
      </c>
      <c r="V59" s="1">
        <v>287</v>
      </c>
      <c r="W59" s="8">
        <f t="shared" si="51"/>
        <v>5.0675675675675678E-3</v>
      </c>
      <c r="X59" s="8">
        <f t="shared" si="52"/>
        <v>6.2184873949579833E-2</v>
      </c>
      <c r="Y59" s="8">
        <f t="shared" si="53"/>
        <v>0.379746835443038</v>
      </c>
      <c r="Z59" s="8">
        <f t="shared" si="54"/>
        <v>-0.15596330275229359</v>
      </c>
      <c r="AA59" s="8">
        <f t="shared" si="55"/>
        <v>-1.6304347826086956E-2</v>
      </c>
      <c r="AB59" s="8">
        <f t="shared" si="56"/>
        <v>-9.668508287292818E-2</v>
      </c>
      <c r="AC59" s="12">
        <f t="shared" si="27"/>
        <v>2.9674423918146106E-2</v>
      </c>
      <c r="AD59" s="12">
        <f t="shared" si="28"/>
        <v>-5.6183901292596941E-3</v>
      </c>
      <c r="AE59" s="1">
        <f t="shared" si="29"/>
        <v>3</v>
      </c>
      <c r="AF59" s="1">
        <f t="shared" si="30"/>
        <v>37</v>
      </c>
      <c r="AG59" s="1">
        <f t="shared" si="31"/>
        <v>240</v>
      </c>
      <c r="AH59" s="1">
        <f t="shared" si="32"/>
        <v>-136</v>
      </c>
      <c r="AI59" s="1">
        <f t="shared" si="33"/>
        <v>-12</v>
      </c>
      <c r="AJ59" s="1">
        <f t="shared" si="34"/>
        <v>-70</v>
      </c>
      <c r="AK59" s="17">
        <f t="shared" si="35"/>
        <v>10.333333333333334</v>
      </c>
      <c r="AL59" s="17">
        <f t="shared" si="36"/>
        <v>-4.5</v>
      </c>
      <c r="AM59" s="1">
        <f t="shared" si="57"/>
        <v>-2.9585798816568046E-2</v>
      </c>
      <c r="AN59" s="1">
        <f t="shared" si="58"/>
        <v>-2.7439024390243903E-2</v>
      </c>
      <c r="AO59" s="1">
        <f t="shared" si="59"/>
        <v>0.59874608150470221</v>
      </c>
      <c r="AP59" s="1">
        <f t="shared" si="60"/>
        <v>-0.21568627450980393</v>
      </c>
      <c r="AQ59" s="1">
        <f t="shared" si="61"/>
        <v>-2.5000000000000001E-2</v>
      </c>
      <c r="AR59" s="1">
        <f t="shared" si="62"/>
        <v>-5.8974358974358973E-2</v>
      </c>
      <c r="AS59" s="12">
        <f t="shared" si="37"/>
        <v>4.0343437468954559E-2</v>
      </c>
      <c r="AT59" s="12">
        <f t="shared" si="38"/>
        <v>-2.8512411603405972E-2</v>
      </c>
      <c r="AU59" s="1">
        <f t="shared" si="39"/>
        <v>-10</v>
      </c>
      <c r="AV59" s="1">
        <f t="shared" si="40"/>
        <v>-9</v>
      </c>
      <c r="AW59" s="1">
        <f t="shared" si="41"/>
        <v>191</v>
      </c>
      <c r="AX59" s="1">
        <f t="shared" si="42"/>
        <v>-110</v>
      </c>
      <c r="AY59" s="1">
        <f t="shared" si="43"/>
        <v>-10</v>
      </c>
      <c r="AZ59" s="1">
        <f t="shared" si="44"/>
        <v>-23</v>
      </c>
      <c r="BA59" s="19">
        <f t="shared" si="63"/>
        <v>4.833333333333333</v>
      </c>
      <c r="BB59" s="19">
        <f t="shared" si="64"/>
        <v>-10</v>
      </c>
      <c r="BC59" s="9">
        <f t="shared" si="65"/>
        <v>5.1181102362204724E-2</v>
      </c>
      <c r="BD59" s="9">
        <f t="shared" si="66"/>
        <v>0.17228464419475656</v>
      </c>
      <c r="BE59" s="9">
        <f t="shared" si="67"/>
        <v>0.15654952076677317</v>
      </c>
      <c r="BF59" s="9">
        <f t="shared" si="68"/>
        <v>-7.18232044198895E-2</v>
      </c>
      <c r="BG59" s="9">
        <f t="shared" si="69"/>
        <v>-5.9523809523809521E-3</v>
      </c>
      <c r="BH59" s="9">
        <f t="shared" si="70"/>
        <v>-0.1407185628742515</v>
      </c>
      <c r="BI59" s="12">
        <f t="shared" si="71"/>
        <v>2.692018651286876E-2</v>
      </c>
      <c r="BJ59" s="13">
        <f t="shared" si="72"/>
        <v>2.2614360704911886E-2</v>
      </c>
      <c r="BK59" s="1">
        <f t="shared" si="45"/>
        <v>13</v>
      </c>
      <c r="BL59" s="1">
        <f t="shared" si="46"/>
        <v>46</v>
      </c>
      <c r="BM59" s="1">
        <f t="shared" si="47"/>
        <v>49</v>
      </c>
      <c r="BN59" s="1">
        <f t="shared" si="48"/>
        <v>-26</v>
      </c>
      <c r="BO59" s="1">
        <f t="shared" si="49"/>
        <v>-2</v>
      </c>
      <c r="BP59" s="1">
        <f t="shared" si="50"/>
        <v>-47</v>
      </c>
      <c r="BQ59" s="19">
        <f t="shared" si="73"/>
        <v>5.5</v>
      </c>
      <c r="BR59" s="17">
        <f t="shared" si="74"/>
        <v>5.5</v>
      </c>
    </row>
    <row r="60" spans="1:70" x14ac:dyDescent="0.25">
      <c r="A60" s="20">
        <v>58</v>
      </c>
      <c r="B60" s="1">
        <v>608</v>
      </c>
      <c r="C60" s="1">
        <v>606</v>
      </c>
      <c r="D60" s="1">
        <v>613</v>
      </c>
      <c r="E60" s="1">
        <v>902</v>
      </c>
      <c r="F60" s="1">
        <v>810</v>
      </c>
      <c r="G60" s="1">
        <v>787</v>
      </c>
      <c r="H60" s="1">
        <v>765</v>
      </c>
      <c r="I60" s="1">
        <v>319</v>
      </c>
      <c r="J60" s="1">
        <v>338</v>
      </c>
      <c r="K60" s="1">
        <v>337</v>
      </c>
      <c r="L60" s="1">
        <v>526</v>
      </c>
      <c r="M60" s="1">
        <v>437</v>
      </c>
      <c r="N60" s="1">
        <v>415</v>
      </c>
      <c r="O60" s="1">
        <v>422</v>
      </c>
      <c r="P60" s="1">
        <v>289</v>
      </c>
      <c r="Q60" s="1">
        <v>268</v>
      </c>
      <c r="R60" s="1">
        <v>276</v>
      </c>
      <c r="S60" s="1">
        <v>376</v>
      </c>
      <c r="T60" s="1">
        <v>373</v>
      </c>
      <c r="U60" s="1">
        <v>372</v>
      </c>
      <c r="V60" s="1">
        <v>343</v>
      </c>
      <c r="W60" s="8">
        <f t="shared" si="51"/>
        <v>-3.2894736842105261E-3</v>
      </c>
      <c r="X60" s="8">
        <f t="shared" si="52"/>
        <v>1.155115511551155E-2</v>
      </c>
      <c r="Y60" s="8">
        <f t="shared" si="53"/>
        <v>0.47145187601957583</v>
      </c>
      <c r="Z60" s="8">
        <f t="shared" si="54"/>
        <v>-0.10199556541019955</v>
      </c>
      <c r="AA60" s="8">
        <f t="shared" si="55"/>
        <v>-2.8395061728395062E-2</v>
      </c>
      <c r="AB60" s="8">
        <f t="shared" si="56"/>
        <v>-2.795425667090216E-2</v>
      </c>
      <c r="AC60" s="12">
        <f t="shared" si="27"/>
        <v>5.3561445606896678E-2</v>
      </c>
      <c r="AD60" s="12">
        <f t="shared" si="28"/>
        <v>-1.5621865177556343E-2</v>
      </c>
      <c r="AE60" s="1">
        <f t="shared" si="29"/>
        <v>-2</v>
      </c>
      <c r="AF60" s="1">
        <f t="shared" si="30"/>
        <v>7</v>
      </c>
      <c r="AG60" s="1">
        <f t="shared" si="31"/>
        <v>289</v>
      </c>
      <c r="AH60" s="1">
        <f t="shared" si="32"/>
        <v>-92</v>
      </c>
      <c r="AI60" s="1">
        <f t="shared" si="33"/>
        <v>-23</v>
      </c>
      <c r="AJ60" s="1">
        <f t="shared" si="34"/>
        <v>-22</v>
      </c>
      <c r="AK60" s="17">
        <f t="shared" si="35"/>
        <v>26.166666666666668</v>
      </c>
      <c r="AL60" s="17">
        <f t="shared" si="36"/>
        <v>-12</v>
      </c>
      <c r="AM60" s="1">
        <f t="shared" si="57"/>
        <v>5.9561128526645767E-2</v>
      </c>
      <c r="AN60" s="1">
        <f t="shared" si="58"/>
        <v>-2.9585798816568047E-3</v>
      </c>
      <c r="AO60" s="1">
        <f t="shared" si="59"/>
        <v>0.56083086053412468</v>
      </c>
      <c r="AP60" s="1">
        <f t="shared" si="60"/>
        <v>-0.16920152091254753</v>
      </c>
      <c r="AQ60" s="1">
        <f t="shared" si="61"/>
        <v>-5.0343249427917618E-2</v>
      </c>
      <c r="AR60" s="1">
        <f t="shared" si="62"/>
        <v>1.6867469879518072E-2</v>
      </c>
      <c r="AS60" s="12">
        <f t="shared" si="37"/>
        <v>6.9126018119694418E-2</v>
      </c>
      <c r="AT60" s="12">
        <f t="shared" si="38"/>
        <v>6.954444998930635E-3</v>
      </c>
      <c r="AU60" s="1">
        <f t="shared" si="39"/>
        <v>19</v>
      </c>
      <c r="AV60" s="1">
        <f t="shared" si="40"/>
        <v>-1</v>
      </c>
      <c r="AW60" s="1">
        <f t="shared" si="41"/>
        <v>189</v>
      </c>
      <c r="AX60" s="1">
        <f t="shared" si="42"/>
        <v>-89</v>
      </c>
      <c r="AY60" s="1">
        <f t="shared" si="43"/>
        <v>-22</v>
      </c>
      <c r="AZ60" s="1">
        <f t="shared" si="44"/>
        <v>7</v>
      </c>
      <c r="BA60" s="19">
        <f t="shared" si="63"/>
        <v>17.166666666666668</v>
      </c>
      <c r="BB60" s="19">
        <f t="shared" si="64"/>
        <v>3</v>
      </c>
      <c r="BC60" s="9">
        <f t="shared" si="65"/>
        <v>-7.2664359861591699E-2</v>
      </c>
      <c r="BD60" s="9">
        <f t="shared" si="66"/>
        <v>2.9850746268656716E-2</v>
      </c>
      <c r="BE60" s="9">
        <f t="shared" si="67"/>
        <v>0.36231884057971014</v>
      </c>
      <c r="BF60" s="9">
        <f t="shared" si="68"/>
        <v>-7.9787234042553185E-3</v>
      </c>
      <c r="BG60" s="9">
        <f t="shared" si="69"/>
        <v>-2.6809651474530832E-3</v>
      </c>
      <c r="BH60" s="9">
        <f t="shared" si="70"/>
        <v>-7.7956989247311828E-2</v>
      </c>
      <c r="BI60" s="12">
        <f t="shared" si="71"/>
        <v>3.8481424864625829E-2</v>
      </c>
      <c r="BJ60" s="13">
        <f t="shared" si="72"/>
        <v>-5.3298442758542008E-3</v>
      </c>
      <c r="BK60" s="1">
        <f t="shared" si="45"/>
        <v>-21</v>
      </c>
      <c r="BL60" s="1">
        <f t="shared" si="46"/>
        <v>8</v>
      </c>
      <c r="BM60" s="1">
        <f t="shared" si="47"/>
        <v>100</v>
      </c>
      <c r="BN60" s="1">
        <f t="shared" si="48"/>
        <v>-3</v>
      </c>
      <c r="BO60" s="1">
        <f t="shared" si="49"/>
        <v>-1</v>
      </c>
      <c r="BP60" s="1">
        <f t="shared" si="50"/>
        <v>-29</v>
      </c>
      <c r="BQ60" s="19">
        <f t="shared" si="73"/>
        <v>9</v>
      </c>
      <c r="BR60" s="17">
        <f t="shared" si="74"/>
        <v>-2</v>
      </c>
    </row>
    <row r="61" spans="1:70" x14ac:dyDescent="0.25">
      <c r="A61" s="20">
        <v>59</v>
      </c>
      <c r="B61" s="1">
        <v>638</v>
      </c>
      <c r="C61" s="1">
        <v>657</v>
      </c>
      <c r="D61" s="1">
        <v>730</v>
      </c>
      <c r="E61" s="1">
        <v>994</v>
      </c>
      <c r="F61" s="1">
        <v>810</v>
      </c>
      <c r="G61" s="1">
        <v>789</v>
      </c>
      <c r="H61" s="1">
        <v>785</v>
      </c>
      <c r="I61" s="1">
        <v>343</v>
      </c>
      <c r="J61" s="1">
        <v>354</v>
      </c>
      <c r="K61" s="1">
        <v>393</v>
      </c>
      <c r="L61" s="1">
        <v>612</v>
      </c>
      <c r="M61" s="1">
        <v>437</v>
      </c>
      <c r="N61" s="1">
        <v>446</v>
      </c>
      <c r="O61" s="1">
        <v>445</v>
      </c>
      <c r="P61" s="1">
        <v>295</v>
      </c>
      <c r="Q61" s="1">
        <v>303</v>
      </c>
      <c r="R61" s="1">
        <v>337</v>
      </c>
      <c r="S61" s="1">
        <v>382</v>
      </c>
      <c r="T61" s="1">
        <v>373</v>
      </c>
      <c r="U61" s="1">
        <v>343</v>
      </c>
      <c r="V61" s="1">
        <v>340</v>
      </c>
      <c r="W61" s="8">
        <f t="shared" si="51"/>
        <v>2.9780564263322883E-2</v>
      </c>
      <c r="X61" s="8">
        <f t="shared" si="52"/>
        <v>0.1111111111111111</v>
      </c>
      <c r="Y61" s="8">
        <f t="shared" si="53"/>
        <v>0.36164383561643837</v>
      </c>
      <c r="Z61" s="8">
        <f t="shared" si="54"/>
        <v>-0.18511066398390341</v>
      </c>
      <c r="AA61" s="8">
        <f t="shared" si="55"/>
        <v>-2.5925925925925925E-2</v>
      </c>
      <c r="AB61" s="8">
        <f t="shared" si="56"/>
        <v>-5.0697084917617234E-3</v>
      </c>
      <c r="AC61" s="12">
        <f t="shared" si="27"/>
        <v>4.7738202098213549E-2</v>
      </c>
      <c r="AD61" s="12">
        <f t="shared" si="28"/>
        <v>1.235542788578058E-2</v>
      </c>
      <c r="AE61" s="1">
        <f t="shared" si="29"/>
        <v>19</v>
      </c>
      <c r="AF61" s="1">
        <f t="shared" si="30"/>
        <v>73</v>
      </c>
      <c r="AG61" s="1">
        <f t="shared" si="31"/>
        <v>264</v>
      </c>
      <c r="AH61" s="1">
        <f t="shared" si="32"/>
        <v>-184</v>
      </c>
      <c r="AI61" s="1">
        <f t="shared" si="33"/>
        <v>-21</v>
      </c>
      <c r="AJ61" s="1">
        <f t="shared" si="34"/>
        <v>-4</v>
      </c>
      <c r="AK61" s="17">
        <f t="shared" si="35"/>
        <v>24.5</v>
      </c>
      <c r="AL61" s="17">
        <f t="shared" si="36"/>
        <v>7.5</v>
      </c>
      <c r="AM61" s="1">
        <f t="shared" si="57"/>
        <v>3.2069970845481049E-2</v>
      </c>
      <c r="AN61" s="1">
        <f t="shared" si="58"/>
        <v>0.11016949152542373</v>
      </c>
      <c r="AO61" s="1">
        <f t="shared" si="59"/>
        <v>0.5572519083969466</v>
      </c>
      <c r="AP61" s="1">
        <f t="shared" si="60"/>
        <v>-0.28594771241830064</v>
      </c>
      <c r="AQ61" s="1">
        <f t="shared" si="61"/>
        <v>2.0594965675057208E-2</v>
      </c>
      <c r="AR61" s="1">
        <f t="shared" si="62"/>
        <v>-2.242152466367713E-3</v>
      </c>
      <c r="AS61" s="12">
        <f t="shared" si="37"/>
        <v>7.1982745259706701E-2</v>
      </c>
      <c r="AT61" s="12">
        <f t="shared" si="38"/>
        <v>2.633246826026913E-2</v>
      </c>
      <c r="AU61" s="1">
        <f t="shared" si="39"/>
        <v>11</v>
      </c>
      <c r="AV61" s="1">
        <f t="shared" si="40"/>
        <v>39</v>
      </c>
      <c r="AW61" s="1">
        <f t="shared" si="41"/>
        <v>219</v>
      </c>
      <c r="AX61" s="1">
        <f t="shared" si="42"/>
        <v>-175</v>
      </c>
      <c r="AY61" s="1">
        <f t="shared" si="43"/>
        <v>9</v>
      </c>
      <c r="AZ61" s="1">
        <f t="shared" si="44"/>
        <v>-1</v>
      </c>
      <c r="BA61" s="19">
        <f t="shared" si="63"/>
        <v>17</v>
      </c>
      <c r="BB61" s="19">
        <f t="shared" si="64"/>
        <v>10</v>
      </c>
      <c r="BC61" s="9">
        <f t="shared" si="65"/>
        <v>2.7118644067796609E-2</v>
      </c>
      <c r="BD61" s="9">
        <f t="shared" si="66"/>
        <v>0.11221122112211221</v>
      </c>
      <c r="BE61" s="9">
        <f t="shared" si="67"/>
        <v>0.13353115727002968</v>
      </c>
      <c r="BF61" s="9">
        <f t="shared" si="68"/>
        <v>-2.356020942408377E-2</v>
      </c>
      <c r="BG61" s="9">
        <f t="shared" si="69"/>
        <v>-8.0428954423592491E-2</v>
      </c>
      <c r="BH61" s="9">
        <f t="shared" si="70"/>
        <v>-8.7463556851311956E-3</v>
      </c>
      <c r="BI61" s="12">
        <f t="shared" si="71"/>
        <v>2.6687583821188507E-2</v>
      </c>
      <c r="BJ61" s="13">
        <f t="shared" si="72"/>
        <v>9.1861441913327069E-3</v>
      </c>
      <c r="BK61" s="1">
        <f t="shared" si="45"/>
        <v>8</v>
      </c>
      <c r="BL61" s="1">
        <f t="shared" si="46"/>
        <v>34</v>
      </c>
      <c r="BM61" s="1">
        <f t="shared" si="47"/>
        <v>45</v>
      </c>
      <c r="BN61" s="1">
        <f t="shared" si="48"/>
        <v>-9</v>
      </c>
      <c r="BO61" s="1">
        <f t="shared" si="49"/>
        <v>-30</v>
      </c>
      <c r="BP61" s="1">
        <f t="shared" si="50"/>
        <v>-3</v>
      </c>
      <c r="BQ61" s="19">
        <f t="shared" si="73"/>
        <v>7.5</v>
      </c>
      <c r="BR61" s="17">
        <f t="shared" si="74"/>
        <v>2.5</v>
      </c>
    </row>
    <row r="62" spans="1:70" x14ac:dyDescent="0.25">
      <c r="A62" s="20">
        <v>60</v>
      </c>
      <c r="B62" s="1">
        <v>678</v>
      </c>
      <c r="C62" s="1">
        <v>660</v>
      </c>
      <c r="D62" s="1">
        <v>720</v>
      </c>
      <c r="E62" s="1">
        <v>1089</v>
      </c>
      <c r="F62" s="1">
        <v>847</v>
      </c>
      <c r="G62" s="1">
        <v>823</v>
      </c>
      <c r="H62" s="1">
        <v>820</v>
      </c>
      <c r="I62" s="1">
        <v>362</v>
      </c>
      <c r="J62" s="1">
        <v>357</v>
      </c>
      <c r="K62" s="1">
        <v>363</v>
      </c>
      <c r="L62" s="1">
        <v>648</v>
      </c>
      <c r="M62" s="1">
        <v>443</v>
      </c>
      <c r="N62" s="1">
        <v>446</v>
      </c>
      <c r="O62" s="1">
        <v>479</v>
      </c>
      <c r="P62" s="1">
        <v>316</v>
      </c>
      <c r="Q62" s="1">
        <v>303</v>
      </c>
      <c r="R62" s="1">
        <v>357</v>
      </c>
      <c r="S62" s="1">
        <v>441</v>
      </c>
      <c r="T62" s="1">
        <v>404</v>
      </c>
      <c r="U62" s="1">
        <v>377</v>
      </c>
      <c r="V62" s="1">
        <v>341</v>
      </c>
      <c r="W62" s="8">
        <f t="shared" si="51"/>
        <v>-2.6548672566371681E-2</v>
      </c>
      <c r="X62" s="8">
        <f t="shared" si="52"/>
        <v>9.0909090909090912E-2</v>
      </c>
      <c r="Y62" s="8">
        <f t="shared" si="53"/>
        <v>0.51249999999999996</v>
      </c>
      <c r="Z62" s="8">
        <f t="shared" si="54"/>
        <v>-0.22222222222222221</v>
      </c>
      <c r="AA62" s="8">
        <f t="shared" si="55"/>
        <v>-2.833530106257379E-2</v>
      </c>
      <c r="AB62" s="8">
        <f t="shared" si="56"/>
        <v>-3.6452004860267314E-3</v>
      </c>
      <c r="AC62" s="12">
        <f t="shared" si="27"/>
        <v>5.3776282428649402E-2</v>
      </c>
      <c r="AD62" s="12">
        <f t="shared" si="28"/>
        <v>-1.5096936526199206E-2</v>
      </c>
      <c r="AE62" s="1">
        <f t="shared" si="29"/>
        <v>-18</v>
      </c>
      <c r="AF62" s="1">
        <f t="shared" si="30"/>
        <v>60</v>
      </c>
      <c r="AG62" s="1">
        <f t="shared" si="31"/>
        <v>369</v>
      </c>
      <c r="AH62" s="1">
        <f t="shared" si="32"/>
        <v>-242</v>
      </c>
      <c r="AI62" s="1">
        <f t="shared" si="33"/>
        <v>-24</v>
      </c>
      <c r="AJ62" s="1">
        <f t="shared" si="34"/>
        <v>-3</v>
      </c>
      <c r="AK62" s="17">
        <f t="shared" si="35"/>
        <v>23.666666666666668</v>
      </c>
      <c r="AL62" s="17">
        <f t="shared" si="36"/>
        <v>-10.5</v>
      </c>
      <c r="AM62" s="1">
        <f t="shared" si="57"/>
        <v>-1.3812154696132596E-2</v>
      </c>
      <c r="AN62" s="1">
        <f t="shared" si="58"/>
        <v>1.680672268907563E-2</v>
      </c>
      <c r="AO62" s="1">
        <f t="shared" si="59"/>
        <v>0.78512396694214881</v>
      </c>
      <c r="AP62" s="1">
        <f t="shared" si="60"/>
        <v>-0.31635802469135804</v>
      </c>
      <c r="AQ62" s="1">
        <f t="shared" si="61"/>
        <v>6.7720090293453723E-3</v>
      </c>
      <c r="AR62" s="1">
        <f t="shared" si="62"/>
        <v>7.3991031390134535E-2</v>
      </c>
      <c r="AS62" s="12">
        <f t="shared" si="37"/>
        <v>9.2087258443868961E-2</v>
      </c>
      <c r="AT62" s="12">
        <f t="shared" si="38"/>
        <v>1.1789365859210501E-2</v>
      </c>
      <c r="AU62" s="1">
        <f t="shared" si="39"/>
        <v>-5</v>
      </c>
      <c r="AV62" s="1">
        <f t="shared" si="40"/>
        <v>6</v>
      </c>
      <c r="AW62" s="1">
        <f t="shared" si="41"/>
        <v>285</v>
      </c>
      <c r="AX62" s="1">
        <f t="shared" si="42"/>
        <v>-205</v>
      </c>
      <c r="AY62" s="1">
        <f t="shared" si="43"/>
        <v>3</v>
      </c>
      <c r="AZ62" s="1">
        <f t="shared" si="44"/>
        <v>33</v>
      </c>
      <c r="BA62" s="19">
        <f t="shared" si="63"/>
        <v>19.5</v>
      </c>
      <c r="BB62" s="19">
        <f t="shared" si="64"/>
        <v>4.5</v>
      </c>
      <c r="BC62" s="9">
        <f t="shared" si="65"/>
        <v>-4.1139240506329111E-2</v>
      </c>
      <c r="BD62" s="9">
        <f t="shared" si="66"/>
        <v>0.17821782178217821</v>
      </c>
      <c r="BE62" s="9">
        <f t="shared" si="67"/>
        <v>0.23529411764705882</v>
      </c>
      <c r="BF62" s="9">
        <f t="shared" si="68"/>
        <v>-8.390022675736962E-2</v>
      </c>
      <c r="BG62" s="9">
        <f t="shared" si="69"/>
        <v>-6.6831683168316836E-2</v>
      </c>
      <c r="BH62" s="9">
        <f t="shared" si="70"/>
        <v>-9.5490716180371346E-2</v>
      </c>
      <c r="BI62" s="12">
        <f t="shared" si="71"/>
        <v>2.102501213614168E-2</v>
      </c>
      <c r="BJ62" s="13">
        <f t="shared" si="72"/>
        <v>-5.3985461837322973E-2</v>
      </c>
      <c r="BK62" s="1">
        <f t="shared" si="45"/>
        <v>-13</v>
      </c>
      <c r="BL62" s="1">
        <f t="shared" si="46"/>
        <v>54</v>
      </c>
      <c r="BM62" s="1">
        <f t="shared" si="47"/>
        <v>84</v>
      </c>
      <c r="BN62" s="1">
        <f t="shared" si="48"/>
        <v>-37</v>
      </c>
      <c r="BO62" s="1">
        <f t="shared" si="49"/>
        <v>-27</v>
      </c>
      <c r="BP62" s="1">
        <f t="shared" si="50"/>
        <v>-36</v>
      </c>
      <c r="BQ62" s="19">
        <f t="shared" si="73"/>
        <v>4.166666666666667</v>
      </c>
      <c r="BR62" s="17">
        <f t="shared" si="74"/>
        <v>-20</v>
      </c>
    </row>
    <row r="63" spans="1:70" x14ac:dyDescent="0.25">
      <c r="A63" s="20">
        <v>61</v>
      </c>
      <c r="B63" s="1">
        <v>703</v>
      </c>
      <c r="C63" s="1">
        <v>758</v>
      </c>
      <c r="D63" s="1">
        <v>758</v>
      </c>
      <c r="E63" s="1">
        <v>1153</v>
      </c>
      <c r="F63" s="1">
        <v>960</v>
      </c>
      <c r="G63" s="1">
        <v>814</v>
      </c>
      <c r="H63" s="1">
        <v>880</v>
      </c>
      <c r="I63" s="1">
        <v>401</v>
      </c>
      <c r="J63" s="1">
        <v>421</v>
      </c>
      <c r="K63" s="1">
        <v>405</v>
      </c>
      <c r="L63" s="1">
        <v>685</v>
      </c>
      <c r="M63" s="1">
        <v>535</v>
      </c>
      <c r="N63" s="1">
        <v>443</v>
      </c>
      <c r="O63" s="1">
        <v>489</v>
      </c>
      <c r="P63" s="1">
        <v>302</v>
      </c>
      <c r="Q63" s="1">
        <v>337</v>
      </c>
      <c r="R63" s="1">
        <v>353</v>
      </c>
      <c r="S63" s="1">
        <v>468</v>
      </c>
      <c r="T63" s="1">
        <v>425</v>
      </c>
      <c r="U63" s="1">
        <v>371</v>
      </c>
      <c r="V63" s="1">
        <v>391</v>
      </c>
      <c r="W63" s="8">
        <f t="shared" si="51"/>
        <v>7.8236130867709822E-2</v>
      </c>
      <c r="X63" s="8">
        <f t="shared" si="52"/>
        <v>0</v>
      </c>
      <c r="Y63" s="8">
        <f t="shared" si="53"/>
        <v>0.52110817941952503</v>
      </c>
      <c r="Z63" s="8">
        <f t="shared" si="54"/>
        <v>-0.16738941890719861</v>
      </c>
      <c r="AA63" s="8">
        <f t="shared" si="55"/>
        <v>-0.15208333333333332</v>
      </c>
      <c r="AB63" s="8">
        <f t="shared" si="56"/>
        <v>8.1081081081081086E-2</v>
      </c>
      <c r="AC63" s="12">
        <f t="shared" si="27"/>
        <v>6.0158773187964004E-2</v>
      </c>
      <c r="AD63" s="12">
        <f t="shared" si="28"/>
        <v>3.9118065433854911E-2</v>
      </c>
      <c r="AE63" s="1">
        <f t="shared" si="29"/>
        <v>55</v>
      </c>
      <c r="AF63" s="1">
        <f t="shared" si="30"/>
        <v>0</v>
      </c>
      <c r="AG63" s="1">
        <f t="shared" si="31"/>
        <v>395</v>
      </c>
      <c r="AH63" s="1">
        <f t="shared" si="32"/>
        <v>-193</v>
      </c>
      <c r="AI63" s="1">
        <f t="shared" si="33"/>
        <v>-146</v>
      </c>
      <c r="AJ63" s="1">
        <f t="shared" si="34"/>
        <v>66</v>
      </c>
      <c r="AK63" s="17">
        <f t="shared" si="35"/>
        <v>29.5</v>
      </c>
      <c r="AL63" s="17">
        <f t="shared" si="36"/>
        <v>27.5</v>
      </c>
      <c r="AM63" s="1">
        <f t="shared" si="57"/>
        <v>4.9875311720698257E-2</v>
      </c>
      <c r="AN63" s="1">
        <f t="shared" si="58"/>
        <v>-3.800475059382423E-2</v>
      </c>
      <c r="AO63" s="1">
        <f t="shared" si="59"/>
        <v>0.69135802469135799</v>
      </c>
      <c r="AP63" s="1">
        <f t="shared" si="60"/>
        <v>-0.21897810218978103</v>
      </c>
      <c r="AQ63" s="1">
        <f t="shared" si="61"/>
        <v>-0.17196261682242991</v>
      </c>
      <c r="AR63" s="1">
        <f t="shared" si="62"/>
        <v>0.10383747178329571</v>
      </c>
      <c r="AS63" s="12">
        <f t="shared" si="37"/>
        <v>6.9354223098219467E-2</v>
      </c>
      <c r="AT63" s="12">
        <f t="shared" si="38"/>
        <v>5.9352805634370134E-3</v>
      </c>
      <c r="AU63" s="1">
        <f t="shared" si="39"/>
        <v>20</v>
      </c>
      <c r="AV63" s="1">
        <f t="shared" si="40"/>
        <v>-16</v>
      </c>
      <c r="AW63" s="1">
        <f t="shared" si="41"/>
        <v>280</v>
      </c>
      <c r="AX63" s="1">
        <f t="shared" si="42"/>
        <v>-150</v>
      </c>
      <c r="AY63" s="1">
        <f t="shared" si="43"/>
        <v>-92</v>
      </c>
      <c r="AZ63" s="1">
        <f t="shared" si="44"/>
        <v>46</v>
      </c>
      <c r="BA63" s="19">
        <f t="shared" si="63"/>
        <v>14.666666666666666</v>
      </c>
      <c r="BB63" s="19">
        <f t="shared" si="64"/>
        <v>2</v>
      </c>
      <c r="BC63" s="9">
        <f t="shared" si="65"/>
        <v>0.11589403973509933</v>
      </c>
      <c r="BD63" s="9">
        <f t="shared" si="66"/>
        <v>4.7477744807121663E-2</v>
      </c>
      <c r="BE63" s="9">
        <f t="shared" si="67"/>
        <v>0.32577903682719545</v>
      </c>
      <c r="BF63" s="9">
        <f t="shared" si="68"/>
        <v>-9.1880341880341887E-2</v>
      </c>
      <c r="BG63" s="9">
        <f t="shared" si="69"/>
        <v>-0.12705882352941175</v>
      </c>
      <c r="BH63" s="9">
        <f t="shared" si="70"/>
        <v>5.3908355795148251E-2</v>
      </c>
      <c r="BI63" s="12">
        <f t="shared" si="71"/>
        <v>5.4020001959135172E-2</v>
      </c>
      <c r="BJ63" s="13">
        <f t="shared" si="72"/>
        <v>5.0693050301134954E-2</v>
      </c>
      <c r="BK63" s="1">
        <f t="shared" si="45"/>
        <v>35</v>
      </c>
      <c r="BL63" s="1">
        <f t="shared" si="46"/>
        <v>16</v>
      </c>
      <c r="BM63" s="1">
        <f t="shared" si="47"/>
        <v>115</v>
      </c>
      <c r="BN63" s="1">
        <f t="shared" si="48"/>
        <v>-43</v>
      </c>
      <c r="BO63" s="1">
        <f t="shared" si="49"/>
        <v>-54</v>
      </c>
      <c r="BP63" s="1">
        <f t="shared" si="50"/>
        <v>20</v>
      </c>
      <c r="BQ63" s="19">
        <f t="shared" si="73"/>
        <v>14.833333333333334</v>
      </c>
      <c r="BR63" s="17">
        <f t="shared" si="74"/>
        <v>18</v>
      </c>
    </row>
    <row r="64" spans="1:70" x14ac:dyDescent="0.25">
      <c r="A64" s="20">
        <v>62</v>
      </c>
      <c r="B64" s="1">
        <v>698</v>
      </c>
      <c r="C64" s="1">
        <v>788</v>
      </c>
      <c r="D64" s="1">
        <v>734</v>
      </c>
      <c r="E64" s="1">
        <v>1189</v>
      </c>
      <c r="F64" s="1">
        <v>897</v>
      </c>
      <c r="G64" s="1">
        <v>864</v>
      </c>
      <c r="H64" s="1">
        <v>925</v>
      </c>
      <c r="I64" s="1">
        <v>375</v>
      </c>
      <c r="J64" s="1">
        <v>418</v>
      </c>
      <c r="K64" s="1">
        <v>406</v>
      </c>
      <c r="L64" s="1">
        <v>689</v>
      </c>
      <c r="M64" s="1">
        <v>492</v>
      </c>
      <c r="N64" s="1">
        <v>486</v>
      </c>
      <c r="O64" s="1">
        <v>492</v>
      </c>
      <c r="P64" s="1">
        <v>323</v>
      </c>
      <c r="Q64" s="1">
        <v>370</v>
      </c>
      <c r="R64" s="1">
        <v>328</v>
      </c>
      <c r="S64" s="1">
        <v>500</v>
      </c>
      <c r="T64" s="1">
        <v>405</v>
      </c>
      <c r="U64" s="1">
        <v>378</v>
      </c>
      <c r="V64" s="1">
        <v>433</v>
      </c>
      <c r="W64" s="8">
        <f t="shared" si="51"/>
        <v>0.12893982808022922</v>
      </c>
      <c r="X64" s="8">
        <f t="shared" si="52"/>
        <v>-6.8527918781725886E-2</v>
      </c>
      <c r="Y64" s="8">
        <f t="shared" si="53"/>
        <v>0.61989100817438691</v>
      </c>
      <c r="Z64" s="8">
        <f t="shared" si="54"/>
        <v>-0.24558452481076534</v>
      </c>
      <c r="AA64" s="8">
        <f t="shared" si="55"/>
        <v>-3.678929765886288E-2</v>
      </c>
      <c r="AB64" s="8">
        <f t="shared" si="56"/>
        <v>7.0601851851851846E-2</v>
      </c>
      <c r="AC64" s="12">
        <f t="shared" si="27"/>
        <v>7.8088491142518993E-2</v>
      </c>
      <c r="AD64" s="12">
        <f t="shared" si="28"/>
        <v>1.6906277096494483E-2</v>
      </c>
      <c r="AE64" s="1">
        <f t="shared" si="29"/>
        <v>90</v>
      </c>
      <c r="AF64" s="1">
        <f t="shared" si="30"/>
        <v>-54</v>
      </c>
      <c r="AG64" s="1">
        <f t="shared" si="31"/>
        <v>455</v>
      </c>
      <c r="AH64" s="1">
        <f t="shared" si="32"/>
        <v>-292</v>
      </c>
      <c r="AI64" s="1">
        <f t="shared" si="33"/>
        <v>-33</v>
      </c>
      <c r="AJ64" s="1">
        <f t="shared" si="34"/>
        <v>61</v>
      </c>
      <c r="AK64" s="17">
        <f t="shared" si="35"/>
        <v>37.833333333333336</v>
      </c>
      <c r="AL64" s="17">
        <f t="shared" si="36"/>
        <v>14</v>
      </c>
      <c r="AM64" s="1">
        <f t="shared" si="57"/>
        <v>0.11466666666666667</v>
      </c>
      <c r="AN64" s="1">
        <f t="shared" si="58"/>
        <v>-2.8708133971291867E-2</v>
      </c>
      <c r="AO64" s="1">
        <f t="shared" si="59"/>
        <v>0.69704433497536944</v>
      </c>
      <c r="AP64" s="1">
        <f t="shared" si="60"/>
        <v>-0.28592162554426703</v>
      </c>
      <c r="AQ64" s="1">
        <f t="shared" si="61"/>
        <v>-1.2195121951219513E-2</v>
      </c>
      <c r="AR64" s="1">
        <f t="shared" si="62"/>
        <v>1.2345679012345678E-2</v>
      </c>
      <c r="AS64" s="12">
        <f t="shared" si="37"/>
        <v>8.287196653126723E-2</v>
      </c>
      <c r="AT64" s="12">
        <f t="shared" si="38"/>
        <v>7.5278530563082854E-5</v>
      </c>
      <c r="AU64" s="1">
        <f t="shared" si="39"/>
        <v>43</v>
      </c>
      <c r="AV64" s="1">
        <f t="shared" si="40"/>
        <v>-12</v>
      </c>
      <c r="AW64" s="1">
        <f t="shared" si="41"/>
        <v>283</v>
      </c>
      <c r="AX64" s="1">
        <f t="shared" si="42"/>
        <v>-197</v>
      </c>
      <c r="AY64" s="1">
        <f t="shared" si="43"/>
        <v>-6</v>
      </c>
      <c r="AZ64" s="1">
        <f t="shared" si="44"/>
        <v>6</v>
      </c>
      <c r="BA64" s="19">
        <f t="shared" si="63"/>
        <v>19.5</v>
      </c>
      <c r="BB64" s="19">
        <f t="shared" si="64"/>
        <v>0</v>
      </c>
      <c r="BC64" s="9">
        <f t="shared" si="65"/>
        <v>0.14551083591331268</v>
      </c>
      <c r="BD64" s="9">
        <f t="shared" si="66"/>
        <v>-0.11351351351351352</v>
      </c>
      <c r="BE64" s="9">
        <f t="shared" si="67"/>
        <v>0.52439024390243905</v>
      </c>
      <c r="BF64" s="9">
        <f t="shared" si="68"/>
        <v>-0.19</v>
      </c>
      <c r="BG64" s="9">
        <f t="shared" si="69"/>
        <v>-6.6666666666666666E-2</v>
      </c>
      <c r="BH64" s="9">
        <f t="shared" si="70"/>
        <v>0.14550264550264549</v>
      </c>
      <c r="BI64" s="12">
        <f t="shared" si="71"/>
        <v>7.4203924189702841E-2</v>
      </c>
      <c r="BJ64" s="13">
        <f t="shared" si="72"/>
        <v>3.9417989417989421E-2</v>
      </c>
      <c r="BK64" s="1">
        <f t="shared" si="45"/>
        <v>47</v>
      </c>
      <c r="BL64" s="1">
        <f t="shared" si="46"/>
        <v>-42</v>
      </c>
      <c r="BM64" s="1">
        <f t="shared" si="47"/>
        <v>172</v>
      </c>
      <c r="BN64" s="1">
        <f t="shared" si="48"/>
        <v>-95</v>
      </c>
      <c r="BO64" s="1">
        <f t="shared" si="49"/>
        <v>-27</v>
      </c>
      <c r="BP64" s="1">
        <f t="shared" si="50"/>
        <v>55</v>
      </c>
      <c r="BQ64" s="19">
        <f t="shared" si="73"/>
        <v>18.333333333333332</v>
      </c>
      <c r="BR64" s="17">
        <f t="shared" si="74"/>
        <v>10</v>
      </c>
    </row>
    <row r="65" spans="1:70" x14ac:dyDescent="0.25">
      <c r="A65" s="20">
        <v>63</v>
      </c>
      <c r="B65" s="1">
        <v>784</v>
      </c>
      <c r="C65" s="1">
        <v>787</v>
      </c>
      <c r="D65" s="1">
        <v>821</v>
      </c>
      <c r="E65" s="1">
        <v>1235</v>
      </c>
      <c r="F65" s="1">
        <v>1006</v>
      </c>
      <c r="G65" s="1">
        <v>980</v>
      </c>
      <c r="H65" s="1">
        <v>990</v>
      </c>
      <c r="I65" s="1">
        <v>433</v>
      </c>
      <c r="J65" s="1">
        <v>435</v>
      </c>
      <c r="K65" s="1">
        <v>471</v>
      </c>
      <c r="L65" s="1">
        <v>761</v>
      </c>
      <c r="M65" s="1">
        <v>550</v>
      </c>
      <c r="N65" s="1">
        <v>573</v>
      </c>
      <c r="O65" s="1">
        <v>559</v>
      </c>
      <c r="P65" s="1">
        <v>351</v>
      </c>
      <c r="Q65" s="1">
        <v>352</v>
      </c>
      <c r="R65" s="1">
        <v>350</v>
      </c>
      <c r="S65" s="1">
        <v>474</v>
      </c>
      <c r="T65" s="1">
        <v>456</v>
      </c>
      <c r="U65" s="1">
        <v>407</v>
      </c>
      <c r="V65" s="1">
        <v>431</v>
      </c>
      <c r="W65" s="8">
        <f t="shared" si="51"/>
        <v>3.8265306122448979E-3</v>
      </c>
      <c r="X65" s="8">
        <f t="shared" si="52"/>
        <v>4.3202033036848796E-2</v>
      </c>
      <c r="Y65" s="8">
        <f t="shared" si="53"/>
        <v>0.50426309378806333</v>
      </c>
      <c r="Z65" s="8">
        <f t="shared" si="54"/>
        <v>-0.18542510121457489</v>
      </c>
      <c r="AA65" s="8">
        <f t="shared" si="55"/>
        <v>-2.584493041749503E-2</v>
      </c>
      <c r="AB65" s="8">
        <f t="shared" si="56"/>
        <v>1.020408163265306E-2</v>
      </c>
      <c r="AC65" s="12">
        <f t="shared" si="27"/>
        <v>5.837095123962336E-2</v>
      </c>
      <c r="AD65" s="12">
        <f t="shared" si="28"/>
        <v>7.0153061224489787E-3</v>
      </c>
      <c r="AE65" s="1">
        <f t="shared" si="29"/>
        <v>3</v>
      </c>
      <c r="AF65" s="1">
        <f t="shared" si="30"/>
        <v>34</v>
      </c>
      <c r="AG65" s="1">
        <f t="shared" si="31"/>
        <v>414</v>
      </c>
      <c r="AH65" s="1">
        <f t="shared" si="32"/>
        <v>-229</v>
      </c>
      <c r="AI65" s="1">
        <f t="shared" si="33"/>
        <v>-26</v>
      </c>
      <c r="AJ65" s="1">
        <f t="shared" si="34"/>
        <v>10</v>
      </c>
      <c r="AK65" s="17">
        <f t="shared" si="35"/>
        <v>34.333333333333336</v>
      </c>
      <c r="AL65" s="17">
        <f t="shared" si="36"/>
        <v>6.5</v>
      </c>
      <c r="AM65" s="1">
        <f t="shared" si="57"/>
        <v>4.6189376443418013E-3</v>
      </c>
      <c r="AN65" s="1">
        <f t="shared" si="58"/>
        <v>8.2758620689655171E-2</v>
      </c>
      <c r="AO65" s="1">
        <f t="shared" si="59"/>
        <v>0.61571125265392779</v>
      </c>
      <c r="AP65" s="1">
        <f t="shared" si="60"/>
        <v>-0.27726675427069647</v>
      </c>
      <c r="AQ65" s="1">
        <f t="shared" si="61"/>
        <v>4.1818181818181817E-2</v>
      </c>
      <c r="AR65" s="1">
        <f t="shared" si="62"/>
        <v>-2.4432809773123908E-2</v>
      </c>
      <c r="AS65" s="12">
        <f t="shared" si="37"/>
        <v>7.386790479371437E-2</v>
      </c>
      <c r="AT65" s="12">
        <f t="shared" si="38"/>
        <v>2.3218559731261811E-2</v>
      </c>
      <c r="AU65" s="1">
        <f t="shared" si="39"/>
        <v>2</v>
      </c>
      <c r="AV65" s="1">
        <f t="shared" si="40"/>
        <v>36</v>
      </c>
      <c r="AW65" s="1">
        <f t="shared" si="41"/>
        <v>290</v>
      </c>
      <c r="AX65" s="1">
        <f t="shared" si="42"/>
        <v>-211</v>
      </c>
      <c r="AY65" s="1">
        <f t="shared" si="43"/>
        <v>23</v>
      </c>
      <c r="AZ65" s="1">
        <f t="shared" si="44"/>
        <v>-14</v>
      </c>
      <c r="BA65" s="19">
        <f t="shared" si="63"/>
        <v>21</v>
      </c>
      <c r="BB65" s="19">
        <f t="shared" si="64"/>
        <v>12.5</v>
      </c>
      <c r="BC65" s="9">
        <f t="shared" si="65"/>
        <v>2.8490028490028491E-3</v>
      </c>
      <c r="BD65" s="9">
        <f t="shared" si="66"/>
        <v>-5.681818181818182E-3</v>
      </c>
      <c r="BE65" s="9">
        <f t="shared" si="67"/>
        <v>0.35428571428571426</v>
      </c>
      <c r="BF65" s="9">
        <f t="shared" si="68"/>
        <v>-3.7974683544303799E-2</v>
      </c>
      <c r="BG65" s="9">
        <f t="shared" si="69"/>
        <v>-0.10745614035087719</v>
      </c>
      <c r="BH65" s="9">
        <f t="shared" si="70"/>
        <v>5.896805896805897E-2</v>
      </c>
      <c r="BI65" s="12">
        <f t="shared" si="71"/>
        <v>4.4165022337629485E-2</v>
      </c>
      <c r="BJ65" s="13">
        <f t="shared" si="72"/>
        <v>-1.4164076664076666E-3</v>
      </c>
      <c r="BK65" s="1">
        <f t="shared" si="45"/>
        <v>1</v>
      </c>
      <c r="BL65" s="1">
        <f t="shared" si="46"/>
        <v>-2</v>
      </c>
      <c r="BM65" s="1">
        <f t="shared" si="47"/>
        <v>124</v>
      </c>
      <c r="BN65" s="1">
        <f t="shared" si="48"/>
        <v>-18</v>
      </c>
      <c r="BO65" s="1">
        <f t="shared" si="49"/>
        <v>-49</v>
      </c>
      <c r="BP65" s="1">
        <f t="shared" si="50"/>
        <v>24</v>
      </c>
      <c r="BQ65" s="19">
        <f t="shared" si="73"/>
        <v>13.333333333333334</v>
      </c>
      <c r="BR65" s="17">
        <f t="shared" si="74"/>
        <v>-0.5</v>
      </c>
    </row>
    <row r="66" spans="1:70" x14ac:dyDescent="0.25">
      <c r="A66" s="20">
        <v>64</v>
      </c>
      <c r="B66" s="1">
        <v>797</v>
      </c>
      <c r="C66" s="1">
        <v>786</v>
      </c>
      <c r="D66" s="1">
        <v>852</v>
      </c>
      <c r="E66" s="1">
        <v>1241</v>
      </c>
      <c r="F66" s="1">
        <v>1084</v>
      </c>
      <c r="G66" s="1">
        <v>992</v>
      </c>
      <c r="H66" s="1">
        <v>941</v>
      </c>
      <c r="I66" s="1">
        <v>464</v>
      </c>
      <c r="J66" s="1">
        <v>426</v>
      </c>
      <c r="K66" s="1">
        <v>475</v>
      </c>
      <c r="L66" s="1">
        <v>738</v>
      </c>
      <c r="M66" s="1">
        <v>586</v>
      </c>
      <c r="N66" s="1">
        <v>548</v>
      </c>
      <c r="O66" s="1">
        <v>533</v>
      </c>
      <c r="P66" s="1">
        <v>333</v>
      </c>
      <c r="Q66" s="1">
        <v>360</v>
      </c>
      <c r="R66" s="1">
        <v>377</v>
      </c>
      <c r="S66" s="1">
        <v>503</v>
      </c>
      <c r="T66" s="1">
        <v>498</v>
      </c>
      <c r="U66" s="1">
        <v>444</v>
      </c>
      <c r="V66" s="1">
        <v>408</v>
      </c>
      <c r="W66" s="8">
        <f t="shared" ref="W66:W97" si="75">+(C66-B66)/B66</f>
        <v>-1.3801756587202008E-2</v>
      </c>
      <c r="X66" s="8">
        <f t="shared" ref="X66:X97" si="76">+(D66-C66)/C66</f>
        <v>8.3969465648854963E-2</v>
      </c>
      <c r="Y66" s="8">
        <f t="shared" ref="Y66:Y97" si="77">+(E66-D66)/D66</f>
        <v>0.45657276995305163</v>
      </c>
      <c r="Z66" s="8">
        <f t="shared" ref="Z66:Z97" si="78">+(F66-E66)/E66</f>
        <v>-0.12651087832393232</v>
      </c>
      <c r="AA66" s="8">
        <f t="shared" ref="AA66:AA97" si="79">+(G66-F66)/F66</f>
        <v>-8.4870848708487087E-2</v>
      </c>
      <c r="AB66" s="8">
        <f t="shared" ref="AB66:AB97" si="80">+(H66-G66)/G66</f>
        <v>-5.1411290322580648E-2</v>
      </c>
      <c r="AC66" s="12">
        <f t="shared" si="27"/>
        <v>4.3991243609950749E-2</v>
      </c>
      <c r="AD66" s="12">
        <f t="shared" si="28"/>
        <v>-3.2606523454891331E-2</v>
      </c>
      <c r="AE66" s="1">
        <f t="shared" si="29"/>
        <v>-11</v>
      </c>
      <c r="AF66" s="1">
        <f t="shared" si="30"/>
        <v>66</v>
      </c>
      <c r="AG66" s="1">
        <f t="shared" si="31"/>
        <v>389</v>
      </c>
      <c r="AH66" s="1">
        <f t="shared" si="32"/>
        <v>-157</v>
      </c>
      <c r="AI66" s="1">
        <f t="shared" si="33"/>
        <v>-92</v>
      </c>
      <c r="AJ66" s="1">
        <f t="shared" si="34"/>
        <v>-51</v>
      </c>
      <c r="AK66" s="17">
        <f t="shared" si="35"/>
        <v>24</v>
      </c>
      <c r="AL66" s="17">
        <f t="shared" si="36"/>
        <v>-31</v>
      </c>
      <c r="AM66" s="1">
        <f t="shared" ref="AM66:AM97" si="81">+(J66-I66)/I66</f>
        <v>-8.1896551724137928E-2</v>
      </c>
      <c r="AN66" s="1">
        <f t="shared" ref="AN66:AN97" si="82">+(K66-J66)/J66</f>
        <v>0.11502347417840375</v>
      </c>
      <c r="AO66" s="1">
        <f t="shared" ref="AO66:AO97" si="83">+(L66-K66)/K66</f>
        <v>0.55368421052631578</v>
      </c>
      <c r="AP66" s="1">
        <f t="shared" ref="AP66:AP97" si="84">+(M66-L66)/L66</f>
        <v>-0.20596205962059622</v>
      </c>
      <c r="AQ66" s="1">
        <f t="shared" ref="AQ66:AQ97" si="85">+(N66-M66)/M66</f>
        <v>-6.4846416382252553E-2</v>
      </c>
      <c r="AR66" s="1">
        <f t="shared" ref="AR66:AR97" si="86">+(O66-N66)/N66</f>
        <v>-2.7372262773722629E-2</v>
      </c>
      <c r="AS66" s="12">
        <f t="shared" si="37"/>
        <v>4.810506570066838E-2</v>
      </c>
      <c r="AT66" s="12">
        <f t="shared" si="38"/>
        <v>-4.6109339577987588E-2</v>
      </c>
      <c r="AU66" s="1">
        <f t="shared" si="39"/>
        <v>-38</v>
      </c>
      <c r="AV66" s="1">
        <f t="shared" si="40"/>
        <v>49</v>
      </c>
      <c r="AW66" s="1">
        <f t="shared" si="41"/>
        <v>263</v>
      </c>
      <c r="AX66" s="1">
        <f t="shared" si="42"/>
        <v>-152</v>
      </c>
      <c r="AY66" s="1">
        <f t="shared" si="43"/>
        <v>-38</v>
      </c>
      <c r="AZ66" s="1">
        <f t="shared" si="44"/>
        <v>-15</v>
      </c>
      <c r="BA66" s="19">
        <f t="shared" ref="BA66:BA97" si="87">+AVERAGE(AU66:AZ66)</f>
        <v>11.5</v>
      </c>
      <c r="BB66" s="19">
        <f t="shared" ref="BB66:BB97" si="88">MEDIAN(AU66:AZ66)</f>
        <v>-26.5</v>
      </c>
      <c r="BC66" s="9">
        <f t="shared" ref="BC66:BC97" si="89">+(Q66-P66)/P66</f>
        <v>8.1081081081081086E-2</v>
      </c>
      <c r="BD66" s="9">
        <f t="shared" ref="BD66:BD97" si="90">+(R66-Q66)/Q66</f>
        <v>4.7222222222222221E-2</v>
      </c>
      <c r="BE66" s="9">
        <f t="shared" ref="BE66:BE97" si="91">+(S66-R66)/R66</f>
        <v>0.33421750663129973</v>
      </c>
      <c r="BF66" s="9">
        <f t="shared" ref="BF66:BF97" si="92">+(T66-S66)/S66</f>
        <v>-9.9403578528827041E-3</v>
      </c>
      <c r="BG66" s="9">
        <f t="shared" ref="BG66:BG97" si="93">+(U66-T66)/T66</f>
        <v>-0.10843373493975904</v>
      </c>
      <c r="BH66" s="9">
        <f t="shared" ref="BH66:BH97" si="94">+(V66-U66)/U66</f>
        <v>-8.1081081081081086E-2</v>
      </c>
      <c r="BI66" s="12">
        <f t="shared" ref="BI66:BI97" si="95">+AVERAGE(BC66:BH66)</f>
        <v>4.3844272676813366E-2</v>
      </c>
      <c r="BJ66" s="13">
        <f t="shared" ref="BJ66:BJ97" si="96">MEDIAN(BC66:BH66)</f>
        <v>1.8640932184669758E-2</v>
      </c>
      <c r="BK66" s="1">
        <f t="shared" si="45"/>
        <v>27</v>
      </c>
      <c r="BL66" s="1">
        <f t="shared" si="46"/>
        <v>17</v>
      </c>
      <c r="BM66" s="1">
        <f t="shared" si="47"/>
        <v>126</v>
      </c>
      <c r="BN66" s="1">
        <f t="shared" si="48"/>
        <v>-5</v>
      </c>
      <c r="BO66" s="1">
        <f t="shared" si="49"/>
        <v>-54</v>
      </c>
      <c r="BP66" s="1">
        <f t="shared" si="50"/>
        <v>-36</v>
      </c>
      <c r="BQ66" s="19">
        <f t="shared" ref="BQ66:BQ97" si="97">+AVERAGE(BK66:BP66)</f>
        <v>12.5</v>
      </c>
      <c r="BR66" s="17">
        <f t="shared" ref="BR66:BR97" si="98">MEDIAN(BK66:BP66)</f>
        <v>6</v>
      </c>
    </row>
    <row r="67" spans="1:70" x14ac:dyDescent="0.25">
      <c r="A67" s="20">
        <v>65</v>
      </c>
      <c r="B67" s="1">
        <v>777</v>
      </c>
      <c r="C67" s="1">
        <v>865</v>
      </c>
      <c r="D67" s="1">
        <v>897</v>
      </c>
      <c r="E67" s="1">
        <v>1396</v>
      </c>
      <c r="F67" s="1">
        <v>1093</v>
      </c>
      <c r="G67" s="1">
        <v>1058</v>
      </c>
      <c r="H67" s="1">
        <v>1010</v>
      </c>
      <c r="I67" s="1">
        <v>413</v>
      </c>
      <c r="J67" s="1">
        <v>475</v>
      </c>
      <c r="K67" s="1">
        <v>512</v>
      </c>
      <c r="L67" s="1">
        <v>845</v>
      </c>
      <c r="M67" s="1">
        <v>585</v>
      </c>
      <c r="N67" s="1">
        <v>552</v>
      </c>
      <c r="O67" s="1">
        <v>544</v>
      </c>
      <c r="P67" s="1">
        <v>364</v>
      </c>
      <c r="Q67" s="1">
        <v>390</v>
      </c>
      <c r="R67" s="1">
        <v>385</v>
      </c>
      <c r="S67" s="1">
        <v>551</v>
      </c>
      <c r="T67" s="1">
        <v>508</v>
      </c>
      <c r="U67" s="1">
        <v>506</v>
      </c>
      <c r="V67" s="1">
        <v>466</v>
      </c>
      <c r="W67" s="8">
        <f t="shared" si="75"/>
        <v>0.11325611325611326</v>
      </c>
      <c r="X67" s="8">
        <f t="shared" si="76"/>
        <v>3.6994219653179193E-2</v>
      </c>
      <c r="Y67" s="8">
        <f t="shared" si="77"/>
        <v>0.55629877369007807</v>
      </c>
      <c r="Z67" s="8">
        <f t="shared" si="78"/>
        <v>-0.21704871060171921</v>
      </c>
      <c r="AA67" s="8">
        <f t="shared" si="79"/>
        <v>-3.2021957913998172E-2</v>
      </c>
      <c r="AB67" s="8">
        <f t="shared" si="80"/>
        <v>-4.5368620037807186E-2</v>
      </c>
      <c r="AC67" s="12">
        <f t="shared" ref="AC67:AC123" si="99">+AVERAGE(W67:AB67)</f>
        <v>6.8684969674307664E-2</v>
      </c>
      <c r="AD67" s="12">
        <f t="shared" ref="AD67:AD123" si="100">MEDIAN(W67:AB67)</f>
        <v>2.4861308695905138E-3</v>
      </c>
      <c r="AE67" s="1">
        <f t="shared" ref="AE67:AE123" si="101">C67-B67</f>
        <v>88</v>
      </c>
      <c r="AF67" s="1">
        <f t="shared" ref="AF67:AF123" si="102">D67-C67</f>
        <v>32</v>
      </c>
      <c r="AG67" s="1">
        <f t="shared" ref="AG67:AG123" si="103">E67-D67</f>
        <v>499</v>
      </c>
      <c r="AH67" s="1">
        <f t="shared" ref="AH67:AH123" si="104">F67-E67</f>
        <v>-303</v>
      </c>
      <c r="AI67" s="1">
        <f t="shared" ref="AI67:AI123" si="105">G67-F67</f>
        <v>-35</v>
      </c>
      <c r="AJ67" s="1">
        <f t="shared" ref="AJ67:AJ123" si="106">H67-G67</f>
        <v>-48</v>
      </c>
      <c r="AK67" s="17">
        <f t="shared" ref="AK67:AK123" si="107">+AVERAGE(AE67:AJ67)</f>
        <v>38.833333333333336</v>
      </c>
      <c r="AL67" s="17">
        <f t="shared" ref="AL67:AL123" si="108">+MEDIAN(AE67:AJ67)</f>
        <v>-1.5</v>
      </c>
      <c r="AM67" s="1">
        <f t="shared" si="81"/>
        <v>0.15012106537530268</v>
      </c>
      <c r="AN67" s="1">
        <f t="shared" si="82"/>
        <v>7.7894736842105267E-2</v>
      </c>
      <c r="AO67" s="1">
        <f t="shared" si="83"/>
        <v>0.650390625</v>
      </c>
      <c r="AP67" s="1">
        <f t="shared" si="84"/>
        <v>-0.30769230769230771</v>
      </c>
      <c r="AQ67" s="1">
        <f t="shared" si="85"/>
        <v>-5.6410256410256411E-2</v>
      </c>
      <c r="AR67" s="1">
        <f t="shared" si="86"/>
        <v>-1.4492753623188406E-2</v>
      </c>
      <c r="AS67" s="12">
        <f t="shared" ref="AS67:AS123" si="109">+AVERAGE(AM67:AR67)</f>
        <v>8.330185158194256E-2</v>
      </c>
      <c r="AT67" s="12">
        <f t="shared" ref="AT67:AT123" si="110">+MEDIAN(AM67:AR67)</f>
        <v>3.1700991609458426E-2</v>
      </c>
      <c r="AU67" s="1">
        <f t="shared" ref="AU67:AU123" si="111">J67-I67</f>
        <v>62</v>
      </c>
      <c r="AV67" s="1">
        <f t="shared" ref="AV67:AV123" si="112">K67-J67</f>
        <v>37</v>
      </c>
      <c r="AW67" s="1">
        <f t="shared" ref="AW67:AW123" si="113">L67-K67</f>
        <v>333</v>
      </c>
      <c r="AX67" s="1">
        <f t="shared" ref="AX67:AX123" si="114">M67-L67</f>
        <v>-260</v>
      </c>
      <c r="AY67" s="1">
        <f t="shared" ref="AY67:AY123" si="115">N67-M67</f>
        <v>-33</v>
      </c>
      <c r="AZ67" s="1">
        <f t="shared" ref="AZ67:AZ123" si="116">O67-N67</f>
        <v>-8</v>
      </c>
      <c r="BA67" s="19">
        <f t="shared" si="87"/>
        <v>21.833333333333332</v>
      </c>
      <c r="BB67" s="19">
        <f t="shared" si="88"/>
        <v>14.5</v>
      </c>
      <c r="BC67" s="9">
        <f t="shared" si="89"/>
        <v>7.1428571428571425E-2</v>
      </c>
      <c r="BD67" s="9">
        <f t="shared" si="90"/>
        <v>-1.282051282051282E-2</v>
      </c>
      <c r="BE67" s="9">
        <f t="shared" si="91"/>
        <v>0.43116883116883115</v>
      </c>
      <c r="BF67" s="9">
        <f t="shared" si="92"/>
        <v>-7.8039927404718698E-2</v>
      </c>
      <c r="BG67" s="9">
        <f t="shared" si="93"/>
        <v>-3.937007874015748E-3</v>
      </c>
      <c r="BH67" s="9">
        <f t="shared" si="94"/>
        <v>-7.9051383399209488E-2</v>
      </c>
      <c r="BI67" s="12">
        <f t="shared" si="95"/>
        <v>5.4791428516490971E-2</v>
      </c>
      <c r="BJ67" s="13">
        <f t="shared" si="96"/>
        <v>-8.378760347264284E-3</v>
      </c>
      <c r="BK67" s="1">
        <f t="shared" ref="BK67:BK123" si="117">+Q67-P67</f>
        <v>26</v>
      </c>
      <c r="BL67" s="1">
        <f t="shared" ref="BL67:BL123" si="118">+R67-Q67</f>
        <v>-5</v>
      </c>
      <c r="BM67" s="1">
        <f t="shared" ref="BM67:BM123" si="119">+S67-R67</f>
        <v>166</v>
      </c>
      <c r="BN67" s="1">
        <f t="shared" ref="BN67:BN123" si="120">+T67-S67</f>
        <v>-43</v>
      </c>
      <c r="BO67" s="1">
        <f t="shared" ref="BO67:BO123" si="121">+U67-T67</f>
        <v>-2</v>
      </c>
      <c r="BP67" s="1">
        <f t="shared" ref="BP67:BP123" si="122">+V67-U67</f>
        <v>-40</v>
      </c>
      <c r="BQ67" s="19">
        <f t="shared" si="97"/>
        <v>17</v>
      </c>
      <c r="BR67" s="17">
        <f t="shared" si="98"/>
        <v>-3.5</v>
      </c>
    </row>
    <row r="68" spans="1:70" x14ac:dyDescent="0.25">
      <c r="A68" s="20">
        <v>66</v>
      </c>
      <c r="B68" s="1">
        <v>837</v>
      </c>
      <c r="C68" s="1">
        <v>831</v>
      </c>
      <c r="D68" s="1">
        <v>916</v>
      </c>
      <c r="E68" s="1">
        <v>1378</v>
      </c>
      <c r="F68" s="1">
        <v>1148</v>
      </c>
      <c r="G68" s="1">
        <v>1124</v>
      </c>
      <c r="H68" s="1">
        <v>1083</v>
      </c>
      <c r="I68" s="1">
        <v>451</v>
      </c>
      <c r="J68" s="1">
        <v>436</v>
      </c>
      <c r="K68" s="1">
        <v>533</v>
      </c>
      <c r="L68" s="1">
        <v>769</v>
      </c>
      <c r="M68" s="1">
        <v>635</v>
      </c>
      <c r="N68" s="1">
        <v>620</v>
      </c>
      <c r="O68" s="1">
        <v>603</v>
      </c>
      <c r="P68" s="1">
        <v>386</v>
      </c>
      <c r="Q68" s="1">
        <v>395</v>
      </c>
      <c r="R68" s="1">
        <v>383</v>
      </c>
      <c r="S68" s="1">
        <v>609</v>
      </c>
      <c r="T68" s="1">
        <v>513</v>
      </c>
      <c r="U68" s="1">
        <v>504</v>
      </c>
      <c r="V68" s="1">
        <v>480</v>
      </c>
      <c r="W68" s="8">
        <f t="shared" si="75"/>
        <v>-7.1684587813620072E-3</v>
      </c>
      <c r="X68" s="8">
        <f t="shared" si="76"/>
        <v>0.1022864019253911</v>
      </c>
      <c r="Y68" s="8">
        <f t="shared" si="77"/>
        <v>0.50436681222707425</v>
      </c>
      <c r="Z68" s="8">
        <f t="shared" si="78"/>
        <v>-0.16690856313497823</v>
      </c>
      <c r="AA68" s="8">
        <f t="shared" si="79"/>
        <v>-2.0905923344947737E-2</v>
      </c>
      <c r="AB68" s="8">
        <f t="shared" si="80"/>
        <v>-3.6476868327402136E-2</v>
      </c>
      <c r="AC68" s="12">
        <f t="shared" si="99"/>
        <v>6.2532233427295872E-2</v>
      </c>
      <c r="AD68" s="12">
        <f t="shared" si="100"/>
        <v>-1.4037191063154871E-2</v>
      </c>
      <c r="AE68" s="1">
        <f t="shared" si="101"/>
        <v>-6</v>
      </c>
      <c r="AF68" s="1">
        <f t="shared" si="102"/>
        <v>85</v>
      </c>
      <c r="AG68" s="1">
        <f t="shared" si="103"/>
        <v>462</v>
      </c>
      <c r="AH68" s="1">
        <f t="shared" si="104"/>
        <v>-230</v>
      </c>
      <c r="AI68" s="1">
        <f t="shared" si="105"/>
        <v>-24</v>
      </c>
      <c r="AJ68" s="1">
        <f t="shared" si="106"/>
        <v>-41</v>
      </c>
      <c r="AK68" s="17">
        <f t="shared" si="107"/>
        <v>41</v>
      </c>
      <c r="AL68" s="17">
        <f t="shared" si="108"/>
        <v>-15</v>
      </c>
      <c r="AM68" s="1">
        <f t="shared" si="81"/>
        <v>-3.325942350332594E-2</v>
      </c>
      <c r="AN68" s="1">
        <f t="shared" si="82"/>
        <v>0.22247706422018348</v>
      </c>
      <c r="AO68" s="1">
        <f t="shared" si="83"/>
        <v>0.44277673545966229</v>
      </c>
      <c r="AP68" s="1">
        <f t="shared" si="84"/>
        <v>-0.17425227568270482</v>
      </c>
      <c r="AQ68" s="1">
        <f t="shared" si="85"/>
        <v>-2.3622047244094488E-2</v>
      </c>
      <c r="AR68" s="1">
        <f t="shared" si="86"/>
        <v>-2.7419354838709678E-2</v>
      </c>
      <c r="AS68" s="12">
        <f t="shared" si="109"/>
        <v>6.7783449735168477E-2</v>
      </c>
      <c r="AT68" s="12">
        <f t="shared" si="110"/>
        <v>-2.5520701041402083E-2</v>
      </c>
      <c r="AU68" s="1">
        <f t="shared" si="111"/>
        <v>-15</v>
      </c>
      <c r="AV68" s="1">
        <f t="shared" si="112"/>
        <v>97</v>
      </c>
      <c r="AW68" s="1">
        <f t="shared" si="113"/>
        <v>236</v>
      </c>
      <c r="AX68" s="1">
        <f t="shared" si="114"/>
        <v>-134</v>
      </c>
      <c r="AY68" s="1">
        <f t="shared" si="115"/>
        <v>-15</v>
      </c>
      <c r="AZ68" s="1">
        <f t="shared" si="116"/>
        <v>-17</v>
      </c>
      <c r="BA68" s="19">
        <f t="shared" si="87"/>
        <v>25.333333333333332</v>
      </c>
      <c r="BB68" s="19">
        <f t="shared" si="88"/>
        <v>-15</v>
      </c>
      <c r="BC68" s="9">
        <f t="shared" si="89"/>
        <v>2.3316062176165803E-2</v>
      </c>
      <c r="BD68" s="9">
        <f t="shared" si="90"/>
        <v>-3.0379746835443037E-2</v>
      </c>
      <c r="BE68" s="9">
        <f t="shared" si="91"/>
        <v>0.59007832898172319</v>
      </c>
      <c r="BF68" s="9">
        <f t="shared" si="92"/>
        <v>-0.15763546798029557</v>
      </c>
      <c r="BG68" s="9">
        <f t="shared" si="93"/>
        <v>-1.7543859649122806E-2</v>
      </c>
      <c r="BH68" s="9">
        <f t="shared" si="94"/>
        <v>-4.7619047619047616E-2</v>
      </c>
      <c r="BI68" s="12">
        <f t="shared" si="95"/>
        <v>6.0036044845663328E-2</v>
      </c>
      <c r="BJ68" s="13">
        <f t="shared" si="96"/>
        <v>-2.396180324228292E-2</v>
      </c>
      <c r="BK68" s="1">
        <f t="shared" si="117"/>
        <v>9</v>
      </c>
      <c r="BL68" s="1">
        <f t="shared" si="118"/>
        <v>-12</v>
      </c>
      <c r="BM68" s="1">
        <f t="shared" si="119"/>
        <v>226</v>
      </c>
      <c r="BN68" s="1">
        <f t="shared" si="120"/>
        <v>-96</v>
      </c>
      <c r="BO68" s="1">
        <f t="shared" si="121"/>
        <v>-9</v>
      </c>
      <c r="BP68" s="1">
        <f t="shared" si="122"/>
        <v>-24</v>
      </c>
      <c r="BQ68" s="19">
        <f t="shared" si="97"/>
        <v>15.666666666666666</v>
      </c>
      <c r="BR68" s="17">
        <f t="shared" si="98"/>
        <v>-10.5</v>
      </c>
    </row>
    <row r="69" spans="1:70" x14ac:dyDescent="0.25">
      <c r="A69" s="20">
        <v>67</v>
      </c>
      <c r="B69" s="1">
        <v>810</v>
      </c>
      <c r="C69" s="1">
        <v>917</v>
      </c>
      <c r="D69" s="1">
        <v>930</v>
      </c>
      <c r="E69" s="1">
        <v>1450</v>
      </c>
      <c r="F69" s="1">
        <v>1157</v>
      </c>
      <c r="G69" s="1">
        <v>1160</v>
      </c>
      <c r="H69" s="1">
        <v>1103</v>
      </c>
      <c r="I69" s="1">
        <v>458</v>
      </c>
      <c r="J69" s="1">
        <v>504</v>
      </c>
      <c r="K69" s="1">
        <v>481</v>
      </c>
      <c r="L69" s="1">
        <v>893</v>
      </c>
      <c r="M69" s="1">
        <v>673</v>
      </c>
      <c r="N69" s="1">
        <v>653</v>
      </c>
      <c r="O69" s="1">
        <v>612</v>
      </c>
      <c r="P69" s="1">
        <v>352</v>
      </c>
      <c r="Q69" s="1">
        <v>413</v>
      </c>
      <c r="R69" s="1">
        <v>449</v>
      </c>
      <c r="S69" s="1">
        <v>557</v>
      </c>
      <c r="T69" s="1">
        <v>484</v>
      </c>
      <c r="U69" s="1">
        <v>507</v>
      </c>
      <c r="V69" s="1">
        <v>491</v>
      </c>
      <c r="W69" s="8">
        <f t="shared" si="75"/>
        <v>0.13209876543209875</v>
      </c>
      <c r="X69" s="8">
        <f t="shared" si="76"/>
        <v>1.4176663031624863E-2</v>
      </c>
      <c r="Y69" s="8">
        <f t="shared" si="77"/>
        <v>0.55913978494623651</v>
      </c>
      <c r="Z69" s="8">
        <f t="shared" si="78"/>
        <v>-0.20206896551724138</v>
      </c>
      <c r="AA69" s="8">
        <f t="shared" si="79"/>
        <v>2.5929127052722557E-3</v>
      </c>
      <c r="AB69" s="8">
        <f t="shared" si="80"/>
        <v>-4.913793103448276E-2</v>
      </c>
      <c r="AC69" s="12">
        <f t="shared" si="99"/>
        <v>7.6133538260584707E-2</v>
      </c>
      <c r="AD69" s="12">
        <f t="shared" si="100"/>
        <v>8.3847878684485608E-3</v>
      </c>
      <c r="AE69" s="1">
        <f t="shared" si="101"/>
        <v>107</v>
      </c>
      <c r="AF69" s="1">
        <f t="shared" si="102"/>
        <v>13</v>
      </c>
      <c r="AG69" s="1">
        <f t="shared" si="103"/>
        <v>520</v>
      </c>
      <c r="AH69" s="1">
        <f t="shared" si="104"/>
        <v>-293</v>
      </c>
      <c r="AI69" s="1">
        <f t="shared" si="105"/>
        <v>3</v>
      </c>
      <c r="AJ69" s="1">
        <f t="shared" si="106"/>
        <v>-57</v>
      </c>
      <c r="AK69" s="17">
        <f t="shared" si="107"/>
        <v>48.833333333333336</v>
      </c>
      <c r="AL69" s="17">
        <f t="shared" si="108"/>
        <v>8</v>
      </c>
      <c r="AM69" s="1">
        <f t="shared" si="81"/>
        <v>0.10043668122270742</v>
      </c>
      <c r="AN69" s="1">
        <f t="shared" si="82"/>
        <v>-4.5634920634920632E-2</v>
      </c>
      <c r="AO69" s="1">
        <f t="shared" si="83"/>
        <v>0.8565488565488566</v>
      </c>
      <c r="AP69" s="1">
        <f t="shared" si="84"/>
        <v>-0.24636058230683092</v>
      </c>
      <c r="AQ69" s="1">
        <f t="shared" si="85"/>
        <v>-2.9717682020802376E-2</v>
      </c>
      <c r="AR69" s="1">
        <f t="shared" si="86"/>
        <v>-6.278713629402756E-2</v>
      </c>
      <c r="AS69" s="12">
        <f t="shared" si="109"/>
        <v>9.5414202752497082E-2</v>
      </c>
      <c r="AT69" s="12">
        <f t="shared" si="110"/>
        <v>-3.7676301327861504E-2</v>
      </c>
      <c r="AU69" s="1">
        <f t="shared" si="111"/>
        <v>46</v>
      </c>
      <c r="AV69" s="1">
        <f t="shared" si="112"/>
        <v>-23</v>
      </c>
      <c r="AW69" s="1">
        <f t="shared" si="113"/>
        <v>412</v>
      </c>
      <c r="AX69" s="1">
        <f t="shared" si="114"/>
        <v>-220</v>
      </c>
      <c r="AY69" s="1">
        <f t="shared" si="115"/>
        <v>-20</v>
      </c>
      <c r="AZ69" s="1">
        <f t="shared" si="116"/>
        <v>-41</v>
      </c>
      <c r="BA69" s="19">
        <f t="shared" si="87"/>
        <v>25.666666666666668</v>
      </c>
      <c r="BB69" s="19">
        <f t="shared" si="88"/>
        <v>-21.5</v>
      </c>
      <c r="BC69" s="9">
        <f t="shared" si="89"/>
        <v>0.17329545454545456</v>
      </c>
      <c r="BD69" s="9">
        <f t="shared" si="90"/>
        <v>8.7167070217917669E-2</v>
      </c>
      <c r="BE69" s="9">
        <f t="shared" si="91"/>
        <v>0.24053452115812918</v>
      </c>
      <c r="BF69" s="9">
        <f t="shared" si="92"/>
        <v>-0.1310592459605027</v>
      </c>
      <c r="BG69" s="9">
        <f t="shared" si="93"/>
        <v>4.7520661157024795E-2</v>
      </c>
      <c r="BH69" s="9">
        <f t="shared" si="94"/>
        <v>-3.1558185404339252E-2</v>
      </c>
      <c r="BI69" s="12">
        <f t="shared" si="95"/>
        <v>6.4316712618947378E-2</v>
      </c>
      <c r="BJ69" s="13">
        <f t="shared" si="96"/>
        <v>6.7343865687471235E-2</v>
      </c>
      <c r="BK69" s="1">
        <f t="shared" si="117"/>
        <v>61</v>
      </c>
      <c r="BL69" s="1">
        <f t="shared" si="118"/>
        <v>36</v>
      </c>
      <c r="BM69" s="1">
        <f t="shared" si="119"/>
        <v>108</v>
      </c>
      <c r="BN69" s="1">
        <f t="shared" si="120"/>
        <v>-73</v>
      </c>
      <c r="BO69" s="1">
        <f t="shared" si="121"/>
        <v>23</v>
      </c>
      <c r="BP69" s="1">
        <f t="shared" si="122"/>
        <v>-16</v>
      </c>
      <c r="BQ69" s="19">
        <f t="shared" si="97"/>
        <v>23.166666666666668</v>
      </c>
      <c r="BR69" s="17">
        <f t="shared" si="98"/>
        <v>29.5</v>
      </c>
    </row>
    <row r="70" spans="1:70" x14ac:dyDescent="0.25">
      <c r="A70" s="20">
        <v>68</v>
      </c>
      <c r="B70" s="1">
        <v>940</v>
      </c>
      <c r="C70" s="1">
        <v>884</v>
      </c>
      <c r="D70" s="1">
        <v>1013</v>
      </c>
      <c r="E70" s="1">
        <v>1398</v>
      </c>
      <c r="F70" s="1">
        <v>1210</v>
      </c>
      <c r="G70" s="1">
        <v>1159</v>
      </c>
      <c r="H70" s="1">
        <v>1204</v>
      </c>
      <c r="I70" s="1">
        <v>521</v>
      </c>
      <c r="J70" s="1">
        <v>475</v>
      </c>
      <c r="K70" s="1">
        <v>548</v>
      </c>
      <c r="L70" s="1">
        <v>786</v>
      </c>
      <c r="M70" s="1">
        <v>665</v>
      </c>
      <c r="N70" s="1">
        <v>669</v>
      </c>
      <c r="O70" s="1">
        <v>644</v>
      </c>
      <c r="P70" s="1">
        <v>419</v>
      </c>
      <c r="Q70" s="1">
        <v>409</v>
      </c>
      <c r="R70" s="1">
        <v>465</v>
      </c>
      <c r="S70" s="1">
        <v>612</v>
      </c>
      <c r="T70" s="1">
        <v>545</v>
      </c>
      <c r="U70" s="1">
        <v>490</v>
      </c>
      <c r="V70" s="1">
        <v>560</v>
      </c>
      <c r="W70" s="8">
        <f t="shared" si="75"/>
        <v>-5.9574468085106386E-2</v>
      </c>
      <c r="X70" s="8">
        <f t="shared" si="76"/>
        <v>0.14592760180995476</v>
      </c>
      <c r="Y70" s="8">
        <f t="shared" si="77"/>
        <v>0.38005923000987168</v>
      </c>
      <c r="Z70" s="8">
        <f t="shared" si="78"/>
        <v>-0.13447782546494993</v>
      </c>
      <c r="AA70" s="8">
        <f t="shared" si="79"/>
        <v>-4.2148760330578509E-2</v>
      </c>
      <c r="AB70" s="8">
        <f t="shared" si="80"/>
        <v>3.8826574633304571E-2</v>
      </c>
      <c r="AC70" s="12">
        <f t="shared" si="99"/>
        <v>5.4768725428749367E-2</v>
      </c>
      <c r="AD70" s="12">
        <f t="shared" si="100"/>
        <v>-1.6610928486369692E-3</v>
      </c>
      <c r="AE70" s="1">
        <f t="shared" si="101"/>
        <v>-56</v>
      </c>
      <c r="AF70" s="1">
        <f t="shared" si="102"/>
        <v>129</v>
      </c>
      <c r="AG70" s="1">
        <f t="shared" si="103"/>
        <v>385</v>
      </c>
      <c r="AH70" s="1">
        <f t="shared" si="104"/>
        <v>-188</v>
      </c>
      <c r="AI70" s="1">
        <f t="shared" si="105"/>
        <v>-51</v>
      </c>
      <c r="AJ70" s="1">
        <f t="shared" si="106"/>
        <v>45</v>
      </c>
      <c r="AK70" s="17">
        <f t="shared" si="107"/>
        <v>44</v>
      </c>
      <c r="AL70" s="17">
        <f t="shared" si="108"/>
        <v>-3</v>
      </c>
      <c r="AM70" s="1">
        <f t="shared" si="81"/>
        <v>-8.829174664107485E-2</v>
      </c>
      <c r="AN70" s="1">
        <f t="shared" si="82"/>
        <v>0.15368421052631578</v>
      </c>
      <c r="AO70" s="1">
        <f t="shared" si="83"/>
        <v>0.43430656934306572</v>
      </c>
      <c r="AP70" s="1">
        <f t="shared" si="84"/>
        <v>-0.15394402035623408</v>
      </c>
      <c r="AQ70" s="1">
        <f t="shared" si="85"/>
        <v>6.0150375939849628E-3</v>
      </c>
      <c r="AR70" s="1">
        <f t="shared" si="86"/>
        <v>-3.7369207772795218E-2</v>
      </c>
      <c r="AS70" s="12">
        <f t="shared" si="109"/>
        <v>5.2400140448877051E-2</v>
      </c>
      <c r="AT70" s="12">
        <f t="shared" si="110"/>
        <v>-1.5677085089405129E-2</v>
      </c>
      <c r="AU70" s="1">
        <f t="shared" si="111"/>
        <v>-46</v>
      </c>
      <c r="AV70" s="1">
        <f t="shared" si="112"/>
        <v>73</v>
      </c>
      <c r="AW70" s="1">
        <f t="shared" si="113"/>
        <v>238</v>
      </c>
      <c r="AX70" s="1">
        <f t="shared" si="114"/>
        <v>-121</v>
      </c>
      <c r="AY70" s="1">
        <f t="shared" si="115"/>
        <v>4</v>
      </c>
      <c r="AZ70" s="1">
        <f t="shared" si="116"/>
        <v>-25</v>
      </c>
      <c r="BA70" s="19">
        <f t="shared" si="87"/>
        <v>20.5</v>
      </c>
      <c r="BB70" s="19">
        <f t="shared" si="88"/>
        <v>-10.5</v>
      </c>
      <c r="BC70" s="9">
        <f t="shared" si="89"/>
        <v>-2.386634844868735E-2</v>
      </c>
      <c r="BD70" s="9">
        <f t="shared" si="90"/>
        <v>0.13691931540342298</v>
      </c>
      <c r="BE70" s="9">
        <f t="shared" si="91"/>
        <v>0.31612903225806449</v>
      </c>
      <c r="BF70" s="9">
        <f t="shared" si="92"/>
        <v>-0.10947712418300654</v>
      </c>
      <c r="BG70" s="9">
        <f t="shared" si="93"/>
        <v>-0.10091743119266056</v>
      </c>
      <c r="BH70" s="9">
        <f t="shared" si="94"/>
        <v>0.14285714285714285</v>
      </c>
      <c r="BI70" s="12">
        <f t="shared" si="95"/>
        <v>6.0274097782379306E-2</v>
      </c>
      <c r="BJ70" s="13">
        <f t="shared" si="96"/>
        <v>5.6526483477367814E-2</v>
      </c>
      <c r="BK70" s="1">
        <f t="shared" si="117"/>
        <v>-10</v>
      </c>
      <c r="BL70" s="1">
        <f t="shared" si="118"/>
        <v>56</v>
      </c>
      <c r="BM70" s="1">
        <f t="shared" si="119"/>
        <v>147</v>
      </c>
      <c r="BN70" s="1">
        <f t="shared" si="120"/>
        <v>-67</v>
      </c>
      <c r="BO70" s="1">
        <f t="shared" si="121"/>
        <v>-55</v>
      </c>
      <c r="BP70" s="1">
        <f t="shared" si="122"/>
        <v>70</v>
      </c>
      <c r="BQ70" s="19">
        <f t="shared" si="97"/>
        <v>23.5</v>
      </c>
      <c r="BR70" s="17">
        <f t="shared" si="98"/>
        <v>23</v>
      </c>
    </row>
    <row r="71" spans="1:70" x14ac:dyDescent="0.25">
      <c r="A71" s="20">
        <v>69</v>
      </c>
      <c r="B71" s="1">
        <v>924</v>
      </c>
      <c r="C71" s="1">
        <v>915</v>
      </c>
      <c r="D71" s="1">
        <v>1023</v>
      </c>
      <c r="E71" s="1">
        <v>1561</v>
      </c>
      <c r="F71" s="1">
        <v>1269</v>
      </c>
      <c r="G71" s="1">
        <v>1178</v>
      </c>
      <c r="H71" s="1">
        <v>1201</v>
      </c>
      <c r="I71" s="1">
        <v>526</v>
      </c>
      <c r="J71" s="1">
        <v>487</v>
      </c>
      <c r="K71" s="1">
        <v>546</v>
      </c>
      <c r="L71" s="1">
        <v>903</v>
      </c>
      <c r="M71" s="1">
        <v>726</v>
      </c>
      <c r="N71" s="1">
        <v>645</v>
      </c>
      <c r="O71" s="1">
        <v>664</v>
      </c>
      <c r="P71" s="1">
        <v>398</v>
      </c>
      <c r="Q71" s="1">
        <v>428</v>
      </c>
      <c r="R71" s="1">
        <v>477</v>
      </c>
      <c r="S71" s="1">
        <v>658</v>
      </c>
      <c r="T71" s="1">
        <v>543</v>
      </c>
      <c r="U71" s="1">
        <v>533</v>
      </c>
      <c r="V71" s="1">
        <v>537</v>
      </c>
      <c r="W71" s="8">
        <f t="shared" si="75"/>
        <v>-9.74025974025974E-3</v>
      </c>
      <c r="X71" s="8">
        <f t="shared" si="76"/>
        <v>0.11803278688524591</v>
      </c>
      <c r="Y71" s="8">
        <f t="shared" si="77"/>
        <v>0.52590420332355814</v>
      </c>
      <c r="Z71" s="8">
        <f t="shared" si="78"/>
        <v>-0.18705957719410635</v>
      </c>
      <c r="AA71" s="8">
        <f t="shared" si="79"/>
        <v>-7.1710007880220653E-2</v>
      </c>
      <c r="AB71" s="8">
        <f t="shared" si="80"/>
        <v>1.9524617996604415E-2</v>
      </c>
      <c r="AC71" s="12">
        <f t="shared" si="99"/>
        <v>6.5825293898470291E-2</v>
      </c>
      <c r="AD71" s="12">
        <f t="shared" si="100"/>
        <v>4.8921791281723373E-3</v>
      </c>
      <c r="AE71" s="1">
        <f t="shared" si="101"/>
        <v>-9</v>
      </c>
      <c r="AF71" s="1">
        <f t="shared" si="102"/>
        <v>108</v>
      </c>
      <c r="AG71" s="1">
        <f t="shared" si="103"/>
        <v>538</v>
      </c>
      <c r="AH71" s="1">
        <f t="shared" si="104"/>
        <v>-292</v>
      </c>
      <c r="AI71" s="1">
        <f t="shared" si="105"/>
        <v>-91</v>
      </c>
      <c r="AJ71" s="1">
        <f t="shared" si="106"/>
        <v>23</v>
      </c>
      <c r="AK71" s="17">
        <f t="shared" si="107"/>
        <v>46.166666666666664</v>
      </c>
      <c r="AL71" s="17">
        <f t="shared" si="108"/>
        <v>7</v>
      </c>
      <c r="AM71" s="1">
        <f t="shared" si="81"/>
        <v>-7.4144486692015205E-2</v>
      </c>
      <c r="AN71" s="1">
        <f t="shared" si="82"/>
        <v>0.12114989733059549</v>
      </c>
      <c r="AO71" s="1">
        <f t="shared" si="83"/>
        <v>0.65384615384615385</v>
      </c>
      <c r="AP71" s="1">
        <f t="shared" si="84"/>
        <v>-0.19601328903654486</v>
      </c>
      <c r="AQ71" s="1">
        <f t="shared" si="85"/>
        <v>-0.1115702479338843</v>
      </c>
      <c r="AR71" s="1">
        <f t="shared" si="86"/>
        <v>2.9457364341085271E-2</v>
      </c>
      <c r="AS71" s="12">
        <f t="shared" si="109"/>
        <v>7.0454231975898368E-2</v>
      </c>
      <c r="AT71" s="12">
        <f t="shared" si="110"/>
        <v>-2.2343561175464967E-2</v>
      </c>
      <c r="AU71" s="1">
        <f t="shared" si="111"/>
        <v>-39</v>
      </c>
      <c r="AV71" s="1">
        <f t="shared" si="112"/>
        <v>59</v>
      </c>
      <c r="AW71" s="1">
        <f t="shared" si="113"/>
        <v>357</v>
      </c>
      <c r="AX71" s="1">
        <f t="shared" si="114"/>
        <v>-177</v>
      </c>
      <c r="AY71" s="1">
        <f t="shared" si="115"/>
        <v>-81</v>
      </c>
      <c r="AZ71" s="1">
        <f t="shared" si="116"/>
        <v>19</v>
      </c>
      <c r="BA71" s="19">
        <f t="shared" si="87"/>
        <v>23</v>
      </c>
      <c r="BB71" s="19">
        <f t="shared" si="88"/>
        <v>-10</v>
      </c>
      <c r="BC71" s="9">
        <f t="shared" si="89"/>
        <v>7.5376884422110546E-2</v>
      </c>
      <c r="BD71" s="9">
        <f t="shared" si="90"/>
        <v>0.11448598130841121</v>
      </c>
      <c r="BE71" s="9">
        <f t="shared" si="91"/>
        <v>0.37945492662473795</v>
      </c>
      <c r="BF71" s="9">
        <f t="shared" si="92"/>
        <v>-0.17477203647416414</v>
      </c>
      <c r="BG71" s="9">
        <f t="shared" si="93"/>
        <v>-1.841620626151013E-2</v>
      </c>
      <c r="BH71" s="9">
        <f t="shared" si="94"/>
        <v>7.5046904315196998E-3</v>
      </c>
      <c r="BI71" s="12">
        <f t="shared" si="95"/>
        <v>6.3939040008517509E-2</v>
      </c>
      <c r="BJ71" s="13">
        <f t="shared" si="96"/>
        <v>4.1440787426815118E-2</v>
      </c>
      <c r="BK71" s="1">
        <f t="shared" si="117"/>
        <v>30</v>
      </c>
      <c r="BL71" s="1">
        <f t="shared" si="118"/>
        <v>49</v>
      </c>
      <c r="BM71" s="1">
        <f t="shared" si="119"/>
        <v>181</v>
      </c>
      <c r="BN71" s="1">
        <f t="shared" si="120"/>
        <v>-115</v>
      </c>
      <c r="BO71" s="1">
        <f t="shared" si="121"/>
        <v>-10</v>
      </c>
      <c r="BP71" s="1">
        <f t="shared" si="122"/>
        <v>4</v>
      </c>
      <c r="BQ71" s="19">
        <f t="shared" si="97"/>
        <v>23.166666666666668</v>
      </c>
      <c r="BR71" s="17">
        <f t="shared" si="98"/>
        <v>17</v>
      </c>
    </row>
    <row r="72" spans="1:70" x14ac:dyDescent="0.25">
      <c r="A72" s="20">
        <v>70</v>
      </c>
      <c r="B72" s="1">
        <v>987</v>
      </c>
      <c r="C72" s="1">
        <v>983</v>
      </c>
      <c r="D72" s="1">
        <v>991</v>
      </c>
      <c r="E72" s="1">
        <v>1567</v>
      </c>
      <c r="F72" s="1">
        <v>1330</v>
      </c>
      <c r="G72" s="1">
        <v>1196</v>
      </c>
      <c r="H72" s="1">
        <v>1211</v>
      </c>
      <c r="I72" s="1">
        <v>558</v>
      </c>
      <c r="J72" s="1">
        <v>519</v>
      </c>
      <c r="K72" s="1">
        <v>561</v>
      </c>
      <c r="L72" s="1">
        <v>897</v>
      </c>
      <c r="M72" s="1">
        <v>734</v>
      </c>
      <c r="N72" s="1">
        <v>663</v>
      </c>
      <c r="O72" s="1">
        <v>681</v>
      </c>
      <c r="P72" s="1">
        <v>429</v>
      </c>
      <c r="Q72" s="1">
        <v>464</v>
      </c>
      <c r="R72" s="1">
        <v>430</v>
      </c>
      <c r="S72" s="1">
        <v>670</v>
      </c>
      <c r="T72" s="1">
        <v>596</v>
      </c>
      <c r="U72" s="1">
        <v>533</v>
      </c>
      <c r="V72" s="1">
        <v>530</v>
      </c>
      <c r="W72" s="8">
        <f t="shared" si="75"/>
        <v>-4.0526849037487338E-3</v>
      </c>
      <c r="X72" s="8">
        <f t="shared" si="76"/>
        <v>8.1383519837232958E-3</v>
      </c>
      <c r="Y72" s="8">
        <f t="shared" si="77"/>
        <v>0.58123107971745713</v>
      </c>
      <c r="Z72" s="8">
        <f t="shared" si="78"/>
        <v>-0.15124441608168473</v>
      </c>
      <c r="AA72" s="8">
        <f t="shared" si="79"/>
        <v>-0.10075187969924812</v>
      </c>
      <c r="AB72" s="8">
        <f t="shared" si="80"/>
        <v>1.254180602006689E-2</v>
      </c>
      <c r="AC72" s="12">
        <f t="shared" si="99"/>
        <v>5.7643709506094293E-2</v>
      </c>
      <c r="AD72" s="12">
        <f t="shared" si="100"/>
        <v>2.0428335399872806E-3</v>
      </c>
      <c r="AE72" s="1">
        <f t="shared" si="101"/>
        <v>-4</v>
      </c>
      <c r="AF72" s="1">
        <f t="shared" si="102"/>
        <v>8</v>
      </c>
      <c r="AG72" s="1">
        <f t="shared" si="103"/>
        <v>576</v>
      </c>
      <c r="AH72" s="1">
        <f t="shared" si="104"/>
        <v>-237</v>
      </c>
      <c r="AI72" s="1">
        <f t="shared" si="105"/>
        <v>-134</v>
      </c>
      <c r="AJ72" s="1">
        <f t="shared" si="106"/>
        <v>15</v>
      </c>
      <c r="AK72" s="17">
        <f t="shared" si="107"/>
        <v>37.333333333333336</v>
      </c>
      <c r="AL72" s="17">
        <f t="shared" si="108"/>
        <v>2</v>
      </c>
      <c r="AM72" s="1">
        <f t="shared" si="81"/>
        <v>-6.9892473118279563E-2</v>
      </c>
      <c r="AN72" s="1">
        <f t="shared" si="82"/>
        <v>8.0924855491329481E-2</v>
      </c>
      <c r="AO72" s="1">
        <f t="shared" si="83"/>
        <v>0.59893048128342241</v>
      </c>
      <c r="AP72" s="1">
        <f t="shared" si="84"/>
        <v>-0.18171683389074694</v>
      </c>
      <c r="AQ72" s="1">
        <f t="shared" si="85"/>
        <v>-9.6730245231607628E-2</v>
      </c>
      <c r="AR72" s="1">
        <f t="shared" si="86"/>
        <v>2.7149321266968326E-2</v>
      </c>
      <c r="AS72" s="12">
        <f t="shared" si="109"/>
        <v>5.9777517633514354E-2</v>
      </c>
      <c r="AT72" s="12">
        <f t="shared" si="110"/>
        <v>-2.1371575925655618E-2</v>
      </c>
      <c r="AU72" s="1">
        <f t="shared" si="111"/>
        <v>-39</v>
      </c>
      <c r="AV72" s="1">
        <f t="shared" si="112"/>
        <v>42</v>
      </c>
      <c r="AW72" s="1">
        <f t="shared" si="113"/>
        <v>336</v>
      </c>
      <c r="AX72" s="1">
        <f t="shared" si="114"/>
        <v>-163</v>
      </c>
      <c r="AY72" s="1">
        <f t="shared" si="115"/>
        <v>-71</v>
      </c>
      <c r="AZ72" s="1">
        <f t="shared" si="116"/>
        <v>18</v>
      </c>
      <c r="BA72" s="19">
        <f t="shared" si="87"/>
        <v>20.5</v>
      </c>
      <c r="BB72" s="19">
        <f t="shared" si="88"/>
        <v>-10.5</v>
      </c>
      <c r="BC72" s="9">
        <f t="shared" si="89"/>
        <v>8.1585081585081584E-2</v>
      </c>
      <c r="BD72" s="9">
        <f t="shared" si="90"/>
        <v>-7.3275862068965511E-2</v>
      </c>
      <c r="BE72" s="9">
        <f t="shared" si="91"/>
        <v>0.55813953488372092</v>
      </c>
      <c r="BF72" s="9">
        <f t="shared" si="92"/>
        <v>-0.11044776119402985</v>
      </c>
      <c r="BG72" s="9">
        <f t="shared" si="93"/>
        <v>-0.10570469798657718</v>
      </c>
      <c r="BH72" s="9">
        <f t="shared" si="94"/>
        <v>-5.6285178236397749E-3</v>
      </c>
      <c r="BI72" s="12">
        <f t="shared" si="95"/>
        <v>5.7444629565931694E-2</v>
      </c>
      <c r="BJ72" s="13">
        <f t="shared" si="96"/>
        <v>-3.9452189946302646E-2</v>
      </c>
      <c r="BK72" s="1">
        <f t="shared" si="117"/>
        <v>35</v>
      </c>
      <c r="BL72" s="1">
        <f t="shared" si="118"/>
        <v>-34</v>
      </c>
      <c r="BM72" s="1">
        <f t="shared" si="119"/>
        <v>240</v>
      </c>
      <c r="BN72" s="1">
        <f t="shared" si="120"/>
        <v>-74</v>
      </c>
      <c r="BO72" s="1">
        <f t="shared" si="121"/>
        <v>-63</v>
      </c>
      <c r="BP72" s="1">
        <f t="shared" si="122"/>
        <v>-3</v>
      </c>
      <c r="BQ72" s="19">
        <f t="shared" si="97"/>
        <v>16.833333333333332</v>
      </c>
      <c r="BR72" s="17">
        <f t="shared" si="98"/>
        <v>-18.5</v>
      </c>
    </row>
    <row r="73" spans="1:70" x14ac:dyDescent="0.25">
      <c r="A73" s="20">
        <v>71</v>
      </c>
      <c r="B73" s="1">
        <v>1014</v>
      </c>
      <c r="C73" s="1">
        <v>994</v>
      </c>
      <c r="D73" s="1">
        <v>1068</v>
      </c>
      <c r="E73" s="1">
        <v>1501</v>
      </c>
      <c r="F73" s="1">
        <v>1251</v>
      </c>
      <c r="G73" s="1">
        <v>1328</v>
      </c>
      <c r="H73" s="1">
        <v>1244</v>
      </c>
      <c r="I73" s="1">
        <v>527</v>
      </c>
      <c r="J73" s="1">
        <v>549</v>
      </c>
      <c r="K73" s="1">
        <v>559</v>
      </c>
      <c r="L73" s="1">
        <v>859</v>
      </c>
      <c r="M73" s="1">
        <v>692</v>
      </c>
      <c r="N73" s="1">
        <v>733</v>
      </c>
      <c r="O73" s="1">
        <v>675</v>
      </c>
      <c r="P73" s="1">
        <v>487</v>
      </c>
      <c r="Q73" s="1">
        <v>445</v>
      </c>
      <c r="R73" s="1">
        <v>509</v>
      </c>
      <c r="S73" s="1">
        <v>642</v>
      </c>
      <c r="T73" s="1">
        <v>559</v>
      </c>
      <c r="U73" s="1">
        <v>595</v>
      </c>
      <c r="V73" s="1">
        <v>569</v>
      </c>
      <c r="W73" s="8">
        <f t="shared" si="75"/>
        <v>-1.9723865877712032E-2</v>
      </c>
      <c r="X73" s="8">
        <f t="shared" si="76"/>
        <v>7.4446680080482899E-2</v>
      </c>
      <c r="Y73" s="8">
        <f t="shared" si="77"/>
        <v>0.40543071161048688</v>
      </c>
      <c r="Z73" s="8">
        <f t="shared" si="78"/>
        <v>-0.16655562958027981</v>
      </c>
      <c r="AA73" s="8">
        <f t="shared" si="79"/>
        <v>6.1550759392486012E-2</v>
      </c>
      <c r="AB73" s="8">
        <f t="shared" si="80"/>
        <v>-6.3253012048192767E-2</v>
      </c>
      <c r="AC73" s="12">
        <f t="shared" si="99"/>
        <v>4.8649273929545191E-2</v>
      </c>
      <c r="AD73" s="12">
        <f t="shared" si="100"/>
        <v>2.0913446757386992E-2</v>
      </c>
      <c r="AE73" s="1">
        <f t="shared" si="101"/>
        <v>-20</v>
      </c>
      <c r="AF73" s="1">
        <f t="shared" si="102"/>
        <v>74</v>
      </c>
      <c r="AG73" s="1">
        <f t="shared" si="103"/>
        <v>433</v>
      </c>
      <c r="AH73" s="1">
        <f t="shared" si="104"/>
        <v>-250</v>
      </c>
      <c r="AI73" s="1">
        <f t="shared" si="105"/>
        <v>77</v>
      </c>
      <c r="AJ73" s="1">
        <f t="shared" si="106"/>
        <v>-84</v>
      </c>
      <c r="AK73" s="17">
        <f t="shared" si="107"/>
        <v>38.333333333333336</v>
      </c>
      <c r="AL73" s="17">
        <f t="shared" si="108"/>
        <v>27</v>
      </c>
      <c r="AM73" s="1">
        <f t="shared" si="81"/>
        <v>4.1745730550284632E-2</v>
      </c>
      <c r="AN73" s="1">
        <f t="shared" si="82"/>
        <v>1.8214936247723135E-2</v>
      </c>
      <c r="AO73" s="1">
        <f t="shared" si="83"/>
        <v>0.53667262969588547</v>
      </c>
      <c r="AP73" s="1">
        <f t="shared" si="84"/>
        <v>-0.19441210710128057</v>
      </c>
      <c r="AQ73" s="1">
        <f t="shared" si="85"/>
        <v>5.9248554913294796E-2</v>
      </c>
      <c r="AR73" s="1">
        <f t="shared" si="86"/>
        <v>-7.9126875852660303E-2</v>
      </c>
      <c r="AS73" s="12">
        <f t="shared" si="109"/>
        <v>6.3723811408874523E-2</v>
      </c>
      <c r="AT73" s="12">
        <f t="shared" si="110"/>
        <v>2.9980333399003883E-2</v>
      </c>
      <c r="AU73" s="1">
        <f t="shared" si="111"/>
        <v>22</v>
      </c>
      <c r="AV73" s="1">
        <f t="shared" si="112"/>
        <v>10</v>
      </c>
      <c r="AW73" s="1">
        <f t="shared" si="113"/>
        <v>300</v>
      </c>
      <c r="AX73" s="1">
        <f t="shared" si="114"/>
        <v>-167</v>
      </c>
      <c r="AY73" s="1">
        <f t="shared" si="115"/>
        <v>41</v>
      </c>
      <c r="AZ73" s="1">
        <f t="shared" si="116"/>
        <v>-58</v>
      </c>
      <c r="BA73" s="19">
        <f t="shared" si="87"/>
        <v>24.666666666666668</v>
      </c>
      <c r="BB73" s="19">
        <f t="shared" si="88"/>
        <v>16</v>
      </c>
      <c r="BC73" s="9">
        <f t="shared" si="89"/>
        <v>-8.6242299794661192E-2</v>
      </c>
      <c r="BD73" s="9">
        <f t="shared" si="90"/>
        <v>0.14382022471910114</v>
      </c>
      <c r="BE73" s="9">
        <f t="shared" si="91"/>
        <v>0.26129666011787817</v>
      </c>
      <c r="BF73" s="9">
        <f t="shared" si="92"/>
        <v>-0.1292834890965732</v>
      </c>
      <c r="BG73" s="9">
        <f t="shared" si="93"/>
        <v>6.4400715563506267E-2</v>
      </c>
      <c r="BH73" s="9">
        <f t="shared" si="94"/>
        <v>-4.3697478991596636E-2</v>
      </c>
      <c r="BI73" s="12">
        <f t="shared" si="95"/>
        <v>3.5049055419609093E-2</v>
      </c>
      <c r="BJ73" s="13">
        <f t="shared" si="96"/>
        <v>1.0351618285954815E-2</v>
      </c>
      <c r="BK73" s="1">
        <f t="shared" si="117"/>
        <v>-42</v>
      </c>
      <c r="BL73" s="1">
        <f t="shared" si="118"/>
        <v>64</v>
      </c>
      <c r="BM73" s="1">
        <f t="shared" si="119"/>
        <v>133</v>
      </c>
      <c r="BN73" s="1">
        <f t="shared" si="120"/>
        <v>-83</v>
      </c>
      <c r="BO73" s="1">
        <f t="shared" si="121"/>
        <v>36</v>
      </c>
      <c r="BP73" s="1">
        <f t="shared" si="122"/>
        <v>-26</v>
      </c>
      <c r="BQ73" s="19">
        <f t="shared" si="97"/>
        <v>13.666666666666666</v>
      </c>
      <c r="BR73" s="17">
        <f t="shared" si="98"/>
        <v>5</v>
      </c>
    </row>
    <row r="74" spans="1:70" x14ac:dyDescent="0.25">
      <c r="A74" s="20">
        <v>72</v>
      </c>
      <c r="B74" s="1">
        <v>1003</v>
      </c>
      <c r="C74" s="1">
        <v>1025</v>
      </c>
      <c r="D74" s="1">
        <v>1090</v>
      </c>
      <c r="E74" s="1">
        <v>1621</v>
      </c>
      <c r="F74" s="1">
        <v>1245</v>
      </c>
      <c r="G74" s="1">
        <v>1288</v>
      </c>
      <c r="H74" s="1">
        <v>1220</v>
      </c>
      <c r="I74" s="1">
        <v>527</v>
      </c>
      <c r="J74" s="1">
        <v>573</v>
      </c>
      <c r="K74" s="1">
        <v>591</v>
      </c>
      <c r="L74" s="1">
        <v>930</v>
      </c>
      <c r="M74" s="1">
        <v>685</v>
      </c>
      <c r="N74" s="1">
        <v>713</v>
      </c>
      <c r="O74" s="1">
        <v>691</v>
      </c>
      <c r="P74" s="1">
        <v>476</v>
      </c>
      <c r="Q74" s="1">
        <v>452</v>
      </c>
      <c r="R74" s="1">
        <v>499</v>
      </c>
      <c r="S74" s="1">
        <v>691</v>
      </c>
      <c r="T74" s="1">
        <v>560</v>
      </c>
      <c r="U74" s="1">
        <v>575</v>
      </c>
      <c r="V74" s="1">
        <v>529</v>
      </c>
      <c r="W74" s="8">
        <f t="shared" si="75"/>
        <v>2.1934197407776669E-2</v>
      </c>
      <c r="X74" s="8">
        <f t="shared" si="76"/>
        <v>6.3414634146341464E-2</v>
      </c>
      <c r="Y74" s="8">
        <f t="shared" si="77"/>
        <v>0.48715596330275229</v>
      </c>
      <c r="Z74" s="8">
        <f t="shared" si="78"/>
        <v>-0.23195558297347316</v>
      </c>
      <c r="AA74" s="8">
        <f t="shared" si="79"/>
        <v>3.4538152610441769E-2</v>
      </c>
      <c r="AB74" s="8">
        <f t="shared" si="80"/>
        <v>-5.2795031055900624E-2</v>
      </c>
      <c r="AC74" s="12">
        <f t="shared" si="99"/>
        <v>5.3715388906323075E-2</v>
      </c>
      <c r="AD74" s="12">
        <f t="shared" si="100"/>
        <v>2.8236175009109219E-2</v>
      </c>
      <c r="AE74" s="1">
        <f t="shared" si="101"/>
        <v>22</v>
      </c>
      <c r="AF74" s="1">
        <f t="shared" si="102"/>
        <v>65</v>
      </c>
      <c r="AG74" s="1">
        <f t="shared" si="103"/>
        <v>531</v>
      </c>
      <c r="AH74" s="1">
        <f t="shared" si="104"/>
        <v>-376</v>
      </c>
      <c r="AI74" s="1">
        <f t="shared" si="105"/>
        <v>43</v>
      </c>
      <c r="AJ74" s="1">
        <f t="shared" si="106"/>
        <v>-68</v>
      </c>
      <c r="AK74" s="17">
        <f t="shared" si="107"/>
        <v>36.166666666666664</v>
      </c>
      <c r="AL74" s="17">
        <f t="shared" si="108"/>
        <v>32.5</v>
      </c>
      <c r="AM74" s="1">
        <f t="shared" si="81"/>
        <v>8.7286527514231493E-2</v>
      </c>
      <c r="AN74" s="1">
        <f t="shared" si="82"/>
        <v>3.1413612565445025E-2</v>
      </c>
      <c r="AO74" s="1">
        <f t="shared" si="83"/>
        <v>0.57360406091370564</v>
      </c>
      <c r="AP74" s="1">
        <f t="shared" si="84"/>
        <v>-0.26344086021505375</v>
      </c>
      <c r="AQ74" s="1">
        <f t="shared" si="85"/>
        <v>4.0875912408759124E-2</v>
      </c>
      <c r="AR74" s="1">
        <f t="shared" si="86"/>
        <v>-3.0855539971949508E-2</v>
      </c>
      <c r="AS74" s="12">
        <f t="shared" si="109"/>
        <v>7.3147285535856338E-2</v>
      </c>
      <c r="AT74" s="12">
        <f t="shared" si="110"/>
        <v>3.6144762487102078E-2</v>
      </c>
      <c r="AU74" s="1">
        <f t="shared" si="111"/>
        <v>46</v>
      </c>
      <c r="AV74" s="1">
        <f t="shared" si="112"/>
        <v>18</v>
      </c>
      <c r="AW74" s="1">
        <f t="shared" si="113"/>
        <v>339</v>
      </c>
      <c r="AX74" s="1">
        <f t="shared" si="114"/>
        <v>-245</v>
      </c>
      <c r="AY74" s="1">
        <f t="shared" si="115"/>
        <v>28</v>
      </c>
      <c r="AZ74" s="1">
        <f t="shared" si="116"/>
        <v>-22</v>
      </c>
      <c r="BA74" s="19">
        <f t="shared" si="87"/>
        <v>27.333333333333332</v>
      </c>
      <c r="BB74" s="19">
        <f t="shared" si="88"/>
        <v>23</v>
      </c>
      <c r="BC74" s="9">
        <f t="shared" si="89"/>
        <v>-5.0420168067226892E-2</v>
      </c>
      <c r="BD74" s="9">
        <f t="shared" si="90"/>
        <v>0.10398230088495575</v>
      </c>
      <c r="BE74" s="9">
        <f t="shared" si="91"/>
        <v>0.38476953907815631</v>
      </c>
      <c r="BF74" s="9">
        <f t="shared" si="92"/>
        <v>-0.18958031837916064</v>
      </c>
      <c r="BG74" s="9">
        <f t="shared" si="93"/>
        <v>2.6785714285714284E-2</v>
      </c>
      <c r="BH74" s="9">
        <f t="shared" si="94"/>
        <v>-0.08</v>
      </c>
      <c r="BI74" s="12">
        <f t="shared" si="95"/>
        <v>3.2589511300406465E-2</v>
      </c>
      <c r="BJ74" s="13">
        <f t="shared" si="96"/>
        <v>-1.1817226890756302E-2</v>
      </c>
      <c r="BK74" s="1">
        <f t="shared" si="117"/>
        <v>-24</v>
      </c>
      <c r="BL74" s="1">
        <f t="shared" si="118"/>
        <v>47</v>
      </c>
      <c r="BM74" s="1">
        <f t="shared" si="119"/>
        <v>192</v>
      </c>
      <c r="BN74" s="1">
        <f t="shared" si="120"/>
        <v>-131</v>
      </c>
      <c r="BO74" s="1">
        <f t="shared" si="121"/>
        <v>15</v>
      </c>
      <c r="BP74" s="1">
        <f t="shared" si="122"/>
        <v>-46</v>
      </c>
      <c r="BQ74" s="19">
        <f t="shared" si="97"/>
        <v>8.8333333333333339</v>
      </c>
      <c r="BR74" s="17">
        <f t="shared" si="98"/>
        <v>-4.5</v>
      </c>
    </row>
    <row r="75" spans="1:70" x14ac:dyDescent="0.25">
      <c r="A75" s="20">
        <v>73</v>
      </c>
      <c r="B75" s="1">
        <v>1028</v>
      </c>
      <c r="C75" s="1">
        <v>1028</v>
      </c>
      <c r="D75" s="1">
        <v>1066</v>
      </c>
      <c r="E75" s="1">
        <v>1679</v>
      </c>
      <c r="F75" s="1">
        <v>1354</v>
      </c>
      <c r="G75" s="1">
        <v>1305</v>
      </c>
      <c r="H75" s="1">
        <v>1268</v>
      </c>
      <c r="I75" s="1">
        <v>548</v>
      </c>
      <c r="J75" s="1">
        <v>534</v>
      </c>
      <c r="K75" s="1">
        <v>580</v>
      </c>
      <c r="L75" s="1">
        <v>976</v>
      </c>
      <c r="M75" s="1">
        <v>763</v>
      </c>
      <c r="N75" s="1">
        <v>742</v>
      </c>
      <c r="O75" s="1">
        <v>679</v>
      </c>
      <c r="P75" s="1">
        <v>480</v>
      </c>
      <c r="Q75" s="1">
        <v>494</v>
      </c>
      <c r="R75" s="1">
        <v>486</v>
      </c>
      <c r="S75" s="1">
        <v>703</v>
      </c>
      <c r="T75" s="1">
        <v>591</v>
      </c>
      <c r="U75" s="1">
        <v>563</v>
      </c>
      <c r="V75" s="1">
        <v>589</v>
      </c>
      <c r="W75" s="8">
        <f t="shared" si="75"/>
        <v>0</v>
      </c>
      <c r="X75" s="8">
        <f t="shared" si="76"/>
        <v>3.6964980544747082E-2</v>
      </c>
      <c r="Y75" s="8">
        <f t="shared" si="77"/>
        <v>0.575046904315197</v>
      </c>
      <c r="Z75" s="8">
        <f t="shared" si="78"/>
        <v>-0.19356759976176297</v>
      </c>
      <c r="AA75" s="8">
        <f t="shared" si="79"/>
        <v>-3.6189069423929097E-2</v>
      </c>
      <c r="AB75" s="8">
        <f t="shared" si="80"/>
        <v>-2.8352490421455937E-2</v>
      </c>
      <c r="AC75" s="12">
        <f t="shared" si="99"/>
        <v>5.8983787542132682E-2</v>
      </c>
      <c r="AD75" s="12">
        <f t="shared" si="100"/>
        <v>-1.4176245210727969E-2</v>
      </c>
      <c r="AE75" s="1">
        <f t="shared" si="101"/>
        <v>0</v>
      </c>
      <c r="AF75" s="1">
        <f t="shared" si="102"/>
        <v>38</v>
      </c>
      <c r="AG75" s="1">
        <f t="shared" si="103"/>
        <v>613</v>
      </c>
      <c r="AH75" s="1">
        <f t="shared" si="104"/>
        <v>-325</v>
      </c>
      <c r="AI75" s="1">
        <f t="shared" si="105"/>
        <v>-49</v>
      </c>
      <c r="AJ75" s="1">
        <f t="shared" si="106"/>
        <v>-37</v>
      </c>
      <c r="AK75" s="17">
        <f t="shared" si="107"/>
        <v>40</v>
      </c>
      <c r="AL75" s="17">
        <f t="shared" si="108"/>
        <v>-18.5</v>
      </c>
      <c r="AM75" s="1">
        <f t="shared" si="81"/>
        <v>-2.5547445255474453E-2</v>
      </c>
      <c r="AN75" s="1">
        <f t="shared" si="82"/>
        <v>8.6142322097378279E-2</v>
      </c>
      <c r="AO75" s="1">
        <f t="shared" si="83"/>
        <v>0.6827586206896552</v>
      </c>
      <c r="AP75" s="1">
        <f t="shared" si="84"/>
        <v>-0.21823770491803279</v>
      </c>
      <c r="AQ75" s="1">
        <f t="shared" si="85"/>
        <v>-2.7522935779816515E-2</v>
      </c>
      <c r="AR75" s="1">
        <f t="shared" si="86"/>
        <v>-8.4905660377358486E-2</v>
      </c>
      <c r="AS75" s="12">
        <f t="shared" si="109"/>
        <v>6.8781199409391855E-2</v>
      </c>
      <c r="AT75" s="12">
        <f t="shared" si="110"/>
        <v>-2.6535190517645482E-2</v>
      </c>
      <c r="AU75" s="1">
        <f t="shared" si="111"/>
        <v>-14</v>
      </c>
      <c r="AV75" s="1">
        <f t="shared" si="112"/>
        <v>46</v>
      </c>
      <c r="AW75" s="1">
        <f t="shared" si="113"/>
        <v>396</v>
      </c>
      <c r="AX75" s="1">
        <f t="shared" si="114"/>
        <v>-213</v>
      </c>
      <c r="AY75" s="1">
        <f t="shared" si="115"/>
        <v>-21</v>
      </c>
      <c r="AZ75" s="1">
        <f t="shared" si="116"/>
        <v>-63</v>
      </c>
      <c r="BA75" s="19">
        <f t="shared" si="87"/>
        <v>21.833333333333332</v>
      </c>
      <c r="BB75" s="19">
        <f t="shared" si="88"/>
        <v>-17.5</v>
      </c>
      <c r="BC75" s="9">
        <f t="shared" si="89"/>
        <v>2.9166666666666667E-2</v>
      </c>
      <c r="BD75" s="9">
        <f t="shared" si="90"/>
        <v>-1.6194331983805668E-2</v>
      </c>
      <c r="BE75" s="9">
        <f t="shared" si="91"/>
        <v>0.44650205761316875</v>
      </c>
      <c r="BF75" s="9">
        <f t="shared" si="92"/>
        <v>-0.15931721194879089</v>
      </c>
      <c r="BG75" s="9">
        <f t="shared" si="93"/>
        <v>-4.7377326565143825E-2</v>
      </c>
      <c r="BH75" s="9">
        <f t="shared" si="94"/>
        <v>4.6181172291296625E-2</v>
      </c>
      <c r="BI75" s="12">
        <f t="shared" si="95"/>
        <v>4.9826837678898617E-2</v>
      </c>
      <c r="BJ75" s="13">
        <f t="shared" si="96"/>
        <v>6.4861673414304995E-3</v>
      </c>
      <c r="BK75" s="1">
        <f t="shared" si="117"/>
        <v>14</v>
      </c>
      <c r="BL75" s="1">
        <f t="shared" si="118"/>
        <v>-8</v>
      </c>
      <c r="BM75" s="1">
        <f t="shared" si="119"/>
        <v>217</v>
      </c>
      <c r="BN75" s="1">
        <f t="shared" si="120"/>
        <v>-112</v>
      </c>
      <c r="BO75" s="1">
        <f t="shared" si="121"/>
        <v>-28</v>
      </c>
      <c r="BP75" s="1">
        <f t="shared" si="122"/>
        <v>26</v>
      </c>
      <c r="BQ75" s="19">
        <f t="shared" si="97"/>
        <v>18.166666666666668</v>
      </c>
      <c r="BR75" s="17">
        <f t="shared" si="98"/>
        <v>3</v>
      </c>
    </row>
    <row r="76" spans="1:70" x14ac:dyDescent="0.25">
      <c r="A76" s="20">
        <v>74</v>
      </c>
      <c r="B76" s="1">
        <v>1020</v>
      </c>
      <c r="C76" s="1">
        <v>1060</v>
      </c>
      <c r="D76" s="1">
        <v>1177</v>
      </c>
      <c r="E76" s="1">
        <v>1651</v>
      </c>
      <c r="F76" s="1">
        <v>1450</v>
      </c>
      <c r="G76" s="1">
        <v>1332</v>
      </c>
      <c r="H76" s="1">
        <v>1311</v>
      </c>
      <c r="I76" s="1">
        <v>560</v>
      </c>
      <c r="J76" s="1">
        <v>592</v>
      </c>
      <c r="K76" s="1">
        <v>676</v>
      </c>
      <c r="L76" s="1">
        <v>955</v>
      </c>
      <c r="M76" s="1">
        <v>809</v>
      </c>
      <c r="N76" s="1">
        <v>746</v>
      </c>
      <c r="O76" s="1">
        <v>736</v>
      </c>
      <c r="P76" s="1">
        <v>460</v>
      </c>
      <c r="Q76" s="1">
        <v>468</v>
      </c>
      <c r="R76" s="1">
        <v>501</v>
      </c>
      <c r="S76" s="1">
        <v>696</v>
      </c>
      <c r="T76" s="1">
        <v>641</v>
      </c>
      <c r="U76" s="1">
        <v>586</v>
      </c>
      <c r="V76" s="1">
        <v>575</v>
      </c>
      <c r="W76" s="8">
        <f t="shared" si="75"/>
        <v>3.9215686274509803E-2</v>
      </c>
      <c r="X76" s="8">
        <f t="shared" si="76"/>
        <v>0.11037735849056604</v>
      </c>
      <c r="Y76" s="8">
        <f t="shared" si="77"/>
        <v>0.40271877655055227</v>
      </c>
      <c r="Z76" s="8">
        <f t="shared" si="78"/>
        <v>-0.12174439733494852</v>
      </c>
      <c r="AA76" s="8">
        <f t="shared" si="79"/>
        <v>-8.137931034482758E-2</v>
      </c>
      <c r="AB76" s="8">
        <f t="shared" si="80"/>
        <v>-1.5765765765765764E-2</v>
      </c>
      <c r="AC76" s="12">
        <f t="shared" si="99"/>
        <v>5.5570391311681046E-2</v>
      </c>
      <c r="AD76" s="12">
        <f t="shared" si="100"/>
        <v>1.172496025437202E-2</v>
      </c>
      <c r="AE76" s="1">
        <f t="shared" si="101"/>
        <v>40</v>
      </c>
      <c r="AF76" s="1">
        <f t="shared" si="102"/>
        <v>117</v>
      </c>
      <c r="AG76" s="1">
        <f t="shared" si="103"/>
        <v>474</v>
      </c>
      <c r="AH76" s="1">
        <f t="shared" si="104"/>
        <v>-201</v>
      </c>
      <c r="AI76" s="1">
        <f t="shared" si="105"/>
        <v>-118</v>
      </c>
      <c r="AJ76" s="1">
        <f t="shared" si="106"/>
        <v>-21</v>
      </c>
      <c r="AK76" s="17">
        <f t="shared" si="107"/>
        <v>48.5</v>
      </c>
      <c r="AL76" s="17">
        <f t="shared" si="108"/>
        <v>9.5</v>
      </c>
      <c r="AM76" s="1">
        <f t="shared" si="81"/>
        <v>5.7142857142857141E-2</v>
      </c>
      <c r="AN76" s="1">
        <f t="shared" si="82"/>
        <v>0.14189189189189189</v>
      </c>
      <c r="AO76" s="1">
        <f t="shared" si="83"/>
        <v>0.41272189349112426</v>
      </c>
      <c r="AP76" s="1">
        <f t="shared" si="84"/>
        <v>-0.15287958115183245</v>
      </c>
      <c r="AQ76" s="1">
        <f t="shared" si="85"/>
        <v>-7.7873918417799753E-2</v>
      </c>
      <c r="AR76" s="1">
        <f t="shared" si="86"/>
        <v>-1.3404825737265416E-2</v>
      </c>
      <c r="AS76" s="12">
        <f t="shared" si="109"/>
        <v>6.1266386203162604E-2</v>
      </c>
      <c r="AT76" s="12">
        <f t="shared" si="110"/>
        <v>2.1869015702795862E-2</v>
      </c>
      <c r="AU76" s="1">
        <f t="shared" si="111"/>
        <v>32</v>
      </c>
      <c r="AV76" s="1">
        <f t="shared" si="112"/>
        <v>84</v>
      </c>
      <c r="AW76" s="1">
        <f t="shared" si="113"/>
        <v>279</v>
      </c>
      <c r="AX76" s="1">
        <f t="shared" si="114"/>
        <v>-146</v>
      </c>
      <c r="AY76" s="1">
        <f t="shared" si="115"/>
        <v>-63</v>
      </c>
      <c r="AZ76" s="1">
        <f t="shared" si="116"/>
        <v>-10</v>
      </c>
      <c r="BA76" s="19">
        <f t="shared" si="87"/>
        <v>29.333333333333332</v>
      </c>
      <c r="BB76" s="19">
        <f t="shared" si="88"/>
        <v>11</v>
      </c>
      <c r="BC76" s="9">
        <f t="shared" si="89"/>
        <v>1.7391304347826087E-2</v>
      </c>
      <c r="BD76" s="9">
        <f t="shared" si="90"/>
        <v>7.0512820512820512E-2</v>
      </c>
      <c r="BE76" s="9">
        <f t="shared" si="91"/>
        <v>0.38922155688622756</v>
      </c>
      <c r="BF76" s="9">
        <f t="shared" si="92"/>
        <v>-7.9022988505747127E-2</v>
      </c>
      <c r="BG76" s="9">
        <f t="shared" si="93"/>
        <v>-8.5803432137285487E-2</v>
      </c>
      <c r="BH76" s="9">
        <f t="shared" si="94"/>
        <v>-1.877133105802048E-2</v>
      </c>
      <c r="BI76" s="12">
        <f t="shared" si="95"/>
        <v>4.8921321674303513E-2</v>
      </c>
      <c r="BJ76" s="13">
        <f t="shared" si="96"/>
        <v>-6.9001335509719791E-4</v>
      </c>
      <c r="BK76" s="1">
        <f t="shared" si="117"/>
        <v>8</v>
      </c>
      <c r="BL76" s="1">
        <f t="shared" si="118"/>
        <v>33</v>
      </c>
      <c r="BM76" s="1">
        <f t="shared" si="119"/>
        <v>195</v>
      </c>
      <c r="BN76" s="1">
        <f t="shared" si="120"/>
        <v>-55</v>
      </c>
      <c r="BO76" s="1">
        <f t="shared" si="121"/>
        <v>-55</v>
      </c>
      <c r="BP76" s="1">
        <f t="shared" si="122"/>
        <v>-11</v>
      </c>
      <c r="BQ76" s="19">
        <f t="shared" si="97"/>
        <v>19.166666666666668</v>
      </c>
      <c r="BR76" s="17">
        <f t="shared" si="98"/>
        <v>-1.5</v>
      </c>
    </row>
    <row r="77" spans="1:70" x14ac:dyDescent="0.25">
      <c r="A77" s="20">
        <v>75</v>
      </c>
      <c r="B77" s="1">
        <v>1054</v>
      </c>
      <c r="C77" s="1">
        <v>1109</v>
      </c>
      <c r="D77" s="1">
        <v>1148</v>
      </c>
      <c r="E77" s="1">
        <v>1723</v>
      </c>
      <c r="F77" s="1">
        <v>1406</v>
      </c>
      <c r="G77" s="1">
        <v>1400</v>
      </c>
      <c r="H77" s="1">
        <v>1326</v>
      </c>
      <c r="I77" s="1">
        <v>556</v>
      </c>
      <c r="J77" s="1">
        <v>606</v>
      </c>
      <c r="K77" s="1">
        <v>627</v>
      </c>
      <c r="L77" s="1">
        <v>982</v>
      </c>
      <c r="M77" s="1">
        <v>781</v>
      </c>
      <c r="N77" s="1">
        <v>753</v>
      </c>
      <c r="O77" s="1">
        <v>720</v>
      </c>
      <c r="P77" s="1">
        <v>498</v>
      </c>
      <c r="Q77" s="1">
        <v>503</v>
      </c>
      <c r="R77" s="1">
        <v>521</v>
      </c>
      <c r="S77" s="1">
        <v>741</v>
      </c>
      <c r="T77" s="1">
        <v>625</v>
      </c>
      <c r="U77" s="1">
        <v>647</v>
      </c>
      <c r="V77" s="1">
        <v>606</v>
      </c>
      <c r="W77" s="8">
        <f t="shared" si="75"/>
        <v>5.218216318785579E-2</v>
      </c>
      <c r="X77" s="8">
        <f t="shared" si="76"/>
        <v>3.5166816952209197E-2</v>
      </c>
      <c r="Y77" s="8">
        <f t="shared" si="77"/>
        <v>0.50087108013937287</v>
      </c>
      <c r="Z77" s="8">
        <f t="shared" si="78"/>
        <v>-0.18398142774230991</v>
      </c>
      <c r="AA77" s="8">
        <f t="shared" si="79"/>
        <v>-4.2674253200568994E-3</v>
      </c>
      <c r="AB77" s="8">
        <f t="shared" si="80"/>
        <v>-5.2857142857142859E-2</v>
      </c>
      <c r="AC77" s="12">
        <f t="shared" si="99"/>
        <v>5.7852344059988021E-2</v>
      </c>
      <c r="AD77" s="12">
        <f t="shared" si="100"/>
        <v>1.5449695816076147E-2</v>
      </c>
      <c r="AE77" s="1">
        <f t="shared" si="101"/>
        <v>55</v>
      </c>
      <c r="AF77" s="1">
        <f t="shared" si="102"/>
        <v>39</v>
      </c>
      <c r="AG77" s="1">
        <f t="shared" si="103"/>
        <v>575</v>
      </c>
      <c r="AH77" s="1">
        <f t="shared" si="104"/>
        <v>-317</v>
      </c>
      <c r="AI77" s="1">
        <f t="shared" si="105"/>
        <v>-6</v>
      </c>
      <c r="AJ77" s="1">
        <f t="shared" si="106"/>
        <v>-74</v>
      </c>
      <c r="AK77" s="17">
        <f t="shared" si="107"/>
        <v>45.333333333333336</v>
      </c>
      <c r="AL77" s="17">
        <f t="shared" si="108"/>
        <v>16.5</v>
      </c>
      <c r="AM77" s="1">
        <f t="shared" si="81"/>
        <v>8.9928057553956831E-2</v>
      </c>
      <c r="AN77" s="1">
        <f t="shared" si="82"/>
        <v>3.4653465346534656E-2</v>
      </c>
      <c r="AO77" s="1">
        <f t="shared" si="83"/>
        <v>0.56618819776714513</v>
      </c>
      <c r="AP77" s="1">
        <f t="shared" si="84"/>
        <v>-0.20468431771894094</v>
      </c>
      <c r="AQ77" s="1">
        <f t="shared" si="85"/>
        <v>-3.5851472471190783E-2</v>
      </c>
      <c r="AR77" s="1">
        <f t="shared" si="86"/>
        <v>-4.3824701195219126E-2</v>
      </c>
      <c r="AS77" s="12">
        <f t="shared" si="109"/>
        <v>6.7734871547047631E-2</v>
      </c>
      <c r="AT77" s="12">
        <f t="shared" si="110"/>
        <v>-5.9900356232806679E-4</v>
      </c>
      <c r="AU77" s="1">
        <f t="shared" si="111"/>
        <v>50</v>
      </c>
      <c r="AV77" s="1">
        <f t="shared" si="112"/>
        <v>21</v>
      </c>
      <c r="AW77" s="1">
        <f t="shared" si="113"/>
        <v>355</v>
      </c>
      <c r="AX77" s="1">
        <f t="shared" si="114"/>
        <v>-201</v>
      </c>
      <c r="AY77" s="1">
        <f t="shared" si="115"/>
        <v>-28</v>
      </c>
      <c r="AZ77" s="1">
        <f t="shared" si="116"/>
        <v>-33</v>
      </c>
      <c r="BA77" s="19">
        <f t="shared" si="87"/>
        <v>27.333333333333332</v>
      </c>
      <c r="BB77" s="19">
        <f t="shared" si="88"/>
        <v>-3.5</v>
      </c>
      <c r="BC77" s="9">
        <f t="shared" si="89"/>
        <v>1.0040160642570281E-2</v>
      </c>
      <c r="BD77" s="9">
        <f t="shared" si="90"/>
        <v>3.5785288270377733E-2</v>
      </c>
      <c r="BE77" s="9">
        <f t="shared" si="91"/>
        <v>0.42226487523992323</v>
      </c>
      <c r="BF77" s="9">
        <f t="shared" si="92"/>
        <v>-0.15654520917678813</v>
      </c>
      <c r="BG77" s="9">
        <f t="shared" si="93"/>
        <v>3.5200000000000002E-2</v>
      </c>
      <c r="BH77" s="9">
        <f t="shared" si="94"/>
        <v>-6.3369397217928905E-2</v>
      </c>
      <c r="BI77" s="12">
        <f t="shared" si="95"/>
        <v>4.7229286293025696E-2</v>
      </c>
      <c r="BJ77" s="13">
        <f t="shared" si="96"/>
        <v>2.2620080321285142E-2</v>
      </c>
      <c r="BK77" s="1">
        <f t="shared" si="117"/>
        <v>5</v>
      </c>
      <c r="BL77" s="1">
        <f t="shared" si="118"/>
        <v>18</v>
      </c>
      <c r="BM77" s="1">
        <f t="shared" si="119"/>
        <v>220</v>
      </c>
      <c r="BN77" s="1">
        <f t="shared" si="120"/>
        <v>-116</v>
      </c>
      <c r="BO77" s="1">
        <f t="shared" si="121"/>
        <v>22</v>
      </c>
      <c r="BP77" s="1">
        <f t="shared" si="122"/>
        <v>-41</v>
      </c>
      <c r="BQ77" s="19">
        <f t="shared" si="97"/>
        <v>18</v>
      </c>
      <c r="BR77" s="17">
        <f t="shared" si="98"/>
        <v>11.5</v>
      </c>
    </row>
    <row r="78" spans="1:70" x14ac:dyDescent="0.25">
      <c r="A78" s="20">
        <v>76</v>
      </c>
      <c r="B78" s="1">
        <v>1062</v>
      </c>
      <c r="C78" s="1">
        <v>1154</v>
      </c>
      <c r="D78" s="1">
        <v>1131</v>
      </c>
      <c r="E78" s="1">
        <v>1715</v>
      </c>
      <c r="F78" s="1">
        <v>1397</v>
      </c>
      <c r="G78" s="1">
        <v>1391</v>
      </c>
      <c r="H78" s="1">
        <v>1384</v>
      </c>
      <c r="I78" s="1">
        <v>550</v>
      </c>
      <c r="J78" s="1">
        <v>630</v>
      </c>
      <c r="K78" s="1">
        <v>634</v>
      </c>
      <c r="L78" s="1">
        <v>984</v>
      </c>
      <c r="M78" s="1">
        <v>798</v>
      </c>
      <c r="N78" s="1">
        <v>767</v>
      </c>
      <c r="O78" s="1">
        <v>752</v>
      </c>
      <c r="P78" s="1">
        <v>512</v>
      </c>
      <c r="Q78" s="1">
        <v>524</v>
      </c>
      <c r="R78" s="1">
        <v>497</v>
      </c>
      <c r="S78" s="1">
        <v>731</v>
      </c>
      <c r="T78" s="1">
        <v>599</v>
      </c>
      <c r="U78" s="1">
        <v>624</v>
      </c>
      <c r="V78" s="1">
        <v>632</v>
      </c>
      <c r="W78" s="8">
        <f t="shared" si="75"/>
        <v>8.6629001883239173E-2</v>
      </c>
      <c r="X78" s="8">
        <f t="shared" si="76"/>
        <v>-1.9930675909878681E-2</v>
      </c>
      <c r="Y78" s="8">
        <f t="shared" si="77"/>
        <v>0.51635720601237844</v>
      </c>
      <c r="Z78" s="8">
        <f t="shared" si="78"/>
        <v>-0.18542274052478133</v>
      </c>
      <c r="AA78" s="8">
        <f t="shared" si="79"/>
        <v>-4.2949176807444527E-3</v>
      </c>
      <c r="AB78" s="8">
        <f t="shared" si="80"/>
        <v>-5.0323508267433505E-3</v>
      </c>
      <c r="AC78" s="12">
        <f t="shared" si="99"/>
        <v>6.4717587158911613E-2</v>
      </c>
      <c r="AD78" s="12">
        <f t="shared" si="100"/>
        <v>-4.6636342537439016E-3</v>
      </c>
      <c r="AE78" s="1">
        <f t="shared" si="101"/>
        <v>92</v>
      </c>
      <c r="AF78" s="1">
        <f t="shared" si="102"/>
        <v>-23</v>
      </c>
      <c r="AG78" s="1">
        <f t="shared" si="103"/>
        <v>584</v>
      </c>
      <c r="AH78" s="1">
        <f t="shared" si="104"/>
        <v>-318</v>
      </c>
      <c r="AI78" s="1">
        <f t="shared" si="105"/>
        <v>-6</v>
      </c>
      <c r="AJ78" s="1">
        <f t="shared" si="106"/>
        <v>-7</v>
      </c>
      <c r="AK78" s="17">
        <f t="shared" si="107"/>
        <v>53.666666666666664</v>
      </c>
      <c r="AL78" s="17">
        <f t="shared" si="108"/>
        <v>-6.5</v>
      </c>
      <c r="AM78" s="1">
        <f t="shared" si="81"/>
        <v>0.14545454545454545</v>
      </c>
      <c r="AN78" s="1">
        <f t="shared" si="82"/>
        <v>6.3492063492063492E-3</v>
      </c>
      <c r="AO78" s="1">
        <f t="shared" si="83"/>
        <v>0.55205047318611988</v>
      </c>
      <c r="AP78" s="1">
        <f t="shared" si="84"/>
        <v>-0.18902439024390244</v>
      </c>
      <c r="AQ78" s="1">
        <f t="shared" si="85"/>
        <v>-3.8847117794486213E-2</v>
      </c>
      <c r="AR78" s="1">
        <f t="shared" si="86"/>
        <v>-1.955671447196871E-2</v>
      </c>
      <c r="AS78" s="12">
        <f t="shared" si="109"/>
        <v>7.6071000413252376E-2</v>
      </c>
      <c r="AT78" s="12">
        <f t="shared" si="110"/>
        <v>-6.6037540613811813E-3</v>
      </c>
      <c r="AU78" s="1">
        <f t="shared" si="111"/>
        <v>80</v>
      </c>
      <c r="AV78" s="1">
        <f t="shared" si="112"/>
        <v>4</v>
      </c>
      <c r="AW78" s="1">
        <f t="shared" si="113"/>
        <v>350</v>
      </c>
      <c r="AX78" s="1">
        <f t="shared" si="114"/>
        <v>-186</v>
      </c>
      <c r="AY78" s="1">
        <f t="shared" si="115"/>
        <v>-31</v>
      </c>
      <c r="AZ78" s="1">
        <f t="shared" si="116"/>
        <v>-15</v>
      </c>
      <c r="BA78" s="19">
        <f t="shared" si="87"/>
        <v>33.666666666666664</v>
      </c>
      <c r="BB78" s="19">
        <f t="shared" si="88"/>
        <v>-5.5</v>
      </c>
      <c r="BC78" s="9">
        <f t="shared" si="89"/>
        <v>2.34375E-2</v>
      </c>
      <c r="BD78" s="9">
        <f t="shared" si="90"/>
        <v>-5.1526717557251911E-2</v>
      </c>
      <c r="BE78" s="9">
        <f t="shared" si="91"/>
        <v>0.47082494969818911</v>
      </c>
      <c r="BF78" s="9">
        <f t="shared" si="92"/>
        <v>-0.18057455540355677</v>
      </c>
      <c r="BG78" s="9">
        <f t="shared" si="93"/>
        <v>4.1736227045075125E-2</v>
      </c>
      <c r="BH78" s="9">
        <f t="shared" si="94"/>
        <v>1.282051282051282E-2</v>
      </c>
      <c r="BI78" s="12">
        <f t="shared" si="95"/>
        <v>5.2786319433828062E-2</v>
      </c>
      <c r="BJ78" s="13">
        <f t="shared" si="96"/>
        <v>1.8129006410256408E-2</v>
      </c>
      <c r="BK78" s="1">
        <f t="shared" si="117"/>
        <v>12</v>
      </c>
      <c r="BL78" s="1">
        <f t="shared" si="118"/>
        <v>-27</v>
      </c>
      <c r="BM78" s="1">
        <f t="shared" si="119"/>
        <v>234</v>
      </c>
      <c r="BN78" s="1">
        <f t="shared" si="120"/>
        <v>-132</v>
      </c>
      <c r="BO78" s="1">
        <f t="shared" si="121"/>
        <v>25</v>
      </c>
      <c r="BP78" s="1">
        <f t="shared" si="122"/>
        <v>8</v>
      </c>
      <c r="BQ78" s="19">
        <f t="shared" si="97"/>
        <v>20</v>
      </c>
      <c r="BR78" s="17">
        <f t="shared" si="98"/>
        <v>10</v>
      </c>
    </row>
    <row r="79" spans="1:70" x14ac:dyDescent="0.25">
      <c r="A79" s="20">
        <v>77</v>
      </c>
      <c r="B79" s="1">
        <v>1214</v>
      </c>
      <c r="C79" s="1">
        <v>1150</v>
      </c>
      <c r="D79" s="1">
        <v>1141</v>
      </c>
      <c r="E79" s="1">
        <v>1675</v>
      </c>
      <c r="F79" s="1">
        <v>1455</v>
      </c>
      <c r="G79" s="1">
        <v>1495</v>
      </c>
      <c r="H79" s="1">
        <v>1363</v>
      </c>
      <c r="I79" s="1">
        <v>666</v>
      </c>
      <c r="J79" s="1">
        <v>584</v>
      </c>
      <c r="K79" s="1">
        <v>622</v>
      </c>
      <c r="L79" s="1">
        <v>943</v>
      </c>
      <c r="M79" s="1">
        <v>794</v>
      </c>
      <c r="N79" s="1">
        <v>803</v>
      </c>
      <c r="O79" s="1">
        <v>721</v>
      </c>
      <c r="P79" s="1">
        <v>548</v>
      </c>
      <c r="Q79" s="1">
        <v>566</v>
      </c>
      <c r="R79" s="1">
        <v>519</v>
      </c>
      <c r="S79" s="1">
        <v>732</v>
      </c>
      <c r="T79" s="1">
        <v>661</v>
      </c>
      <c r="U79" s="1">
        <v>692</v>
      </c>
      <c r="V79" s="1">
        <v>642</v>
      </c>
      <c r="W79" s="8">
        <f t="shared" si="75"/>
        <v>-5.2718286655683691E-2</v>
      </c>
      <c r="X79" s="8">
        <f t="shared" si="76"/>
        <v>-7.8260869565217397E-3</v>
      </c>
      <c r="Y79" s="8">
        <f t="shared" si="77"/>
        <v>0.46801051709027169</v>
      </c>
      <c r="Z79" s="8">
        <f t="shared" si="78"/>
        <v>-0.13134328358208955</v>
      </c>
      <c r="AA79" s="8">
        <f t="shared" si="79"/>
        <v>2.7491408934707903E-2</v>
      </c>
      <c r="AB79" s="8">
        <f t="shared" si="80"/>
        <v>-8.8294314381270902E-2</v>
      </c>
      <c r="AC79" s="12">
        <f t="shared" si="99"/>
        <v>3.5886659074902294E-2</v>
      </c>
      <c r="AD79" s="12">
        <f t="shared" si="100"/>
        <v>-3.0272186806102715E-2</v>
      </c>
      <c r="AE79" s="1">
        <f t="shared" si="101"/>
        <v>-64</v>
      </c>
      <c r="AF79" s="1">
        <f t="shared" si="102"/>
        <v>-9</v>
      </c>
      <c r="AG79" s="1">
        <f t="shared" si="103"/>
        <v>534</v>
      </c>
      <c r="AH79" s="1">
        <f t="shared" si="104"/>
        <v>-220</v>
      </c>
      <c r="AI79" s="1">
        <f t="shared" si="105"/>
        <v>40</v>
      </c>
      <c r="AJ79" s="1">
        <f t="shared" si="106"/>
        <v>-132</v>
      </c>
      <c r="AK79" s="17">
        <f t="shared" si="107"/>
        <v>24.833333333333332</v>
      </c>
      <c r="AL79" s="17">
        <f t="shared" si="108"/>
        <v>-36.5</v>
      </c>
      <c r="AM79" s="1">
        <f t="shared" si="81"/>
        <v>-0.12312312312312312</v>
      </c>
      <c r="AN79" s="1">
        <f t="shared" si="82"/>
        <v>6.5068493150684928E-2</v>
      </c>
      <c r="AO79" s="1">
        <f t="shared" si="83"/>
        <v>0.51607717041800638</v>
      </c>
      <c r="AP79" s="1">
        <f t="shared" si="84"/>
        <v>-0.15800636267232238</v>
      </c>
      <c r="AQ79" s="1">
        <f t="shared" si="85"/>
        <v>1.1335012594458438E-2</v>
      </c>
      <c r="AR79" s="1">
        <f t="shared" si="86"/>
        <v>-0.10211706102117062</v>
      </c>
      <c r="AS79" s="12">
        <f t="shared" si="109"/>
        <v>3.487235489108894E-2</v>
      </c>
      <c r="AT79" s="12">
        <f t="shared" si="110"/>
        <v>-4.5391024213356092E-2</v>
      </c>
      <c r="AU79" s="1">
        <f t="shared" si="111"/>
        <v>-82</v>
      </c>
      <c r="AV79" s="1">
        <f t="shared" si="112"/>
        <v>38</v>
      </c>
      <c r="AW79" s="1">
        <f t="shared" si="113"/>
        <v>321</v>
      </c>
      <c r="AX79" s="1">
        <f t="shared" si="114"/>
        <v>-149</v>
      </c>
      <c r="AY79" s="1">
        <f t="shared" si="115"/>
        <v>9</v>
      </c>
      <c r="AZ79" s="1">
        <f t="shared" si="116"/>
        <v>-82</v>
      </c>
      <c r="BA79" s="19">
        <f t="shared" si="87"/>
        <v>9.1666666666666661</v>
      </c>
      <c r="BB79" s="19">
        <f t="shared" si="88"/>
        <v>-36.5</v>
      </c>
      <c r="BC79" s="9">
        <f t="shared" si="89"/>
        <v>3.2846715328467155E-2</v>
      </c>
      <c r="BD79" s="9">
        <f t="shared" si="90"/>
        <v>-8.3038869257950523E-2</v>
      </c>
      <c r="BE79" s="9">
        <f t="shared" si="91"/>
        <v>0.41040462427745666</v>
      </c>
      <c r="BF79" s="9">
        <f t="shared" si="92"/>
        <v>-9.699453551912568E-2</v>
      </c>
      <c r="BG79" s="9">
        <f t="shared" si="93"/>
        <v>4.6898638426626324E-2</v>
      </c>
      <c r="BH79" s="9">
        <f t="shared" si="94"/>
        <v>-7.2254335260115612E-2</v>
      </c>
      <c r="BI79" s="12">
        <f t="shared" si="95"/>
        <v>3.9643706332559731E-2</v>
      </c>
      <c r="BJ79" s="13">
        <f t="shared" si="96"/>
        <v>-1.9703809965824229E-2</v>
      </c>
      <c r="BK79" s="1">
        <f t="shared" si="117"/>
        <v>18</v>
      </c>
      <c r="BL79" s="1">
        <f t="shared" si="118"/>
        <v>-47</v>
      </c>
      <c r="BM79" s="1">
        <f t="shared" si="119"/>
        <v>213</v>
      </c>
      <c r="BN79" s="1">
        <f t="shared" si="120"/>
        <v>-71</v>
      </c>
      <c r="BO79" s="1">
        <f t="shared" si="121"/>
        <v>31</v>
      </c>
      <c r="BP79" s="1">
        <f t="shared" si="122"/>
        <v>-50</v>
      </c>
      <c r="BQ79" s="19">
        <f t="shared" si="97"/>
        <v>15.666666666666666</v>
      </c>
      <c r="BR79" s="17">
        <f t="shared" si="98"/>
        <v>-14.5</v>
      </c>
    </row>
    <row r="80" spans="1:70" x14ac:dyDescent="0.25">
      <c r="A80" s="20">
        <v>78</v>
      </c>
      <c r="B80" s="1">
        <v>1216</v>
      </c>
      <c r="C80" s="1">
        <v>1238</v>
      </c>
      <c r="D80" s="1">
        <v>1228</v>
      </c>
      <c r="E80" s="1">
        <v>1736</v>
      </c>
      <c r="F80" s="1">
        <v>1460</v>
      </c>
      <c r="G80" s="1">
        <v>1381</v>
      </c>
      <c r="H80" s="1">
        <v>1504</v>
      </c>
      <c r="I80" s="1">
        <v>669</v>
      </c>
      <c r="J80" s="1">
        <v>696</v>
      </c>
      <c r="K80" s="1">
        <v>646</v>
      </c>
      <c r="L80" s="1">
        <v>964</v>
      </c>
      <c r="M80" s="1">
        <v>813</v>
      </c>
      <c r="N80" s="1">
        <v>739</v>
      </c>
      <c r="O80" s="1">
        <v>829</v>
      </c>
      <c r="P80" s="1">
        <v>547</v>
      </c>
      <c r="Q80" s="1">
        <v>542</v>
      </c>
      <c r="R80" s="1">
        <v>582</v>
      </c>
      <c r="S80" s="1">
        <v>772</v>
      </c>
      <c r="T80" s="1">
        <v>647</v>
      </c>
      <c r="U80" s="1">
        <v>642</v>
      </c>
      <c r="V80" s="1">
        <v>675</v>
      </c>
      <c r="W80" s="8">
        <f t="shared" si="75"/>
        <v>1.8092105263157895E-2</v>
      </c>
      <c r="X80" s="8">
        <f t="shared" si="76"/>
        <v>-8.0775444264943458E-3</v>
      </c>
      <c r="Y80" s="8">
        <f t="shared" si="77"/>
        <v>0.41368078175895767</v>
      </c>
      <c r="Z80" s="8">
        <f t="shared" si="78"/>
        <v>-0.15898617511520738</v>
      </c>
      <c r="AA80" s="8">
        <f t="shared" si="79"/>
        <v>-5.410958904109589E-2</v>
      </c>
      <c r="AB80" s="8">
        <f t="shared" si="80"/>
        <v>8.9065894279507604E-2</v>
      </c>
      <c r="AC80" s="12">
        <f t="shared" si="99"/>
        <v>4.9944245453137588E-2</v>
      </c>
      <c r="AD80" s="12">
        <f t="shared" si="100"/>
        <v>5.0072804183317748E-3</v>
      </c>
      <c r="AE80" s="1">
        <f t="shared" si="101"/>
        <v>22</v>
      </c>
      <c r="AF80" s="1">
        <f t="shared" si="102"/>
        <v>-10</v>
      </c>
      <c r="AG80" s="1">
        <f t="shared" si="103"/>
        <v>508</v>
      </c>
      <c r="AH80" s="1">
        <f t="shared" si="104"/>
        <v>-276</v>
      </c>
      <c r="AI80" s="1">
        <f t="shared" si="105"/>
        <v>-79</v>
      </c>
      <c r="AJ80" s="1">
        <f t="shared" si="106"/>
        <v>123</v>
      </c>
      <c r="AK80" s="17">
        <f t="shared" si="107"/>
        <v>48</v>
      </c>
      <c r="AL80" s="17">
        <f t="shared" si="108"/>
        <v>6</v>
      </c>
      <c r="AM80" s="1">
        <f t="shared" si="81"/>
        <v>4.0358744394618833E-2</v>
      </c>
      <c r="AN80" s="1">
        <f t="shared" si="82"/>
        <v>-7.183908045977011E-2</v>
      </c>
      <c r="AO80" s="1">
        <f t="shared" si="83"/>
        <v>0.49226006191950467</v>
      </c>
      <c r="AP80" s="1">
        <f t="shared" si="84"/>
        <v>-0.15663900414937759</v>
      </c>
      <c r="AQ80" s="1">
        <f t="shared" si="85"/>
        <v>-9.1020910209102093E-2</v>
      </c>
      <c r="AR80" s="1">
        <f t="shared" si="86"/>
        <v>0.12178619756427606</v>
      </c>
      <c r="AS80" s="12">
        <f t="shared" si="109"/>
        <v>5.5817668176691627E-2</v>
      </c>
      <c r="AT80" s="12">
        <f t="shared" si="110"/>
        <v>-1.5740168032575635E-2</v>
      </c>
      <c r="AU80" s="1">
        <f t="shared" si="111"/>
        <v>27</v>
      </c>
      <c r="AV80" s="1">
        <f t="shared" si="112"/>
        <v>-50</v>
      </c>
      <c r="AW80" s="1">
        <f t="shared" si="113"/>
        <v>318</v>
      </c>
      <c r="AX80" s="1">
        <f t="shared" si="114"/>
        <v>-151</v>
      </c>
      <c r="AY80" s="1">
        <f t="shared" si="115"/>
        <v>-74</v>
      </c>
      <c r="AZ80" s="1">
        <f t="shared" si="116"/>
        <v>90</v>
      </c>
      <c r="BA80" s="19">
        <f t="shared" si="87"/>
        <v>26.666666666666668</v>
      </c>
      <c r="BB80" s="19">
        <f t="shared" si="88"/>
        <v>-11.5</v>
      </c>
      <c r="BC80" s="9">
        <f t="shared" si="89"/>
        <v>-9.140767824497258E-3</v>
      </c>
      <c r="BD80" s="9">
        <f t="shared" si="90"/>
        <v>7.3800738007380073E-2</v>
      </c>
      <c r="BE80" s="9">
        <f t="shared" si="91"/>
        <v>0.32646048109965636</v>
      </c>
      <c r="BF80" s="9">
        <f t="shared" si="92"/>
        <v>-0.16191709844559585</v>
      </c>
      <c r="BG80" s="9">
        <f t="shared" si="93"/>
        <v>-7.7279752704791345E-3</v>
      </c>
      <c r="BH80" s="9">
        <f t="shared" si="94"/>
        <v>5.1401869158878503E-2</v>
      </c>
      <c r="BI80" s="12">
        <f t="shared" si="95"/>
        <v>4.5479541120890449E-2</v>
      </c>
      <c r="BJ80" s="13">
        <f t="shared" si="96"/>
        <v>2.1836946944199687E-2</v>
      </c>
      <c r="BK80" s="1">
        <f t="shared" si="117"/>
        <v>-5</v>
      </c>
      <c r="BL80" s="1">
        <f t="shared" si="118"/>
        <v>40</v>
      </c>
      <c r="BM80" s="1">
        <f t="shared" si="119"/>
        <v>190</v>
      </c>
      <c r="BN80" s="1">
        <f t="shared" si="120"/>
        <v>-125</v>
      </c>
      <c r="BO80" s="1">
        <f t="shared" si="121"/>
        <v>-5</v>
      </c>
      <c r="BP80" s="1">
        <f t="shared" si="122"/>
        <v>33</v>
      </c>
      <c r="BQ80" s="19">
        <f t="shared" si="97"/>
        <v>21.333333333333332</v>
      </c>
      <c r="BR80" s="17">
        <f t="shared" si="98"/>
        <v>14</v>
      </c>
    </row>
    <row r="81" spans="1:70" x14ac:dyDescent="0.25">
      <c r="A81" s="20">
        <v>79</v>
      </c>
      <c r="B81" s="1">
        <v>1231</v>
      </c>
      <c r="C81" s="1">
        <v>1216</v>
      </c>
      <c r="D81" s="1">
        <v>1275</v>
      </c>
      <c r="E81" s="1">
        <v>1723</v>
      </c>
      <c r="F81" s="1">
        <v>1507</v>
      </c>
      <c r="G81" s="1">
        <v>1454</v>
      </c>
      <c r="H81" s="1">
        <v>1443</v>
      </c>
      <c r="I81" s="1">
        <v>651</v>
      </c>
      <c r="J81" s="1">
        <v>638</v>
      </c>
      <c r="K81" s="1">
        <v>675</v>
      </c>
      <c r="L81" s="1">
        <v>992</v>
      </c>
      <c r="M81" s="1">
        <v>801</v>
      </c>
      <c r="N81" s="1">
        <v>769</v>
      </c>
      <c r="O81" s="1">
        <v>766</v>
      </c>
      <c r="P81" s="1">
        <v>580</v>
      </c>
      <c r="Q81" s="1">
        <v>578</v>
      </c>
      <c r="R81" s="1">
        <v>600</v>
      </c>
      <c r="S81" s="1">
        <v>731</v>
      </c>
      <c r="T81" s="1">
        <v>706</v>
      </c>
      <c r="U81" s="1">
        <v>685</v>
      </c>
      <c r="V81" s="1">
        <v>677</v>
      </c>
      <c r="W81" s="8">
        <f t="shared" si="75"/>
        <v>-1.2185215272136474E-2</v>
      </c>
      <c r="X81" s="8">
        <f t="shared" si="76"/>
        <v>4.8519736842105261E-2</v>
      </c>
      <c r="Y81" s="8">
        <f t="shared" si="77"/>
        <v>0.35137254901960785</v>
      </c>
      <c r="Z81" s="8">
        <f t="shared" si="78"/>
        <v>-0.12536273940800929</v>
      </c>
      <c r="AA81" s="8">
        <f t="shared" si="79"/>
        <v>-3.5169210351692105E-2</v>
      </c>
      <c r="AB81" s="8">
        <f t="shared" si="80"/>
        <v>-7.5653370013755161E-3</v>
      </c>
      <c r="AC81" s="12">
        <f t="shared" si="99"/>
        <v>3.6601630638083291E-2</v>
      </c>
      <c r="AD81" s="12">
        <f t="shared" si="100"/>
        <v>-9.8752761367559942E-3</v>
      </c>
      <c r="AE81" s="1">
        <f t="shared" si="101"/>
        <v>-15</v>
      </c>
      <c r="AF81" s="1">
        <f t="shared" si="102"/>
        <v>59</v>
      </c>
      <c r="AG81" s="1">
        <f t="shared" si="103"/>
        <v>448</v>
      </c>
      <c r="AH81" s="1">
        <f t="shared" si="104"/>
        <v>-216</v>
      </c>
      <c r="AI81" s="1">
        <f t="shared" si="105"/>
        <v>-53</v>
      </c>
      <c r="AJ81" s="1">
        <f t="shared" si="106"/>
        <v>-11</v>
      </c>
      <c r="AK81" s="17">
        <f t="shared" si="107"/>
        <v>35.333333333333336</v>
      </c>
      <c r="AL81" s="17">
        <f t="shared" si="108"/>
        <v>-13</v>
      </c>
      <c r="AM81" s="1">
        <f t="shared" si="81"/>
        <v>-1.9969278033794162E-2</v>
      </c>
      <c r="AN81" s="1">
        <f t="shared" si="82"/>
        <v>5.7993730407523508E-2</v>
      </c>
      <c r="AO81" s="1">
        <f t="shared" si="83"/>
        <v>0.46962962962962962</v>
      </c>
      <c r="AP81" s="1">
        <f t="shared" si="84"/>
        <v>-0.19254032258064516</v>
      </c>
      <c r="AQ81" s="1">
        <f t="shared" si="85"/>
        <v>-3.9950062421972535E-2</v>
      </c>
      <c r="AR81" s="1">
        <f t="shared" si="86"/>
        <v>-3.9011703511053317E-3</v>
      </c>
      <c r="AS81" s="12">
        <f t="shared" si="109"/>
        <v>4.5210421108272662E-2</v>
      </c>
      <c r="AT81" s="12">
        <f t="shared" si="110"/>
        <v>-1.1935224192449747E-2</v>
      </c>
      <c r="AU81" s="1">
        <f t="shared" si="111"/>
        <v>-13</v>
      </c>
      <c r="AV81" s="1">
        <f t="shared" si="112"/>
        <v>37</v>
      </c>
      <c r="AW81" s="1">
        <f t="shared" si="113"/>
        <v>317</v>
      </c>
      <c r="AX81" s="1">
        <f t="shared" si="114"/>
        <v>-191</v>
      </c>
      <c r="AY81" s="1">
        <f t="shared" si="115"/>
        <v>-32</v>
      </c>
      <c r="AZ81" s="1">
        <f t="shared" si="116"/>
        <v>-3</v>
      </c>
      <c r="BA81" s="19">
        <f t="shared" si="87"/>
        <v>19.166666666666668</v>
      </c>
      <c r="BB81" s="19">
        <f t="shared" si="88"/>
        <v>-8</v>
      </c>
      <c r="BC81" s="9">
        <f t="shared" si="89"/>
        <v>-3.4482758620689655E-3</v>
      </c>
      <c r="BD81" s="9">
        <f t="shared" si="90"/>
        <v>3.8062283737024222E-2</v>
      </c>
      <c r="BE81" s="9">
        <f t="shared" si="91"/>
        <v>0.21833333333333332</v>
      </c>
      <c r="BF81" s="9">
        <f t="shared" si="92"/>
        <v>-3.4199726402188782E-2</v>
      </c>
      <c r="BG81" s="9">
        <f t="shared" si="93"/>
        <v>-2.9745042492917848E-2</v>
      </c>
      <c r="BH81" s="9">
        <f t="shared" si="94"/>
        <v>-1.167883211678832E-2</v>
      </c>
      <c r="BI81" s="12">
        <f t="shared" si="95"/>
        <v>2.9553956699398944E-2</v>
      </c>
      <c r="BJ81" s="13">
        <f t="shared" si="96"/>
        <v>-7.563553989428643E-3</v>
      </c>
      <c r="BK81" s="1">
        <f t="shared" si="117"/>
        <v>-2</v>
      </c>
      <c r="BL81" s="1">
        <f t="shared" si="118"/>
        <v>22</v>
      </c>
      <c r="BM81" s="1">
        <f t="shared" si="119"/>
        <v>131</v>
      </c>
      <c r="BN81" s="1">
        <f t="shared" si="120"/>
        <v>-25</v>
      </c>
      <c r="BO81" s="1">
        <f t="shared" si="121"/>
        <v>-21</v>
      </c>
      <c r="BP81" s="1">
        <f t="shared" si="122"/>
        <v>-8</v>
      </c>
      <c r="BQ81" s="19">
        <f t="shared" si="97"/>
        <v>16.166666666666668</v>
      </c>
      <c r="BR81" s="17">
        <f t="shared" si="98"/>
        <v>-5</v>
      </c>
    </row>
    <row r="82" spans="1:70" x14ac:dyDescent="0.25">
      <c r="A82" s="20">
        <v>80</v>
      </c>
      <c r="B82" s="1">
        <v>1160</v>
      </c>
      <c r="C82" s="1">
        <v>1290</v>
      </c>
      <c r="D82" s="1">
        <v>1358</v>
      </c>
      <c r="E82" s="1">
        <v>1791</v>
      </c>
      <c r="F82" s="1">
        <v>1469</v>
      </c>
      <c r="G82" s="1">
        <v>1449</v>
      </c>
      <c r="H82" s="1">
        <v>1489</v>
      </c>
      <c r="I82" s="1">
        <v>620</v>
      </c>
      <c r="J82" s="1">
        <v>725</v>
      </c>
      <c r="K82" s="1">
        <v>711</v>
      </c>
      <c r="L82" s="1">
        <v>1001</v>
      </c>
      <c r="M82" s="1">
        <v>807</v>
      </c>
      <c r="N82" s="1">
        <v>748</v>
      </c>
      <c r="O82" s="1">
        <v>769</v>
      </c>
      <c r="P82" s="1">
        <v>540</v>
      </c>
      <c r="Q82" s="1">
        <v>565</v>
      </c>
      <c r="R82" s="1">
        <v>647</v>
      </c>
      <c r="S82" s="1">
        <v>790</v>
      </c>
      <c r="T82" s="1">
        <v>662</v>
      </c>
      <c r="U82" s="1">
        <v>701</v>
      </c>
      <c r="V82" s="1">
        <v>720</v>
      </c>
      <c r="W82" s="8">
        <f t="shared" si="75"/>
        <v>0.11206896551724138</v>
      </c>
      <c r="X82" s="8">
        <f t="shared" si="76"/>
        <v>5.2713178294573643E-2</v>
      </c>
      <c r="Y82" s="8">
        <f t="shared" si="77"/>
        <v>0.31885125184094254</v>
      </c>
      <c r="Z82" s="8">
        <f t="shared" si="78"/>
        <v>-0.17978782802903406</v>
      </c>
      <c r="AA82" s="8">
        <f t="shared" si="79"/>
        <v>-1.3614703880190605E-2</v>
      </c>
      <c r="AB82" s="8">
        <f t="shared" si="80"/>
        <v>2.7605244996549344E-2</v>
      </c>
      <c r="AC82" s="12">
        <f t="shared" si="99"/>
        <v>5.2972684790013713E-2</v>
      </c>
      <c r="AD82" s="12">
        <f t="shared" si="100"/>
        <v>4.0159211645561493E-2</v>
      </c>
      <c r="AE82" s="1">
        <f t="shared" si="101"/>
        <v>130</v>
      </c>
      <c r="AF82" s="1">
        <f t="shared" si="102"/>
        <v>68</v>
      </c>
      <c r="AG82" s="1">
        <f t="shared" si="103"/>
        <v>433</v>
      </c>
      <c r="AH82" s="1">
        <f t="shared" si="104"/>
        <v>-322</v>
      </c>
      <c r="AI82" s="1">
        <f t="shared" si="105"/>
        <v>-20</v>
      </c>
      <c r="AJ82" s="1">
        <f t="shared" si="106"/>
        <v>40</v>
      </c>
      <c r="AK82" s="17">
        <f t="shared" si="107"/>
        <v>54.833333333333336</v>
      </c>
      <c r="AL82" s="17">
        <f t="shared" si="108"/>
        <v>54</v>
      </c>
      <c r="AM82" s="1">
        <f t="shared" si="81"/>
        <v>0.16935483870967741</v>
      </c>
      <c r="AN82" s="1">
        <f t="shared" si="82"/>
        <v>-1.9310344827586208E-2</v>
      </c>
      <c r="AO82" s="1">
        <f t="shared" si="83"/>
        <v>0.40787623066104078</v>
      </c>
      <c r="AP82" s="1">
        <f t="shared" si="84"/>
        <v>-0.19380619380619379</v>
      </c>
      <c r="AQ82" s="1">
        <f t="shared" si="85"/>
        <v>-7.3110285006195791E-2</v>
      </c>
      <c r="AR82" s="1">
        <f t="shared" si="86"/>
        <v>2.8074866310160429E-2</v>
      </c>
      <c r="AS82" s="12">
        <f t="shared" si="109"/>
        <v>5.3179852006817151E-2</v>
      </c>
      <c r="AT82" s="12">
        <f t="shared" si="110"/>
        <v>4.3822607412871105E-3</v>
      </c>
      <c r="AU82" s="1">
        <f t="shared" si="111"/>
        <v>105</v>
      </c>
      <c r="AV82" s="1">
        <f t="shared" si="112"/>
        <v>-14</v>
      </c>
      <c r="AW82" s="1">
        <f t="shared" si="113"/>
        <v>290</v>
      </c>
      <c r="AX82" s="1">
        <f t="shared" si="114"/>
        <v>-194</v>
      </c>
      <c r="AY82" s="1">
        <f t="shared" si="115"/>
        <v>-59</v>
      </c>
      <c r="AZ82" s="1">
        <f t="shared" si="116"/>
        <v>21</v>
      </c>
      <c r="BA82" s="19">
        <f t="shared" si="87"/>
        <v>24.833333333333332</v>
      </c>
      <c r="BB82" s="19">
        <f t="shared" si="88"/>
        <v>3.5</v>
      </c>
      <c r="BC82" s="9">
        <f t="shared" si="89"/>
        <v>4.6296296296296294E-2</v>
      </c>
      <c r="BD82" s="9">
        <f t="shared" si="90"/>
        <v>0.14513274336283186</v>
      </c>
      <c r="BE82" s="9">
        <f t="shared" si="91"/>
        <v>0.22102009273570325</v>
      </c>
      <c r="BF82" s="9">
        <f t="shared" si="92"/>
        <v>-0.16202531645569621</v>
      </c>
      <c r="BG82" s="9">
        <f t="shared" si="93"/>
        <v>5.8912386706948643E-2</v>
      </c>
      <c r="BH82" s="9">
        <f t="shared" si="94"/>
        <v>2.710413694721826E-2</v>
      </c>
      <c r="BI82" s="12">
        <f t="shared" si="95"/>
        <v>5.607338993221702E-2</v>
      </c>
      <c r="BJ82" s="13">
        <f t="shared" si="96"/>
        <v>5.2604341501622465E-2</v>
      </c>
      <c r="BK82" s="1">
        <f t="shared" si="117"/>
        <v>25</v>
      </c>
      <c r="BL82" s="1">
        <f t="shared" si="118"/>
        <v>82</v>
      </c>
      <c r="BM82" s="1">
        <f t="shared" si="119"/>
        <v>143</v>
      </c>
      <c r="BN82" s="1">
        <f t="shared" si="120"/>
        <v>-128</v>
      </c>
      <c r="BO82" s="1">
        <f t="shared" si="121"/>
        <v>39</v>
      </c>
      <c r="BP82" s="1">
        <f t="shared" si="122"/>
        <v>19</v>
      </c>
      <c r="BQ82" s="19">
        <f t="shared" si="97"/>
        <v>30</v>
      </c>
      <c r="BR82" s="17">
        <f t="shared" si="98"/>
        <v>32</v>
      </c>
    </row>
    <row r="83" spans="1:70" x14ac:dyDescent="0.25">
      <c r="A83" s="20">
        <v>81</v>
      </c>
      <c r="B83" s="1">
        <v>1300</v>
      </c>
      <c r="C83" s="1">
        <v>1294</v>
      </c>
      <c r="D83" s="1">
        <v>1344</v>
      </c>
      <c r="E83" s="1">
        <v>1878</v>
      </c>
      <c r="F83" s="1">
        <v>1627</v>
      </c>
      <c r="G83" s="1">
        <v>1540</v>
      </c>
      <c r="H83" s="1">
        <v>1416</v>
      </c>
      <c r="I83" s="1">
        <v>633</v>
      </c>
      <c r="J83" s="1">
        <v>671</v>
      </c>
      <c r="K83" s="1">
        <v>685</v>
      </c>
      <c r="L83" s="1">
        <v>1030</v>
      </c>
      <c r="M83" s="1">
        <v>876</v>
      </c>
      <c r="N83" s="1">
        <v>830</v>
      </c>
      <c r="O83" s="1">
        <v>721</v>
      </c>
      <c r="P83" s="1">
        <v>667</v>
      </c>
      <c r="Q83" s="1">
        <v>623</v>
      </c>
      <c r="R83" s="1">
        <v>659</v>
      </c>
      <c r="S83" s="1">
        <v>848</v>
      </c>
      <c r="T83" s="1">
        <v>751</v>
      </c>
      <c r="U83" s="1">
        <v>710</v>
      </c>
      <c r="V83" s="1">
        <v>695</v>
      </c>
      <c r="W83" s="8">
        <f t="shared" si="75"/>
        <v>-4.6153846153846158E-3</v>
      </c>
      <c r="X83" s="8">
        <f t="shared" si="76"/>
        <v>3.8639876352395672E-2</v>
      </c>
      <c r="Y83" s="8">
        <f t="shared" si="77"/>
        <v>0.39732142857142855</v>
      </c>
      <c r="Z83" s="8">
        <f t="shared" si="78"/>
        <v>-0.1336528221512247</v>
      </c>
      <c r="AA83" s="8">
        <f t="shared" si="79"/>
        <v>-5.3472649047326369E-2</v>
      </c>
      <c r="AB83" s="8">
        <f t="shared" si="80"/>
        <v>-8.0519480519480519E-2</v>
      </c>
      <c r="AC83" s="12">
        <f t="shared" si="99"/>
        <v>2.7283494765068E-2</v>
      </c>
      <c r="AD83" s="12">
        <f t="shared" si="100"/>
        <v>-2.9044016831355494E-2</v>
      </c>
      <c r="AE83" s="1">
        <f t="shared" si="101"/>
        <v>-6</v>
      </c>
      <c r="AF83" s="1">
        <f t="shared" si="102"/>
        <v>50</v>
      </c>
      <c r="AG83" s="1">
        <f t="shared" si="103"/>
        <v>534</v>
      </c>
      <c r="AH83" s="1">
        <f t="shared" si="104"/>
        <v>-251</v>
      </c>
      <c r="AI83" s="1">
        <f t="shared" si="105"/>
        <v>-87</v>
      </c>
      <c r="AJ83" s="1">
        <f t="shared" si="106"/>
        <v>-124</v>
      </c>
      <c r="AK83" s="17">
        <f t="shared" si="107"/>
        <v>19.333333333333332</v>
      </c>
      <c r="AL83" s="17">
        <f t="shared" si="108"/>
        <v>-46.5</v>
      </c>
      <c r="AM83" s="1">
        <f t="shared" si="81"/>
        <v>6.0031595576619273E-2</v>
      </c>
      <c r="AN83" s="1">
        <f t="shared" si="82"/>
        <v>2.0864381520119227E-2</v>
      </c>
      <c r="AO83" s="1">
        <f t="shared" si="83"/>
        <v>0.5036496350364964</v>
      </c>
      <c r="AP83" s="1">
        <f t="shared" si="84"/>
        <v>-0.14951456310679612</v>
      </c>
      <c r="AQ83" s="1">
        <f t="shared" si="85"/>
        <v>-5.2511415525114152E-2</v>
      </c>
      <c r="AR83" s="1">
        <f t="shared" si="86"/>
        <v>-0.13132530120481928</v>
      </c>
      <c r="AS83" s="12">
        <f t="shared" si="109"/>
        <v>4.1865722049417547E-2</v>
      </c>
      <c r="AT83" s="12">
        <f t="shared" si="110"/>
        <v>-1.5823517002497463E-2</v>
      </c>
      <c r="AU83" s="1">
        <f t="shared" si="111"/>
        <v>38</v>
      </c>
      <c r="AV83" s="1">
        <f t="shared" si="112"/>
        <v>14</v>
      </c>
      <c r="AW83" s="1">
        <f t="shared" si="113"/>
        <v>345</v>
      </c>
      <c r="AX83" s="1">
        <f t="shared" si="114"/>
        <v>-154</v>
      </c>
      <c r="AY83" s="1">
        <f t="shared" si="115"/>
        <v>-46</v>
      </c>
      <c r="AZ83" s="1">
        <f t="shared" si="116"/>
        <v>-109</v>
      </c>
      <c r="BA83" s="19">
        <f t="shared" si="87"/>
        <v>14.666666666666666</v>
      </c>
      <c r="BB83" s="19">
        <f t="shared" si="88"/>
        <v>-16</v>
      </c>
      <c r="BC83" s="9">
        <f t="shared" si="89"/>
        <v>-6.5967016491754127E-2</v>
      </c>
      <c r="BD83" s="9">
        <f t="shared" si="90"/>
        <v>5.7784911717495988E-2</v>
      </c>
      <c r="BE83" s="9">
        <f t="shared" si="91"/>
        <v>0.28679817905918059</v>
      </c>
      <c r="BF83" s="9">
        <f t="shared" si="92"/>
        <v>-0.11438679245283019</v>
      </c>
      <c r="BG83" s="9">
        <f t="shared" si="93"/>
        <v>-5.459387483355526E-2</v>
      </c>
      <c r="BH83" s="9">
        <f t="shared" si="94"/>
        <v>-2.1126760563380281E-2</v>
      </c>
      <c r="BI83" s="12">
        <f t="shared" si="95"/>
        <v>1.4751441072526123E-2</v>
      </c>
      <c r="BJ83" s="13">
        <f t="shared" si="96"/>
        <v>-3.7860317698467774E-2</v>
      </c>
      <c r="BK83" s="1">
        <f t="shared" si="117"/>
        <v>-44</v>
      </c>
      <c r="BL83" s="1">
        <f t="shared" si="118"/>
        <v>36</v>
      </c>
      <c r="BM83" s="1">
        <f t="shared" si="119"/>
        <v>189</v>
      </c>
      <c r="BN83" s="1">
        <f t="shared" si="120"/>
        <v>-97</v>
      </c>
      <c r="BO83" s="1">
        <f t="shared" si="121"/>
        <v>-41</v>
      </c>
      <c r="BP83" s="1">
        <f t="shared" si="122"/>
        <v>-15</v>
      </c>
      <c r="BQ83" s="19">
        <f t="shared" si="97"/>
        <v>4.666666666666667</v>
      </c>
      <c r="BR83" s="17">
        <f t="shared" si="98"/>
        <v>-28</v>
      </c>
    </row>
    <row r="84" spans="1:70" x14ac:dyDescent="0.25">
      <c r="A84" s="20">
        <v>82</v>
      </c>
      <c r="B84" s="1">
        <v>1300</v>
      </c>
      <c r="C84" s="1">
        <v>1341</v>
      </c>
      <c r="D84" s="1">
        <v>1375</v>
      </c>
      <c r="E84" s="1">
        <v>1784</v>
      </c>
      <c r="F84" s="1">
        <v>1600</v>
      </c>
      <c r="G84" s="1">
        <v>1670</v>
      </c>
      <c r="H84" s="1">
        <v>1572</v>
      </c>
      <c r="I84" s="1">
        <v>685</v>
      </c>
      <c r="J84" s="1">
        <v>699</v>
      </c>
      <c r="K84" s="1">
        <v>720</v>
      </c>
      <c r="L84" s="1">
        <v>948</v>
      </c>
      <c r="M84" s="1">
        <v>862</v>
      </c>
      <c r="N84" s="1">
        <v>878</v>
      </c>
      <c r="O84" s="1">
        <v>820</v>
      </c>
      <c r="P84" s="1">
        <v>615</v>
      </c>
      <c r="Q84" s="1">
        <v>642</v>
      </c>
      <c r="R84" s="1">
        <v>655</v>
      </c>
      <c r="S84" s="1">
        <v>836</v>
      </c>
      <c r="T84" s="1">
        <v>738</v>
      </c>
      <c r="U84" s="1">
        <v>792</v>
      </c>
      <c r="V84" s="1">
        <v>752</v>
      </c>
      <c r="W84" s="8">
        <f t="shared" si="75"/>
        <v>3.1538461538461536E-2</v>
      </c>
      <c r="X84" s="8">
        <f t="shared" si="76"/>
        <v>2.535421327367636E-2</v>
      </c>
      <c r="Y84" s="8">
        <f t="shared" si="77"/>
        <v>0.29745454545454547</v>
      </c>
      <c r="Z84" s="8">
        <f t="shared" si="78"/>
        <v>-0.1031390134529148</v>
      </c>
      <c r="AA84" s="8">
        <f t="shared" si="79"/>
        <v>4.3749999999999997E-2</v>
      </c>
      <c r="AB84" s="8">
        <f t="shared" si="80"/>
        <v>-5.8682634730538925E-2</v>
      </c>
      <c r="AC84" s="12">
        <f t="shared" si="99"/>
        <v>3.9379262013871603E-2</v>
      </c>
      <c r="AD84" s="12">
        <f t="shared" si="100"/>
        <v>2.8446337406068948E-2</v>
      </c>
      <c r="AE84" s="1">
        <f t="shared" si="101"/>
        <v>41</v>
      </c>
      <c r="AF84" s="1">
        <f t="shared" si="102"/>
        <v>34</v>
      </c>
      <c r="AG84" s="1">
        <f t="shared" si="103"/>
        <v>409</v>
      </c>
      <c r="AH84" s="1">
        <f t="shared" si="104"/>
        <v>-184</v>
      </c>
      <c r="AI84" s="1">
        <f t="shared" si="105"/>
        <v>70</v>
      </c>
      <c r="AJ84" s="1">
        <f t="shared" si="106"/>
        <v>-98</v>
      </c>
      <c r="AK84" s="17">
        <f t="shared" si="107"/>
        <v>45.333333333333336</v>
      </c>
      <c r="AL84" s="17">
        <f t="shared" si="108"/>
        <v>37.5</v>
      </c>
      <c r="AM84" s="1">
        <f t="shared" si="81"/>
        <v>2.0437956204379562E-2</v>
      </c>
      <c r="AN84" s="1">
        <f t="shared" si="82"/>
        <v>3.0042918454935622E-2</v>
      </c>
      <c r="AO84" s="1">
        <f t="shared" si="83"/>
        <v>0.31666666666666665</v>
      </c>
      <c r="AP84" s="1">
        <f t="shared" si="84"/>
        <v>-9.0717299578059074E-2</v>
      </c>
      <c r="AQ84" s="1">
        <f t="shared" si="85"/>
        <v>1.8561484918793503E-2</v>
      </c>
      <c r="AR84" s="1">
        <f t="shared" si="86"/>
        <v>-6.6059225512528477E-2</v>
      </c>
      <c r="AS84" s="12">
        <f t="shared" si="109"/>
        <v>3.8155416859031295E-2</v>
      </c>
      <c r="AT84" s="12">
        <f t="shared" si="110"/>
        <v>1.9499720561586532E-2</v>
      </c>
      <c r="AU84" s="1">
        <f t="shared" si="111"/>
        <v>14</v>
      </c>
      <c r="AV84" s="1">
        <f t="shared" si="112"/>
        <v>21</v>
      </c>
      <c r="AW84" s="1">
        <f t="shared" si="113"/>
        <v>228</v>
      </c>
      <c r="AX84" s="1">
        <f t="shared" si="114"/>
        <v>-86</v>
      </c>
      <c r="AY84" s="1">
        <f t="shared" si="115"/>
        <v>16</v>
      </c>
      <c r="AZ84" s="1">
        <f t="shared" si="116"/>
        <v>-58</v>
      </c>
      <c r="BA84" s="19">
        <f t="shared" si="87"/>
        <v>22.5</v>
      </c>
      <c r="BB84" s="19">
        <f t="shared" si="88"/>
        <v>15</v>
      </c>
      <c r="BC84" s="9">
        <f t="shared" si="89"/>
        <v>4.3902439024390241E-2</v>
      </c>
      <c r="BD84" s="9">
        <f t="shared" si="90"/>
        <v>2.0249221183800622E-2</v>
      </c>
      <c r="BE84" s="9">
        <f t="shared" si="91"/>
        <v>0.27633587786259545</v>
      </c>
      <c r="BF84" s="9">
        <f t="shared" si="92"/>
        <v>-0.11722488038277512</v>
      </c>
      <c r="BG84" s="9">
        <f t="shared" si="93"/>
        <v>7.3170731707317069E-2</v>
      </c>
      <c r="BH84" s="9">
        <f t="shared" si="94"/>
        <v>-5.0505050505050504E-2</v>
      </c>
      <c r="BI84" s="12">
        <f t="shared" si="95"/>
        <v>4.0988056481712963E-2</v>
      </c>
      <c r="BJ84" s="13">
        <f t="shared" si="96"/>
        <v>3.2075830104095433E-2</v>
      </c>
      <c r="BK84" s="1">
        <f t="shared" si="117"/>
        <v>27</v>
      </c>
      <c r="BL84" s="1">
        <f t="shared" si="118"/>
        <v>13</v>
      </c>
      <c r="BM84" s="1">
        <f t="shared" si="119"/>
        <v>181</v>
      </c>
      <c r="BN84" s="1">
        <f t="shared" si="120"/>
        <v>-98</v>
      </c>
      <c r="BO84" s="1">
        <f t="shared" si="121"/>
        <v>54</v>
      </c>
      <c r="BP84" s="1">
        <f t="shared" si="122"/>
        <v>-40</v>
      </c>
      <c r="BQ84" s="19">
        <f t="shared" si="97"/>
        <v>22.833333333333332</v>
      </c>
      <c r="BR84" s="17">
        <f t="shared" si="98"/>
        <v>20</v>
      </c>
    </row>
    <row r="85" spans="1:70" x14ac:dyDescent="0.25">
      <c r="A85" s="20">
        <v>83</v>
      </c>
      <c r="B85" s="1">
        <v>1336</v>
      </c>
      <c r="C85" s="1">
        <v>1293</v>
      </c>
      <c r="D85" s="1">
        <v>1513</v>
      </c>
      <c r="E85" s="1">
        <v>1803</v>
      </c>
      <c r="F85" s="1">
        <v>1588</v>
      </c>
      <c r="G85" s="1">
        <v>1536</v>
      </c>
      <c r="H85" s="1">
        <v>1601</v>
      </c>
      <c r="I85" s="1">
        <v>688</v>
      </c>
      <c r="J85" s="1">
        <v>650</v>
      </c>
      <c r="K85" s="1">
        <v>793</v>
      </c>
      <c r="L85" s="1">
        <v>1022</v>
      </c>
      <c r="M85" s="1">
        <v>819</v>
      </c>
      <c r="N85" s="1">
        <v>728</v>
      </c>
      <c r="O85" s="1">
        <v>805</v>
      </c>
      <c r="P85" s="1">
        <v>648</v>
      </c>
      <c r="Q85" s="1">
        <v>643</v>
      </c>
      <c r="R85" s="1">
        <v>720</v>
      </c>
      <c r="S85" s="1">
        <v>781</v>
      </c>
      <c r="T85" s="1">
        <v>769</v>
      </c>
      <c r="U85" s="1">
        <v>808</v>
      </c>
      <c r="V85" s="1">
        <v>796</v>
      </c>
      <c r="W85" s="8">
        <f t="shared" si="75"/>
        <v>-3.2185628742514967E-2</v>
      </c>
      <c r="X85" s="8">
        <f t="shared" si="76"/>
        <v>0.17014694508894046</v>
      </c>
      <c r="Y85" s="8">
        <f t="shared" si="77"/>
        <v>0.19167217448777263</v>
      </c>
      <c r="Z85" s="8">
        <f t="shared" si="78"/>
        <v>-0.1192457016084304</v>
      </c>
      <c r="AA85" s="8">
        <f t="shared" si="79"/>
        <v>-3.2745591939546598E-2</v>
      </c>
      <c r="AB85" s="8">
        <f t="shared" si="80"/>
        <v>4.2317708333333336E-2</v>
      </c>
      <c r="AC85" s="12">
        <f t="shared" si="99"/>
        <v>3.6659984269925748E-2</v>
      </c>
      <c r="AD85" s="12">
        <f t="shared" si="100"/>
        <v>5.0660397954091843E-3</v>
      </c>
      <c r="AE85" s="1">
        <f t="shared" si="101"/>
        <v>-43</v>
      </c>
      <c r="AF85" s="1">
        <f t="shared" si="102"/>
        <v>220</v>
      </c>
      <c r="AG85" s="1">
        <f t="shared" si="103"/>
        <v>290</v>
      </c>
      <c r="AH85" s="1">
        <f t="shared" si="104"/>
        <v>-215</v>
      </c>
      <c r="AI85" s="1">
        <f t="shared" si="105"/>
        <v>-52</v>
      </c>
      <c r="AJ85" s="1">
        <f t="shared" si="106"/>
        <v>65</v>
      </c>
      <c r="AK85" s="17">
        <f t="shared" si="107"/>
        <v>44.166666666666664</v>
      </c>
      <c r="AL85" s="17">
        <f t="shared" si="108"/>
        <v>11</v>
      </c>
      <c r="AM85" s="1">
        <f t="shared" si="81"/>
        <v>-5.5232558139534885E-2</v>
      </c>
      <c r="AN85" s="1">
        <f t="shared" si="82"/>
        <v>0.22</v>
      </c>
      <c r="AO85" s="1">
        <f t="shared" si="83"/>
        <v>0.28877679697351827</v>
      </c>
      <c r="AP85" s="1">
        <f t="shared" si="84"/>
        <v>-0.19863013698630136</v>
      </c>
      <c r="AQ85" s="1">
        <f t="shared" si="85"/>
        <v>-0.1111111111111111</v>
      </c>
      <c r="AR85" s="1">
        <f t="shared" si="86"/>
        <v>0.10576923076923077</v>
      </c>
      <c r="AS85" s="12">
        <f t="shared" si="109"/>
        <v>4.1595370250966955E-2</v>
      </c>
      <c r="AT85" s="12">
        <f t="shared" si="110"/>
        <v>2.5268336314847942E-2</v>
      </c>
      <c r="AU85" s="1">
        <f t="shared" si="111"/>
        <v>-38</v>
      </c>
      <c r="AV85" s="1">
        <f t="shared" si="112"/>
        <v>143</v>
      </c>
      <c r="AW85" s="1">
        <f t="shared" si="113"/>
        <v>229</v>
      </c>
      <c r="AX85" s="1">
        <f t="shared" si="114"/>
        <v>-203</v>
      </c>
      <c r="AY85" s="1">
        <f t="shared" si="115"/>
        <v>-91</v>
      </c>
      <c r="AZ85" s="1">
        <f t="shared" si="116"/>
        <v>77</v>
      </c>
      <c r="BA85" s="19">
        <f t="shared" si="87"/>
        <v>19.5</v>
      </c>
      <c r="BB85" s="19">
        <f t="shared" si="88"/>
        <v>19.5</v>
      </c>
      <c r="BC85" s="9">
        <f t="shared" si="89"/>
        <v>-7.716049382716049E-3</v>
      </c>
      <c r="BD85" s="9">
        <f t="shared" si="90"/>
        <v>0.11975116640746501</v>
      </c>
      <c r="BE85" s="9">
        <f t="shared" si="91"/>
        <v>8.4722222222222227E-2</v>
      </c>
      <c r="BF85" s="9">
        <f t="shared" si="92"/>
        <v>-1.5364916773367477E-2</v>
      </c>
      <c r="BG85" s="9">
        <f t="shared" si="93"/>
        <v>5.071521456436931E-2</v>
      </c>
      <c r="BH85" s="9">
        <f t="shared" si="94"/>
        <v>-1.4851485148514851E-2</v>
      </c>
      <c r="BI85" s="12">
        <f t="shared" si="95"/>
        <v>3.6209358648243033E-2</v>
      </c>
      <c r="BJ85" s="13">
        <f t="shared" si="96"/>
        <v>2.149958259082663E-2</v>
      </c>
      <c r="BK85" s="1">
        <f t="shared" si="117"/>
        <v>-5</v>
      </c>
      <c r="BL85" s="1">
        <f t="shared" si="118"/>
        <v>77</v>
      </c>
      <c r="BM85" s="1">
        <f t="shared" si="119"/>
        <v>61</v>
      </c>
      <c r="BN85" s="1">
        <f t="shared" si="120"/>
        <v>-12</v>
      </c>
      <c r="BO85" s="1">
        <f t="shared" si="121"/>
        <v>39</v>
      </c>
      <c r="BP85" s="1">
        <f t="shared" si="122"/>
        <v>-12</v>
      </c>
      <c r="BQ85" s="19">
        <f t="shared" si="97"/>
        <v>24.666666666666668</v>
      </c>
      <c r="BR85" s="17">
        <f t="shared" si="98"/>
        <v>17</v>
      </c>
    </row>
    <row r="86" spans="1:70" x14ac:dyDescent="0.25">
      <c r="A86" s="20">
        <v>84</v>
      </c>
      <c r="B86" s="1">
        <v>1359</v>
      </c>
      <c r="C86" s="1">
        <v>1426</v>
      </c>
      <c r="D86" s="1">
        <v>1401</v>
      </c>
      <c r="E86" s="1">
        <v>1866</v>
      </c>
      <c r="F86" s="1">
        <v>1619</v>
      </c>
      <c r="G86" s="1">
        <v>1633</v>
      </c>
      <c r="H86" s="1">
        <v>1564</v>
      </c>
      <c r="I86" s="1">
        <v>673</v>
      </c>
      <c r="J86" s="1">
        <v>714</v>
      </c>
      <c r="K86" s="1">
        <v>712</v>
      </c>
      <c r="L86" s="1">
        <v>977</v>
      </c>
      <c r="M86" s="1">
        <v>851</v>
      </c>
      <c r="N86" s="1">
        <v>829</v>
      </c>
      <c r="O86" s="1">
        <v>802</v>
      </c>
      <c r="P86" s="1">
        <v>686</v>
      </c>
      <c r="Q86" s="1">
        <v>712</v>
      </c>
      <c r="R86" s="1">
        <v>689</v>
      </c>
      <c r="S86" s="1">
        <v>889</v>
      </c>
      <c r="T86" s="1">
        <v>768</v>
      </c>
      <c r="U86" s="1">
        <v>804</v>
      </c>
      <c r="V86" s="1">
        <v>762</v>
      </c>
      <c r="W86" s="8">
        <f t="shared" si="75"/>
        <v>4.9300956585724795E-2</v>
      </c>
      <c r="X86" s="8">
        <f t="shared" si="76"/>
        <v>-1.7531556802244039E-2</v>
      </c>
      <c r="Y86" s="8">
        <f t="shared" si="77"/>
        <v>0.33190578158458245</v>
      </c>
      <c r="Z86" s="8">
        <f t="shared" si="78"/>
        <v>-0.13236870310825294</v>
      </c>
      <c r="AA86" s="8">
        <f t="shared" si="79"/>
        <v>8.6473131562693015E-3</v>
      </c>
      <c r="AB86" s="8">
        <f t="shared" si="80"/>
        <v>-4.2253521126760563E-2</v>
      </c>
      <c r="AC86" s="12">
        <f t="shared" si="99"/>
        <v>3.2950045048219835E-2</v>
      </c>
      <c r="AD86" s="12">
        <f t="shared" si="100"/>
        <v>-4.4421218229873695E-3</v>
      </c>
      <c r="AE86" s="1">
        <f t="shared" si="101"/>
        <v>67</v>
      </c>
      <c r="AF86" s="1">
        <f t="shared" si="102"/>
        <v>-25</v>
      </c>
      <c r="AG86" s="1">
        <f t="shared" si="103"/>
        <v>465</v>
      </c>
      <c r="AH86" s="1">
        <f t="shared" si="104"/>
        <v>-247</v>
      </c>
      <c r="AI86" s="1">
        <f t="shared" si="105"/>
        <v>14</v>
      </c>
      <c r="AJ86" s="1">
        <f t="shared" si="106"/>
        <v>-69</v>
      </c>
      <c r="AK86" s="17">
        <f t="shared" si="107"/>
        <v>34.166666666666664</v>
      </c>
      <c r="AL86" s="17">
        <f t="shared" si="108"/>
        <v>-5.5</v>
      </c>
      <c r="AM86" s="1">
        <f t="shared" si="81"/>
        <v>6.0921248142644872E-2</v>
      </c>
      <c r="AN86" s="1">
        <f t="shared" si="82"/>
        <v>-2.8011204481792717E-3</v>
      </c>
      <c r="AO86" s="1">
        <f t="shared" si="83"/>
        <v>0.37219101123595505</v>
      </c>
      <c r="AP86" s="1">
        <f t="shared" si="84"/>
        <v>-0.12896622313203684</v>
      </c>
      <c r="AQ86" s="1">
        <f t="shared" si="85"/>
        <v>-2.5851938895417155E-2</v>
      </c>
      <c r="AR86" s="1">
        <f t="shared" si="86"/>
        <v>-3.2569360675512665E-2</v>
      </c>
      <c r="AS86" s="12">
        <f t="shared" si="109"/>
        <v>4.0487269371242342E-2</v>
      </c>
      <c r="AT86" s="12">
        <f t="shared" si="110"/>
        <v>-1.4326529671798214E-2</v>
      </c>
      <c r="AU86" s="1">
        <f t="shared" si="111"/>
        <v>41</v>
      </c>
      <c r="AV86" s="1">
        <f t="shared" si="112"/>
        <v>-2</v>
      </c>
      <c r="AW86" s="1">
        <f t="shared" si="113"/>
        <v>265</v>
      </c>
      <c r="AX86" s="1">
        <f t="shared" si="114"/>
        <v>-126</v>
      </c>
      <c r="AY86" s="1">
        <f t="shared" si="115"/>
        <v>-22</v>
      </c>
      <c r="AZ86" s="1">
        <f t="shared" si="116"/>
        <v>-27</v>
      </c>
      <c r="BA86" s="19">
        <f t="shared" si="87"/>
        <v>21.5</v>
      </c>
      <c r="BB86" s="19">
        <f t="shared" si="88"/>
        <v>-12</v>
      </c>
      <c r="BC86" s="9">
        <f t="shared" si="89"/>
        <v>3.7900874635568516E-2</v>
      </c>
      <c r="BD86" s="9">
        <f t="shared" si="90"/>
        <v>-3.2303370786516857E-2</v>
      </c>
      <c r="BE86" s="9">
        <f t="shared" si="91"/>
        <v>0.29027576197387517</v>
      </c>
      <c r="BF86" s="9">
        <f t="shared" si="92"/>
        <v>-0.13610798650168729</v>
      </c>
      <c r="BG86" s="9">
        <f t="shared" si="93"/>
        <v>4.6875E-2</v>
      </c>
      <c r="BH86" s="9">
        <f t="shared" si="94"/>
        <v>-5.2238805970149252E-2</v>
      </c>
      <c r="BI86" s="12">
        <f t="shared" si="95"/>
        <v>2.573357889184838E-2</v>
      </c>
      <c r="BJ86" s="13">
        <f t="shared" si="96"/>
        <v>2.7987519245258261E-3</v>
      </c>
      <c r="BK86" s="1">
        <f t="shared" si="117"/>
        <v>26</v>
      </c>
      <c r="BL86" s="1">
        <f t="shared" si="118"/>
        <v>-23</v>
      </c>
      <c r="BM86" s="1">
        <f t="shared" si="119"/>
        <v>200</v>
      </c>
      <c r="BN86" s="1">
        <f t="shared" si="120"/>
        <v>-121</v>
      </c>
      <c r="BO86" s="1">
        <f t="shared" si="121"/>
        <v>36</v>
      </c>
      <c r="BP86" s="1">
        <f t="shared" si="122"/>
        <v>-42</v>
      </c>
      <c r="BQ86" s="19">
        <f t="shared" si="97"/>
        <v>12.666666666666666</v>
      </c>
      <c r="BR86" s="17">
        <f t="shared" si="98"/>
        <v>1.5</v>
      </c>
    </row>
    <row r="87" spans="1:70" x14ac:dyDescent="0.25">
      <c r="A87" s="20">
        <v>85</v>
      </c>
      <c r="B87" s="1">
        <v>1386</v>
      </c>
      <c r="C87" s="1">
        <v>1347</v>
      </c>
      <c r="D87" s="1">
        <v>1494</v>
      </c>
      <c r="E87" s="1">
        <v>1827</v>
      </c>
      <c r="F87" s="1">
        <v>1714</v>
      </c>
      <c r="G87" s="1">
        <v>1658</v>
      </c>
      <c r="H87" s="1">
        <v>1552</v>
      </c>
      <c r="I87" s="1">
        <v>697</v>
      </c>
      <c r="J87" s="1">
        <v>679</v>
      </c>
      <c r="K87" s="1">
        <v>751</v>
      </c>
      <c r="L87" s="1">
        <v>986</v>
      </c>
      <c r="M87" s="1">
        <v>891</v>
      </c>
      <c r="N87" s="1">
        <v>829</v>
      </c>
      <c r="O87" s="1">
        <v>766</v>
      </c>
      <c r="P87" s="1">
        <v>689</v>
      </c>
      <c r="Q87" s="1">
        <v>668</v>
      </c>
      <c r="R87" s="1">
        <v>743</v>
      </c>
      <c r="S87" s="1">
        <v>841</v>
      </c>
      <c r="T87" s="1">
        <v>823</v>
      </c>
      <c r="U87" s="1">
        <v>829</v>
      </c>
      <c r="V87" s="1">
        <v>786</v>
      </c>
      <c r="W87" s="8">
        <f t="shared" si="75"/>
        <v>-2.813852813852814E-2</v>
      </c>
      <c r="X87" s="8">
        <f t="shared" si="76"/>
        <v>0.10913140311804009</v>
      </c>
      <c r="Y87" s="8">
        <f t="shared" si="77"/>
        <v>0.22289156626506024</v>
      </c>
      <c r="Z87" s="8">
        <f t="shared" si="78"/>
        <v>-6.1850027367268745E-2</v>
      </c>
      <c r="AA87" s="8">
        <f t="shared" si="79"/>
        <v>-3.2672112018669777E-2</v>
      </c>
      <c r="AB87" s="8">
        <f t="shared" si="80"/>
        <v>-6.3932448733413749E-2</v>
      </c>
      <c r="AC87" s="12">
        <f t="shared" si="99"/>
        <v>2.4238308854203323E-2</v>
      </c>
      <c r="AD87" s="12">
        <f t="shared" si="100"/>
        <v>-3.040532007859896E-2</v>
      </c>
      <c r="AE87" s="1">
        <f t="shared" si="101"/>
        <v>-39</v>
      </c>
      <c r="AF87" s="1">
        <f t="shared" si="102"/>
        <v>147</v>
      </c>
      <c r="AG87" s="1">
        <f t="shared" si="103"/>
        <v>333</v>
      </c>
      <c r="AH87" s="1">
        <f t="shared" si="104"/>
        <v>-113</v>
      </c>
      <c r="AI87" s="1">
        <f t="shared" si="105"/>
        <v>-56</v>
      </c>
      <c r="AJ87" s="1">
        <f t="shared" si="106"/>
        <v>-106</v>
      </c>
      <c r="AK87" s="17">
        <f t="shared" si="107"/>
        <v>27.666666666666668</v>
      </c>
      <c r="AL87" s="17">
        <f t="shared" si="108"/>
        <v>-47.5</v>
      </c>
      <c r="AM87" s="1">
        <f t="shared" si="81"/>
        <v>-2.5824964131994262E-2</v>
      </c>
      <c r="AN87" s="1">
        <f t="shared" si="82"/>
        <v>0.10603829160530191</v>
      </c>
      <c r="AO87" s="1">
        <f t="shared" si="83"/>
        <v>0.31291611185086549</v>
      </c>
      <c r="AP87" s="1">
        <f t="shared" si="84"/>
        <v>-9.6348884381338748E-2</v>
      </c>
      <c r="AQ87" s="1">
        <f t="shared" si="85"/>
        <v>-6.9584736251402921E-2</v>
      </c>
      <c r="AR87" s="1">
        <f t="shared" si="86"/>
        <v>-7.5995174909529548E-2</v>
      </c>
      <c r="AS87" s="12">
        <f t="shared" si="109"/>
        <v>2.5200107296983642E-2</v>
      </c>
      <c r="AT87" s="12">
        <f t="shared" si="110"/>
        <v>-4.7704850191698595E-2</v>
      </c>
      <c r="AU87" s="1">
        <f t="shared" si="111"/>
        <v>-18</v>
      </c>
      <c r="AV87" s="1">
        <f t="shared" si="112"/>
        <v>72</v>
      </c>
      <c r="AW87" s="1">
        <f t="shared" si="113"/>
        <v>235</v>
      </c>
      <c r="AX87" s="1">
        <f t="shared" si="114"/>
        <v>-95</v>
      </c>
      <c r="AY87" s="1">
        <f t="shared" si="115"/>
        <v>-62</v>
      </c>
      <c r="AZ87" s="1">
        <f t="shared" si="116"/>
        <v>-63</v>
      </c>
      <c r="BA87" s="19">
        <f t="shared" si="87"/>
        <v>11.5</v>
      </c>
      <c r="BB87" s="19">
        <f t="shared" si="88"/>
        <v>-40</v>
      </c>
      <c r="BC87" s="9">
        <f t="shared" si="89"/>
        <v>-3.0478955007256895E-2</v>
      </c>
      <c r="BD87" s="9">
        <f t="shared" si="90"/>
        <v>0.1122754491017964</v>
      </c>
      <c r="BE87" s="9">
        <f t="shared" si="91"/>
        <v>0.13189771197846567</v>
      </c>
      <c r="BF87" s="9">
        <f t="shared" si="92"/>
        <v>-2.1403091557669441E-2</v>
      </c>
      <c r="BG87" s="9">
        <f t="shared" si="93"/>
        <v>7.2904009720534627E-3</v>
      </c>
      <c r="BH87" s="9">
        <f t="shared" si="94"/>
        <v>-5.1869722557297951E-2</v>
      </c>
      <c r="BI87" s="12">
        <f t="shared" si="95"/>
        <v>2.4618632155015207E-2</v>
      </c>
      <c r="BJ87" s="13">
        <f t="shared" si="96"/>
        <v>-7.0563452928079883E-3</v>
      </c>
      <c r="BK87" s="1">
        <f t="shared" si="117"/>
        <v>-21</v>
      </c>
      <c r="BL87" s="1">
        <f t="shared" si="118"/>
        <v>75</v>
      </c>
      <c r="BM87" s="1">
        <f t="shared" si="119"/>
        <v>98</v>
      </c>
      <c r="BN87" s="1">
        <f t="shared" si="120"/>
        <v>-18</v>
      </c>
      <c r="BO87" s="1">
        <f t="shared" si="121"/>
        <v>6</v>
      </c>
      <c r="BP87" s="1">
        <f t="shared" si="122"/>
        <v>-43</v>
      </c>
      <c r="BQ87" s="19">
        <f t="shared" si="97"/>
        <v>16.166666666666668</v>
      </c>
      <c r="BR87" s="17">
        <f t="shared" si="98"/>
        <v>-6</v>
      </c>
    </row>
    <row r="88" spans="1:70" x14ac:dyDescent="0.25">
      <c r="A88" s="20">
        <v>86</v>
      </c>
      <c r="B88" s="1">
        <v>1421</v>
      </c>
      <c r="C88" s="1">
        <v>1366</v>
      </c>
      <c r="D88" s="1">
        <v>1518</v>
      </c>
      <c r="E88" s="1">
        <v>1890</v>
      </c>
      <c r="F88" s="1">
        <v>1618</v>
      </c>
      <c r="G88" s="1">
        <v>1703</v>
      </c>
      <c r="H88" s="1">
        <v>1634</v>
      </c>
      <c r="I88" s="1">
        <v>701</v>
      </c>
      <c r="J88" s="1">
        <v>656</v>
      </c>
      <c r="K88" s="1">
        <v>778</v>
      </c>
      <c r="L88" s="1">
        <v>982</v>
      </c>
      <c r="M88" s="1">
        <v>781</v>
      </c>
      <c r="N88" s="1">
        <v>826</v>
      </c>
      <c r="O88" s="1">
        <v>798</v>
      </c>
      <c r="P88" s="1">
        <v>720</v>
      </c>
      <c r="Q88" s="1">
        <v>710</v>
      </c>
      <c r="R88" s="1">
        <v>740</v>
      </c>
      <c r="S88" s="1">
        <v>908</v>
      </c>
      <c r="T88" s="1">
        <v>837</v>
      </c>
      <c r="U88" s="1">
        <v>877</v>
      </c>
      <c r="V88" s="1">
        <v>836</v>
      </c>
      <c r="W88" s="8">
        <f t="shared" si="75"/>
        <v>-3.8705137227304717E-2</v>
      </c>
      <c r="X88" s="8">
        <f t="shared" si="76"/>
        <v>0.11127379209370425</v>
      </c>
      <c r="Y88" s="8">
        <f t="shared" si="77"/>
        <v>0.24505928853754941</v>
      </c>
      <c r="Z88" s="8">
        <f t="shared" si="78"/>
        <v>-0.14391534391534391</v>
      </c>
      <c r="AA88" s="8">
        <f t="shared" si="79"/>
        <v>5.2533992583436342E-2</v>
      </c>
      <c r="AB88" s="8">
        <f t="shared" si="80"/>
        <v>-4.0516735173223725E-2</v>
      </c>
      <c r="AC88" s="12">
        <f t="shared" si="99"/>
        <v>3.0954976149802943E-2</v>
      </c>
      <c r="AD88" s="12">
        <f t="shared" si="100"/>
        <v>6.9144276780658126E-3</v>
      </c>
      <c r="AE88" s="1">
        <f t="shared" si="101"/>
        <v>-55</v>
      </c>
      <c r="AF88" s="1">
        <f t="shared" si="102"/>
        <v>152</v>
      </c>
      <c r="AG88" s="1">
        <f t="shared" si="103"/>
        <v>372</v>
      </c>
      <c r="AH88" s="1">
        <f t="shared" si="104"/>
        <v>-272</v>
      </c>
      <c r="AI88" s="1">
        <f t="shared" si="105"/>
        <v>85</v>
      </c>
      <c r="AJ88" s="1">
        <f t="shared" si="106"/>
        <v>-69</v>
      </c>
      <c r="AK88" s="17">
        <f t="shared" si="107"/>
        <v>35.5</v>
      </c>
      <c r="AL88" s="17">
        <f t="shared" si="108"/>
        <v>15</v>
      </c>
      <c r="AM88" s="1">
        <f t="shared" si="81"/>
        <v>-6.4194008559201141E-2</v>
      </c>
      <c r="AN88" s="1">
        <f t="shared" si="82"/>
        <v>0.18597560975609756</v>
      </c>
      <c r="AO88" s="1">
        <f t="shared" si="83"/>
        <v>0.26221079691516708</v>
      </c>
      <c r="AP88" s="1">
        <f t="shared" si="84"/>
        <v>-0.20468431771894094</v>
      </c>
      <c r="AQ88" s="1">
        <f t="shared" si="85"/>
        <v>5.7618437900128043E-2</v>
      </c>
      <c r="AR88" s="1">
        <f t="shared" si="86"/>
        <v>-3.3898305084745763E-2</v>
      </c>
      <c r="AS88" s="12">
        <f t="shared" si="109"/>
        <v>3.3838035534750809E-2</v>
      </c>
      <c r="AT88" s="12">
        <f t="shared" si="110"/>
        <v>1.186006640769114E-2</v>
      </c>
      <c r="AU88" s="1">
        <f t="shared" si="111"/>
        <v>-45</v>
      </c>
      <c r="AV88" s="1">
        <f t="shared" si="112"/>
        <v>122</v>
      </c>
      <c r="AW88" s="1">
        <f t="shared" si="113"/>
        <v>204</v>
      </c>
      <c r="AX88" s="1">
        <f t="shared" si="114"/>
        <v>-201</v>
      </c>
      <c r="AY88" s="1">
        <f t="shared" si="115"/>
        <v>45</v>
      </c>
      <c r="AZ88" s="1">
        <f t="shared" si="116"/>
        <v>-28</v>
      </c>
      <c r="BA88" s="19">
        <f t="shared" si="87"/>
        <v>16.166666666666668</v>
      </c>
      <c r="BB88" s="19">
        <f t="shared" si="88"/>
        <v>8.5</v>
      </c>
      <c r="BC88" s="9">
        <f t="shared" si="89"/>
        <v>-1.3888888888888888E-2</v>
      </c>
      <c r="BD88" s="9">
        <f t="shared" si="90"/>
        <v>4.2253521126760563E-2</v>
      </c>
      <c r="BE88" s="9">
        <f t="shared" si="91"/>
        <v>0.22702702702702704</v>
      </c>
      <c r="BF88" s="9">
        <f t="shared" si="92"/>
        <v>-7.819383259911894E-2</v>
      </c>
      <c r="BG88" s="9">
        <f t="shared" si="93"/>
        <v>4.778972520908005E-2</v>
      </c>
      <c r="BH88" s="9">
        <f t="shared" si="94"/>
        <v>-4.6750285062713795E-2</v>
      </c>
      <c r="BI88" s="12">
        <f t="shared" si="95"/>
        <v>2.9706211135357669E-2</v>
      </c>
      <c r="BJ88" s="13">
        <f t="shared" si="96"/>
        <v>1.4182316118935837E-2</v>
      </c>
      <c r="BK88" s="1">
        <f t="shared" si="117"/>
        <v>-10</v>
      </c>
      <c r="BL88" s="1">
        <f t="shared" si="118"/>
        <v>30</v>
      </c>
      <c r="BM88" s="1">
        <f t="shared" si="119"/>
        <v>168</v>
      </c>
      <c r="BN88" s="1">
        <f t="shared" si="120"/>
        <v>-71</v>
      </c>
      <c r="BO88" s="1">
        <f t="shared" si="121"/>
        <v>40</v>
      </c>
      <c r="BP88" s="1">
        <f t="shared" si="122"/>
        <v>-41</v>
      </c>
      <c r="BQ88" s="19">
        <f t="shared" si="97"/>
        <v>19.333333333333332</v>
      </c>
      <c r="BR88" s="17">
        <f t="shared" si="98"/>
        <v>10</v>
      </c>
    </row>
    <row r="89" spans="1:70" x14ac:dyDescent="0.25">
      <c r="A89" s="20">
        <v>87</v>
      </c>
      <c r="B89" s="1">
        <v>1410</v>
      </c>
      <c r="C89" s="1">
        <v>1443</v>
      </c>
      <c r="D89" s="1">
        <v>1417</v>
      </c>
      <c r="E89" s="1">
        <v>1846</v>
      </c>
      <c r="F89" s="1">
        <v>1580</v>
      </c>
      <c r="G89" s="1">
        <v>1624</v>
      </c>
      <c r="H89" s="1">
        <v>1596</v>
      </c>
      <c r="I89" s="1">
        <v>678</v>
      </c>
      <c r="J89" s="1">
        <v>691</v>
      </c>
      <c r="K89" s="1">
        <v>674</v>
      </c>
      <c r="L89" s="1">
        <v>929</v>
      </c>
      <c r="M89" s="1">
        <v>799</v>
      </c>
      <c r="N89" s="1">
        <v>763</v>
      </c>
      <c r="O89" s="1">
        <v>744</v>
      </c>
      <c r="P89" s="1">
        <v>732</v>
      </c>
      <c r="Q89" s="1">
        <v>752</v>
      </c>
      <c r="R89" s="1">
        <v>743</v>
      </c>
      <c r="S89" s="1">
        <v>917</v>
      </c>
      <c r="T89" s="1">
        <v>781</v>
      </c>
      <c r="U89" s="1">
        <v>861</v>
      </c>
      <c r="V89" s="1">
        <v>852</v>
      </c>
      <c r="W89" s="8">
        <f t="shared" si="75"/>
        <v>2.3404255319148935E-2</v>
      </c>
      <c r="X89" s="8">
        <f t="shared" si="76"/>
        <v>-1.8018018018018018E-2</v>
      </c>
      <c r="Y89" s="8">
        <f t="shared" si="77"/>
        <v>0.30275229357798167</v>
      </c>
      <c r="Z89" s="8">
        <f t="shared" si="78"/>
        <v>-0.14409534127843987</v>
      </c>
      <c r="AA89" s="8">
        <f t="shared" si="79"/>
        <v>2.7848101265822784E-2</v>
      </c>
      <c r="AB89" s="8">
        <f t="shared" si="80"/>
        <v>-1.7241379310344827E-2</v>
      </c>
      <c r="AC89" s="12">
        <f t="shared" si="99"/>
        <v>2.9108318592691779E-2</v>
      </c>
      <c r="AD89" s="12">
        <f t="shared" si="100"/>
        <v>3.081438004402054E-3</v>
      </c>
      <c r="AE89" s="1">
        <f t="shared" si="101"/>
        <v>33</v>
      </c>
      <c r="AF89" s="1">
        <f t="shared" si="102"/>
        <v>-26</v>
      </c>
      <c r="AG89" s="1">
        <f t="shared" si="103"/>
        <v>429</v>
      </c>
      <c r="AH89" s="1">
        <f t="shared" si="104"/>
        <v>-266</v>
      </c>
      <c r="AI89" s="1">
        <f t="shared" si="105"/>
        <v>44</v>
      </c>
      <c r="AJ89" s="1">
        <f t="shared" si="106"/>
        <v>-28</v>
      </c>
      <c r="AK89" s="17">
        <f t="shared" si="107"/>
        <v>31</v>
      </c>
      <c r="AL89" s="17">
        <f t="shared" si="108"/>
        <v>3.5</v>
      </c>
      <c r="AM89" s="1">
        <f t="shared" si="81"/>
        <v>1.9174041297935103E-2</v>
      </c>
      <c r="AN89" s="1">
        <f t="shared" si="82"/>
        <v>-2.4602026049204053E-2</v>
      </c>
      <c r="AO89" s="1">
        <f t="shared" si="83"/>
        <v>0.37833827893175076</v>
      </c>
      <c r="AP89" s="1">
        <f t="shared" si="84"/>
        <v>-0.13993541442411195</v>
      </c>
      <c r="AQ89" s="1">
        <f t="shared" si="85"/>
        <v>-4.5056320400500623E-2</v>
      </c>
      <c r="AR89" s="1">
        <f t="shared" si="86"/>
        <v>-2.4901703800786368E-2</v>
      </c>
      <c r="AS89" s="12">
        <f t="shared" si="109"/>
        <v>2.7169475925847147E-2</v>
      </c>
      <c r="AT89" s="12">
        <f t="shared" si="110"/>
        <v>-2.4751864924995211E-2</v>
      </c>
      <c r="AU89" s="1">
        <f t="shared" si="111"/>
        <v>13</v>
      </c>
      <c r="AV89" s="1">
        <f t="shared" si="112"/>
        <v>-17</v>
      </c>
      <c r="AW89" s="1">
        <f t="shared" si="113"/>
        <v>255</v>
      </c>
      <c r="AX89" s="1">
        <f t="shared" si="114"/>
        <v>-130</v>
      </c>
      <c r="AY89" s="1">
        <f t="shared" si="115"/>
        <v>-36</v>
      </c>
      <c r="AZ89" s="1">
        <f t="shared" si="116"/>
        <v>-19</v>
      </c>
      <c r="BA89" s="19">
        <f t="shared" si="87"/>
        <v>11</v>
      </c>
      <c r="BB89" s="19">
        <f t="shared" si="88"/>
        <v>-18</v>
      </c>
      <c r="BC89" s="9">
        <f t="shared" si="89"/>
        <v>2.7322404371584699E-2</v>
      </c>
      <c r="BD89" s="9">
        <f t="shared" si="90"/>
        <v>-1.1968085106382979E-2</v>
      </c>
      <c r="BE89" s="9">
        <f t="shared" si="91"/>
        <v>0.23418573351278602</v>
      </c>
      <c r="BF89" s="9">
        <f t="shared" si="92"/>
        <v>-0.14830970556161396</v>
      </c>
      <c r="BG89" s="9">
        <f t="shared" si="93"/>
        <v>0.10243277848911651</v>
      </c>
      <c r="BH89" s="9">
        <f t="shared" si="94"/>
        <v>-1.0452961672473868E-2</v>
      </c>
      <c r="BI89" s="12">
        <f t="shared" si="95"/>
        <v>3.2201694005502733E-2</v>
      </c>
      <c r="BJ89" s="13">
        <f t="shared" si="96"/>
        <v>8.4347213495554151E-3</v>
      </c>
      <c r="BK89" s="1">
        <f t="shared" si="117"/>
        <v>20</v>
      </c>
      <c r="BL89" s="1">
        <f t="shared" si="118"/>
        <v>-9</v>
      </c>
      <c r="BM89" s="1">
        <f t="shared" si="119"/>
        <v>174</v>
      </c>
      <c r="BN89" s="1">
        <f t="shared" si="120"/>
        <v>-136</v>
      </c>
      <c r="BO89" s="1">
        <f t="shared" si="121"/>
        <v>80</v>
      </c>
      <c r="BP89" s="1">
        <f t="shared" si="122"/>
        <v>-9</v>
      </c>
      <c r="BQ89" s="19">
        <f t="shared" si="97"/>
        <v>20</v>
      </c>
      <c r="BR89" s="17">
        <f t="shared" si="98"/>
        <v>5.5</v>
      </c>
    </row>
    <row r="90" spans="1:70" x14ac:dyDescent="0.25">
      <c r="A90" s="20">
        <v>88</v>
      </c>
      <c r="B90" s="1">
        <v>1312</v>
      </c>
      <c r="C90" s="1">
        <v>1397</v>
      </c>
      <c r="D90" s="1">
        <v>1387</v>
      </c>
      <c r="E90" s="1">
        <v>1798</v>
      </c>
      <c r="F90" s="1">
        <v>1566</v>
      </c>
      <c r="G90" s="1">
        <v>1640</v>
      </c>
      <c r="H90" s="1">
        <v>1513</v>
      </c>
      <c r="I90" s="1">
        <v>623</v>
      </c>
      <c r="J90" s="1">
        <v>668</v>
      </c>
      <c r="K90" s="1">
        <v>674</v>
      </c>
      <c r="L90" s="1">
        <v>893</v>
      </c>
      <c r="M90" s="1">
        <v>728</v>
      </c>
      <c r="N90" s="1">
        <v>779</v>
      </c>
      <c r="O90" s="1">
        <v>721</v>
      </c>
      <c r="P90" s="1">
        <v>689</v>
      </c>
      <c r="Q90" s="1">
        <v>729</v>
      </c>
      <c r="R90" s="1">
        <v>713</v>
      </c>
      <c r="S90" s="1">
        <v>905</v>
      </c>
      <c r="T90" s="1">
        <v>838</v>
      </c>
      <c r="U90" s="1">
        <v>861</v>
      </c>
      <c r="V90" s="1">
        <v>792</v>
      </c>
      <c r="W90" s="8">
        <f t="shared" si="75"/>
        <v>6.4786585365853661E-2</v>
      </c>
      <c r="X90" s="8">
        <f t="shared" si="76"/>
        <v>-7.1581961345740875E-3</v>
      </c>
      <c r="Y90" s="8">
        <f t="shared" si="77"/>
        <v>0.29632299927901945</v>
      </c>
      <c r="Z90" s="8">
        <f t="shared" si="78"/>
        <v>-0.12903225806451613</v>
      </c>
      <c r="AA90" s="8">
        <f t="shared" si="79"/>
        <v>4.7254150702426563E-2</v>
      </c>
      <c r="AB90" s="8">
        <f t="shared" si="80"/>
        <v>-7.7439024390243902E-2</v>
      </c>
      <c r="AC90" s="12">
        <f t="shared" si="99"/>
        <v>3.245570945966092E-2</v>
      </c>
      <c r="AD90" s="12">
        <f t="shared" si="100"/>
        <v>2.0047977283926238E-2</v>
      </c>
      <c r="AE90" s="1">
        <f t="shared" si="101"/>
        <v>85</v>
      </c>
      <c r="AF90" s="1">
        <f t="shared" si="102"/>
        <v>-10</v>
      </c>
      <c r="AG90" s="1">
        <f t="shared" si="103"/>
        <v>411</v>
      </c>
      <c r="AH90" s="1">
        <f t="shared" si="104"/>
        <v>-232</v>
      </c>
      <c r="AI90" s="1">
        <f t="shared" si="105"/>
        <v>74</v>
      </c>
      <c r="AJ90" s="1">
        <f t="shared" si="106"/>
        <v>-127</v>
      </c>
      <c r="AK90" s="17">
        <f t="shared" si="107"/>
        <v>33.5</v>
      </c>
      <c r="AL90" s="17">
        <f t="shared" si="108"/>
        <v>32</v>
      </c>
      <c r="AM90" s="1">
        <f t="shared" si="81"/>
        <v>7.2231139646869988E-2</v>
      </c>
      <c r="AN90" s="1">
        <f t="shared" si="82"/>
        <v>8.9820359281437123E-3</v>
      </c>
      <c r="AO90" s="1">
        <f t="shared" si="83"/>
        <v>0.32492581602373888</v>
      </c>
      <c r="AP90" s="1">
        <f t="shared" si="84"/>
        <v>-0.18477043673012317</v>
      </c>
      <c r="AQ90" s="1">
        <f t="shared" si="85"/>
        <v>7.0054945054945056E-2</v>
      </c>
      <c r="AR90" s="1">
        <f t="shared" si="86"/>
        <v>-7.4454428754813867E-2</v>
      </c>
      <c r="AS90" s="12">
        <f t="shared" si="109"/>
        <v>3.6161511861460091E-2</v>
      </c>
      <c r="AT90" s="12">
        <f t="shared" si="110"/>
        <v>3.9518490491544385E-2</v>
      </c>
      <c r="AU90" s="1">
        <f t="shared" si="111"/>
        <v>45</v>
      </c>
      <c r="AV90" s="1">
        <f t="shared" si="112"/>
        <v>6</v>
      </c>
      <c r="AW90" s="1">
        <f t="shared" si="113"/>
        <v>219</v>
      </c>
      <c r="AX90" s="1">
        <f t="shared" si="114"/>
        <v>-165</v>
      </c>
      <c r="AY90" s="1">
        <f t="shared" si="115"/>
        <v>51</v>
      </c>
      <c r="AZ90" s="1">
        <f t="shared" si="116"/>
        <v>-58</v>
      </c>
      <c r="BA90" s="19">
        <f t="shared" si="87"/>
        <v>16.333333333333332</v>
      </c>
      <c r="BB90" s="19">
        <f t="shared" si="88"/>
        <v>25.5</v>
      </c>
      <c r="BC90" s="9">
        <f t="shared" si="89"/>
        <v>5.8055152394775038E-2</v>
      </c>
      <c r="BD90" s="9">
        <f t="shared" si="90"/>
        <v>-2.194787379972565E-2</v>
      </c>
      <c r="BE90" s="9">
        <f t="shared" si="91"/>
        <v>0.26928471248246844</v>
      </c>
      <c r="BF90" s="9">
        <f t="shared" si="92"/>
        <v>-7.4033149171270712E-2</v>
      </c>
      <c r="BG90" s="9">
        <f t="shared" si="93"/>
        <v>2.7446300715990454E-2</v>
      </c>
      <c r="BH90" s="9">
        <f t="shared" si="94"/>
        <v>-8.0139372822299645E-2</v>
      </c>
      <c r="BI90" s="12">
        <f t="shared" si="95"/>
        <v>2.9777628299989645E-2</v>
      </c>
      <c r="BJ90" s="13">
        <f t="shared" si="96"/>
        <v>2.7492134581324039E-3</v>
      </c>
      <c r="BK90" s="1">
        <f t="shared" si="117"/>
        <v>40</v>
      </c>
      <c r="BL90" s="1">
        <f t="shared" si="118"/>
        <v>-16</v>
      </c>
      <c r="BM90" s="1">
        <f t="shared" si="119"/>
        <v>192</v>
      </c>
      <c r="BN90" s="1">
        <f t="shared" si="120"/>
        <v>-67</v>
      </c>
      <c r="BO90" s="1">
        <f t="shared" si="121"/>
        <v>23</v>
      </c>
      <c r="BP90" s="1">
        <f t="shared" si="122"/>
        <v>-69</v>
      </c>
      <c r="BQ90" s="19">
        <f t="shared" si="97"/>
        <v>17.166666666666668</v>
      </c>
      <c r="BR90" s="17">
        <f t="shared" si="98"/>
        <v>3.5</v>
      </c>
    </row>
    <row r="91" spans="1:70" x14ac:dyDescent="0.25">
      <c r="A91" s="20">
        <v>89</v>
      </c>
      <c r="B91" s="1">
        <v>1141</v>
      </c>
      <c r="C91" s="1">
        <v>1305</v>
      </c>
      <c r="D91" s="1">
        <v>1366</v>
      </c>
      <c r="E91" s="1">
        <v>1695</v>
      </c>
      <c r="F91" s="1">
        <v>1499</v>
      </c>
      <c r="G91" s="1">
        <v>1630</v>
      </c>
      <c r="H91" s="1">
        <v>1429</v>
      </c>
      <c r="I91" s="1">
        <v>547</v>
      </c>
      <c r="J91" s="1">
        <v>615</v>
      </c>
      <c r="K91" s="1">
        <v>637</v>
      </c>
      <c r="L91" s="1">
        <v>805</v>
      </c>
      <c r="M91" s="1">
        <v>691</v>
      </c>
      <c r="N91" s="1">
        <v>755</v>
      </c>
      <c r="O91" s="1">
        <v>620</v>
      </c>
      <c r="P91" s="1">
        <v>594</v>
      </c>
      <c r="Q91" s="1">
        <v>690</v>
      </c>
      <c r="R91" s="1">
        <v>729</v>
      </c>
      <c r="S91" s="1">
        <v>890</v>
      </c>
      <c r="T91" s="1">
        <v>808</v>
      </c>
      <c r="U91" s="1">
        <v>875</v>
      </c>
      <c r="V91" s="1">
        <v>809</v>
      </c>
      <c r="W91" s="8">
        <f t="shared" si="75"/>
        <v>0.14373356704645049</v>
      </c>
      <c r="X91" s="8">
        <f t="shared" si="76"/>
        <v>4.674329501915709E-2</v>
      </c>
      <c r="Y91" s="8">
        <f t="shared" si="77"/>
        <v>0.24084919472913616</v>
      </c>
      <c r="Z91" s="8">
        <f t="shared" si="78"/>
        <v>-0.11563421828908554</v>
      </c>
      <c r="AA91" s="8">
        <f t="shared" si="79"/>
        <v>8.7391594396264177E-2</v>
      </c>
      <c r="AB91" s="8">
        <f t="shared" si="80"/>
        <v>-0.12331288343558282</v>
      </c>
      <c r="AC91" s="12">
        <f t="shared" si="99"/>
        <v>4.6628424911056593E-2</v>
      </c>
      <c r="AD91" s="12">
        <f t="shared" si="100"/>
        <v>6.706744470771063E-2</v>
      </c>
      <c r="AE91" s="1">
        <f t="shared" si="101"/>
        <v>164</v>
      </c>
      <c r="AF91" s="1">
        <f t="shared" si="102"/>
        <v>61</v>
      </c>
      <c r="AG91" s="1">
        <f t="shared" si="103"/>
        <v>329</v>
      </c>
      <c r="AH91" s="1">
        <f t="shared" si="104"/>
        <v>-196</v>
      </c>
      <c r="AI91" s="1">
        <f t="shared" si="105"/>
        <v>131</v>
      </c>
      <c r="AJ91" s="1">
        <f t="shared" si="106"/>
        <v>-201</v>
      </c>
      <c r="AK91" s="17">
        <f t="shared" si="107"/>
        <v>48</v>
      </c>
      <c r="AL91" s="17">
        <f t="shared" si="108"/>
        <v>96</v>
      </c>
      <c r="AM91" s="1">
        <f t="shared" si="81"/>
        <v>0.12431444241316271</v>
      </c>
      <c r="AN91" s="1">
        <f t="shared" si="82"/>
        <v>3.5772357723577237E-2</v>
      </c>
      <c r="AO91" s="1">
        <f t="shared" si="83"/>
        <v>0.26373626373626374</v>
      </c>
      <c r="AP91" s="1">
        <f t="shared" si="84"/>
        <v>-0.14161490683229813</v>
      </c>
      <c r="AQ91" s="1">
        <f t="shared" si="85"/>
        <v>9.2619392185238777E-2</v>
      </c>
      <c r="AR91" s="1">
        <f t="shared" si="86"/>
        <v>-0.17880794701986755</v>
      </c>
      <c r="AS91" s="12">
        <f t="shared" si="109"/>
        <v>3.2669933701012802E-2</v>
      </c>
      <c r="AT91" s="12">
        <f t="shared" si="110"/>
        <v>6.4195874954408011E-2</v>
      </c>
      <c r="AU91" s="1">
        <f t="shared" si="111"/>
        <v>68</v>
      </c>
      <c r="AV91" s="1">
        <f t="shared" si="112"/>
        <v>22</v>
      </c>
      <c r="AW91" s="1">
        <f t="shared" si="113"/>
        <v>168</v>
      </c>
      <c r="AX91" s="1">
        <f t="shared" si="114"/>
        <v>-114</v>
      </c>
      <c r="AY91" s="1">
        <f t="shared" si="115"/>
        <v>64</v>
      </c>
      <c r="AZ91" s="1">
        <f t="shared" si="116"/>
        <v>-135</v>
      </c>
      <c r="BA91" s="19">
        <f t="shared" si="87"/>
        <v>12.166666666666666</v>
      </c>
      <c r="BB91" s="19">
        <f t="shared" si="88"/>
        <v>43</v>
      </c>
      <c r="BC91" s="9">
        <f t="shared" si="89"/>
        <v>0.16161616161616163</v>
      </c>
      <c r="BD91" s="9">
        <f t="shared" si="90"/>
        <v>5.6521739130434782E-2</v>
      </c>
      <c r="BE91" s="9">
        <f t="shared" si="91"/>
        <v>0.22085048010973937</v>
      </c>
      <c r="BF91" s="9">
        <f t="shared" si="92"/>
        <v>-9.2134831460674152E-2</v>
      </c>
      <c r="BG91" s="9">
        <f t="shared" si="93"/>
        <v>8.2920792079207925E-2</v>
      </c>
      <c r="BH91" s="9">
        <f t="shared" si="94"/>
        <v>-7.5428571428571428E-2</v>
      </c>
      <c r="BI91" s="12">
        <f t="shared" si="95"/>
        <v>5.9057628341049696E-2</v>
      </c>
      <c r="BJ91" s="13">
        <f t="shared" si="96"/>
        <v>6.972126560482135E-2</v>
      </c>
      <c r="BK91" s="1">
        <f t="shared" si="117"/>
        <v>96</v>
      </c>
      <c r="BL91" s="1">
        <f t="shared" si="118"/>
        <v>39</v>
      </c>
      <c r="BM91" s="1">
        <f t="shared" si="119"/>
        <v>161</v>
      </c>
      <c r="BN91" s="1">
        <f t="shared" si="120"/>
        <v>-82</v>
      </c>
      <c r="BO91" s="1">
        <f t="shared" si="121"/>
        <v>67</v>
      </c>
      <c r="BP91" s="1">
        <f t="shared" si="122"/>
        <v>-66</v>
      </c>
      <c r="BQ91" s="19">
        <f t="shared" si="97"/>
        <v>35.833333333333336</v>
      </c>
      <c r="BR91" s="17">
        <f t="shared" si="98"/>
        <v>53</v>
      </c>
    </row>
    <row r="92" spans="1:70" x14ac:dyDescent="0.25">
      <c r="A92" s="20">
        <v>90</v>
      </c>
      <c r="B92" s="1">
        <v>1166</v>
      </c>
      <c r="C92" s="1">
        <v>1096</v>
      </c>
      <c r="D92" s="1">
        <v>1400</v>
      </c>
      <c r="E92" s="1">
        <v>1664</v>
      </c>
      <c r="F92" s="1">
        <v>1538</v>
      </c>
      <c r="G92" s="1">
        <v>1483</v>
      </c>
      <c r="H92" s="1">
        <v>1420</v>
      </c>
      <c r="I92" s="1">
        <v>553</v>
      </c>
      <c r="J92" s="1">
        <v>484</v>
      </c>
      <c r="K92" s="1">
        <v>626</v>
      </c>
      <c r="L92" s="1">
        <v>796</v>
      </c>
      <c r="M92" s="1">
        <v>673</v>
      </c>
      <c r="N92" s="1">
        <v>666</v>
      </c>
      <c r="O92" s="1">
        <v>631</v>
      </c>
      <c r="P92" s="1">
        <v>613</v>
      </c>
      <c r="Q92" s="1">
        <v>612</v>
      </c>
      <c r="R92" s="1">
        <v>774</v>
      </c>
      <c r="S92" s="1">
        <v>868</v>
      </c>
      <c r="T92" s="1">
        <v>865</v>
      </c>
      <c r="U92" s="1">
        <v>817</v>
      </c>
      <c r="V92" s="1">
        <v>789</v>
      </c>
      <c r="W92" s="8">
        <f t="shared" si="75"/>
        <v>-6.0034305317324184E-2</v>
      </c>
      <c r="X92" s="8">
        <f t="shared" si="76"/>
        <v>0.27737226277372262</v>
      </c>
      <c r="Y92" s="8">
        <f t="shared" si="77"/>
        <v>0.18857142857142858</v>
      </c>
      <c r="Z92" s="8">
        <f t="shared" si="78"/>
        <v>-7.5721153846153841E-2</v>
      </c>
      <c r="AA92" s="8">
        <f t="shared" si="79"/>
        <v>-3.5760728218465543E-2</v>
      </c>
      <c r="AB92" s="8">
        <f t="shared" si="80"/>
        <v>-4.248145650708024E-2</v>
      </c>
      <c r="AC92" s="12">
        <f t="shared" si="99"/>
        <v>4.1991007909354561E-2</v>
      </c>
      <c r="AD92" s="12">
        <f t="shared" si="100"/>
        <v>-3.9121092362772891E-2</v>
      </c>
      <c r="AE92" s="1">
        <f t="shared" si="101"/>
        <v>-70</v>
      </c>
      <c r="AF92" s="1">
        <f t="shared" si="102"/>
        <v>304</v>
      </c>
      <c r="AG92" s="1">
        <f t="shared" si="103"/>
        <v>264</v>
      </c>
      <c r="AH92" s="1">
        <f t="shared" si="104"/>
        <v>-126</v>
      </c>
      <c r="AI92" s="1">
        <f t="shared" si="105"/>
        <v>-55</v>
      </c>
      <c r="AJ92" s="1">
        <f t="shared" si="106"/>
        <v>-63</v>
      </c>
      <c r="AK92" s="17">
        <f t="shared" si="107"/>
        <v>42.333333333333336</v>
      </c>
      <c r="AL92" s="17">
        <f t="shared" si="108"/>
        <v>-59</v>
      </c>
      <c r="AM92" s="1">
        <f t="shared" si="81"/>
        <v>-0.12477396021699819</v>
      </c>
      <c r="AN92" s="1">
        <f t="shared" si="82"/>
        <v>0.29338842975206614</v>
      </c>
      <c r="AO92" s="1">
        <f t="shared" si="83"/>
        <v>0.27156549520766771</v>
      </c>
      <c r="AP92" s="1">
        <f t="shared" si="84"/>
        <v>-0.15452261306532664</v>
      </c>
      <c r="AQ92" s="1">
        <f t="shared" si="85"/>
        <v>-1.0401188707280832E-2</v>
      </c>
      <c r="AR92" s="1">
        <f t="shared" si="86"/>
        <v>-5.2552552552552555E-2</v>
      </c>
      <c r="AS92" s="12">
        <f t="shared" si="109"/>
        <v>3.7117268402929268E-2</v>
      </c>
      <c r="AT92" s="12">
        <f t="shared" si="110"/>
        <v>-3.1476870629916692E-2</v>
      </c>
      <c r="AU92" s="1">
        <f t="shared" si="111"/>
        <v>-69</v>
      </c>
      <c r="AV92" s="1">
        <f t="shared" si="112"/>
        <v>142</v>
      </c>
      <c r="AW92" s="1">
        <f t="shared" si="113"/>
        <v>170</v>
      </c>
      <c r="AX92" s="1">
        <f t="shared" si="114"/>
        <v>-123</v>
      </c>
      <c r="AY92" s="1">
        <f t="shared" si="115"/>
        <v>-7</v>
      </c>
      <c r="AZ92" s="1">
        <f t="shared" si="116"/>
        <v>-35</v>
      </c>
      <c r="BA92" s="19">
        <f t="shared" si="87"/>
        <v>13</v>
      </c>
      <c r="BB92" s="19">
        <f t="shared" si="88"/>
        <v>-21</v>
      </c>
      <c r="BC92" s="9">
        <f t="shared" si="89"/>
        <v>-1.6313213703099511E-3</v>
      </c>
      <c r="BD92" s="9">
        <f t="shared" si="90"/>
        <v>0.26470588235294118</v>
      </c>
      <c r="BE92" s="9">
        <f t="shared" si="91"/>
        <v>0.12144702842377261</v>
      </c>
      <c r="BF92" s="9">
        <f t="shared" si="92"/>
        <v>-3.4562211981566822E-3</v>
      </c>
      <c r="BG92" s="9">
        <f t="shared" si="93"/>
        <v>-5.5491329479768786E-2</v>
      </c>
      <c r="BH92" s="9">
        <f t="shared" si="94"/>
        <v>-3.4271725826193387E-2</v>
      </c>
      <c r="BI92" s="12">
        <f t="shared" si="95"/>
        <v>4.855038548371416E-2</v>
      </c>
      <c r="BJ92" s="13">
        <f t="shared" si="96"/>
        <v>-2.5437712842333168E-3</v>
      </c>
      <c r="BK92" s="1">
        <f t="shared" si="117"/>
        <v>-1</v>
      </c>
      <c r="BL92" s="1">
        <f t="shared" si="118"/>
        <v>162</v>
      </c>
      <c r="BM92" s="1">
        <f t="shared" si="119"/>
        <v>94</v>
      </c>
      <c r="BN92" s="1">
        <f t="shared" si="120"/>
        <v>-3</v>
      </c>
      <c r="BO92" s="1">
        <f t="shared" si="121"/>
        <v>-48</v>
      </c>
      <c r="BP92" s="1">
        <f t="shared" si="122"/>
        <v>-28</v>
      </c>
      <c r="BQ92" s="19">
        <f t="shared" si="97"/>
        <v>29.333333333333332</v>
      </c>
      <c r="BR92" s="17">
        <f t="shared" si="98"/>
        <v>-2</v>
      </c>
    </row>
    <row r="93" spans="1:70" x14ac:dyDescent="0.25">
      <c r="A93" s="20">
        <v>91</v>
      </c>
      <c r="B93" s="1">
        <v>1066</v>
      </c>
      <c r="C93" s="1">
        <v>1087</v>
      </c>
      <c r="D93" s="1">
        <v>1173</v>
      </c>
      <c r="E93" s="1">
        <v>1446</v>
      </c>
      <c r="F93" s="1">
        <v>1400</v>
      </c>
      <c r="G93" s="1">
        <v>1525</v>
      </c>
      <c r="H93" s="1">
        <v>1307</v>
      </c>
      <c r="I93" s="1">
        <v>492</v>
      </c>
      <c r="J93" s="1">
        <v>508</v>
      </c>
      <c r="K93" s="1">
        <v>531</v>
      </c>
      <c r="L93" s="1">
        <v>670</v>
      </c>
      <c r="M93" s="1">
        <v>634</v>
      </c>
      <c r="N93" s="1">
        <v>652</v>
      </c>
      <c r="O93" s="1">
        <v>555</v>
      </c>
      <c r="P93" s="1">
        <v>574</v>
      </c>
      <c r="Q93" s="1">
        <v>579</v>
      </c>
      <c r="R93" s="1">
        <v>642</v>
      </c>
      <c r="S93" s="1">
        <v>776</v>
      </c>
      <c r="T93" s="1">
        <v>766</v>
      </c>
      <c r="U93" s="1">
        <v>873</v>
      </c>
      <c r="V93" s="1">
        <v>752</v>
      </c>
      <c r="W93" s="8">
        <f t="shared" si="75"/>
        <v>1.9699812382739212E-2</v>
      </c>
      <c r="X93" s="8">
        <f t="shared" si="76"/>
        <v>7.9116835326586935E-2</v>
      </c>
      <c r="Y93" s="8">
        <f t="shared" si="77"/>
        <v>0.23273657289002558</v>
      </c>
      <c r="Z93" s="8">
        <f t="shared" si="78"/>
        <v>-3.18118948824343E-2</v>
      </c>
      <c r="AA93" s="8">
        <f t="shared" si="79"/>
        <v>8.9285714285714288E-2</v>
      </c>
      <c r="AB93" s="8">
        <f t="shared" si="80"/>
        <v>-0.14295081967213114</v>
      </c>
      <c r="AC93" s="12">
        <f t="shared" si="99"/>
        <v>4.1012703388416762E-2</v>
      </c>
      <c r="AD93" s="12">
        <f t="shared" si="100"/>
        <v>4.9408323854663073E-2</v>
      </c>
      <c r="AE93" s="1">
        <f t="shared" si="101"/>
        <v>21</v>
      </c>
      <c r="AF93" s="1">
        <f t="shared" si="102"/>
        <v>86</v>
      </c>
      <c r="AG93" s="1">
        <f t="shared" si="103"/>
        <v>273</v>
      </c>
      <c r="AH93" s="1">
        <f t="shared" si="104"/>
        <v>-46</v>
      </c>
      <c r="AI93" s="1">
        <f t="shared" si="105"/>
        <v>125</v>
      </c>
      <c r="AJ93" s="1">
        <f t="shared" si="106"/>
        <v>-218</v>
      </c>
      <c r="AK93" s="17">
        <f t="shared" si="107"/>
        <v>40.166666666666664</v>
      </c>
      <c r="AL93" s="17">
        <f t="shared" si="108"/>
        <v>53.5</v>
      </c>
      <c r="AM93" s="1">
        <f t="shared" si="81"/>
        <v>3.2520325203252036E-2</v>
      </c>
      <c r="AN93" s="1">
        <f t="shared" si="82"/>
        <v>4.5275590551181105E-2</v>
      </c>
      <c r="AO93" s="1">
        <f t="shared" si="83"/>
        <v>0.26177024482109229</v>
      </c>
      <c r="AP93" s="1">
        <f t="shared" si="84"/>
        <v>-5.3731343283582089E-2</v>
      </c>
      <c r="AQ93" s="1">
        <f t="shared" si="85"/>
        <v>2.8391167192429023E-2</v>
      </c>
      <c r="AR93" s="1">
        <f t="shared" si="86"/>
        <v>-0.14877300613496933</v>
      </c>
      <c r="AS93" s="12">
        <f t="shared" si="109"/>
        <v>2.7575496391567176E-2</v>
      </c>
      <c r="AT93" s="12">
        <f t="shared" si="110"/>
        <v>3.0455746197840528E-2</v>
      </c>
      <c r="AU93" s="1">
        <f t="shared" si="111"/>
        <v>16</v>
      </c>
      <c r="AV93" s="1">
        <f t="shared" si="112"/>
        <v>23</v>
      </c>
      <c r="AW93" s="1">
        <f t="shared" si="113"/>
        <v>139</v>
      </c>
      <c r="AX93" s="1">
        <f t="shared" si="114"/>
        <v>-36</v>
      </c>
      <c r="AY93" s="1">
        <f t="shared" si="115"/>
        <v>18</v>
      </c>
      <c r="AZ93" s="1">
        <f t="shared" si="116"/>
        <v>-97</v>
      </c>
      <c r="BA93" s="19">
        <f t="shared" si="87"/>
        <v>10.5</v>
      </c>
      <c r="BB93" s="19">
        <f t="shared" si="88"/>
        <v>17</v>
      </c>
      <c r="BC93" s="9">
        <f t="shared" si="89"/>
        <v>8.7108013937282226E-3</v>
      </c>
      <c r="BD93" s="9">
        <f t="shared" si="90"/>
        <v>0.10880829015544041</v>
      </c>
      <c r="BE93" s="9">
        <f t="shared" si="91"/>
        <v>0.2087227414330218</v>
      </c>
      <c r="BF93" s="9">
        <f t="shared" si="92"/>
        <v>-1.2886597938144329E-2</v>
      </c>
      <c r="BG93" s="9">
        <f t="shared" si="93"/>
        <v>0.13968668407310705</v>
      </c>
      <c r="BH93" s="9">
        <f t="shared" si="94"/>
        <v>-0.13860252004581902</v>
      </c>
      <c r="BI93" s="12">
        <f t="shared" si="95"/>
        <v>5.2406566511889026E-2</v>
      </c>
      <c r="BJ93" s="13">
        <f t="shared" si="96"/>
        <v>5.8759545774584317E-2</v>
      </c>
      <c r="BK93" s="1">
        <f t="shared" si="117"/>
        <v>5</v>
      </c>
      <c r="BL93" s="1">
        <f t="shared" si="118"/>
        <v>63</v>
      </c>
      <c r="BM93" s="1">
        <f t="shared" si="119"/>
        <v>134</v>
      </c>
      <c r="BN93" s="1">
        <f t="shared" si="120"/>
        <v>-10</v>
      </c>
      <c r="BO93" s="1">
        <f t="shared" si="121"/>
        <v>107</v>
      </c>
      <c r="BP93" s="1">
        <f t="shared" si="122"/>
        <v>-121</v>
      </c>
      <c r="BQ93" s="19">
        <f t="shared" si="97"/>
        <v>29.666666666666668</v>
      </c>
      <c r="BR93" s="17">
        <f t="shared" si="98"/>
        <v>34</v>
      </c>
    </row>
    <row r="94" spans="1:70" x14ac:dyDescent="0.25">
      <c r="A94" s="20">
        <v>92</v>
      </c>
      <c r="B94" s="1">
        <v>1057</v>
      </c>
      <c r="C94" s="1">
        <v>1020</v>
      </c>
      <c r="D94" s="1">
        <v>1061</v>
      </c>
      <c r="E94" s="1">
        <v>1281</v>
      </c>
      <c r="F94" s="1">
        <v>1319</v>
      </c>
      <c r="G94" s="1">
        <v>1432</v>
      </c>
      <c r="H94" s="1">
        <v>1312</v>
      </c>
      <c r="I94" s="1">
        <v>472</v>
      </c>
      <c r="J94" s="1">
        <v>438</v>
      </c>
      <c r="K94" s="1">
        <v>482</v>
      </c>
      <c r="L94" s="1">
        <v>610</v>
      </c>
      <c r="M94" s="1">
        <v>596</v>
      </c>
      <c r="N94" s="1">
        <v>602</v>
      </c>
      <c r="O94" s="1">
        <v>548</v>
      </c>
      <c r="P94" s="1">
        <v>585</v>
      </c>
      <c r="Q94" s="1">
        <v>582</v>
      </c>
      <c r="R94" s="1">
        <v>579</v>
      </c>
      <c r="S94" s="1">
        <v>671</v>
      </c>
      <c r="T94" s="1">
        <v>723</v>
      </c>
      <c r="U94" s="1">
        <v>830</v>
      </c>
      <c r="V94" s="1">
        <v>764</v>
      </c>
      <c r="W94" s="8">
        <f t="shared" si="75"/>
        <v>-3.5004730368968777E-2</v>
      </c>
      <c r="X94" s="8">
        <f t="shared" si="76"/>
        <v>4.0196078431372552E-2</v>
      </c>
      <c r="Y94" s="8">
        <f t="shared" si="77"/>
        <v>0.20735155513666353</v>
      </c>
      <c r="Z94" s="8">
        <f t="shared" si="78"/>
        <v>2.9664324746291961E-2</v>
      </c>
      <c r="AA94" s="8">
        <f t="shared" si="79"/>
        <v>8.5670962850644433E-2</v>
      </c>
      <c r="AB94" s="8">
        <f t="shared" si="80"/>
        <v>-8.3798882681564241E-2</v>
      </c>
      <c r="AC94" s="12">
        <f t="shared" si="99"/>
        <v>4.0679884685739916E-2</v>
      </c>
      <c r="AD94" s="12">
        <f t="shared" si="100"/>
        <v>3.4930201588832255E-2</v>
      </c>
      <c r="AE94" s="1">
        <f t="shared" si="101"/>
        <v>-37</v>
      </c>
      <c r="AF94" s="1">
        <f t="shared" si="102"/>
        <v>41</v>
      </c>
      <c r="AG94" s="1">
        <f t="shared" si="103"/>
        <v>220</v>
      </c>
      <c r="AH94" s="1">
        <f t="shared" si="104"/>
        <v>38</v>
      </c>
      <c r="AI94" s="1">
        <f t="shared" si="105"/>
        <v>113</v>
      </c>
      <c r="AJ94" s="1">
        <f t="shared" si="106"/>
        <v>-120</v>
      </c>
      <c r="AK94" s="17">
        <f t="shared" si="107"/>
        <v>42.5</v>
      </c>
      <c r="AL94" s="17">
        <f t="shared" si="108"/>
        <v>39.5</v>
      </c>
      <c r="AM94" s="1">
        <f t="shared" si="81"/>
        <v>-7.2033898305084748E-2</v>
      </c>
      <c r="AN94" s="1">
        <f t="shared" si="82"/>
        <v>0.1004566210045662</v>
      </c>
      <c r="AO94" s="1">
        <f t="shared" si="83"/>
        <v>0.26556016597510373</v>
      </c>
      <c r="AP94" s="1">
        <f t="shared" si="84"/>
        <v>-2.2950819672131147E-2</v>
      </c>
      <c r="AQ94" s="1">
        <f t="shared" si="85"/>
        <v>1.0067114093959731E-2</v>
      </c>
      <c r="AR94" s="1">
        <f t="shared" si="86"/>
        <v>-8.9700996677740868E-2</v>
      </c>
      <c r="AS94" s="12">
        <f t="shared" si="109"/>
        <v>3.1899697736445486E-2</v>
      </c>
      <c r="AT94" s="12">
        <f t="shared" si="110"/>
        <v>-6.4418527890857079E-3</v>
      </c>
      <c r="AU94" s="1">
        <f t="shared" si="111"/>
        <v>-34</v>
      </c>
      <c r="AV94" s="1">
        <f t="shared" si="112"/>
        <v>44</v>
      </c>
      <c r="AW94" s="1">
        <f t="shared" si="113"/>
        <v>128</v>
      </c>
      <c r="AX94" s="1">
        <f t="shared" si="114"/>
        <v>-14</v>
      </c>
      <c r="AY94" s="1">
        <f t="shared" si="115"/>
        <v>6</v>
      </c>
      <c r="AZ94" s="1">
        <f t="shared" si="116"/>
        <v>-54</v>
      </c>
      <c r="BA94" s="19">
        <f t="shared" si="87"/>
        <v>12.666666666666666</v>
      </c>
      <c r="BB94" s="19">
        <f t="shared" si="88"/>
        <v>-4</v>
      </c>
      <c r="BC94" s="9">
        <f t="shared" si="89"/>
        <v>-5.1282051282051282E-3</v>
      </c>
      <c r="BD94" s="9">
        <f t="shared" si="90"/>
        <v>-5.1546391752577319E-3</v>
      </c>
      <c r="BE94" s="9">
        <f t="shared" si="91"/>
        <v>0.15889464594127806</v>
      </c>
      <c r="BF94" s="9">
        <f t="shared" si="92"/>
        <v>7.7496274217585689E-2</v>
      </c>
      <c r="BG94" s="9">
        <f t="shared" si="93"/>
        <v>0.14799446749654219</v>
      </c>
      <c r="BH94" s="9">
        <f t="shared" si="94"/>
        <v>-7.9518072289156624E-2</v>
      </c>
      <c r="BI94" s="12">
        <f t="shared" si="95"/>
        <v>4.9097411843797734E-2</v>
      </c>
      <c r="BJ94" s="13">
        <f t="shared" si="96"/>
        <v>3.6184034544690276E-2</v>
      </c>
      <c r="BK94" s="1">
        <f t="shared" si="117"/>
        <v>-3</v>
      </c>
      <c r="BL94" s="1">
        <f t="shared" si="118"/>
        <v>-3</v>
      </c>
      <c r="BM94" s="1">
        <f t="shared" si="119"/>
        <v>92</v>
      </c>
      <c r="BN94" s="1">
        <f t="shared" si="120"/>
        <v>52</v>
      </c>
      <c r="BO94" s="1">
        <f t="shared" si="121"/>
        <v>107</v>
      </c>
      <c r="BP94" s="1">
        <f t="shared" si="122"/>
        <v>-66</v>
      </c>
      <c r="BQ94" s="19">
        <f t="shared" si="97"/>
        <v>29.833333333333332</v>
      </c>
      <c r="BR94" s="17">
        <f t="shared" si="98"/>
        <v>24.5</v>
      </c>
    </row>
    <row r="95" spans="1:70" x14ac:dyDescent="0.25">
      <c r="A95" s="20">
        <v>93</v>
      </c>
      <c r="B95" s="1">
        <v>867</v>
      </c>
      <c r="C95" s="1">
        <v>937</v>
      </c>
      <c r="D95" s="1">
        <v>956</v>
      </c>
      <c r="E95" s="1">
        <v>1053</v>
      </c>
      <c r="F95" s="1">
        <v>1011</v>
      </c>
      <c r="G95" s="1">
        <v>1255</v>
      </c>
      <c r="H95" s="1">
        <v>1191</v>
      </c>
      <c r="I95" s="1">
        <v>358</v>
      </c>
      <c r="J95" s="1">
        <v>395</v>
      </c>
      <c r="K95" s="1">
        <v>397</v>
      </c>
      <c r="L95" s="1">
        <v>492</v>
      </c>
      <c r="M95" s="1">
        <v>435</v>
      </c>
      <c r="N95" s="1">
        <v>566</v>
      </c>
      <c r="O95" s="1">
        <v>482</v>
      </c>
      <c r="P95" s="1">
        <v>509</v>
      </c>
      <c r="Q95" s="1">
        <v>542</v>
      </c>
      <c r="R95" s="1">
        <v>559</v>
      </c>
      <c r="S95" s="1">
        <v>561</v>
      </c>
      <c r="T95" s="1">
        <v>576</v>
      </c>
      <c r="U95" s="1">
        <v>689</v>
      </c>
      <c r="V95" s="1">
        <v>709</v>
      </c>
      <c r="W95" s="8">
        <f t="shared" si="75"/>
        <v>8.073817762399077E-2</v>
      </c>
      <c r="X95" s="8">
        <f t="shared" si="76"/>
        <v>2.0277481323372464E-2</v>
      </c>
      <c r="Y95" s="8">
        <f t="shared" si="77"/>
        <v>0.10146443514644352</v>
      </c>
      <c r="Z95" s="8">
        <f t="shared" si="78"/>
        <v>-3.9886039886039885E-2</v>
      </c>
      <c r="AA95" s="8">
        <f t="shared" si="79"/>
        <v>0.24134520276953511</v>
      </c>
      <c r="AB95" s="8">
        <f t="shared" si="80"/>
        <v>-5.0996015936254982E-2</v>
      </c>
      <c r="AC95" s="12">
        <f t="shared" si="99"/>
        <v>5.8823873506841158E-2</v>
      </c>
      <c r="AD95" s="12">
        <f t="shared" si="100"/>
        <v>5.0507829473681612E-2</v>
      </c>
      <c r="AE95" s="1">
        <f t="shared" si="101"/>
        <v>70</v>
      </c>
      <c r="AF95" s="1">
        <f t="shared" si="102"/>
        <v>19</v>
      </c>
      <c r="AG95" s="1">
        <f t="shared" si="103"/>
        <v>97</v>
      </c>
      <c r="AH95" s="1">
        <f t="shared" si="104"/>
        <v>-42</v>
      </c>
      <c r="AI95" s="1">
        <f t="shared" si="105"/>
        <v>244</v>
      </c>
      <c r="AJ95" s="1">
        <f t="shared" si="106"/>
        <v>-64</v>
      </c>
      <c r="AK95" s="17">
        <f t="shared" si="107"/>
        <v>54</v>
      </c>
      <c r="AL95" s="17">
        <f t="shared" si="108"/>
        <v>44.5</v>
      </c>
      <c r="AM95" s="1">
        <f t="shared" si="81"/>
        <v>0.10335195530726257</v>
      </c>
      <c r="AN95" s="1">
        <f t="shared" si="82"/>
        <v>5.0632911392405064E-3</v>
      </c>
      <c r="AO95" s="1">
        <f t="shared" si="83"/>
        <v>0.23929471032745592</v>
      </c>
      <c r="AP95" s="1">
        <f t="shared" si="84"/>
        <v>-0.11585365853658537</v>
      </c>
      <c r="AQ95" s="1">
        <f t="shared" si="85"/>
        <v>0.30114942528735633</v>
      </c>
      <c r="AR95" s="1">
        <f t="shared" si="86"/>
        <v>-0.14840989399293286</v>
      </c>
      <c r="AS95" s="12">
        <f t="shared" si="109"/>
        <v>6.409930492196618E-2</v>
      </c>
      <c r="AT95" s="12">
        <f t="shared" si="110"/>
        <v>5.4207623223251539E-2</v>
      </c>
      <c r="AU95" s="1">
        <f t="shared" si="111"/>
        <v>37</v>
      </c>
      <c r="AV95" s="1">
        <f t="shared" si="112"/>
        <v>2</v>
      </c>
      <c r="AW95" s="1">
        <f t="shared" si="113"/>
        <v>95</v>
      </c>
      <c r="AX95" s="1">
        <f t="shared" si="114"/>
        <v>-57</v>
      </c>
      <c r="AY95" s="1">
        <f t="shared" si="115"/>
        <v>131</v>
      </c>
      <c r="AZ95" s="1">
        <f t="shared" si="116"/>
        <v>-84</v>
      </c>
      <c r="BA95" s="19">
        <f t="shared" si="87"/>
        <v>20.666666666666668</v>
      </c>
      <c r="BB95" s="19">
        <f t="shared" si="88"/>
        <v>19.5</v>
      </c>
      <c r="BC95" s="9">
        <f t="shared" si="89"/>
        <v>6.4833005893909626E-2</v>
      </c>
      <c r="BD95" s="9">
        <f t="shared" si="90"/>
        <v>3.136531365313653E-2</v>
      </c>
      <c r="BE95" s="9">
        <f t="shared" si="91"/>
        <v>3.5778175313059034E-3</v>
      </c>
      <c r="BF95" s="9">
        <f t="shared" si="92"/>
        <v>2.6737967914438502E-2</v>
      </c>
      <c r="BG95" s="9">
        <f t="shared" si="93"/>
        <v>0.19618055555555555</v>
      </c>
      <c r="BH95" s="9">
        <f t="shared" si="94"/>
        <v>2.9027576197387519E-2</v>
      </c>
      <c r="BI95" s="12">
        <f t="shared" si="95"/>
        <v>5.8620372790955604E-2</v>
      </c>
      <c r="BJ95" s="13">
        <f t="shared" si="96"/>
        <v>3.0196444925262023E-2</v>
      </c>
      <c r="BK95" s="1">
        <f t="shared" si="117"/>
        <v>33</v>
      </c>
      <c r="BL95" s="1">
        <f t="shared" si="118"/>
        <v>17</v>
      </c>
      <c r="BM95" s="1">
        <f t="shared" si="119"/>
        <v>2</v>
      </c>
      <c r="BN95" s="1">
        <f t="shared" si="120"/>
        <v>15</v>
      </c>
      <c r="BO95" s="1">
        <f t="shared" si="121"/>
        <v>113</v>
      </c>
      <c r="BP95" s="1">
        <f t="shared" si="122"/>
        <v>20</v>
      </c>
      <c r="BQ95" s="19">
        <f t="shared" si="97"/>
        <v>33.333333333333336</v>
      </c>
      <c r="BR95" s="17">
        <f t="shared" si="98"/>
        <v>18.5</v>
      </c>
    </row>
    <row r="96" spans="1:70" x14ac:dyDescent="0.25">
      <c r="A96" s="20">
        <v>94</v>
      </c>
      <c r="B96" s="1">
        <v>754</v>
      </c>
      <c r="C96" s="1">
        <v>768</v>
      </c>
      <c r="D96" s="1">
        <v>871</v>
      </c>
      <c r="E96" s="1">
        <v>1032</v>
      </c>
      <c r="F96" s="1">
        <v>881</v>
      </c>
      <c r="G96" s="1">
        <v>1093</v>
      </c>
      <c r="H96" s="1">
        <v>1037</v>
      </c>
      <c r="I96" s="1">
        <v>332</v>
      </c>
      <c r="J96" s="1">
        <v>305</v>
      </c>
      <c r="K96" s="1">
        <v>367</v>
      </c>
      <c r="L96" s="1">
        <v>440</v>
      </c>
      <c r="M96" s="1">
        <v>376</v>
      </c>
      <c r="N96" s="1">
        <v>438</v>
      </c>
      <c r="O96" s="1">
        <v>403</v>
      </c>
      <c r="P96" s="1">
        <v>422</v>
      </c>
      <c r="Q96" s="1">
        <v>463</v>
      </c>
      <c r="R96" s="1">
        <v>504</v>
      </c>
      <c r="S96" s="1">
        <v>592</v>
      </c>
      <c r="T96" s="1">
        <v>505</v>
      </c>
      <c r="U96" s="1">
        <v>655</v>
      </c>
      <c r="V96" s="1">
        <v>634</v>
      </c>
      <c r="W96" s="8">
        <f t="shared" si="75"/>
        <v>1.8567639257294429E-2</v>
      </c>
      <c r="X96" s="8">
        <f t="shared" si="76"/>
        <v>0.13411458333333334</v>
      </c>
      <c r="Y96" s="8">
        <f t="shared" si="77"/>
        <v>0.18484500574052812</v>
      </c>
      <c r="Z96" s="8">
        <f t="shared" si="78"/>
        <v>-0.14631782945736435</v>
      </c>
      <c r="AA96" s="8">
        <f t="shared" si="79"/>
        <v>0.24063564131668558</v>
      </c>
      <c r="AB96" s="8">
        <f t="shared" si="80"/>
        <v>-5.123513266239707E-2</v>
      </c>
      <c r="AC96" s="12">
        <f t="shared" si="99"/>
        <v>6.3434984588013332E-2</v>
      </c>
      <c r="AD96" s="12">
        <f t="shared" si="100"/>
        <v>7.6341111295313888E-2</v>
      </c>
      <c r="AE96" s="1">
        <f t="shared" si="101"/>
        <v>14</v>
      </c>
      <c r="AF96" s="1">
        <f t="shared" si="102"/>
        <v>103</v>
      </c>
      <c r="AG96" s="1">
        <f t="shared" si="103"/>
        <v>161</v>
      </c>
      <c r="AH96" s="1">
        <f t="shared" si="104"/>
        <v>-151</v>
      </c>
      <c r="AI96" s="1">
        <f t="shared" si="105"/>
        <v>212</v>
      </c>
      <c r="AJ96" s="1">
        <f t="shared" si="106"/>
        <v>-56</v>
      </c>
      <c r="AK96" s="17">
        <f t="shared" si="107"/>
        <v>47.166666666666664</v>
      </c>
      <c r="AL96" s="17">
        <f t="shared" si="108"/>
        <v>58.5</v>
      </c>
      <c r="AM96" s="1">
        <f t="shared" si="81"/>
        <v>-8.1325301204819275E-2</v>
      </c>
      <c r="AN96" s="1">
        <f t="shared" si="82"/>
        <v>0.20327868852459016</v>
      </c>
      <c r="AO96" s="1">
        <f t="shared" si="83"/>
        <v>0.1989100817438692</v>
      </c>
      <c r="AP96" s="1">
        <f t="shared" si="84"/>
        <v>-0.14545454545454545</v>
      </c>
      <c r="AQ96" s="1">
        <f t="shared" si="85"/>
        <v>0.16489361702127658</v>
      </c>
      <c r="AR96" s="1">
        <f t="shared" si="86"/>
        <v>-7.9908675799086754E-2</v>
      </c>
      <c r="AS96" s="12">
        <f t="shared" si="109"/>
        <v>4.3398977471880741E-2</v>
      </c>
      <c r="AT96" s="12">
        <f t="shared" si="110"/>
        <v>4.2492470611094915E-2</v>
      </c>
      <c r="AU96" s="1">
        <f t="shared" si="111"/>
        <v>-27</v>
      </c>
      <c r="AV96" s="1">
        <f t="shared" si="112"/>
        <v>62</v>
      </c>
      <c r="AW96" s="1">
        <f t="shared" si="113"/>
        <v>73</v>
      </c>
      <c r="AX96" s="1">
        <f t="shared" si="114"/>
        <v>-64</v>
      </c>
      <c r="AY96" s="1">
        <f t="shared" si="115"/>
        <v>62</v>
      </c>
      <c r="AZ96" s="1">
        <f t="shared" si="116"/>
        <v>-35</v>
      </c>
      <c r="BA96" s="19">
        <f t="shared" si="87"/>
        <v>11.833333333333334</v>
      </c>
      <c r="BB96" s="19">
        <f t="shared" si="88"/>
        <v>17.5</v>
      </c>
      <c r="BC96" s="9">
        <f t="shared" si="89"/>
        <v>9.7156398104265407E-2</v>
      </c>
      <c r="BD96" s="9">
        <f t="shared" si="90"/>
        <v>8.8552915766738655E-2</v>
      </c>
      <c r="BE96" s="9">
        <f t="shared" si="91"/>
        <v>0.17460317460317459</v>
      </c>
      <c r="BF96" s="9">
        <f t="shared" si="92"/>
        <v>-0.14695945945945946</v>
      </c>
      <c r="BG96" s="9">
        <f t="shared" si="93"/>
        <v>0.29702970297029702</v>
      </c>
      <c r="BH96" s="9">
        <f t="shared" si="94"/>
        <v>-3.2061068702290078E-2</v>
      </c>
      <c r="BI96" s="12">
        <f t="shared" si="95"/>
        <v>7.9720277213787674E-2</v>
      </c>
      <c r="BJ96" s="13">
        <f t="shared" si="96"/>
        <v>9.2854656935502031E-2</v>
      </c>
      <c r="BK96" s="1">
        <f t="shared" si="117"/>
        <v>41</v>
      </c>
      <c r="BL96" s="1">
        <f t="shared" si="118"/>
        <v>41</v>
      </c>
      <c r="BM96" s="1">
        <f t="shared" si="119"/>
        <v>88</v>
      </c>
      <c r="BN96" s="1">
        <f t="shared" si="120"/>
        <v>-87</v>
      </c>
      <c r="BO96" s="1">
        <f t="shared" si="121"/>
        <v>150</v>
      </c>
      <c r="BP96" s="1">
        <f t="shared" si="122"/>
        <v>-21</v>
      </c>
      <c r="BQ96" s="19">
        <f t="shared" si="97"/>
        <v>35.333333333333336</v>
      </c>
      <c r="BR96" s="17">
        <f t="shared" si="98"/>
        <v>41</v>
      </c>
    </row>
    <row r="97" spans="1:70" x14ac:dyDescent="0.25">
      <c r="A97" s="20">
        <v>95</v>
      </c>
      <c r="B97" s="1">
        <v>675</v>
      </c>
      <c r="C97" s="1">
        <v>707</v>
      </c>
      <c r="D97" s="1">
        <v>727</v>
      </c>
      <c r="E97" s="1">
        <v>935</v>
      </c>
      <c r="F97" s="1">
        <v>823</v>
      </c>
      <c r="G97" s="1">
        <v>876</v>
      </c>
      <c r="H97" s="1">
        <v>862</v>
      </c>
      <c r="I97" s="1">
        <v>292</v>
      </c>
      <c r="J97" s="1">
        <v>302</v>
      </c>
      <c r="K97" s="1">
        <v>280</v>
      </c>
      <c r="L97" s="1">
        <v>403</v>
      </c>
      <c r="M97" s="1">
        <v>336</v>
      </c>
      <c r="N97" s="1">
        <v>386</v>
      </c>
      <c r="O97" s="1">
        <v>352</v>
      </c>
      <c r="P97" s="1">
        <v>383</v>
      </c>
      <c r="Q97" s="1">
        <v>405</v>
      </c>
      <c r="R97" s="1">
        <v>447</v>
      </c>
      <c r="S97" s="1">
        <v>532</v>
      </c>
      <c r="T97" s="1">
        <v>487</v>
      </c>
      <c r="U97" s="1">
        <v>490</v>
      </c>
      <c r="V97" s="1">
        <v>510</v>
      </c>
      <c r="W97" s="8">
        <f t="shared" si="75"/>
        <v>4.7407407407407405E-2</v>
      </c>
      <c r="X97" s="8">
        <f t="shared" si="76"/>
        <v>2.8288543140028287E-2</v>
      </c>
      <c r="Y97" s="8">
        <f t="shared" si="77"/>
        <v>0.28610729023383769</v>
      </c>
      <c r="Z97" s="8">
        <f t="shared" si="78"/>
        <v>-0.11978609625668449</v>
      </c>
      <c r="AA97" s="8">
        <f t="shared" si="79"/>
        <v>6.4398541919805583E-2</v>
      </c>
      <c r="AB97" s="8">
        <f t="shared" si="80"/>
        <v>-1.5981735159817351E-2</v>
      </c>
      <c r="AC97" s="12">
        <f t="shared" si="99"/>
        <v>4.8405658547429509E-2</v>
      </c>
      <c r="AD97" s="12">
        <f t="shared" si="100"/>
        <v>3.7847975273717846E-2</v>
      </c>
      <c r="AE97" s="1">
        <f t="shared" si="101"/>
        <v>32</v>
      </c>
      <c r="AF97" s="1">
        <f t="shared" si="102"/>
        <v>20</v>
      </c>
      <c r="AG97" s="1">
        <f t="shared" si="103"/>
        <v>208</v>
      </c>
      <c r="AH97" s="1">
        <f t="shared" si="104"/>
        <v>-112</v>
      </c>
      <c r="AI97" s="1">
        <f t="shared" si="105"/>
        <v>53</v>
      </c>
      <c r="AJ97" s="1">
        <f t="shared" si="106"/>
        <v>-14</v>
      </c>
      <c r="AK97" s="17">
        <f t="shared" si="107"/>
        <v>31.166666666666668</v>
      </c>
      <c r="AL97" s="17">
        <f t="shared" si="108"/>
        <v>26</v>
      </c>
      <c r="AM97" s="1">
        <f t="shared" si="81"/>
        <v>3.4246575342465752E-2</v>
      </c>
      <c r="AN97" s="1">
        <f t="shared" si="82"/>
        <v>-7.2847682119205295E-2</v>
      </c>
      <c r="AO97" s="1">
        <f t="shared" si="83"/>
        <v>0.43928571428571428</v>
      </c>
      <c r="AP97" s="1">
        <f t="shared" si="84"/>
        <v>-0.16625310173697269</v>
      </c>
      <c r="AQ97" s="1">
        <f t="shared" si="85"/>
        <v>0.14880952380952381</v>
      </c>
      <c r="AR97" s="1">
        <f t="shared" si="86"/>
        <v>-8.8082901554404139E-2</v>
      </c>
      <c r="AS97" s="12">
        <f t="shared" si="109"/>
        <v>4.9193021337853617E-2</v>
      </c>
      <c r="AT97" s="12">
        <f t="shared" si="110"/>
        <v>-1.9300553388369772E-2</v>
      </c>
      <c r="AU97" s="1">
        <f t="shared" si="111"/>
        <v>10</v>
      </c>
      <c r="AV97" s="1">
        <f t="shared" si="112"/>
        <v>-22</v>
      </c>
      <c r="AW97" s="1">
        <f t="shared" si="113"/>
        <v>123</v>
      </c>
      <c r="AX97" s="1">
        <f t="shared" si="114"/>
        <v>-67</v>
      </c>
      <c r="AY97" s="1">
        <f t="shared" si="115"/>
        <v>50</v>
      </c>
      <c r="AZ97" s="1">
        <f t="shared" si="116"/>
        <v>-34</v>
      </c>
      <c r="BA97" s="19">
        <f t="shared" si="87"/>
        <v>10</v>
      </c>
      <c r="BB97" s="19">
        <f t="shared" si="88"/>
        <v>-6</v>
      </c>
      <c r="BC97" s="9">
        <f t="shared" si="89"/>
        <v>5.7441253263707574E-2</v>
      </c>
      <c r="BD97" s="9">
        <f t="shared" si="90"/>
        <v>0.1037037037037037</v>
      </c>
      <c r="BE97" s="9">
        <f t="shared" si="91"/>
        <v>0.19015659955257272</v>
      </c>
      <c r="BF97" s="9">
        <f t="shared" si="92"/>
        <v>-8.4586466165413529E-2</v>
      </c>
      <c r="BG97" s="9">
        <f t="shared" si="93"/>
        <v>6.1601642710472282E-3</v>
      </c>
      <c r="BH97" s="9">
        <f t="shared" si="94"/>
        <v>4.0816326530612242E-2</v>
      </c>
      <c r="BI97" s="12">
        <f t="shared" si="95"/>
        <v>5.2281930192704974E-2</v>
      </c>
      <c r="BJ97" s="13">
        <f t="shared" si="96"/>
        <v>4.9128789897159908E-2</v>
      </c>
      <c r="BK97" s="1">
        <f t="shared" si="117"/>
        <v>22</v>
      </c>
      <c r="BL97" s="1">
        <f t="shared" si="118"/>
        <v>42</v>
      </c>
      <c r="BM97" s="1">
        <f t="shared" si="119"/>
        <v>85</v>
      </c>
      <c r="BN97" s="1">
        <f t="shared" si="120"/>
        <v>-45</v>
      </c>
      <c r="BO97" s="1">
        <f t="shared" si="121"/>
        <v>3</v>
      </c>
      <c r="BP97" s="1">
        <f t="shared" si="122"/>
        <v>20</v>
      </c>
      <c r="BQ97" s="19">
        <f t="shared" si="97"/>
        <v>21.166666666666668</v>
      </c>
      <c r="BR97" s="17">
        <f t="shared" si="98"/>
        <v>21</v>
      </c>
    </row>
    <row r="98" spans="1:70" x14ac:dyDescent="0.25">
      <c r="A98" s="20">
        <v>96</v>
      </c>
      <c r="B98" s="1">
        <v>532</v>
      </c>
      <c r="C98" s="1">
        <v>539</v>
      </c>
      <c r="D98" s="1">
        <v>617</v>
      </c>
      <c r="E98" s="1">
        <v>708</v>
      </c>
      <c r="F98" s="1">
        <v>722</v>
      </c>
      <c r="G98" s="1">
        <v>825</v>
      </c>
      <c r="H98" s="1">
        <v>682</v>
      </c>
      <c r="I98" s="1">
        <v>199</v>
      </c>
      <c r="J98" s="1">
        <v>221</v>
      </c>
      <c r="K98" s="1">
        <v>267</v>
      </c>
      <c r="L98" s="1">
        <v>303</v>
      </c>
      <c r="M98" s="1">
        <v>292</v>
      </c>
      <c r="N98" s="1">
        <v>341</v>
      </c>
      <c r="O98" s="1">
        <v>241</v>
      </c>
      <c r="P98" s="1">
        <v>333</v>
      </c>
      <c r="Q98" s="1">
        <v>318</v>
      </c>
      <c r="R98" s="1">
        <v>350</v>
      </c>
      <c r="S98" s="1">
        <v>405</v>
      </c>
      <c r="T98" s="1">
        <v>430</v>
      </c>
      <c r="U98" s="1">
        <v>484</v>
      </c>
      <c r="V98" s="1">
        <v>441</v>
      </c>
      <c r="W98" s="8">
        <f t="shared" ref="W98:W123" si="123">+(C98-B98)/B98</f>
        <v>1.3157894736842105E-2</v>
      </c>
      <c r="X98" s="8">
        <f t="shared" ref="X98:X123" si="124">+(D98-C98)/C98</f>
        <v>0.14471243042671614</v>
      </c>
      <c r="Y98" s="8">
        <f t="shared" ref="Y98:Y123" si="125">+(E98-D98)/D98</f>
        <v>0.14748784440842788</v>
      </c>
      <c r="Z98" s="8">
        <f t="shared" ref="Z98:Z123" si="126">+(F98-E98)/E98</f>
        <v>1.977401129943503E-2</v>
      </c>
      <c r="AA98" s="8">
        <f t="shared" ref="AA98:AA123" si="127">+(G98-F98)/F98</f>
        <v>0.14265927977839335</v>
      </c>
      <c r="AB98" s="8">
        <f t="shared" ref="AB98:AB123" si="128">+(H98-G98)/G98</f>
        <v>-0.17333333333333334</v>
      </c>
      <c r="AC98" s="12">
        <f t="shared" si="99"/>
        <v>4.9076354552746858E-2</v>
      </c>
      <c r="AD98" s="12">
        <f t="shared" si="100"/>
        <v>8.1216645538914195E-2</v>
      </c>
      <c r="AE98" s="1">
        <f t="shared" si="101"/>
        <v>7</v>
      </c>
      <c r="AF98" s="1">
        <f t="shared" si="102"/>
        <v>78</v>
      </c>
      <c r="AG98" s="1">
        <f t="shared" si="103"/>
        <v>91</v>
      </c>
      <c r="AH98" s="1">
        <f t="shared" si="104"/>
        <v>14</v>
      </c>
      <c r="AI98" s="1">
        <f t="shared" si="105"/>
        <v>103</v>
      </c>
      <c r="AJ98" s="1">
        <f t="shared" si="106"/>
        <v>-143</v>
      </c>
      <c r="AK98" s="17">
        <f t="shared" si="107"/>
        <v>25</v>
      </c>
      <c r="AL98" s="17">
        <f t="shared" si="108"/>
        <v>46</v>
      </c>
      <c r="AM98" s="1">
        <f t="shared" ref="AM98:AM123" si="129">+(J98-I98)/I98</f>
        <v>0.11055276381909548</v>
      </c>
      <c r="AN98" s="1">
        <f t="shared" ref="AN98:AN123" si="130">+(K98-J98)/J98</f>
        <v>0.20814479638009051</v>
      </c>
      <c r="AO98" s="1">
        <f t="shared" ref="AO98:AO123" si="131">+(L98-K98)/K98</f>
        <v>0.1348314606741573</v>
      </c>
      <c r="AP98" s="1">
        <f t="shared" ref="AP98:AP123" si="132">+(M98-L98)/L98</f>
        <v>-3.6303630363036306E-2</v>
      </c>
      <c r="AQ98" s="1">
        <f t="shared" ref="AQ98:AQ123" si="133">+(N98-M98)/M98</f>
        <v>0.1678082191780822</v>
      </c>
      <c r="AR98" s="1">
        <f t="shared" ref="AR98:AR123" si="134">+(O98-N98)/N98</f>
        <v>-0.2932551319648094</v>
      </c>
      <c r="AS98" s="12">
        <f t="shared" si="109"/>
        <v>4.8629746287263305E-2</v>
      </c>
      <c r="AT98" s="12">
        <f t="shared" si="110"/>
        <v>0.12269211224662639</v>
      </c>
      <c r="AU98" s="1">
        <f t="shared" si="111"/>
        <v>22</v>
      </c>
      <c r="AV98" s="1">
        <f t="shared" si="112"/>
        <v>46</v>
      </c>
      <c r="AW98" s="1">
        <f t="shared" si="113"/>
        <v>36</v>
      </c>
      <c r="AX98" s="1">
        <f t="shared" si="114"/>
        <v>-11</v>
      </c>
      <c r="AY98" s="1">
        <f t="shared" si="115"/>
        <v>49</v>
      </c>
      <c r="AZ98" s="1">
        <f t="shared" si="116"/>
        <v>-100</v>
      </c>
      <c r="BA98" s="19">
        <f t="shared" ref="BA98:BA123" si="135">+AVERAGE(AU98:AZ98)</f>
        <v>7</v>
      </c>
      <c r="BB98" s="19">
        <f t="shared" ref="BB98:BB123" si="136">MEDIAN(AU98:AZ98)</f>
        <v>29</v>
      </c>
      <c r="BC98" s="9">
        <f t="shared" ref="BC98:BC123" si="137">+(Q98-P98)/P98</f>
        <v>-4.5045045045045043E-2</v>
      </c>
      <c r="BD98" s="9">
        <f t="shared" ref="BD98:BD123" si="138">+(R98-Q98)/Q98</f>
        <v>0.10062893081761007</v>
      </c>
      <c r="BE98" s="9">
        <f t="shared" ref="BE98:BE123" si="139">+(S98-R98)/R98</f>
        <v>0.15714285714285714</v>
      </c>
      <c r="BF98" s="9">
        <f t="shared" ref="BF98:BF123" si="140">+(T98-S98)/S98</f>
        <v>6.1728395061728392E-2</v>
      </c>
      <c r="BG98" s="9">
        <f t="shared" ref="BG98:BG123" si="141">+(U98-T98)/T98</f>
        <v>0.12558139534883722</v>
      </c>
      <c r="BH98" s="9">
        <f t="shared" ref="BH98:BH123" si="142">+(V98-U98)/U98</f>
        <v>-8.8842975206611566E-2</v>
      </c>
      <c r="BI98" s="12">
        <f t="shared" ref="BI98:BI123" si="143">+AVERAGE(BC98:BH98)</f>
        <v>5.1865593019896038E-2</v>
      </c>
      <c r="BJ98" s="13">
        <f t="shared" ref="BJ98:BJ123" si="144">MEDIAN(BC98:BH98)</f>
        <v>8.117866293966923E-2</v>
      </c>
      <c r="BK98" s="1">
        <f t="shared" si="117"/>
        <v>-15</v>
      </c>
      <c r="BL98" s="1">
        <f t="shared" si="118"/>
        <v>32</v>
      </c>
      <c r="BM98" s="1">
        <f t="shared" si="119"/>
        <v>55</v>
      </c>
      <c r="BN98" s="1">
        <f t="shared" si="120"/>
        <v>25</v>
      </c>
      <c r="BO98" s="1">
        <f t="shared" si="121"/>
        <v>54</v>
      </c>
      <c r="BP98" s="1">
        <f t="shared" si="122"/>
        <v>-43</v>
      </c>
      <c r="BQ98" s="19">
        <f t="shared" ref="BQ98:BQ123" si="145">+AVERAGE(BK98:BP98)</f>
        <v>18</v>
      </c>
      <c r="BR98" s="17">
        <f t="shared" ref="BR98:BR123" si="146">MEDIAN(BK98:BP98)</f>
        <v>28.5</v>
      </c>
    </row>
    <row r="99" spans="1:70" x14ac:dyDescent="0.25">
      <c r="A99" s="20">
        <v>97</v>
      </c>
      <c r="B99" s="1">
        <v>431</v>
      </c>
      <c r="C99" s="1">
        <v>499</v>
      </c>
      <c r="D99" s="1">
        <v>478</v>
      </c>
      <c r="E99" s="1">
        <v>548</v>
      </c>
      <c r="F99" s="1">
        <v>547</v>
      </c>
      <c r="G99" s="1">
        <v>624</v>
      </c>
      <c r="H99" s="1">
        <v>537</v>
      </c>
      <c r="I99" s="1">
        <v>164</v>
      </c>
      <c r="J99" s="1">
        <v>193</v>
      </c>
      <c r="K99" s="1">
        <v>190</v>
      </c>
      <c r="L99" s="1">
        <v>186</v>
      </c>
      <c r="M99" s="1">
        <v>217</v>
      </c>
      <c r="N99" s="1">
        <v>248</v>
      </c>
      <c r="O99" s="1">
        <v>191</v>
      </c>
      <c r="P99" s="1">
        <v>267</v>
      </c>
      <c r="Q99" s="1">
        <v>306</v>
      </c>
      <c r="R99" s="1">
        <v>288</v>
      </c>
      <c r="S99" s="1">
        <v>362</v>
      </c>
      <c r="T99" s="1">
        <v>330</v>
      </c>
      <c r="U99" s="1">
        <v>376</v>
      </c>
      <c r="V99" s="1">
        <v>346</v>
      </c>
      <c r="W99" s="8">
        <f t="shared" si="123"/>
        <v>0.15777262180974477</v>
      </c>
      <c r="X99" s="8">
        <f t="shared" si="124"/>
        <v>-4.2084168336673347E-2</v>
      </c>
      <c r="Y99" s="8">
        <f t="shared" si="125"/>
        <v>0.14644351464435146</v>
      </c>
      <c r="Z99" s="8">
        <f t="shared" si="126"/>
        <v>-1.8248175182481751E-3</v>
      </c>
      <c r="AA99" s="8">
        <f t="shared" si="127"/>
        <v>0.14076782449725778</v>
      </c>
      <c r="AB99" s="8">
        <f t="shared" si="128"/>
        <v>-0.13942307692307693</v>
      </c>
      <c r="AC99" s="12">
        <f t="shared" si="99"/>
        <v>4.3608649695559255E-2</v>
      </c>
      <c r="AD99" s="12">
        <f t="shared" si="100"/>
        <v>6.9471503489504802E-2</v>
      </c>
      <c r="AE99" s="1">
        <f t="shared" si="101"/>
        <v>68</v>
      </c>
      <c r="AF99" s="1">
        <f t="shared" si="102"/>
        <v>-21</v>
      </c>
      <c r="AG99" s="1">
        <f t="shared" si="103"/>
        <v>70</v>
      </c>
      <c r="AH99" s="1">
        <f t="shared" si="104"/>
        <v>-1</v>
      </c>
      <c r="AI99" s="1">
        <f t="shared" si="105"/>
        <v>77</v>
      </c>
      <c r="AJ99" s="1">
        <f t="shared" si="106"/>
        <v>-87</v>
      </c>
      <c r="AK99" s="17">
        <f t="shared" si="107"/>
        <v>17.666666666666668</v>
      </c>
      <c r="AL99" s="17">
        <f t="shared" si="108"/>
        <v>33.5</v>
      </c>
      <c r="AM99" s="1">
        <f t="shared" si="129"/>
        <v>0.17682926829268292</v>
      </c>
      <c r="AN99" s="1">
        <f t="shared" si="130"/>
        <v>-1.5544041450777202E-2</v>
      </c>
      <c r="AO99" s="1">
        <f t="shared" si="131"/>
        <v>-2.1052631578947368E-2</v>
      </c>
      <c r="AP99" s="1">
        <f t="shared" si="132"/>
        <v>0.16666666666666666</v>
      </c>
      <c r="AQ99" s="1">
        <f t="shared" si="133"/>
        <v>0.14285714285714285</v>
      </c>
      <c r="AR99" s="1">
        <f t="shared" si="134"/>
        <v>-0.22983870967741934</v>
      </c>
      <c r="AS99" s="12">
        <f t="shared" si="109"/>
        <v>3.6652949184891419E-2</v>
      </c>
      <c r="AT99" s="12">
        <f t="shared" si="110"/>
        <v>6.3656550703182824E-2</v>
      </c>
      <c r="AU99" s="1">
        <f t="shared" si="111"/>
        <v>29</v>
      </c>
      <c r="AV99" s="1">
        <f t="shared" si="112"/>
        <v>-3</v>
      </c>
      <c r="AW99" s="1">
        <f t="shared" si="113"/>
        <v>-4</v>
      </c>
      <c r="AX99" s="1">
        <f t="shared" si="114"/>
        <v>31</v>
      </c>
      <c r="AY99" s="1">
        <f t="shared" si="115"/>
        <v>31</v>
      </c>
      <c r="AZ99" s="1">
        <f t="shared" si="116"/>
        <v>-57</v>
      </c>
      <c r="BA99" s="19">
        <f t="shared" si="135"/>
        <v>4.5</v>
      </c>
      <c r="BB99" s="19">
        <f t="shared" si="136"/>
        <v>13</v>
      </c>
      <c r="BC99" s="9">
        <f t="shared" si="137"/>
        <v>0.14606741573033707</v>
      </c>
      <c r="BD99" s="9">
        <f t="shared" si="138"/>
        <v>-5.8823529411764705E-2</v>
      </c>
      <c r="BE99" s="9">
        <f t="shared" si="139"/>
        <v>0.25694444444444442</v>
      </c>
      <c r="BF99" s="9">
        <f t="shared" si="140"/>
        <v>-8.8397790055248615E-2</v>
      </c>
      <c r="BG99" s="9">
        <f t="shared" si="141"/>
        <v>0.1393939393939394</v>
      </c>
      <c r="BH99" s="9">
        <f t="shared" si="142"/>
        <v>-7.9787234042553196E-2</v>
      </c>
      <c r="BI99" s="12">
        <f t="shared" si="143"/>
        <v>5.2566207676525735E-2</v>
      </c>
      <c r="BJ99" s="13">
        <f t="shared" si="144"/>
        <v>4.0285204991087356E-2</v>
      </c>
      <c r="BK99" s="1">
        <f t="shared" si="117"/>
        <v>39</v>
      </c>
      <c r="BL99" s="1">
        <f t="shared" si="118"/>
        <v>-18</v>
      </c>
      <c r="BM99" s="1">
        <f t="shared" si="119"/>
        <v>74</v>
      </c>
      <c r="BN99" s="1">
        <f t="shared" si="120"/>
        <v>-32</v>
      </c>
      <c r="BO99" s="1">
        <f t="shared" si="121"/>
        <v>46</v>
      </c>
      <c r="BP99" s="1">
        <f t="shared" si="122"/>
        <v>-30</v>
      </c>
      <c r="BQ99" s="19">
        <f t="shared" si="145"/>
        <v>13.166666666666666</v>
      </c>
      <c r="BR99" s="17">
        <f t="shared" si="146"/>
        <v>10.5</v>
      </c>
    </row>
    <row r="100" spans="1:70" x14ac:dyDescent="0.25">
      <c r="A100" s="20">
        <v>98</v>
      </c>
      <c r="B100" s="1">
        <v>315</v>
      </c>
      <c r="C100" s="1">
        <v>363</v>
      </c>
      <c r="D100" s="1">
        <v>362</v>
      </c>
      <c r="E100" s="1">
        <v>476</v>
      </c>
      <c r="F100" s="1">
        <v>427</v>
      </c>
      <c r="G100" s="1">
        <v>489</v>
      </c>
      <c r="H100" s="1">
        <v>514</v>
      </c>
      <c r="I100" s="1">
        <v>112</v>
      </c>
      <c r="J100" s="1">
        <v>118</v>
      </c>
      <c r="K100" s="1">
        <v>122</v>
      </c>
      <c r="L100" s="1">
        <v>186</v>
      </c>
      <c r="M100" s="1">
        <v>152</v>
      </c>
      <c r="N100" s="1">
        <v>179</v>
      </c>
      <c r="O100" s="1">
        <v>189</v>
      </c>
      <c r="P100" s="1">
        <v>203</v>
      </c>
      <c r="Q100" s="1">
        <v>245</v>
      </c>
      <c r="R100" s="1">
        <v>240</v>
      </c>
      <c r="S100" s="1">
        <v>290</v>
      </c>
      <c r="T100" s="1">
        <v>275</v>
      </c>
      <c r="U100" s="1">
        <v>310</v>
      </c>
      <c r="V100" s="1">
        <v>325</v>
      </c>
      <c r="W100" s="8">
        <f t="shared" si="123"/>
        <v>0.15238095238095239</v>
      </c>
      <c r="X100" s="8">
        <f t="shared" si="124"/>
        <v>-2.7548209366391185E-3</v>
      </c>
      <c r="Y100" s="8">
        <f t="shared" si="125"/>
        <v>0.31491712707182318</v>
      </c>
      <c r="Z100" s="8">
        <f t="shared" si="126"/>
        <v>-0.10294117647058823</v>
      </c>
      <c r="AA100" s="8">
        <f t="shared" si="127"/>
        <v>0.14519906323185011</v>
      </c>
      <c r="AB100" s="8">
        <f t="shared" si="128"/>
        <v>5.112474437627812E-2</v>
      </c>
      <c r="AC100" s="12">
        <f t="shared" si="99"/>
        <v>9.2987648275612747E-2</v>
      </c>
      <c r="AD100" s="12">
        <f t="shared" si="100"/>
        <v>9.8161903804064116E-2</v>
      </c>
      <c r="AE100" s="1">
        <f t="shared" si="101"/>
        <v>48</v>
      </c>
      <c r="AF100" s="1">
        <f t="shared" si="102"/>
        <v>-1</v>
      </c>
      <c r="AG100" s="1">
        <f t="shared" si="103"/>
        <v>114</v>
      </c>
      <c r="AH100" s="1">
        <f t="shared" si="104"/>
        <v>-49</v>
      </c>
      <c r="AI100" s="1">
        <f t="shared" si="105"/>
        <v>62</v>
      </c>
      <c r="AJ100" s="1">
        <f t="shared" si="106"/>
        <v>25</v>
      </c>
      <c r="AK100" s="17">
        <f t="shared" si="107"/>
        <v>33.166666666666664</v>
      </c>
      <c r="AL100" s="17">
        <f t="shared" si="108"/>
        <v>36.5</v>
      </c>
      <c r="AM100" s="1">
        <f t="shared" si="129"/>
        <v>5.3571428571428568E-2</v>
      </c>
      <c r="AN100" s="1">
        <f t="shared" si="130"/>
        <v>3.3898305084745763E-2</v>
      </c>
      <c r="AO100" s="1">
        <f t="shared" si="131"/>
        <v>0.52459016393442626</v>
      </c>
      <c r="AP100" s="1">
        <f t="shared" si="132"/>
        <v>-0.18279569892473119</v>
      </c>
      <c r="AQ100" s="1">
        <f t="shared" si="133"/>
        <v>0.17763157894736842</v>
      </c>
      <c r="AR100" s="1">
        <f t="shared" si="134"/>
        <v>5.5865921787709494E-2</v>
      </c>
      <c r="AS100" s="12">
        <f t="shared" si="109"/>
        <v>0.11046028323349122</v>
      </c>
      <c r="AT100" s="12">
        <f t="shared" si="110"/>
        <v>5.4718675179569035E-2</v>
      </c>
      <c r="AU100" s="1">
        <f t="shared" si="111"/>
        <v>6</v>
      </c>
      <c r="AV100" s="1">
        <f t="shared" si="112"/>
        <v>4</v>
      </c>
      <c r="AW100" s="1">
        <f t="shared" si="113"/>
        <v>64</v>
      </c>
      <c r="AX100" s="1">
        <f t="shared" si="114"/>
        <v>-34</v>
      </c>
      <c r="AY100" s="1">
        <f t="shared" si="115"/>
        <v>27</v>
      </c>
      <c r="AZ100" s="1">
        <f t="shared" si="116"/>
        <v>10</v>
      </c>
      <c r="BA100" s="19">
        <f t="shared" si="135"/>
        <v>12.833333333333334</v>
      </c>
      <c r="BB100" s="19">
        <f t="shared" si="136"/>
        <v>8</v>
      </c>
      <c r="BC100" s="9">
        <f t="shared" si="137"/>
        <v>0.20689655172413793</v>
      </c>
      <c r="BD100" s="9">
        <f t="shared" si="138"/>
        <v>-2.0408163265306121E-2</v>
      </c>
      <c r="BE100" s="9">
        <f t="shared" si="139"/>
        <v>0.20833333333333334</v>
      </c>
      <c r="BF100" s="9">
        <f t="shared" si="140"/>
        <v>-5.1724137931034482E-2</v>
      </c>
      <c r="BG100" s="9">
        <f t="shared" si="141"/>
        <v>0.12727272727272726</v>
      </c>
      <c r="BH100" s="9">
        <f t="shared" si="142"/>
        <v>4.8387096774193547E-2</v>
      </c>
      <c r="BI100" s="12">
        <f t="shared" si="143"/>
        <v>8.6459567984675245E-2</v>
      </c>
      <c r="BJ100" s="13">
        <f t="shared" si="144"/>
        <v>8.782991202346041E-2</v>
      </c>
      <c r="BK100" s="1">
        <f t="shared" si="117"/>
        <v>42</v>
      </c>
      <c r="BL100" s="1">
        <f t="shared" si="118"/>
        <v>-5</v>
      </c>
      <c r="BM100" s="1">
        <f t="shared" si="119"/>
        <v>50</v>
      </c>
      <c r="BN100" s="1">
        <f t="shared" si="120"/>
        <v>-15</v>
      </c>
      <c r="BO100" s="1">
        <f t="shared" si="121"/>
        <v>35</v>
      </c>
      <c r="BP100" s="1">
        <f t="shared" si="122"/>
        <v>15</v>
      </c>
      <c r="BQ100" s="19">
        <f t="shared" si="145"/>
        <v>20.333333333333332</v>
      </c>
      <c r="BR100" s="17">
        <f t="shared" si="146"/>
        <v>25</v>
      </c>
    </row>
    <row r="101" spans="1:70" x14ac:dyDescent="0.25">
      <c r="A101" s="20">
        <v>99</v>
      </c>
      <c r="B101" s="1">
        <v>247</v>
      </c>
      <c r="C101" s="1">
        <v>288</v>
      </c>
      <c r="D101" s="1">
        <v>279</v>
      </c>
      <c r="E101" s="1">
        <v>391</v>
      </c>
      <c r="F101" s="1">
        <v>361</v>
      </c>
      <c r="G101" s="1">
        <v>384</v>
      </c>
      <c r="H101" s="1">
        <v>331</v>
      </c>
      <c r="I101" s="1">
        <v>95</v>
      </c>
      <c r="J101" s="1">
        <v>108</v>
      </c>
      <c r="K101" s="1">
        <v>102</v>
      </c>
      <c r="L101" s="1">
        <v>147</v>
      </c>
      <c r="M101" s="1">
        <v>115</v>
      </c>
      <c r="N101" s="1">
        <v>146</v>
      </c>
      <c r="O101" s="1">
        <v>110</v>
      </c>
      <c r="P101" s="1">
        <v>152</v>
      </c>
      <c r="Q101" s="1">
        <v>180</v>
      </c>
      <c r="R101" s="1">
        <v>177</v>
      </c>
      <c r="S101" s="1">
        <v>244</v>
      </c>
      <c r="T101" s="1">
        <v>246</v>
      </c>
      <c r="U101" s="1">
        <v>238</v>
      </c>
      <c r="V101" s="1">
        <v>221</v>
      </c>
      <c r="W101" s="8">
        <f t="shared" si="123"/>
        <v>0.16599190283400811</v>
      </c>
      <c r="X101" s="8">
        <f t="shared" si="124"/>
        <v>-3.125E-2</v>
      </c>
      <c r="Y101" s="8">
        <f t="shared" si="125"/>
        <v>0.40143369175627241</v>
      </c>
      <c r="Z101" s="8">
        <f t="shared" si="126"/>
        <v>-7.6726342710997444E-2</v>
      </c>
      <c r="AA101" s="8">
        <f t="shared" si="127"/>
        <v>6.3711911357340723E-2</v>
      </c>
      <c r="AB101" s="8">
        <f t="shared" si="128"/>
        <v>-0.13802083333333334</v>
      </c>
      <c r="AC101" s="12">
        <f t="shared" si="99"/>
        <v>6.4190054983881736E-2</v>
      </c>
      <c r="AD101" s="12">
        <f t="shared" si="100"/>
        <v>1.6230955678670361E-2</v>
      </c>
      <c r="AE101" s="1">
        <f t="shared" si="101"/>
        <v>41</v>
      </c>
      <c r="AF101" s="1">
        <f t="shared" si="102"/>
        <v>-9</v>
      </c>
      <c r="AG101" s="1">
        <f t="shared" si="103"/>
        <v>112</v>
      </c>
      <c r="AH101" s="1">
        <f t="shared" si="104"/>
        <v>-30</v>
      </c>
      <c r="AI101" s="1">
        <f t="shared" si="105"/>
        <v>23</v>
      </c>
      <c r="AJ101" s="1">
        <f t="shared" si="106"/>
        <v>-53</v>
      </c>
      <c r="AK101" s="17">
        <f t="shared" si="107"/>
        <v>14</v>
      </c>
      <c r="AL101" s="17">
        <f t="shared" si="108"/>
        <v>7</v>
      </c>
      <c r="AM101" s="1">
        <f t="shared" si="129"/>
        <v>0.1368421052631579</v>
      </c>
      <c r="AN101" s="1">
        <f t="shared" si="130"/>
        <v>-5.5555555555555552E-2</v>
      </c>
      <c r="AO101" s="1">
        <f t="shared" si="131"/>
        <v>0.44117647058823528</v>
      </c>
      <c r="AP101" s="1">
        <f t="shared" si="132"/>
        <v>-0.21768707482993196</v>
      </c>
      <c r="AQ101" s="1">
        <f t="shared" si="133"/>
        <v>0.26956521739130435</v>
      </c>
      <c r="AR101" s="1">
        <f t="shared" si="134"/>
        <v>-0.24657534246575341</v>
      </c>
      <c r="AS101" s="12">
        <f t="shared" si="109"/>
        <v>5.4627636731909422E-2</v>
      </c>
      <c r="AT101" s="12">
        <f t="shared" si="110"/>
        <v>4.0643274853801176E-2</v>
      </c>
      <c r="AU101" s="1">
        <f t="shared" si="111"/>
        <v>13</v>
      </c>
      <c r="AV101" s="1">
        <f t="shared" si="112"/>
        <v>-6</v>
      </c>
      <c r="AW101" s="1">
        <f t="shared" si="113"/>
        <v>45</v>
      </c>
      <c r="AX101" s="1">
        <f t="shared" si="114"/>
        <v>-32</v>
      </c>
      <c r="AY101" s="1">
        <f t="shared" si="115"/>
        <v>31</v>
      </c>
      <c r="AZ101" s="1">
        <f t="shared" si="116"/>
        <v>-36</v>
      </c>
      <c r="BA101" s="19">
        <f t="shared" si="135"/>
        <v>2.5</v>
      </c>
      <c r="BB101" s="19">
        <f t="shared" si="136"/>
        <v>3.5</v>
      </c>
      <c r="BC101" s="9">
        <f t="shared" si="137"/>
        <v>0.18421052631578946</v>
      </c>
      <c r="BD101" s="9">
        <f t="shared" si="138"/>
        <v>-1.6666666666666666E-2</v>
      </c>
      <c r="BE101" s="9">
        <f t="shared" si="139"/>
        <v>0.37853107344632769</v>
      </c>
      <c r="BF101" s="9">
        <f t="shared" si="140"/>
        <v>8.1967213114754103E-3</v>
      </c>
      <c r="BG101" s="9">
        <f t="shared" si="141"/>
        <v>-3.2520325203252036E-2</v>
      </c>
      <c r="BH101" s="9">
        <f t="shared" si="142"/>
        <v>-7.1428571428571425E-2</v>
      </c>
      <c r="BI101" s="12">
        <f t="shared" si="143"/>
        <v>7.5053792962517088E-2</v>
      </c>
      <c r="BJ101" s="13">
        <f t="shared" si="144"/>
        <v>-4.234972677595629E-3</v>
      </c>
      <c r="BK101" s="1">
        <f t="shared" si="117"/>
        <v>28</v>
      </c>
      <c r="BL101" s="1">
        <f t="shared" si="118"/>
        <v>-3</v>
      </c>
      <c r="BM101" s="1">
        <f t="shared" si="119"/>
        <v>67</v>
      </c>
      <c r="BN101" s="1">
        <f t="shared" si="120"/>
        <v>2</v>
      </c>
      <c r="BO101" s="1">
        <f t="shared" si="121"/>
        <v>-8</v>
      </c>
      <c r="BP101" s="1">
        <f t="shared" si="122"/>
        <v>-17</v>
      </c>
      <c r="BQ101" s="19">
        <f t="shared" si="145"/>
        <v>11.5</v>
      </c>
      <c r="BR101" s="17">
        <f t="shared" si="146"/>
        <v>-0.5</v>
      </c>
    </row>
    <row r="102" spans="1:70" x14ac:dyDescent="0.25">
      <c r="A102" s="20">
        <v>100</v>
      </c>
      <c r="B102" s="1">
        <v>186</v>
      </c>
      <c r="C102" s="1">
        <v>211</v>
      </c>
      <c r="D102" s="1">
        <v>196</v>
      </c>
      <c r="E102" s="1">
        <v>221</v>
      </c>
      <c r="F102" s="1">
        <v>232</v>
      </c>
      <c r="G102" s="1">
        <v>298</v>
      </c>
      <c r="H102" s="1">
        <v>267</v>
      </c>
      <c r="I102" s="1">
        <v>92</v>
      </c>
      <c r="J102" s="1">
        <v>70</v>
      </c>
      <c r="K102" s="1">
        <v>71</v>
      </c>
      <c r="L102" s="1">
        <v>89</v>
      </c>
      <c r="M102" s="1">
        <v>90</v>
      </c>
      <c r="N102" s="1">
        <v>107</v>
      </c>
      <c r="O102" s="1">
        <v>94</v>
      </c>
      <c r="P102" s="1">
        <v>94</v>
      </c>
      <c r="Q102" s="1">
        <v>141</v>
      </c>
      <c r="R102" s="1">
        <v>125</v>
      </c>
      <c r="S102" s="1">
        <v>132</v>
      </c>
      <c r="T102" s="1">
        <v>142</v>
      </c>
      <c r="U102" s="1">
        <v>191</v>
      </c>
      <c r="V102" s="1">
        <v>173</v>
      </c>
      <c r="W102" s="8">
        <f t="shared" si="123"/>
        <v>0.13440860215053763</v>
      </c>
      <c r="X102" s="8">
        <f t="shared" si="124"/>
        <v>-7.1090047393364927E-2</v>
      </c>
      <c r="Y102" s="8">
        <f t="shared" si="125"/>
        <v>0.12755102040816327</v>
      </c>
      <c r="Z102" s="8">
        <f t="shared" si="126"/>
        <v>4.9773755656108594E-2</v>
      </c>
      <c r="AA102" s="8">
        <f t="shared" si="127"/>
        <v>0.28448275862068967</v>
      </c>
      <c r="AB102" s="8">
        <f t="shared" si="128"/>
        <v>-0.1040268456375839</v>
      </c>
      <c r="AC102" s="12">
        <f t="shared" si="99"/>
        <v>7.0183207300758388E-2</v>
      </c>
      <c r="AD102" s="12">
        <f t="shared" si="100"/>
        <v>8.8662388032135941E-2</v>
      </c>
      <c r="AE102" s="1">
        <f t="shared" si="101"/>
        <v>25</v>
      </c>
      <c r="AF102" s="1">
        <f t="shared" si="102"/>
        <v>-15</v>
      </c>
      <c r="AG102" s="1">
        <f t="shared" si="103"/>
        <v>25</v>
      </c>
      <c r="AH102" s="1">
        <f t="shared" si="104"/>
        <v>11</v>
      </c>
      <c r="AI102" s="1">
        <f t="shared" si="105"/>
        <v>66</v>
      </c>
      <c r="AJ102" s="1">
        <f t="shared" si="106"/>
        <v>-31</v>
      </c>
      <c r="AK102" s="17">
        <f t="shared" si="107"/>
        <v>13.5</v>
      </c>
      <c r="AL102" s="17">
        <f t="shared" si="108"/>
        <v>18</v>
      </c>
      <c r="AM102" s="1">
        <f t="shared" si="129"/>
        <v>-0.2391304347826087</v>
      </c>
      <c r="AN102" s="1">
        <f t="shared" si="130"/>
        <v>1.4285714285714285E-2</v>
      </c>
      <c r="AO102" s="1">
        <f t="shared" si="131"/>
        <v>0.25352112676056338</v>
      </c>
      <c r="AP102" s="1">
        <f t="shared" si="132"/>
        <v>1.1235955056179775E-2</v>
      </c>
      <c r="AQ102" s="1">
        <f t="shared" si="133"/>
        <v>0.18888888888888888</v>
      </c>
      <c r="AR102" s="1">
        <f t="shared" si="134"/>
        <v>-0.12149532710280374</v>
      </c>
      <c r="AS102" s="12">
        <f t="shared" si="109"/>
        <v>1.7884320517655646E-2</v>
      </c>
      <c r="AT102" s="12">
        <f t="shared" si="110"/>
        <v>1.2760834670947029E-2</v>
      </c>
      <c r="AU102" s="1">
        <f t="shared" si="111"/>
        <v>-22</v>
      </c>
      <c r="AV102" s="1">
        <f t="shared" si="112"/>
        <v>1</v>
      </c>
      <c r="AW102" s="1">
        <f t="shared" si="113"/>
        <v>18</v>
      </c>
      <c r="AX102" s="1">
        <f t="shared" si="114"/>
        <v>1</v>
      </c>
      <c r="AY102" s="1">
        <f t="shared" si="115"/>
        <v>17</v>
      </c>
      <c r="AZ102" s="1">
        <f t="shared" si="116"/>
        <v>-13</v>
      </c>
      <c r="BA102" s="19">
        <f t="shared" si="135"/>
        <v>0.33333333333333331</v>
      </c>
      <c r="BB102" s="19">
        <f t="shared" si="136"/>
        <v>1</v>
      </c>
      <c r="BC102" s="9">
        <f t="shared" si="137"/>
        <v>0.5</v>
      </c>
      <c r="BD102" s="9">
        <f t="shared" si="138"/>
        <v>-0.11347517730496454</v>
      </c>
      <c r="BE102" s="9">
        <f t="shared" si="139"/>
        <v>5.6000000000000001E-2</v>
      </c>
      <c r="BF102" s="9">
        <f t="shared" si="140"/>
        <v>7.575757575757576E-2</v>
      </c>
      <c r="BG102" s="9">
        <f t="shared" si="141"/>
        <v>0.34507042253521125</v>
      </c>
      <c r="BH102" s="9">
        <f t="shared" si="142"/>
        <v>-9.4240837696335081E-2</v>
      </c>
      <c r="BI102" s="12">
        <f t="shared" si="143"/>
        <v>0.12818533054858125</v>
      </c>
      <c r="BJ102" s="13">
        <f t="shared" si="144"/>
        <v>6.5878787878787884E-2</v>
      </c>
      <c r="BK102" s="1">
        <f t="shared" si="117"/>
        <v>47</v>
      </c>
      <c r="BL102" s="1">
        <f t="shared" si="118"/>
        <v>-16</v>
      </c>
      <c r="BM102" s="1">
        <f t="shared" si="119"/>
        <v>7</v>
      </c>
      <c r="BN102" s="1">
        <f t="shared" si="120"/>
        <v>10</v>
      </c>
      <c r="BO102" s="1">
        <f t="shared" si="121"/>
        <v>49</v>
      </c>
      <c r="BP102" s="1">
        <f t="shared" si="122"/>
        <v>-18</v>
      </c>
      <c r="BQ102" s="19">
        <f t="shared" si="145"/>
        <v>13.166666666666666</v>
      </c>
      <c r="BR102" s="17">
        <f t="shared" si="146"/>
        <v>8.5</v>
      </c>
    </row>
    <row r="103" spans="1:70" x14ac:dyDescent="0.25">
      <c r="A103" s="20">
        <v>101</v>
      </c>
      <c r="B103" s="1">
        <v>157</v>
      </c>
      <c r="C103" s="1">
        <v>130</v>
      </c>
      <c r="D103" s="1">
        <v>150</v>
      </c>
      <c r="E103" s="1">
        <v>162</v>
      </c>
      <c r="F103" s="1">
        <v>141</v>
      </c>
      <c r="G103" s="1">
        <v>198</v>
      </c>
      <c r="H103" s="1">
        <v>185</v>
      </c>
      <c r="I103" s="1">
        <v>53</v>
      </c>
      <c r="J103" s="1">
        <v>47</v>
      </c>
      <c r="K103" s="1">
        <v>51</v>
      </c>
      <c r="L103" s="1">
        <v>56</v>
      </c>
      <c r="M103" s="1">
        <v>52</v>
      </c>
      <c r="N103" s="1">
        <v>63</v>
      </c>
      <c r="O103" s="1">
        <v>55</v>
      </c>
      <c r="P103" s="1">
        <v>104</v>
      </c>
      <c r="Q103" s="1">
        <v>83</v>
      </c>
      <c r="R103" s="1">
        <v>99</v>
      </c>
      <c r="S103" s="1">
        <v>106</v>
      </c>
      <c r="T103" s="1">
        <v>89</v>
      </c>
      <c r="U103" s="1">
        <v>135</v>
      </c>
      <c r="V103" s="1">
        <v>130</v>
      </c>
      <c r="W103" s="8">
        <f t="shared" si="123"/>
        <v>-0.17197452229299362</v>
      </c>
      <c r="X103" s="8">
        <f t="shared" si="124"/>
        <v>0.15384615384615385</v>
      </c>
      <c r="Y103" s="8">
        <f t="shared" si="125"/>
        <v>0.08</v>
      </c>
      <c r="Z103" s="8">
        <f t="shared" si="126"/>
        <v>-0.12962962962962962</v>
      </c>
      <c r="AA103" s="8">
        <f t="shared" si="127"/>
        <v>0.40425531914893614</v>
      </c>
      <c r="AB103" s="8">
        <f t="shared" si="128"/>
        <v>-6.5656565656565663E-2</v>
      </c>
      <c r="AC103" s="12">
        <f t="shared" si="99"/>
        <v>4.5140125902650187E-2</v>
      </c>
      <c r="AD103" s="12">
        <f t="shared" si="100"/>
        <v>7.1717171717171624E-3</v>
      </c>
      <c r="AE103" s="1">
        <f t="shared" si="101"/>
        <v>-27</v>
      </c>
      <c r="AF103" s="1">
        <f t="shared" si="102"/>
        <v>20</v>
      </c>
      <c r="AG103" s="1">
        <f t="shared" si="103"/>
        <v>12</v>
      </c>
      <c r="AH103" s="1">
        <f t="shared" si="104"/>
        <v>-21</v>
      </c>
      <c r="AI103" s="1">
        <f t="shared" si="105"/>
        <v>57</v>
      </c>
      <c r="AJ103" s="1">
        <f t="shared" si="106"/>
        <v>-13</v>
      </c>
      <c r="AK103" s="17">
        <f t="shared" si="107"/>
        <v>4.666666666666667</v>
      </c>
      <c r="AL103" s="17">
        <f t="shared" si="108"/>
        <v>-0.5</v>
      </c>
      <c r="AM103" s="1">
        <f t="shared" si="129"/>
        <v>-0.11320754716981132</v>
      </c>
      <c r="AN103" s="1">
        <f t="shared" si="130"/>
        <v>8.5106382978723402E-2</v>
      </c>
      <c r="AO103" s="1">
        <f t="shared" si="131"/>
        <v>9.8039215686274508E-2</v>
      </c>
      <c r="AP103" s="1">
        <f t="shared" si="132"/>
        <v>-7.1428571428571425E-2</v>
      </c>
      <c r="AQ103" s="1">
        <f t="shared" si="133"/>
        <v>0.21153846153846154</v>
      </c>
      <c r="AR103" s="1">
        <f t="shared" si="134"/>
        <v>-0.12698412698412698</v>
      </c>
      <c r="AS103" s="12">
        <f t="shared" si="109"/>
        <v>1.3843969103491621E-2</v>
      </c>
      <c r="AT103" s="12">
        <f t="shared" si="110"/>
        <v>6.8389057750759819E-3</v>
      </c>
      <c r="AU103" s="1">
        <f t="shared" si="111"/>
        <v>-6</v>
      </c>
      <c r="AV103" s="1">
        <f t="shared" si="112"/>
        <v>4</v>
      </c>
      <c r="AW103" s="1">
        <f t="shared" si="113"/>
        <v>5</v>
      </c>
      <c r="AX103" s="1">
        <f t="shared" si="114"/>
        <v>-4</v>
      </c>
      <c r="AY103" s="1">
        <f t="shared" si="115"/>
        <v>11</v>
      </c>
      <c r="AZ103" s="1">
        <f t="shared" si="116"/>
        <v>-8</v>
      </c>
      <c r="BA103" s="19">
        <f t="shared" si="135"/>
        <v>0.33333333333333331</v>
      </c>
      <c r="BB103" s="19">
        <f t="shared" si="136"/>
        <v>0</v>
      </c>
      <c r="BC103" s="9">
        <f t="shared" si="137"/>
        <v>-0.20192307692307693</v>
      </c>
      <c r="BD103" s="9">
        <f t="shared" si="138"/>
        <v>0.19277108433734941</v>
      </c>
      <c r="BE103" s="9">
        <f t="shared" si="139"/>
        <v>7.0707070707070704E-2</v>
      </c>
      <c r="BF103" s="9">
        <f t="shared" si="140"/>
        <v>-0.16037735849056603</v>
      </c>
      <c r="BG103" s="9">
        <f t="shared" si="141"/>
        <v>0.5168539325842697</v>
      </c>
      <c r="BH103" s="9">
        <f t="shared" si="142"/>
        <v>-3.7037037037037035E-2</v>
      </c>
      <c r="BI103" s="12">
        <f t="shared" si="143"/>
        <v>6.3499102529668297E-2</v>
      </c>
      <c r="BJ103" s="13">
        <f t="shared" si="144"/>
        <v>1.6835016835016835E-2</v>
      </c>
      <c r="BK103" s="1">
        <f t="shared" si="117"/>
        <v>-21</v>
      </c>
      <c r="BL103" s="1">
        <f t="shared" si="118"/>
        <v>16</v>
      </c>
      <c r="BM103" s="1">
        <f t="shared" si="119"/>
        <v>7</v>
      </c>
      <c r="BN103" s="1">
        <f t="shared" si="120"/>
        <v>-17</v>
      </c>
      <c r="BO103" s="1">
        <f t="shared" si="121"/>
        <v>46</v>
      </c>
      <c r="BP103" s="1">
        <f t="shared" si="122"/>
        <v>-5</v>
      </c>
      <c r="BQ103" s="19">
        <f t="shared" si="145"/>
        <v>4.333333333333333</v>
      </c>
      <c r="BR103" s="17">
        <f t="shared" si="146"/>
        <v>1</v>
      </c>
    </row>
    <row r="104" spans="1:70" x14ac:dyDescent="0.25">
      <c r="A104" s="20">
        <v>102</v>
      </c>
      <c r="B104" s="1">
        <v>106</v>
      </c>
      <c r="C104" s="1">
        <v>111</v>
      </c>
      <c r="D104" s="1">
        <v>108</v>
      </c>
      <c r="E104" s="1">
        <v>126</v>
      </c>
      <c r="F104" s="1">
        <v>102</v>
      </c>
      <c r="G104" s="1">
        <v>135</v>
      </c>
      <c r="H104" s="1">
        <v>131</v>
      </c>
      <c r="I104" s="1">
        <v>33</v>
      </c>
      <c r="J104" s="1">
        <v>42</v>
      </c>
      <c r="K104" s="1">
        <v>35</v>
      </c>
      <c r="L104" s="1">
        <v>42</v>
      </c>
      <c r="M104" s="1">
        <v>39</v>
      </c>
      <c r="N104" s="1">
        <v>47</v>
      </c>
      <c r="O104" s="1">
        <v>45</v>
      </c>
      <c r="P104" s="1">
        <v>73</v>
      </c>
      <c r="Q104" s="1">
        <v>69</v>
      </c>
      <c r="R104" s="1">
        <v>73</v>
      </c>
      <c r="S104" s="1">
        <v>84</v>
      </c>
      <c r="T104" s="1">
        <v>63</v>
      </c>
      <c r="U104" s="1">
        <v>88</v>
      </c>
      <c r="V104" s="1">
        <v>86</v>
      </c>
      <c r="W104" s="8">
        <f t="shared" si="123"/>
        <v>4.716981132075472E-2</v>
      </c>
      <c r="X104" s="8">
        <f t="shared" si="124"/>
        <v>-2.7027027027027029E-2</v>
      </c>
      <c r="Y104" s="8">
        <f t="shared" si="125"/>
        <v>0.16666666666666666</v>
      </c>
      <c r="Z104" s="8">
        <f t="shared" si="126"/>
        <v>-0.19047619047619047</v>
      </c>
      <c r="AA104" s="8">
        <f t="shared" si="127"/>
        <v>0.3235294117647059</v>
      </c>
      <c r="AB104" s="8">
        <f t="shared" si="128"/>
        <v>-2.9629629629629631E-2</v>
      </c>
      <c r="AC104" s="12">
        <f t="shared" si="99"/>
        <v>4.8372173769880032E-2</v>
      </c>
      <c r="AD104" s="12">
        <f t="shared" si="100"/>
        <v>1.0071392146863846E-2</v>
      </c>
      <c r="AE104" s="1">
        <f t="shared" si="101"/>
        <v>5</v>
      </c>
      <c r="AF104" s="1">
        <f t="shared" si="102"/>
        <v>-3</v>
      </c>
      <c r="AG104" s="1">
        <f t="shared" si="103"/>
        <v>18</v>
      </c>
      <c r="AH104" s="1">
        <f t="shared" si="104"/>
        <v>-24</v>
      </c>
      <c r="AI104" s="1">
        <f t="shared" si="105"/>
        <v>33</v>
      </c>
      <c r="AJ104" s="1">
        <f t="shared" si="106"/>
        <v>-4</v>
      </c>
      <c r="AK104" s="17">
        <f t="shared" si="107"/>
        <v>4.166666666666667</v>
      </c>
      <c r="AL104" s="17">
        <f t="shared" si="108"/>
        <v>1</v>
      </c>
      <c r="AM104" s="1">
        <f t="shared" si="129"/>
        <v>0.27272727272727271</v>
      </c>
      <c r="AN104" s="1">
        <f t="shared" si="130"/>
        <v>-0.16666666666666666</v>
      </c>
      <c r="AO104" s="1">
        <f t="shared" si="131"/>
        <v>0.2</v>
      </c>
      <c r="AP104" s="1">
        <f t="shared" si="132"/>
        <v>-7.1428571428571425E-2</v>
      </c>
      <c r="AQ104" s="1">
        <f t="shared" si="133"/>
        <v>0.20512820512820512</v>
      </c>
      <c r="AR104" s="1">
        <f t="shared" si="134"/>
        <v>-4.2553191489361701E-2</v>
      </c>
      <c r="AS104" s="12">
        <f t="shared" si="109"/>
        <v>6.6201174711812999E-2</v>
      </c>
      <c r="AT104" s="12">
        <f t="shared" si="110"/>
        <v>7.8723404255319152E-2</v>
      </c>
      <c r="AU104" s="1">
        <f t="shared" si="111"/>
        <v>9</v>
      </c>
      <c r="AV104" s="1">
        <f t="shared" si="112"/>
        <v>-7</v>
      </c>
      <c r="AW104" s="1">
        <f t="shared" si="113"/>
        <v>7</v>
      </c>
      <c r="AX104" s="1">
        <f t="shared" si="114"/>
        <v>-3</v>
      </c>
      <c r="AY104" s="1">
        <f t="shared" si="115"/>
        <v>8</v>
      </c>
      <c r="AZ104" s="1">
        <f t="shared" si="116"/>
        <v>-2</v>
      </c>
      <c r="BA104" s="19">
        <f t="shared" si="135"/>
        <v>2</v>
      </c>
      <c r="BB104" s="19">
        <f t="shared" si="136"/>
        <v>2.5</v>
      </c>
      <c r="BC104" s="9">
        <f t="shared" si="137"/>
        <v>-5.4794520547945202E-2</v>
      </c>
      <c r="BD104" s="9">
        <f t="shared" si="138"/>
        <v>5.7971014492753624E-2</v>
      </c>
      <c r="BE104" s="9">
        <f t="shared" si="139"/>
        <v>0.15068493150684931</v>
      </c>
      <c r="BF104" s="9">
        <f t="shared" si="140"/>
        <v>-0.25</v>
      </c>
      <c r="BG104" s="9">
        <f t="shared" si="141"/>
        <v>0.3968253968253968</v>
      </c>
      <c r="BH104" s="9">
        <f t="shared" si="142"/>
        <v>-2.2727272727272728E-2</v>
      </c>
      <c r="BI104" s="12">
        <f t="shared" si="143"/>
        <v>4.6326591591630308E-2</v>
      </c>
      <c r="BJ104" s="13">
        <f t="shared" si="144"/>
        <v>1.7621870882740448E-2</v>
      </c>
      <c r="BK104" s="1">
        <f t="shared" si="117"/>
        <v>-4</v>
      </c>
      <c r="BL104" s="1">
        <f t="shared" si="118"/>
        <v>4</v>
      </c>
      <c r="BM104" s="1">
        <f t="shared" si="119"/>
        <v>11</v>
      </c>
      <c r="BN104" s="1">
        <f t="shared" si="120"/>
        <v>-21</v>
      </c>
      <c r="BO104" s="1">
        <f t="shared" si="121"/>
        <v>25</v>
      </c>
      <c r="BP104" s="1">
        <f t="shared" si="122"/>
        <v>-2</v>
      </c>
      <c r="BQ104" s="19">
        <f t="shared" si="145"/>
        <v>2.1666666666666665</v>
      </c>
      <c r="BR104" s="17">
        <f t="shared" si="146"/>
        <v>1</v>
      </c>
    </row>
    <row r="105" spans="1:70" x14ac:dyDescent="0.25">
      <c r="A105" s="20">
        <v>103</v>
      </c>
      <c r="B105" s="1">
        <v>78</v>
      </c>
      <c r="C105" s="1">
        <v>73</v>
      </c>
      <c r="D105" s="1">
        <v>70</v>
      </c>
      <c r="E105" s="1">
        <v>86</v>
      </c>
      <c r="F105" s="1">
        <v>95</v>
      </c>
      <c r="G105" s="1">
        <v>105</v>
      </c>
      <c r="H105" s="1">
        <v>79</v>
      </c>
      <c r="I105" s="1">
        <v>26</v>
      </c>
      <c r="J105" s="1">
        <v>28</v>
      </c>
      <c r="K105" s="1">
        <v>27</v>
      </c>
      <c r="L105" s="1">
        <v>35</v>
      </c>
      <c r="M105" s="1">
        <v>39</v>
      </c>
      <c r="N105" s="1">
        <v>26</v>
      </c>
      <c r="O105" s="1">
        <v>23</v>
      </c>
      <c r="P105" s="1">
        <v>52</v>
      </c>
      <c r="Q105" s="1">
        <v>45</v>
      </c>
      <c r="R105" s="1">
        <v>43</v>
      </c>
      <c r="S105" s="1">
        <v>51</v>
      </c>
      <c r="T105" s="1">
        <v>56</v>
      </c>
      <c r="U105" s="1">
        <v>79</v>
      </c>
      <c r="V105" s="1">
        <v>56</v>
      </c>
      <c r="W105" s="8">
        <f t="shared" si="123"/>
        <v>-6.4102564102564097E-2</v>
      </c>
      <c r="X105" s="8">
        <f t="shared" si="124"/>
        <v>-4.1095890410958902E-2</v>
      </c>
      <c r="Y105" s="8">
        <f t="shared" si="125"/>
        <v>0.22857142857142856</v>
      </c>
      <c r="Z105" s="8">
        <f t="shared" si="126"/>
        <v>0.10465116279069768</v>
      </c>
      <c r="AA105" s="8">
        <f t="shared" si="127"/>
        <v>0.10526315789473684</v>
      </c>
      <c r="AB105" s="8">
        <f t="shared" si="128"/>
        <v>-0.24761904761904763</v>
      </c>
      <c r="AC105" s="12">
        <f t="shared" si="99"/>
        <v>1.4278041187382073E-2</v>
      </c>
      <c r="AD105" s="12">
        <f t="shared" si="100"/>
        <v>3.1777636189869396E-2</v>
      </c>
      <c r="AE105" s="1">
        <f t="shared" si="101"/>
        <v>-5</v>
      </c>
      <c r="AF105" s="1">
        <f t="shared" si="102"/>
        <v>-3</v>
      </c>
      <c r="AG105" s="1">
        <f t="shared" si="103"/>
        <v>16</v>
      </c>
      <c r="AH105" s="1">
        <f t="shared" si="104"/>
        <v>9</v>
      </c>
      <c r="AI105" s="1">
        <f t="shared" si="105"/>
        <v>10</v>
      </c>
      <c r="AJ105" s="1">
        <f t="shared" si="106"/>
        <v>-26</v>
      </c>
      <c r="AK105" s="17">
        <f t="shared" si="107"/>
        <v>0.16666666666666666</v>
      </c>
      <c r="AL105" s="17">
        <f t="shared" si="108"/>
        <v>3</v>
      </c>
      <c r="AM105" s="1">
        <f t="shared" si="129"/>
        <v>7.6923076923076927E-2</v>
      </c>
      <c r="AN105" s="1">
        <f t="shared" si="130"/>
        <v>-3.5714285714285712E-2</v>
      </c>
      <c r="AO105" s="1">
        <f t="shared" si="131"/>
        <v>0.29629629629629628</v>
      </c>
      <c r="AP105" s="1">
        <f t="shared" si="132"/>
        <v>0.11428571428571428</v>
      </c>
      <c r="AQ105" s="1">
        <f t="shared" si="133"/>
        <v>-0.33333333333333331</v>
      </c>
      <c r="AR105" s="1">
        <f t="shared" si="134"/>
        <v>-0.11538461538461539</v>
      </c>
      <c r="AS105" s="12">
        <f t="shared" si="109"/>
        <v>5.1214217880884516E-4</v>
      </c>
      <c r="AT105" s="12">
        <f t="shared" si="110"/>
        <v>2.0604395604395608E-2</v>
      </c>
      <c r="AU105" s="1">
        <f t="shared" si="111"/>
        <v>2</v>
      </c>
      <c r="AV105" s="1">
        <f t="shared" si="112"/>
        <v>-1</v>
      </c>
      <c r="AW105" s="1">
        <f t="shared" si="113"/>
        <v>8</v>
      </c>
      <c r="AX105" s="1">
        <f t="shared" si="114"/>
        <v>4</v>
      </c>
      <c r="AY105" s="1">
        <f t="shared" si="115"/>
        <v>-13</v>
      </c>
      <c r="AZ105" s="1">
        <f t="shared" si="116"/>
        <v>-3</v>
      </c>
      <c r="BA105" s="19">
        <f t="shared" si="135"/>
        <v>-0.5</v>
      </c>
      <c r="BB105" s="19">
        <f t="shared" si="136"/>
        <v>0.5</v>
      </c>
      <c r="BC105" s="9">
        <f t="shared" si="137"/>
        <v>-0.13461538461538461</v>
      </c>
      <c r="BD105" s="9">
        <f t="shared" si="138"/>
        <v>-4.4444444444444446E-2</v>
      </c>
      <c r="BE105" s="9">
        <f t="shared" si="139"/>
        <v>0.18604651162790697</v>
      </c>
      <c r="BF105" s="9">
        <f t="shared" si="140"/>
        <v>9.8039215686274508E-2</v>
      </c>
      <c r="BG105" s="9">
        <f t="shared" si="141"/>
        <v>0.4107142857142857</v>
      </c>
      <c r="BH105" s="9">
        <f t="shared" si="142"/>
        <v>-0.29113924050632911</v>
      </c>
      <c r="BI105" s="12">
        <f t="shared" si="143"/>
        <v>3.7433490577051497E-2</v>
      </c>
      <c r="BJ105" s="13">
        <f t="shared" si="144"/>
        <v>2.6797385620915028E-2</v>
      </c>
      <c r="BK105" s="1">
        <f t="shared" si="117"/>
        <v>-7</v>
      </c>
      <c r="BL105" s="1">
        <f t="shared" si="118"/>
        <v>-2</v>
      </c>
      <c r="BM105" s="1">
        <f t="shared" si="119"/>
        <v>8</v>
      </c>
      <c r="BN105" s="1">
        <f t="shared" si="120"/>
        <v>5</v>
      </c>
      <c r="BO105" s="1">
        <f t="shared" si="121"/>
        <v>23</v>
      </c>
      <c r="BP105" s="1">
        <f t="shared" si="122"/>
        <v>-23</v>
      </c>
      <c r="BQ105" s="19">
        <f t="shared" si="145"/>
        <v>0.66666666666666663</v>
      </c>
      <c r="BR105" s="17">
        <f t="shared" si="146"/>
        <v>1.5</v>
      </c>
    </row>
    <row r="106" spans="1:70" x14ac:dyDescent="0.25">
      <c r="A106" s="20">
        <v>104</v>
      </c>
      <c r="B106" s="1">
        <v>38</v>
      </c>
      <c r="C106" s="1">
        <v>46</v>
      </c>
      <c r="D106" s="1">
        <v>45</v>
      </c>
      <c r="E106" s="1">
        <v>50</v>
      </c>
      <c r="F106" s="1">
        <v>60</v>
      </c>
      <c r="G106" s="1">
        <v>73</v>
      </c>
      <c r="H106" s="1">
        <v>51</v>
      </c>
      <c r="I106" s="1">
        <v>8</v>
      </c>
      <c r="J106" s="1">
        <v>15</v>
      </c>
      <c r="K106" s="1">
        <v>10</v>
      </c>
      <c r="L106" s="1">
        <v>16</v>
      </c>
      <c r="M106" s="1">
        <v>19</v>
      </c>
      <c r="N106" s="1">
        <v>26</v>
      </c>
      <c r="O106" s="1">
        <v>18</v>
      </c>
      <c r="P106" s="1">
        <v>30</v>
      </c>
      <c r="Q106" s="1">
        <v>31</v>
      </c>
      <c r="R106" s="1">
        <v>35</v>
      </c>
      <c r="S106" s="1">
        <v>34</v>
      </c>
      <c r="T106" s="1">
        <v>41</v>
      </c>
      <c r="U106" s="1">
        <v>47</v>
      </c>
      <c r="V106" s="1">
        <v>33</v>
      </c>
      <c r="W106" s="8">
        <f t="shared" si="123"/>
        <v>0.21052631578947367</v>
      </c>
      <c r="X106" s="8">
        <f t="shared" si="124"/>
        <v>-2.1739130434782608E-2</v>
      </c>
      <c r="Y106" s="8">
        <f t="shared" si="125"/>
        <v>0.1111111111111111</v>
      </c>
      <c r="Z106" s="8">
        <f t="shared" si="126"/>
        <v>0.2</v>
      </c>
      <c r="AA106" s="8">
        <f t="shared" si="127"/>
        <v>0.21666666666666667</v>
      </c>
      <c r="AB106" s="8">
        <f t="shared" si="128"/>
        <v>-0.30136986301369861</v>
      </c>
      <c r="AC106" s="12">
        <f t="shared" si="99"/>
        <v>6.9199183353128371E-2</v>
      </c>
      <c r="AD106" s="12">
        <f t="shared" si="100"/>
        <v>0.15555555555555556</v>
      </c>
      <c r="AE106" s="1">
        <f t="shared" si="101"/>
        <v>8</v>
      </c>
      <c r="AF106" s="1">
        <f t="shared" si="102"/>
        <v>-1</v>
      </c>
      <c r="AG106" s="1">
        <f t="shared" si="103"/>
        <v>5</v>
      </c>
      <c r="AH106" s="1">
        <f t="shared" si="104"/>
        <v>10</v>
      </c>
      <c r="AI106" s="1">
        <f t="shared" si="105"/>
        <v>13</v>
      </c>
      <c r="AJ106" s="1">
        <f t="shared" si="106"/>
        <v>-22</v>
      </c>
      <c r="AK106" s="17">
        <f t="shared" si="107"/>
        <v>2.1666666666666665</v>
      </c>
      <c r="AL106" s="17">
        <f t="shared" si="108"/>
        <v>6.5</v>
      </c>
      <c r="AM106" s="1">
        <f t="shared" si="129"/>
        <v>0.875</v>
      </c>
      <c r="AN106" s="1">
        <f t="shared" si="130"/>
        <v>-0.33333333333333331</v>
      </c>
      <c r="AO106" s="1">
        <f t="shared" si="131"/>
        <v>0.6</v>
      </c>
      <c r="AP106" s="1">
        <f t="shared" si="132"/>
        <v>0.1875</v>
      </c>
      <c r="AQ106" s="1">
        <f t="shared" si="133"/>
        <v>0.36842105263157893</v>
      </c>
      <c r="AR106" s="1">
        <f t="shared" si="134"/>
        <v>-0.30769230769230771</v>
      </c>
      <c r="AS106" s="12">
        <f t="shared" si="109"/>
        <v>0.23164923526765632</v>
      </c>
      <c r="AT106" s="12">
        <f t="shared" si="110"/>
        <v>0.27796052631578949</v>
      </c>
      <c r="AU106" s="1">
        <f t="shared" si="111"/>
        <v>7</v>
      </c>
      <c r="AV106" s="1">
        <f t="shared" si="112"/>
        <v>-5</v>
      </c>
      <c r="AW106" s="1">
        <f t="shared" si="113"/>
        <v>6</v>
      </c>
      <c r="AX106" s="1">
        <f t="shared" si="114"/>
        <v>3</v>
      </c>
      <c r="AY106" s="1">
        <f t="shared" si="115"/>
        <v>7</v>
      </c>
      <c r="AZ106" s="1">
        <f t="shared" si="116"/>
        <v>-8</v>
      </c>
      <c r="BA106" s="19">
        <f t="shared" si="135"/>
        <v>1.6666666666666667</v>
      </c>
      <c r="BB106" s="19">
        <f t="shared" si="136"/>
        <v>4.5</v>
      </c>
      <c r="BC106" s="9">
        <f t="shared" si="137"/>
        <v>3.3333333333333333E-2</v>
      </c>
      <c r="BD106" s="9">
        <f t="shared" si="138"/>
        <v>0.12903225806451613</v>
      </c>
      <c r="BE106" s="9">
        <f t="shared" si="139"/>
        <v>-2.8571428571428571E-2</v>
      </c>
      <c r="BF106" s="9">
        <f t="shared" si="140"/>
        <v>0.20588235294117646</v>
      </c>
      <c r="BG106" s="9">
        <f t="shared" si="141"/>
        <v>0.14634146341463414</v>
      </c>
      <c r="BH106" s="9">
        <f t="shared" si="142"/>
        <v>-0.2978723404255319</v>
      </c>
      <c r="BI106" s="12">
        <f t="shared" si="143"/>
        <v>3.1357606459449926E-2</v>
      </c>
      <c r="BJ106" s="13">
        <f t="shared" si="144"/>
        <v>8.1182795698924726E-2</v>
      </c>
      <c r="BK106" s="1">
        <f t="shared" si="117"/>
        <v>1</v>
      </c>
      <c r="BL106" s="1">
        <f t="shared" si="118"/>
        <v>4</v>
      </c>
      <c r="BM106" s="1">
        <f t="shared" si="119"/>
        <v>-1</v>
      </c>
      <c r="BN106" s="1">
        <f t="shared" si="120"/>
        <v>7</v>
      </c>
      <c r="BO106" s="1">
        <f t="shared" si="121"/>
        <v>6</v>
      </c>
      <c r="BP106" s="1">
        <f t="shared" si="122"/>
        <v>-14</v>
      </c>
      <c r="BQ106" s="19">
        <f t="shared" si="145"/>
        <v>0.5</v>
      </c>
      <c r="BR106" s="17">
        <f t="shared" si="146"/>
        <v>2.5</v>
      </c>
    </row>
    <row r="107" spans="1:70" x14ac:dyDescent="0.25">
      <c r="A107" s="20">
        <v>105</v>
      </c>
      <c r="B107" s="1">
        <v>28</v>
      </c>
      <c r="C107" s="1">
        <v>29</v>
      </c>
      <c r="D107" s="1">
        <v>22</v>
      </c>
      <c r="E107" s="1">
        <v>43</v>
      </c>
      <c r="F107" s="1">
        <v>29</v>
      </c>
      <c r="G107" s="1">
        <v>29</v>
      </c>
      <c r="H107" s="1">
        <v>32</v>
      </c>
      <c r="I107" s="1">
        <v>11</v>
      </c>
      <c r="J107" s="1">
        <v>10</v>
      </c>
      <c r="K107" s="1">
        <v>7</v>
      </c>
      <c r="L107" s="1">
        <v>12</v>
      </c>
      <c r="M107" s="1">
        <v>12</v>
      </c>
      <c r="N107" s="1">
        <v>11</v>
      </c>
      <c r="O107" s="1">
        <v>9</v>
      </c>
      <c r="P107" s="1">
        <v>17</v>
      </c>
      <c r="Q107" s="1">
        <v>19</v>
      </c>
      <c r="R107" s="1">
        <v>15</v>
      </c>
      <c r="S107" s="1">
        <v>31</v>
      </c>
      <c r="T107" s="1">
        <v>17</v>
      </c>
      <c r="U107" s="1">
        <v>18</v>
      </c>
      <c r="V107" s="1">
        <v>23</v>
      </c>
      <c r="W107" s="8">
        <f t="shared" si="123"/>
        <v>3.5714285714285712E-2</v>
      </c>
      <c r="X107" s="8">
        <f t="shared" si="124"/>
        <v>-0.2413793103448276</v>
      </c>
      <c r="Y107" s="8">
        <f t="shared" si="125"/>
        <v>0.95454545454545459</v>
      </c>
      <c r="Z107" s="8">
        <f t="shared" si="126"/>
        <v>-0.32558139534883723</v>
      </c>
      <c r="AA107" s="8">
        <f t="shared" si="127"/>
        <v>0</v>
      </c>
      <c r="AB107" s="8">
        <f t="shared" si="128"/>
        <v>0.10344827586206896</v>
      </c>
      <c r="AC107" s="12">
        <f t="shared" si="99"/>
        <v>8.7791218404690743E-2</v>
      </c>
      <c r="AD107" s="12">
        <f t="shared" si="100"/>
        <v>1.7857142857142856E-2</v>
      </c>
      <c r="AE107" s="1">
        <f t="shared" si="101"/>
        <v>1</v>
      </c>
      <c r="AF107" s="1">
        <f t="shared" si="102"/>
        <v>-7</v>
      </c>
      <c r="AG107" s="1">
        <f t="shared" si="103"/>
        <v>21</v>
      </c>
      <c r="AH107" s="1">
        <f t="shared" si="104"/>
        <v>-14</v>
      </c>
      <c r="AI107" s="1">
        <f t="shared" si="105"/>
        <v>0</v>
      </c>
      <c r="AJ107" s="1">
        <f t="shared" si="106"/>
        <v>3</v>
      </c>
      <c r="AK107" s="17">
        <f t="shared" si="107"/>
        <v>0.66666666666666663</v>
      </c>
      <c r="AL107" s="17">
        <f t="shared" si="108"/>
        <v>0.5</v>
      </c>
      <c r="AM107" s="1">
        <f t="shared" si="129"/>
        <v>-9.0909090909090912E-2</v>
      </c>
      <c r="AN107" s="1">
        <f t="shared" si="130"/>
        <v>-0.3</v>
      </c>
      <c r="AO107" s="1">
        <f t="shared" si="131"/>
        <v>0.7142857142857143</v>
      </c>
      <c r="AP107" s="1">
        <f t="shared" si="132"/>
        <v>0</v>
      </c>
      <c r="AQ107" s="1">
        <f t="shared" si="133"/>
        <v>-8.3333333333333329E-2</v>
      </c>
      <c r="AR107" s="1">
        <f t="shared" si="134"/>
        <v>-0.18181818181818182</v>
      </c>
      <c r="AS107" s="12">
        <f t="shared" si="109"/>
        <v>9.7041847041847151E-3</v>
      </c>
      <c r="AT107" s="12">
        <f t="shared" si="110"/>
        <v>-8.7121212121212127E-2</v>
      </c>
      <c r="AU107" s="1">
        <f t="shared" si="111"/>
        <v>-1</v>
      </c>
      <c r="AV107" s="1">
        <f t="shared" si="112"/>
        <v>-3</v>
      </c>
      <c r="AW107" s="1">
        <f t="shared" si="113"/>
        <v>5</v>
      </c>
      <c r="AX107" s="1">
        <f t="shared" si="114"/>
        <v>0</v>
      </c>
      <c r="AY107" s="1">
        <f t="shared" si="115"/>
        <v>-1</v>
      </c>
      <c r="AZ107" s="1">
        <f t="shared" si="116"/>
        <v>-2</v>
      </c>
      <c r="BA107" s="19">
        <f t="shared" si="135"/>
        <v>-0.33333333333333331</v>
      </c>
      <c r="BB107" s="19">
        <f t="shared" si="136"/>
        <v>-1</v>
      </c>
      <c r="BC107" s="9">
        <f t="shared" si="137"/>
        <v>0.11764705882352941</v>
      </c>
      <c r="BD107" s="9">
        <f t="shared" si="138"/>
        <v>-0.21052631578947367</v>
      </c>
      <c r="BE107" s="9">
        <f t="shared" si="139"/>
        <v>1.0666666666666667</v>
      </c>
      <c r="BF107" s="9">
        <f t="shared" si="140"/>
        <v>-0.45161290322580644</v>
      </c>
      <c r="BG107" s="9">
        <f t="shared" si="141"/>
        <v>5.8823529411764705E-2</v>
      </c>
      <c r="BH107" s="9">
        <f t="shared" si="142"/>
        <v>0.27777777777777779</v>
      </c>
      <c r="BI107" s="12">
        <f t="shared" si="143"/>
        <v>0.14312930227740975</v>
      </c>
      <c r="BJ107" s="13">
        <f t="shared" si="144"/>
        <v>8.8235294117647051E-2</v>
      </c>
      <c r="BK107" s="1">
        <f t="shared" si="117"/>
        <v>2</v>
      </c>
      <c r="BL107" s="1">
        <f t="shared" si="118"/>
        <v>-4</v>
      </c>
      <c r="BM107" s="1">
        <f t="shared" si="119"/>
        <v>16</v>
      </c>
      <c r="BN107" s="1">
        <f t="shared" si="120"/>
        <v>-14</v>
      </c>
      <c r="BO107" s="1">
        <f t="shared" si="121"/>
        <v>1</v>
      </c>
      <c r="BP107" s="1">
        <f t="shared" si="122"/>
        <v>5</v>
      </c>
      <c r="BQ107" s="19">
        <f t="shared" si="145"/>
        <v>1</v>
      </c>
      <c r="BR107" s="17">
        <f t="shared" si="146"/>
        <v>1.5</v>
      </c>
    </row>
    <row r="108" spans="1:70" x14ac:dyDescent="0.25">
      <c r="A108" s="20">
        <v>106</v>
      </c>
      <c r="B108" s="1">
        <v>17</v>
      </c>
      <c r="C108" s="1">
        <v>21</v>
      </c>
      <c r="D108" s="1">
        <v>15</v>
      </c>
      <c r="E108" s="1">
        <v>24</v>
      </c>
      <c r="F108" s="1">
        <v>17</v>
      </c>
      <c r="G108" s="1">
        <v>20</v>
      </c>
      <c r="H108" s="1">
        <v>18</v>
      </c>
      <c r="I108" s="1">
        <v>6</v>
      </c>
      <c r="J108" s="1">
        <v>5</v>
      </c>
      <c r="K108" s="1">
        <v>6</v>
      </c>
      <c r="L108" s="1">
        <v>4</v>
      </c>
      <c r="M108" s="1">
        <v>3</v>
      </c>
      <c r="N108" s="1">
        <v>8</v>
      </c>
      <c r="O108" s="1">
        <v>7</v>
      </c>
      <c r="P108" s="1">
        <v>11</v>
      </c>
      <c r="Q108" s="1">
        <v>16</v>
      </c>
      <c r="R108" s="1">
        <v>9</v>
      </c>
      <c r="S108" s="1">
        <v>20</v>
      </c>
      <c r="T108" s="1">
        <v>14</v>
      </c>
      <c r="U108" s="1">
        <v>12</v>
      </c>
      <c r="V108" s="1">
        <v>11</v>
      </c>
      <c r="W108" s="8">
        <f t="shared" si="123"/>
        <v>0.23529411764705882</v>
      </c>
      <c r="X108" s="8">
        <f t="shared" si="124"/>
        <v>-0.2857142857142857</v>
      </c>
      <c r="Y108" s="8">
        <f t="shared" si="125"/>
        <v>0.6</v>
      </c>
      <c r="Z108" s="8">
        <f t="shared" si="126"/>
        <v>-0.29166666666666669</v>
      </c>
      <c r="AA108" s="8">
        <f t="shared" si="127"/>
        <v>0.17647058823529413</v>
      </c>
      <c r="AB108" s="8">
        <f t="shared" si="128"/>
        <v>-0.1</v>
      </c>
      <c r="AC108" s="12">
        <f t="shared" si="99"/>
        <v>5.5730625583566763E-2</v>
      </c>
      <c r="AD108" s="12">
        <f t="shared" si="100"/>
        <v>3.8235294117647062E-2</v>
      </c>
      <c r="AE108" s="1">
        <f t="shared" si="101"/>
        <v>4</v>
      </c>
      <c r="AF108" s="1">
        <f t="shared" si="102"/>
        <v>-6</v>
      </c>
      <c r="AG108" s="1">
        <f t="shared" si="103"/>
        <v>9</v>
      </c>
      <c r="AH108" s="1">
        <f t="shared" si="104"/>
        <v>-7</v>
      </c>
      <c r="AI108" s="1">
        <f t="shared" si="105"/>
        <v>3</v>
      </c>
      <c r="AJ108" s="1">
        <f t="shared" si="106"/>
        <v>-2</v>
      </c>
      <c r="AK108" s="17">
        <f t="shared" si="107"/>
        <v>0.16666666666666666</v>
      </c>
      <c r="AL108" s="17">
        <f t="shared" si="108"/>
        <v>0.5</v>
      </c>
      <c r="AM108" s="1">
        <f t="shared" si="129"/>
        <v>-0.16666666666666666</v>
      </c>
      <c r="AN108" s="1">
        <f t="shared" si="130"/>
        <v>0.2</v>
      </c>
      <c r="AO108" s="1">
        <f t="shared" si="131"/>
        <v>-0.33333333333333331</v>
      </c>
      <c r="AP108" s="1">
        <f t="shared" si="132"/>
        <v>-0.25</v>
      </c>
      <c r="AQ108" s="1">
        <f t="shared" si="133"/>
        <v>1.6666666666666667</v>
      </c>
      <c r="AR108" s="1">
        <f t="shared" si="134"/>
        <v>-0.125</v>
      </c>
      <c r="AS108" s="12">
        <f t="shared" si="109"/>
        <v>0.16527777777777777</v>
      </c>
      <c r="AT108" s="12">
        <f t="shared" si="110"/>
        <v>-0.14583333333333331</v>
      </c>
      <c r="AU108" s="1">
        <f t="shared" si="111"/>
        <v>-1</v>
      </c>
      <c r="AV108" s="1">
        <f t="shared" si="112"/>
        <v>1</v>
      </c>
      <c r="AW108" s="1">
        <f t="shared" si="113"/>
        <v>-2</v>
      </c>
      <c r="AX108" s="1">
        <f t="shared" si="114"/>
        <v>-1</v>
      </c>
      <c r="AY108" s="1">
        <f t="shared" si="115"/>
        <v>5</v>
      </c>
      <c r="AZ108" s="1">
        <f t="shared" si="116"/>
        <v>-1</v>
      </c>
      <c r="BA108" s="19">
        <f t="shared" si="135"/>
        <v>0.16666666666666666</v>
      </c>
      <c r="BB108" s="19">
        <f t="shared" si="136"/>
        <v>-1</v>
      </c>
      <c r="BC108" s="9">
        <f t="shared" si="137"/>
        <v>0.45454545454545453</v>
      </c>
      <c r="BD108" s="9">
        <f t="shared" si="138"/>
        <v>-0.4375</v>
      </c>
      <c r="BE108" s="9">
        <f t="shared" si="139"/>
        <v>1.2222222222222223</v>
      </c>
      <c r="BF108" s="9">
        <f t="shared" si="140"/>
        <v>-0.3</v>
      </c>
      <c r="BG108" s="9">
        <f t="shared" si="141"/>
        <v>-0.14285714285714285</v>
      </c>
      <c r="BH108" s="9">
        <f t="shared" si="142"/>
        <v>-8.3333333333333329E-2</v>
      </c>
      <c r="BI108" s="12">
        <f t="shared" si="143"/>
        <v>0.11884620009620012</v>
      </c>
      <c r="BJ108" s="13">
        <f t="shared" si="144"/>
        <v>-0.11309523809523808</v>
      </c>
      <c r="BK108" s="1">
        <f t="shared" si="117"/>
        <v>5</v>
      </c>
      <c r="BL108" s="1">
        <f t="shared" si="118"/>
        <v>-7</v>
      </c>
      <c r="BM108" s="1">
        <f t="shared" si="119"/>
        <v>11</v>
      </c>
      <c r="BN108" s="1">
        <f t="shared" si="120"/>
        <v>-6</v>
      </c>
      <c r="BO108" s="1">
        <f t="shared" si="121"/>
        <v>-2</v>
      </c>
      <c r="BP108" s="1">
        <f t="shared" si="122"/>
        <v>-1</v>
      </c>
      <c r="BQ108" s="19">
        <f t="shared" si="145"/>
        <v>0</v>
      </c>
      <c r="BR108" s="17">
        <f t="shared" si="146"/>
        <v>-1.5</v>
      </c>
    </row>
    <row r="109" spans="1:70" x14ac:dyDescent="0.25">
      <c r="A109" s="20">
        <v>107</v>
      </c>
      <c r="B109" s="1">
        <v>15</v>
      </c>
      <c r="C109" s="1">
        <v>18</v>
      </c>
      <c r="D109" s="1">
        <v>19</v>
      </c>
      <c r="E109" s="1">
        <v>15</v>
      </c>
      <c r="F109" s="1">
        <v>18</v>
      </c>
      <c r="G109" s="1">
        <v>13</v>
      </c>
      <c r="H109" s="1">
        <v>10</v>
      </c>
      <c r="I109" s="1">
        <v>6</v>
      </c>
      <c r="J109" s="1">
        <v>8</v>
      </c>
      <c r="K109" s="1">
        <v>7</v>
      </c>
      <c r="L109" s="1">
        <v>4</v>
      </c>
      <c r="M109" s="1">
        <v>3</v>
      </c>
      <c r="N109" s="1">
        <v>4</v>
      </c>
      <c r="O109" s="1">
        <v>2</v>
      </c>
      <c r="P109" s="1">
        <v>9</v>
      </c>
      <c r="Q109" s="1">
        <v>10</v>
      </c>
      <c r="R109" s="1">
        <v>12</v>
      </c>
      <c r="S109" s="1">
        <v>11</v>
      </c>
      <c r="T109" s="1">
        <v>15</v>
      </c>
      <c r="U109" s="1">
        <v>9</v>
      </c>
      <c r="V109" s="1">
        <v>8</v>
      </c>
      <c r="W109" s="8">
        <f t="shared" si="123"/>
        <v>0.2</v>
      </c>
      <c r="X109" s="8">
        <f t="shared" si="124"/>
        <v>5.5555555555555552E-2</v>
      </c>
      <c r="Y109" s="8">
        <f t="shared" si="125"/>
        <v>-0.21052631578947367</v>
      </c>
      <c r="Z109" s="8">
        <f t="shared" si="126"/>
        <v>0.2</v>
      </c>
      <c r="AA109" s="8">
        <f t="shared" si="127"/>
        <v>-0.27777777777777779</v>
      </c>
      <c r="AB109" s="8">
        <f t="shared" si="128"/>
        <v>-0.23076923076923078</v>
      </c>
      <c r="AC109" s="12">
        <f t="shared" si="99"/>
        <v>-4.3919628130154452E-2</v>
      </c>
      <c r="AD109" s="12">
        <f t="shared" si="100"/>
        <v>-7.7485380116959046E-2</v>
      </c>
      <c r="AE109" s="1">
        <f t="shared" si="101"/>
        <v>3</v>
      </c>
      <c r="AF109" s="1">
        <f t="shared" si="102"/>
        <v>1</v>
      </c>
      <c r="AG109" s="1">
        <f t="shared" si="103"/>
        <v>-4</v>
      </c>
      <c r="AH109" s="1">
        <f t="shared" si="104"/>
        <v>3</v>
      </c>
      <c r="AI109" s="1">
        <f t="shared" si="105"/>
        <v>-5</v>
      </c>
      <c r="AJ109" s="1">
        <f t="shared" si="106"/>
        <v>-3</v>
      </c>
      <c r="AK109" s="17">
        <f t="shared" si="107"/>
        <v>-0.83333333333333337</v>
      </c>
      <c r="AL109" s="17">
        <f t="shared" si="108"/>
        <v>-1</v>
      </c>
      <c r="AM109" s="1">
        <f t="shared" si="129"/>
        <v>0.33333333333333331</v>
      </c>
      <c r="AN109" s="1">
        <f t="shared" si="130"/>
        <v>-0.125</v>
      </c>
      <c r="AO109" s="1">
        <f t="shared" si="131"/>
        <v>-0.42857142857142855</v>
      </c>
      <c r="AP109" s="1">
        <f t="shared" si="132"/>
        <v>-0.25</v>
      </c>
      <c r="AQ109" s="1">
        <f t="shared" si="133"/>
        <v>0.33333333333333331</v>
      </c>
      <c r="AR109" s="1">
        <f t="shared" si="134"/>
        <v>-0.5</v>
      </c>
      <c r="AS109" s="12">
        <f t="shared" si="109"/>
        <v>-0.10615079365079365</v>
      </c>
      <c r="AT109" s="12">
        <f t="shared" si="110"/>
        <v>-0.1875</v>
      </c>
      <c r="AU109" s="1">
        <f t="shared" si="111"/>
        <v>2</v>
      </c>
      <c r="AV109" s="1">
        <f t="shared" si="112"/>
        <v>-1</v>
      </c>
      <c r="AW109" s="1">
        <f t="shared" si="113"/>
        <v>-3</v>
      </c>
      <c r="AX109" s="1">
        <f t="shared" si="114"/>
        <v>-1</v>
      </c>
      <c r="AY109" s="1">
        <f t="shared" si="115"/>
        <v>1</v>
      </c>
      <c r="AZ109" s="1">
        <f t="shared" si="116"/>
        <v>-2</v>
      </c>
      <c r="BA109" s="19">
        <f t="shared" si="135"/>
        <v>-0.66666666666666663</v>
      </c>
      <c r="BB109" s="19">
        <f t="shared" si="136"/>
        <v>-1</v>
      </c>
      <c r="BC109" s="9">
        <f t="shared" si="137"/>
        <v>0.1111111111111111</v>
      </c>
      <c r="BD109" s="9">
        <f t="shared" si="138"/>
        <v>0.2</v>
      </c>
      <c r="BE109" s="9">
        <f t="shared" si="139"/>
        <v>-8.3333333333333329E-2</v>
      </c>
      <c r="BF109" s="9">
        <f t="shared" si="140"/>
        <v>0.36363636363636365</v>
      </c>
      <c r="BG109" s="9">
        <f t="shared" si="141"/>
        <v>-0.4</v>
      </c>
      <c r="BH109" s="9">
        <f t="shared" si="142"/>
        <v>-0.1111111111111111</v>
      </c>
      <c r="BI109" s="12">
        <f t="shared" si="143"/>
        <v>1.3383838383838378E-2</v>
      </c>
      <c r="BJ109" s="13">
        <f t="shared" si="144"/>
        <v>1.3888888888888881E-2</v>
      </c>
      <c r="BK109" s="1">
        <f t="shared" si="117"/>
        <v>1</v>
      </c>
      <c r="BL109" s="1">
        <f t="shared" si="118"/>
        <v>2</v>
      </c>
      <c r="BM109" s="1">
        <f t="shared" si="119"/>
        <v>-1</v>
      </c>
      <c r="BN109" s="1">
        <f t="shared" si="120"/>
        <v>4</v>
      </c>
      <c r="BO109" s="1">
        <f t="shared" si="121"/>
        <v>-6</v>
      </c>
      <c r="BP109" s="1">
        <f t="shared" si="122"/>
        <v>-1</v>
      </c>
      <c r="BQ109" s="19">
        <f t="shared" si="145"/>
        <v>-0.16666666666666666</v>
      </c>
      <c r="BR109" s="17">
        <f t="shared" si="146"/>
        <v>0</v>
      </c>
    </row>
    <row r="110" spans="1:70" x14ac:dyDescent="0.25">
      <c r="A110" s="20">
        <v>108</v>
      </c>
      <c r="B110" s="1">
        <v>4</v>
      </c>
      <c r="C110" s="1">
        <v>7</v>
      </c>
      <c r="D110" s="1">
        <v>12</v>
      </c>
      <c r="E110" s="1">
        <v>5</v>
      </c>
      <c r="F110" s="1">
        <v>6</v>
      </c>
      <c r="G110" s="1">
        <v>7</v>
      </c>
      <c r="H110" s="1">
        <v>8</v>
      </c>
      <c r="I110" s="1">
        <v>3</v>
      </c>
      <c r="J110" s="1">
        <v>5</v>
      </c>
      <c r="K110" s="1">
        <v>3</v>
      </c>
      <c r="L110" s="1">
        <v>2</v>
      </c>
      <c r="N110" s="1">
        <v>3</v>
      </c>
      <c r="O110" s="1">
        <v>2</v>
      </c>
      <c r="P110" s="1">
        <v>1</v>
      </c>
      <c r="Q110" s="1">
        <v>2</v>
      </c>
      <c r="R110" s="1">
        <v>9</v>
      </c>
      <c r="S110" s="1">
        <v>3</v>
      </c>
      <c r="T110" s="1">
        <v>6</v>
      </c>
      <c r="U110" s="1">
        <v>4</v>
      </c>
      <c r="V110" s="1">
        <v>6</v>
      </c>
      <c r="W110" s="8">
        <f t="shared" si="123"/>
        <v>0.75</v>
      </c>
      <c r="X110" s="8">
        <f t="shared" si="124"/>
        <v>0.7142857142857143</v>
      </c>
      <c r="Y110" s="8">
        <f t="shared" si="125"/>
        <v>-0.58333333333333337</v>
      </c>
      <c r="Z110" s="8">
        <f t="shared" si="126"/>
        <v>0.2</v>
      </c>
      <c r="AA110" s="8">
        <f t="shared" si="127"/>
        <v>0.16666666666666666</v>
      </c>
      <c r="AB110" s="8">
        <f t="shared" si="128"/>
        <v>0.14285714285714285</v>
      </c>
      <c r="AC110" s="12">
        <f t="shared" si="99"/>
        <v>0.23174603174603178</v>
      </c>
      <c r="AD110" s="12">
        <f t="shared" si="100"/>
        <v>0.18333333333333335</v>
      </c>
      <c r="AE110" s="1">
        <f t="shared" si="101"/>
        <v>3</v>
      </c>
      <c r="AF110" s="1">
        <f t="shared" si="102"/>
        <v>5</v>
      </c>
      <c r="AG110" s="1">
        <f t="shared" si="103"/>
        <v>-7</v>
      </c>
      <c r="AH110" s="1">
        <f t="shared" si="104"/>
        <v>1</v>
      </c>
      <c r="AI110" s="1">
        <f t="shared" si="105"/>
        <v>1</v>
      </c>
      <c r="AJ110" s="1">
        <f t="shared" si="106"/>
        <v>1</v>
      </c>
      <c r="AK110" s="17">
        <f t="shared" si="107"/>
        <v>0.66666666666666663</v>
      </c>
      <c r="AL110" s="17">
        <f t="shared" si="108"/>
        <v>1</v>
      </c>
      <c r="AM110" s="1">
        <f t="shared" si="129"/>
        <v>0.66666666666666663</v>
      </c>
      <c r="AN110" s="1">
        <f t="shared" si="130"/>
        <v>-0.4</v>
      </c>
      <c r="AO110" s="1">
        <f t="shared" si="131"/>
        <v>-0.33333333333333331</v>
      </c>
      <c r="AP110" s="1">
        <f t="shared" si="132"/>
        <v>-1</v>
      </c>
      <c r="AQ110" s="1" t="e">
        <f t="shared" si="133"/>
        <v>#DIV/0!</v>
      </c>
      <c r="AR110" s="1">
        <f t="shared" si="134"/>
        <v>-0.33333333333333331</v>
      </c>
      <c r="AS110" s="12" t="e">
        <f t="shared" si="109"/>
        <v>#DIV/0!</v>
      </c>
      <c r="AT110" s="12" t="e">
        <f t="shared" si="110"/>
        <v>#DIV/0!</v>
      </c>
      <c r="AU110" s="1">
        <f t="shared" si="111"/>
        <v>2</v>
      </c>
      <c r="AV110" s="1">
        <f t="shared" si="112"/>
        <v>-2</v>
      </c>
      <c r="AW110" s="1">
        <f t="shared" si="113"/>
        <v>-1</v>
      </c>
      <c r="AX110" s="1">
        <f t="shared" si="114"/>
        <v>-2</v>
      </c>
      <c r="AY110" s="1">
        <f t="shared" si="115"/>
        <v>3</v>
      </c>
      <c r="AZ110" s="1">
        <f t="shared" si="116"/>
        <v>-1</v>
      </c>
      <c r="BA110" s="19">
        <f t="shared" si="135"/>
        <v>-0.16666666666666666</v>
      </c>
      <c r="BB110" s="19">
        <f t="shared" si="136"/>
        <v>-1</v>
      </c>
      <c r="BC110" s="9">
        <f t="shared" si="137"/>
        <v>1</v>
      </c>
      <c r="BD110" s="9">
        <f t="shared" si="138"/>
        <v>3.5</v>
      </c>
      <c r="BE110" s="9">
        <f t="shared" si="139"/>
        <v>-0.66666666666666663</v>
      </c>
      <c r="BF110" s="9">
        <f t="shared" si="140"/>
        <v>1</v>
      </c>
      <c r="BG110" s="9">
        <f t="shared" si="141"/>
        <v>-0.33333333333333331</v>
      </c>
      <c r="BH110" s="9">
        <f t="shared" si="142"/>
        <v>0.5</v>
      </c>
      <c r="BI110" s="12">
        <f t="shared" si="143"/>
        <v>0.83333333333333348</v>
      </c>
      <c r="BJ110" s="13">
        <f t="shared" si="144"/>
        <v>0.75</v>
      </c>
      <c r="BK110" s="1">
        <f t="shared" si="117"/>
        <v>1</v>
      </c>
      <c r="BL110" s="1">
        <f t="shared" si="118"/>
        <v>7</v>
      </c>
      <c r="BM110" s="1">
        <f t="shared" si="119"/>
        <v>-6</v>
      </c>
      <c r="BN110" s="1">
        <f t="shared" si="120"/>
        <v>3</v>
      </c>
      <c r="BO110" s="1">
        <f t="shared" si="121"/>
        <v>-2</v>
      </c>
      <c r="BP110" s="1">
        <f t="shared" si="122"/>
        <v>2</v>
      </c>
      <c r="BQ110" s="19">
        <f t="shared" si="145"/>
        <v>0.83333333333333337</v>
      </c>
      <c r="BR110" s="17">
        <f t="shared" si="146"/>
        <v>1.5</v>
      </c>
    </row>
    <row r="111" spans="1:70" x14ac:dyDescent="0.25">
      <c r="A111" s="20">
        <v>109</v>
      </c>
      <c r="C111" s="1">
        <v>7</v>
      </c>
      <c r="D111" s="1">
        <v>2</v>
      </c>
      <c r="E111" s="1">
        <v>6</v>
      </c>
      <c r="F111" s="1">
        <v>4</v>
      </c>
      <c r="G111" s="1">
        <v>7</v>
      </c>
      <c r="H111" s="1">
        <v>7</v>
      </c>
      <c r="J111" s="1">
        <v>2</v>
      </c>
      <c r="K111" s="1">
        <v>2</v>
      </c>
      <c r="L111" s="1">
        <v>3</v>
      </c>
      <c r="M111" s="1">
        <v>1</v>
      </c>
      <c r="N111" s="1">
        <v>2</v>
      </c>
      <c r="O111" s="1">
        <v>1</v>
      </c>
      <c r="Q111" s="1">
        <v>5</v>
      </c>
      <c r="S111" s="1">
        <v>3</v>
      </c>
      <c r="T111" s="1">
        <v>3</v>
      </c>
      <c r="U111" s="1">
        <v>5</v>
      </c>
      <c r="V111" s="1">
        <v>6</v>
      </c>
      <c r="W111" s="8" t="e">
        <f t="shared" si="123"/>
        <v>#DIV/0!</v>
      </c>
      <c r="X111" s="8">
        <f t="shared" si="124"/>
        <v>-0.7142857142857143</v>
      </c>
      <c r="Y111" s="8">
        <f t="shared" si="125"/>
        <v>2</v>
      </c>
      <c r="Z111" s="8">
        <f t="shared" si="126"/>
        <v>-0.33333333333333331</v>
      </c>
      <c r="AA111" s="8">
        <f t="shared" si="127"/>
        <v>0.75</v>
      </c>
      <c r="AB111" s="8">
        <f t="shared" si="128"/>
        <v>0</v>
      </c>
      <c r="AC111" s="12" t="e">
        <f t="shared" si="99"/>
        <v>#DIV/0!</v>
      </c>
      <c r="AD111" s="12" t="e">
        <f t="shared" si="100"/>
        <v>#DIV/0!</v>
      </c>
      <c r="AE111" s="1">
        <f t="shared" si="101"/>
        <v>7</v>
      </c>
      <c r="AF111" s="1">
        <f t="shared" si="102"/>
        <v>-5</v>
      </c>
      <c r="AG111" s="1">
        <f t="shared" si="103"/>
        <v>4</v>
      </c>
      <c r="AH111" s="1">
        <f t="shared" si="104"/>
        <v>-2</v>
      </c>
      <c r="AI111" s="1">
        <f t="shared" si="105"/>
        <v>3</v>
      </c>
      <c r="AJ111" s="1">
        <f t="shared" si="106"/>
        <v>0</v>
      </c>
      <c r="AK111" s="17">
        <f t="shared" si="107"/>
        <v>1.1666666666666667</v>
      </c>
      <c r="AL111" s="17">
        <f t="shared" si="108"/>
        <v>1.5</v>
      </c>
      <c r="AM111" s="1" t="e">
        <f t="shared" si="129"/>
        <v>#DIV/0!</v>
      </c>
      <c r="AN111" s="1">
        <f t="shared" si="130"/>
        <v>0</v>
      </c>
      <c r="AO111" s="1">
        <f t="shared" si="131"/>
        <v>0.5</v>
      </c>
      <c r="AP111" s="1">
        <f t="shared" si="132"/>
        <v>-0.66666666666666663</v>
      </c>
      <c r="AQ111" s="1">
        <f t="shared" si="133"/>
        <v>1</v>
      </c>
      <c r="AR111" s="1">
        <f t="shared" si="134"/>
        <v>-0.5</v>
      </c>
      <c r="AS111" s="12" t="e">
        <f t="shared" si="109"/>
        <v>#DIV/0!</v>
      </c>
      <c r="AT111" s="12" t="e">
        <f t="shared" si="110"/>
        <v>#DIV/0!</v>
      </c>
      <c r="AU111" s="1">
        <f t="shared" si="111"/>
        <v>2</v>
      </c>
      <c r="AV111" s="1">
        <f t="shared" si="112"/>
        <v>0</v>
      </c>
      <c r="AW111" s="1">
        <f t="shared" si="113"/>
        <v>1</v>
      </c>
      <c r="AX111" s="1">
        <f t="shared" si="114"/>
        <v>-2</v>
      </c>
      <c r="AY111" s="1">
        <f t="shared" si="115"/>
        <v>1</v>
      </c>
      <c r="AZ111" s="1">
        <f t="shared" si="116"/>
        <v>-1</v>
      </c>
      <c r="BA111" s="19">
        <f t="shared" si="135"/>
        <v>0.16666666666666666</v>
      </c>
      <c r="BB111" s="19">
        <f t="shared" si="136"/>
        <v>0.5</v>
      </c>
      <c r="BC111" s="9" t="e">
        <f t="shared" si="137"/>
        <v>#DIV/0!</v>
      </c>
      <c r="BD111" s="9">
        <f t="shared" si="138"/>
        <v>-1</v>
      </c>
      <c r="BE111" s="9" t="e">
        <f t="shared" si="139"/>
        <v>#DIV/0!</v>
      </c>
      <c r="BF111" s="9">
        <f t="shared" si="140"/>
        <v>0</v>
      </c>
      <c r="BG111" s="9">
        <f t="shared" si="141"/>
        <v>0.66666666666666663</v>
      </c>
      <c r="BH111" s="9">
        <f t="shared" si="142"/>
        <v>0.2</v>
      </c>
      <c r="BI111" s="12" t="e">
        <f t="shared" si="143"/>
        <v>#DIV/0!</v>
      </c>
      <c r="BJ111" s="13" t="e">
        <f t="shared" si="144"/>
        <v>#DIV/0!</v>
      </c>
      <c r="BK111" s="1">
        <f t="shared" si="117"/>
        <v>5</v>
      </c>
      <c r="BL111" s="1">
        <f t="shared" si="118"/>
        <v>-5</v>
      </c>
      <c r="BM111" s="1">
        <f t="shared" si="119"/>
        <v>3</v>
      </c>
      <c r="BN111" s="1">
        <f t="shared" si="120"/>
        <v>0</v>
      </c>
      <c r="BO111" s="1">
        <f t="shared" si="121"/>
        <v>2</v>
      </c>
      <c r="BP111" s="1">
        <f t="shared" si="122"/>
        <v>1</v>
      </c>
      <c r="BQ111" s="19">
        <f t="shared" si="145"/>
        <v>1</v>
      </c>
      <c r="BR111" s="17">
        <f t="shared" si="146"/>
        <v>1.5</v>
      </c>
    </row>
    <row r="112" spans="1:70" x14ac:dyDescent="0.25">
      <c r="A112" s="20">
        <v>110</v>
      </c>
      <c r="B112" s="1">
        <v>5</v>
      </c>
      <c r="C112" s="1">
        <v>1</v>
      </c>
      <c r="D112" s="1">
        <v>1</v>
      </c>
      <c r="E112" s="1">
        <v>7</v>
      </c>
      <c r="F112" s="1">
        <v>5</v>
      </c>
      <c r="G112" s="1">
        <v>4</v>
      </c>
      <c r="H112" s="1">
        <v>4</v>
      </c>
      <c r="I112" s="1">
        <v>1</v>
      </c>
      <c r="K112" s="1">
        <v>1</v>
      </c>
      <c r="L112" s="1">
        <v>3</v>
      </c>
      <c r="M112" s="1">
        <v>2</v>
      </c>
      <c r="N112" s="1">
        <v>1</v>
      </c>
      <c r="P112" s="1">
        <v>4</v>
      </c>
      <c r="Q112" s="1">
        <v>1</v>
      </c>
      <c r="S112" s="1">
        <v>4</v>
      </c>
      <c r="T112" s="1">
        <v>3</v>
      </c>
      <c r="U112" s="1">
        <v>3</v>
      </c>
      <c r="V112" s="1">
        <v>4</v>
      </c>
      <c r="W112" s="8">
        <f t="shared" si="123"/>
        <v>-0.8</v>
      </c>
      <c r="X112" s="8">
        <f t="shared" si="124"/>
        <v>0</v>
      </c>
      <c r="Y112" s="8">
        <f t="shared" si="125"/>
        <v>6</v>
      </c>
      <c r="Z112" s="8">
        <f t="shared" si="126"/>
        <v>-0.2857142857142857</v>
      </c>
      <c r="AA112" s="8">
        <f t="shared" si="127"/>
        <v>-0.2</v>
      </c>
      <c r="AB112" s="8">
        <f t="shared" si="128"/>
        <v>0</v>
      </c>
      <c r="AC112" s="12">
        <f t="shared" si="99"/>
        <v>0.7857142857142857</v>
      </c>
      <c r="AD112" s="12">
        <f t="shared" si="100"/>
        <v>-0.1</v>
      </c>
      <c r="AE112" s="1">
        <f t="shared" si="101"/>
        <v>-4</v>
      </c>
      <c r="AF112" s="1">
        <f t="shared" si="102"/>
        <v>0</v>
      </c>
      <c r="AG112" s="1">
        <f t="shared" si="103"/>
        <v>6</v>
      </c>
      <c r="AH112" s="1">
        <f t="shared" si="104"/>
        <v>-2</v>
      </c>
      <c r="AI112" s="1">
        <f t="shared" si="105"/>
        <v>-1</v>
      </c>
      <c r="AJ112" s="1">
        <f t="shared" si="106"/>
        <v>0</v>
      </c>
      <c r="AK112" s="17">
        <f t="shared" si="107"/>
        <v>-0.16666666666666666</v>
      </c>
      <c r="AL112" s="17">
        <f t="shared" si="108"/>
        <v>-0.5</v>
      </c>
      <c r="AM112" s="1">
        <f t="shared" si="129"/>
        <v>-1</v>
      </c>
      <c r="AN112" s="1" t="e">
        <f t="shared" si="130"/>
        <v>#DIV/0!</v>
      </c>
      <c r="AO112" s="1">
        <f t="shared" si="131"/>
        <v>2</v>
      </c>
      <c r="AP112" s="1">
        <f t="shared" si="132"/>
        <v>-0.33333333333333331</v>
      </c>
      <c r="AQ112" s="1">
        <f t="shared" si="133"/>
        <v>-0.5</v>
      </c>
      <c r="AR112" s="1">
        <f t="shared" si="134"/>
        <v>-1</v>
      </c>
      <c r="AS112" s="12" t="e">
        <f t="shared" si="109"/>
        <v>#DIV/0!</v>
      </c>
      <c r="AT112" s="12" t="e">
        <f t="shared" si="110"/>
        <v>#DIV/0!</v>
      </c>
      <c r="AU112" s="1">
        <f t="shared" si="111"/>
        <v>-1</v>
      </c>
      <c r="AV112" s="1">
        <f t="shared" si="112"/>
        <v>1</v>
      </c>
      <c r="AW112" s="1">
        <f t="shared" si="113"/>
        <v>2</v>
      </c>
      <c r="AX112" s="1">
        <f t="shared" si="114"/>
        <v>-1</v>
      </c>
      <c r="AY112" s="1">
        <f t="shared" si="115"/>
        <v>-1</v>
      </c>
      <c r="AZ112" s="1">
        <f t="shared" si="116"/>
        <v>-1</v>
      </c>
      <c r="BA112" s="19">
        <f t="shared" si="135"/>
        <v>-0.16666666666666666</v>
      </c>
      <c r="BB112" s="19">
        <f t="shared" si="136"/>
        <v>-1</v>
      </c>
      <c r="BC112" s="9">
        <f t="shared" si="137"/>
        <v>-0.75</v>
      </c>
      <c r="BD112" s="9">
        <f t="shared" si="138"/>
        <v>-1</v>
      </c>
      <c r="BE112" s="9" t="e">
        <f t="shared" si="139"/>
        <v>#DIV/0!</v>
      </c>
      <c r="BF112" s="9">
        <f t="shared" si="140"/>
        <v>-0.25</v>
      </c>
      <c r="BG112" s="9">
        <f t="shared" si="141"/>
        <v>0</v>
      </c>
      <c r="BH112" s="9">
        <f t="shared" si="142"/>
        <v>0.33333333333333331</v>
      </c>
      <c r="BI112" s="12" t="e">
        <f t="shared" si="143"/>
        <v>#DIV/0!</v>
      </c>
      <c r="BJ112" s="13" t="e">
        <f t="shared" si="144"/>
        <v>#DIV/0!</v>
      </c>
      <c r="BK112" s="1">
        <f t="shared" si="117"/>
        <v>-3</v>
      </c>
      <c r="BL112" s="1">
        <f t="shared" si="118"/>
        <v>-1</v>
      </c>
      <c r="BM112" s="1">
        <f t="shared" si="119"/>
        <v>4</v>
      </c>
      <c r="BN112" s="1">
        <f t="shared" si="120"/>
        <v>-1</v>
      </c>
      <c r="BO112" s="1">
        <f t="shared" si="121"/>
        <v>0</v>
      </c>
      <c r="BP112" s="1">
        <f t="shared" si="122"/>
        <v>1</v>
      </c>
      <c r="BQ112" s="19">
        <f t="shared" si="145"/>
        <v>0</v>
      </c>
      <c r="BR112" s="17">
        <f t="shared" si="146"/>
        <v>-0.5</v>
      </c>
    </row>
    <row r="113" spans="1:70" x14ac:dyDescent="0.25">
      <c r="A113" s="20">
        <v>111</v>
      </c>
      <c r="B113" s="1">
        <v>2</v>
      </c>
      <c r="C113" s="1">
        <v>3</v>
      </c>
      <c r="D113" s="1">
        <v>2</v>
      </c>
      <c r="E113" s="1">
        <v>3</v>
      </c>
      <c r="G113" s="1">
        <v>1</v>
      </c>
      <c r="H113" s="1">
        <v>2</v>
      </c>
      <c r="I113" s="1">
        <v>1</v>
      </c>
      <c r="J113" s="1">
        <v>2</v>
      </c>
      <c r="P113" s="1">
        <v>1</v>
      </c>
      <c r="Q113" s="1">
        <v>1</v>
      </c>
      <c r="R113" s="1">
        <v>2</v>
      </c>
      <c r="S113" s="1">
        <v>3</v>
      </c>
      <c r="U113" s="1">
        <v>1</v>
      </c>
      <c r="V113" s="1">
        <v>2</v>
      </c>
      <c r="W113" s="8">
        <f t="shared" si="123"/>
        <v>0.5</v>
      </c>
      <c r="X113" s="8">
        <f t="shared" si="124"/>
        <v>-0.33333333333333331</v>
      </c>
      <c r="Y113" s="8">
        <f t="shared" si="125"/>
        <v>0.5</v>
      </c>
      <c r="Z113" s="8">
        <f t="shared" si="126"/>
        <v>-1</v>
      </c>
      <c r="AA113" s="8" t="e">
        <f t="shared" si="127"/>
        <v>#DIV/0!</v>
      </c>
      <c r="AB113" s="8">
        <f t="shared" si="128"/>
        <v>1</v>
      </c>
      <c r="AC113" s="12" t="e">
        <f t="shared" si="99"/>
        <v>#DIV/0!</v>
      </c>
      <c r="AD113" s="12" t="e">
        <f t="shared" si="100"/>
        <v>#DIV/0!</v>
      </c>
      <c r="AE113" s="1">
        <f t="shared" si="101"/>
        <v>1</v>
      </c>
      <c r="AF113" s="1">
        <f t="shared" si="102"/>
        <v>-1</v>
      </c>
      <c r="AG113" s="1">
        <f t="shared" si="103"/>
        <v>1</v>
      </c>
      <c r="AH113" s="1">
        <f t="shared" si="104"/>
        <v>-3</v>
      </c>
      <c r="AI113" s="1">
        <f t="shared" si="105"/>
        <v>1</v>
      </c>
      <c r="AJ113" s="1">
        <f t="shared" si="106"/>
        <v>1</v>
      </c>
      <c r="AK113" s="17">
        <f t="shared" si="107"/>
        <v>0</v>
      </c>
      <c r="AL113" s="17">
        <f t="shared" si="108"/>
        <v>1</v>
      </c>
      <c r="AM113" s="1">
        <f t="shared" si="129"/>
        <v>1</v>
      </c>
      <c r="AN113" s="1">
        <f t="shared" si="130"/>
        <v>-1</v>
      </c>
      <c r="AO113" s="1" t="e">
        <f t="shared" si="131"/>
        <v>#DIV/0!</v>
      </c>
      <c r="AP113" s="1" t="e">
        <f t="shared" si="132"/>
        <v>#DIV/0!</v>
      </c>
      <c r="AQ113" s="1" t="e">
        <f t="shared" si="133"/>
        <v>#DIV/0!</v>
      </c>
      <c r="AR113" s="1" t="e">
        <f t="shared" si="134"/>
        <v>#DIV/0!</v>
      </c>
      <c r="AS113" s="12" t="e">
        <f t="shared" si="109"/>
        <v>#DIV/0!</v>
      </c>
      <c r="AT113" s="12" t="e">
        <f t="shared" si="110"/>
        <v>#DIV/0!</v>
      </c>
      <c r="AU113" s="1">
        <f t="shared" si="111"/>
        <v>1</v>
      </c>
      <c r="AV113" s="1">
        <f t="shared" si="112"/>
        <v>-2</v>
      </c>
      <c r="AW113" s="1">
        <f t="shared" si="113"/>
        <v>0</v>
      </c>
      <c r="AX113" s="1">
        <f t="shared" si="114"/>
        <v>0</v>
      </c>
      <c r="AY113" s="1">
        <f t="shared" si="115"/>
        <v>0</v>
      </c>
      <c r="AZ113" s="1">
        <f t="shared" si="116"/>
        <v>0</v>
      </c>
      <c r="BA113" s="19">
        <f t="shared" si="135"/>
        <v>-0.16666666666666666</v>
      </c>
      <c r="BB113" s="19">
        <f t="shared" si="136"/>
        <v>0</v>
      </c>
      <c r="BC113" s="9">
        <f t="shared" si="137"/>
        <v>0</v>
      </c>
      <c r="BD113" s="9">
        <f t="shared" si="138"/>
        <v>1</v>
      </c>
      <c r="BE113" s="9">
        <f t="shared" si="139"/>
        <v>0.5</v>
      </c>
      <c r="BF113" s="9">
        <f t="shared" si="140"/>
        <v>-1</v>
      </c>
      <c r="BG113" s="9" t="e">
        <f t="shared" si="141"/>
        <v>#DIV/0!</v>
      </c>
      <c r="BH113" s="9">
        <f t="shared" si="142"/>
        <v>1</v>
      </c>
      <c r="BI113" s="12" t="e">
        <f t="shared" si="143"/>
        <v>#DIV/0!</v>
      </c>
      <c r="BJ113" s="13" t="e">
        <f t="shared" si="144"/>
        <v>#DIV/0!</v>
      </c>
      <c r="BK113" s="1">
        <f t="shared" si="117"/>
        <v>0</v>
      </c>
      <c r="BL113" s="1">
        <f t="shared" si="118"/>
        <v>1</v>
      </c>
      <c r="BM113" s="1">
        <f t="shared" si="119"/>
        <v>1</v>
      </c>
      <c r="BN113" s="1">
        <f t="shared" si="120"/>
        <v>-3</v>
      </c>
      <c r="BO113" s="1">
        <f t="shared" si="121"/>
        <v>1</v>
      </c>
      <c r="BP113" s="1">
        <f t="shared" si="122"/>
        <v>1</v>
      </c>
      <c r="BQ113" s="19">
        <f t="shared" si="145"/>
        <v>0.16666666666666666</v>
      </c>
      <c r="BR113" s="17">
        <f t="shared" si="146"/>
        <v>1</v>
      </c>
    </row>
    <row r="114" spans="1:70" x14ac:dyDescent="0.25">
      <c r="A114" s="20">
        <v>112</v>
      </c>
      <c r="D114" s="1">
        <v>1</v>
      </c>
      <c r="E114" s="1">
        <v>1</v>
      </c>
      <c r="F114" s="1">
        <v>1</v>
      </c>
      <c r="G114" s="1">
        <v>1</v>
      </c>
      <c r="H114" s="1">
        <v>2</v>
      </c>
      <c r="N114" s="1">
        <v>1</v>
      </c>
      <c r="R114" s="1">
        <v>1</v>
      </c>
      <c r="S114" s="1">
        <v>1</v>
      </c>
      <c r="T114" s="1">
        <v>1</v>
      </c>
      <c r="V114" s="1">
        <v>2</v>
      </c>
      <c r="W114" s="8" t="e">
        <f t="shared" si="123"/>
        <v>#DIV/0!</v>
      </c>
      <c r="X114" s="8" t="e">
        <f t="shared" si="124"/>
        <v>#DIV/0!</v>
      </c>
      <c r="Y114" s="8">
        <f t="shared" si="125"/>
        <v>0</v>
      </c>
      <c r="Z114" s="8">
        <f t="shared" si="126"/>
        <v>0</v>
      </c>
      <c r="AA114" s="8">
        <f t="shared" si="127"/>
        <v>0</v>
      </c>
      <c r="AB114" s="8">
        <f t="shared" si="128"/>
        <v>1</v>
      </c>
      <c r="AC114" s="12" t="e">
        <f t="shared" si="99"/>
        <v>#DIV/0!</v>
      </c>
      <c r="AD114" s="12" t="e">
        <f t="shared" si="100"/>
        <v>#DIV/0!</v>
      </c>
      <c r="AE114" s="1">
        <f t="shared" si="101"/>
        <v>0</v>
      </c>
      <c r="AF114" s="1">
        <f t="shared" si="102"/>
        <v>1</v>
      </c>
      <c r="AG114" s="1">
        <f t="shared" si="103"/>
        <v>0</v>
      </c>
      <c r="AH114" s="1">
        <f t="shared" si="104"/>
        <v>0</v>
      </c>
      <c r="AI114" s="1">
        <f t="shared" si="105"/>
        <v>0</v>
      </c>
      <c r="AJ114" s="1">
        <f t="shared" si="106"/>
        <v>1</v>
      </c>
      <c r="AK114" s="17">
        <f t="shared" si="107"/>
        <v>0.33333333333333331</v>
      </c>
      <c r="AL114" s="17">
        <f t="shared" si="108"/>
        <v>0</v>
      </c>
      <c r="AM114" s="1" t="e">
        <f t="shared" si="129"/>
        <v>#DIV/0!</v>
      </c>
      <c r="AN114" s="1" t="e">
        <f t="shared" si="130"/>
        <v>#DIV/0!</v>
      </c>
      <c r="AO114" s="1" t="e">
        <f t="shared" si="131"/>
        <v>#DIV/0!</v>
      </c>
      <c r="AP114" s="1" t="e">
        <f t="shared" si="132"/>
        <v>#DIV/0!</v>
      </c>
      <c r="AQ114" s="1" t="e">
        <f t="shared" si="133"/>
        <v>#DIV/0!</v>
      </c>
      <c r="AR114" s="1">
        <f t="shared" si="134"/>
        <v>-1</v>
      </c>
      <c r="AS114" s="12" t="e">
        <f t="shared" si="109"/>
        <v>#DIV/0!</v>
      </c>
      <c r="AT114" s="12" t="e">
        <f t="shared" si="110"/>
        <v>#DIV/0!</v>
      </c>
      <c r="AU114" s="1">
        <f t="shared" si="111"/>
        <v>0</v>
      </c>
      <c r="AV114" s="1">
        <f t="shared" si="112"/>
        <v>0</v>
      </c>
      <c r="AW114" s="1">
        <f t="shared" si="113"/>
        <v>0</v>
      </c>
      <c r="AX114" s="1">
        <f t="shared" si="114"/>
        <v>0</v>
      </c>
      <c r="AY114" s="1">
        <f t="shared" si="115"/>
        <v>1</v>
      </c>
      <c r="AZ114" s="1">
        <f t="shared" si="116"/>
        <v>-1</v>
      </c>
      <c r="BA114" s="19">
        <f t="shared" si="135"/>
        <v>0</v>
      </c>
      <c r="BB114" s="19">
        <f t="shared" si="136"/>
        <v>0</v>
      </c>
      <c r="BC114" s="9" t="e">
        <f t="shared" si="137"/>
        <v>#DIV/0!</v>
      </c>
      <c r="BD114" s="9" t="e">
        <f t="shared" si="138"/>
        <v>#DIV/0!</v>
      </c>
      <c r="BE114" s="9">
        <f t="shared" si="139"/>
        <v>0</v>
      </c>
      <c r="BF114" s="9">
        <f t="shared" si="140"/>
        <v>0</v>
      </c>
      <c r="BG114" s="9">
        <f t="shared" si="141"/>
        <v>-1</v>
      </c>
      <c r="BH114" s="9" t="e">
        <f t="shared" si="142"/>
        <v>#DIV/0!</v>
      </c>
      <c r="BI114" s="12" t="e">
        <f t="shared" si="143"/>
        <v>#DIV/0!</v>
      </c>
      <c r="BJ114" s="13" t="e">
        <f t="shared" si="144"/>
        <v>#DIV/0!</v>
      </c>
      <c r="BK114" s="1">
        <f t="shared" si="117"/>
        <v>0</v>
      </c>
      <c r="BL114" s="1">
        <f t="shared" si="118"/>
        <v>1</v>
      </c>
      <c r="BM114" s="1">
        <f t="shared" si="119"/>
        <v>0</v>
      </c>
      <c r="BN114" s="1">
        <f t="shared" si="120"/>
        <v>0</v>
      </c>
      <c r="BO114" s="1">
        <f t="shared" si="121"/>
        <v>-1</v>
      </c>
      <c r="BP114" s="1">
        <f t="shared" si="122"/>
        <v>2</v>
      </c>
      <c r="BQ114" s="19">
        <f t="shared" si="145"/>
        <v>0.33333333333333331</v>
      </c>
      <c r="BR114" s="17">
        <f t="shared" si="146"/>
        <v>0</v>
      </c>
    </row>
    <row r="115" spans="1:70" x14ac:dyDescent="0.25">
      <c r="A115" s="20">
        <v>113</v>
      </c>
      <c r="B115" s="1">
        <v>1</v>
      </c>
      <c r="C115" s="1">
        <v>1</v>
      </c>
      <c r="D115" s="1">
        <v>3</v>
      </c>
      <c r="E115" s="1">
        <v>2</v>
      </c>
      <c r="G115" s="1">
        <v>2</v>
      </c>
      <c r="H115" s="1">
        <v>1</v>
      </c>
      <c r="I115" s="1">
        <v>1</v>
      </c>
      <c r="K115" s="1">
        <v>1</v>
      </c>
      <c r="L115" s="1">
        <v>1</v>
      </c>
      <c r="N115" s="1">
        <v>1</v>
      </c>
      <c r="Q115" s="1">
        <v>1</v>
      </c>
      <c r="R115" s="1">
        <v>2</v>
      </c>
      <c r="S115" s="1">
        <v>1</v>
      </c>
      <c r="U115" s="1">
        <v>1</v>
      </c>
      <c r="V115" s="1">
        <v>1</v>
      </c>
      <c r="W115" s="8">
        <f t="shared" si="123"/>
        <v>0</v>
      </c>
      <c r="X115" s="8">
        <f t="shared" si="124"/>
        <v>2</v>
      </c>
      <c r="Y115" s="8">
        <f t="shared" si="125"/>
        <v>-0.33333333333333331</v>
      </c>
      <c r="Z115" s="8">
        <f t="shared" si="126"/>
        <v>-1</v>
      </c>
      <c r="AA115" s="8" t="e">
        <f t="shared" si="127"/>
        <v>#DIV/0!</v>
      </c>
      <c r="AB115" s="8">
        <f t="shared" si="128"/>
        <v>-0.5</v>
      </c>
      <c r="AC115" s="12" t="e">
        <f t="shared" si="99"/>
        <v>#DIV/0!</v>
      </c>
      <c r="AD115" s="12" t="e">
        <f t="shared" si="100"/>
        <v>#DIV/0!</v>
      </c>
      <c r="AE115" s="1">
        <f t="shared" si="101"/>
        <v>0</v>
      </c>
      <c r="AF115" s="1">
        <f t="shared" si="102"/>
        <v>2</v>
      </c>
      <c r="AG115" s="1">
        <f t="shared" si="103"/>
        <v>-1</v>
      </c>
      <c r="AH115" s="1">
        <f t="shared" si="104"/>
        <v>-2</v>
      </c>
      <c r="AI115" s="1">
        <f t="shared" si="105"/>
        <v>2</v>
      </c>
      <c r="AJ115" s="1">
        <f t="shared" si="106"/>
        <v>-1</v>
      </c>
      <c r="AK115" s="17">
        <f t="shared" si="107"/>
        <v>0</v>
      </c>
      <c r="AL115" s="17">
        <f t="shared" si="108"/>
        <v>-0.5</v>
      </c>
      <c r="AM115" s="1">
        <f t="shared" si="129"/>
        <v>-1</v>
      </c>
      <c r="AN115" s="1" t="e">
        <f t="shared" si="130"/>
        <v>#DIV/0!</v>
      </c>
      <c r="AO115" s="1">
        <f t="shared" si="131"/>
        <v>0</v>
      </c>
      <c r="AP115" s="1">
        <f t="shared" si="132"/>
        <v>-1</v>
      </c>
      <c r="AQ115" s="1" t="e">
        <f t="shared" si="133"/>
        <v>#DIV/0!</v>
      </c>
      <c r="AR115" s="1">
        <f t="shared" si="134"/>
        <v>-1</v>
      </c>
      <c r="AS115" s="12" t="e">
        <f t="shared" si="109"/>
        <v>#DIV/0!</v>
      </c>
      <c r="AT115" s="12" t="e">
        <f t="shared" si="110"/>
        <v>#DIV/0!</v>
      </c>
      <c r="AU115" s="1">
        <f t="shared" si="111"/>
        <v>-1</v>
      </c>
      <c r="AV115" s="1">
        <f t="shared" si="112"/>
        <v>1</v>
      </c>
      <c r="AW115" s="1">
        <f t="shared" si="113"/>
        <v>0</v>
      </c>
      <c r="AX115" s="1">
        <f t="shared" si="114"/>
        <v>-1</v>
      </c>
      <c r="AY115" s="1">
        <f t="shared" si="115"/>
        <v>1</v>
      </c>
      <c r="AZ115" s="1">
        <f t="shared" si="116"/>
        <v>-1</v>
      </c>
      <c r="BA115" s="19">
        <f t="shared" si="135"/>
        <v>-0.16666666666666666</v>
      </c>
      <c r="BB115" s="19">
        <f t="shared" si="136"/>
        <v>-0.5</v>
      </c>
      <c r="BC115" s="9" t="e">
        <f t="shared" si="137"/>
        <v>#DIV/0!</v>
      </c>
      <c r="BD115" s="9">
        <f t="shared" si="138"/>
        <v>1</v>
      </c>
      <c r="BE115" s="9">
        <f t="shared" si="139"/>
        <v>-0.5</v>
      </c>
      <c r="BF115" s="9">
        <f t="shared" si="140"/>
        <v>-1</v>
      </c>
      <c r="BG115" s="9" t="e">
        <f t="shared" si="141"/>
        <v>#DIV/0!</v>
      </c>
      <c r="BH115" s="9">
        <f t="shared" si="142"/>
        <v>0</v>
      </c>
      <c r="BI115" s="12" t="e">
        <f t="shared" si="143"/>
        <v>#DIV/0!</v>
      </c>
      <c r="BJ115" s="13" t="e">
        <f t="shared" si="144"/>
        <v>#DIV/0!</v>
      </c>
      <c r="BK115" s="1">
        <f t="shared" si="117"/>
        <v>1</v>
      </c>
      <c r="BL115" s="1">
        <f t="shared" si="118"/>
        <v>1</v>
      </c>
      <c r="BM115" s="1">
        <f t="shared" si="119"/>
        <v>-1</v>
      </c>
      <c r="BN115" s="1">
        <f t="shared" si="120"/>
        <v>-1</v>
      </c>
      <c r="BO115" s="1">
        <f t="shared" si="121"/>
        <v>1</v>
      </c>
      <c r="BP115" s="1">
        <f t="shared" si="122"/>
        <v>0</v>
      </c>
      <c r="BQ115" s="19">
        <f t="shared" si="145"/>
        <v>0.16666666666666666</v>
      </c>
      <c r="BR115" s="17">
        <f t="shared" si="146"/>
        <v>0.5</v>
      </c>
    </row>
    <row r="116" spans="1:70" x14ac:dyDescent="0.25">
      <c r="A116" s="20">
        <v>114</v>
      </c>
      <c r="B116" s="1">
        <v>1</v>
      </c>
      <c r="E116" s="1">
        <v>3</v>
      </c>
      <c r="L116" s="1">
        <v>3</v>
      </c>
      <c r="P116" s="1">
        <v>1</v>
      </c>
      <c r="W116" s="8">
        <f t="shared" si="123"/>
        <v>-1</v>
      </c>
      <c r="X116" s="8" t="e">
        <f t="shared" si="124"/>
        <v>#DIV/0!</v>
      </c>
      <c r="Y116" s="8" t="e">
        <f t="shared" si="125"/>
        <v>#DIV/0!</v>
      </c>
      <c r="Z116" s="8">
        <f t="shared" si="126"/>
        <v>-1</v>
      </c>
      <c r="AA116" s="8" t="e">
        <f t="shared" si="127"/>
        <v>#DIV/0!</v>
      </c>
      <c r="AB116" s="8" t="e">
        <f t="shared" si="128"/>
        <v>#DIV/0!</v>
      </c>
      <c r="AC116" s="12" t="e">
        <f t="shared" si="99"/>
        <v>#DIV/0!</v>
      </c>
      <c r="AD116" s="12" t="e">
        <f t="shared" si="100"/>
        <v>#DIV/0!</v>
      </c>
      <c r="AE116" s="1">
        <f t="shared" si="101"/>
        <v>-1</v>
      </c>
      <c r="AF116" s="1">
        <f t="shared" si="102"/>
        <v>0</v>
      </c>
      <c r="AG116" s="1">
        <f t="shared" si="103"/>
        <v>3</v>
      </c>
      <c r="AH116" s="1">
        <f t="shared" si="104"/>
        <v>-3</v>
      </c>
      <c r="AI116" s="1">
        <f t="shared" si="105"/>
        <v>0</v>
      </c>
      <c r="AJ116" s="1">
        <f t="shared" si="106"/>
        <v>0</v>
      </c>
      <c r="AK116" s="17">
        <f t="shared" si="107"/>
        <v>-0.16666666666666666</v>
      </c>
      <c r="AL116" s="17">
        <f t="shared" si="108"/>
        <v>0</v>
      </c>
      <c r="AM116" s="1" t="e">
        <f t="shared" si="129"/>
        <v>#DIV/0!</v>
      </c>
      <c r="AN116" s="1" t="e">
        <f t="shared" si="130"/>
        <v>#DIV/0!</v>
      </c>
      <c r="AO116" s="1" t="e">
        <f t="shared" si="131"/>
        <v>#DIV/0!</v>
      </c>
      <c r="AP116" s="1">
        <f t="shared" si="132"/>
        <v>-1</v>
      </c>
      <c r="AQ116" s="1" t="e">
        <f t="shared" si="133"/>
        <v>#DIV/0!</v>
      </c>
      <c r="AR116" s="1" t="e">
        <f t="shared" si="134"/>
        <v>#DIV/0!</v>
      </c>
      <c r="AS116" s="12" t="e">
        <f t="shared" si="109"/>
        <v>#DIV/0!</v>
      </c>
      <c r="AT116" s="12" t="e">
        <f t="shared" si="110"/>
        <v>#DIV/0!</v>
      </c>
      <c r="AU116" s="1">
        <f t="shared" si="111"/>
        <v>0</v>
      </c>
      <c r="AV116" s="1">
        <f t="shared" si="112"/>
        <v>0</v>
      </c>
      <c r="AW116" s="1">
        <f t="shared" si="113"/>
        <v>3</v>
      </c>
      <c r="AX116" s="1">
        <f t="shared" si="114"/>
        <v>-3</v>
      </c>
      <c r="AY116" s="1">
        <f t="shared" si="115"/>
        <v>0</v>
      </c>
      <c r="AZ116" s="1">
        <f t="shared" si="116"/>
        <v>0</v>
      </c>
      <c r="BA116" s="19">
        <f t="shared" si="135"/>
        <v>0</v>
      </c>
      <c r="BB116" s="19">
        <f t="shared" si="136"/>
        <v>0</v>
      </c>
      <c r="BC116" s="9">
        <f t="shared" si="137"/>
        <v>-1</v>
      </c>
      <c r="BD116" s="9" t="e">
        <f t="shared" si="138"/>
        <v>#DIV/0!</v>
      </c>
      <c r="BE116" s="9" t="e">
        <f t="shared" si="139"/>
        <v>#DIV/0!</v>
      </c>
      <c r="BF116" s="9" t="e">
        <f t="shared" si="140"/>
        <v>#DIV/0!</v>
      </c>
      <c r="BG116" s="9" t="e">
        <f t="shared" si="141"/>
        <v>#DIV/0!</v>
      </c>
      <c r="BH116" s="9" t="e">
        <f t="shared" si="142"/>
        <v>#DIV/0!</v>
      </c>
      <c r="BI116" s="12" t="e">
        <f t="shared" si="143"/>
        <v>#DIV/0!</v>
      </c>
      <c r="BJ116" s="13" t="e">
        <f t="shared" si="144"/>
        <v>#DIV/0!</v>
      </c>
      <c r="BK116" s="1">
        <f t="shared" si="117"/>
        <v>-1</v>
      </c>
      <c r="BL116" s="1">
        <f t="shared" si="118"/>
        <v>0</v>
      </c>
      <c r="BM116" s="1">
        <f t="shared" si="119"/>
        <v>0</v>
      </c>
      <c r="BN116" s="1">
        <f t="shared" si="120"/>
        <v>0</v>
      </c>
      <c r="BO116" s="1">
        <f t="shared" si="121"/>
        <v>0</v>
      </c>
      <c r="BP116" s="1">
        <f t="shared" si="122"/>
        <v>0</v>
      </c>
      <c r="BQ116" s="19">
        <f t="shared" si="145"/>
        <v>-0.16666666666666666</v>
      </c>
      <c r="BR116" s="17">
        <f t="shared" si="146"/>
        <v>0</v>
      </c>
    </row>
    <row r="117" spans="1:70" x14ac:dyDescent="0.25">
      <c r="A117" s="20">
        <v>115</v>
      </c>
      <c r="D117" s="1">
        <v>1</v>
      </c>
      <c r="G117" s="1">
        <v>1</v>
      </c>
      <c r="N117" s="1">
        <v>1</v>
      </c>
      <c r="R117" s="1">
        <v>1</v>
      </c>
      <c r="W117" s="8" t="e">
        <f t="shared" si="123"/>
        <v>#DIV/0!</v>
      </c>
      <c r="X117" s="8" t="e">
        <f t="shared" si="124"/>
        <v>#DIV/0!</v>
      </c>
      <c r="Y117" s="8">
        <f t="shared" si="125"/>
        <v>-1</v>
      </c>
      <c r="Z117" s="8" t="e">
        <f t="shared" si="126"/>
        <v>#DIV/0!</v>
      </c>
      <c r="AA117" s="8" t="e">
        <f t="shared" si="127"/>
        <v>#DIV/0!</v>
      </c>
      <c r="AB117" s="8">
        <f t="shared" si="128"/>
        <v>-1</v>
      </c>
      <c r="AC117" s="12" t="e">
        <f t="shared" si="99"/>
        <v>#DIV/0!</v>
      </c>
      <c r="AD117" s="12" t="e">
        <f t="shared" si="100"/>
        <v>#DIV/0!</v>
      </c>
      <c r="AE117" s="1">
        <f t="shared" si="101"/>
        <v>0</v>
      </c>
      <c r="AF117" s="1">
        <f t="shared" si="102"/>
        <v>1</v>
      </c>
      <c r="AG117" s="1">
        <f t="shared" si="103"/>
        <v>-1</v>
      </c>
      <c r="AH117" s="1">
        <f t="shared" si="104"/>
        <v>0</v>
      </c>
      <c r="AI117" s="1">
        <f t="shared" si="105"/>
        <v>1</v>
      </c>
      <c r="AJ117" s="1">
        <f t="shared" si="106"/>
        <v>-1</v>
      </c>
      <c r="AK117" s="17">
        <f t="shared" si="107"/>
        <v>0</v>
      </c>
      <c r="AL117" s="17">
        <f t="shared" si="108"/>
        <v>0</v>
      </c>
      <c r="AM117" s="1" t="e">
        <f t="shared" si="129"/>
        <v>#DIV/0!</v>
      </c>
      <c r="AN117" s="1" t="e">
        <f t="shared" si="130"/>
        <v>#DIV/0!</v>
      </c>
      <c r="AO117" s="1" t="e">
        <f t="shared" si="131"/>
        <v>#DIV/0!</v>
      </c>
      <c r="AP117" s="1" t="e">
        <f t="shared" si="132"/>
        <v>#DIV/0!</v>
      </c>
      <c r="AQ117" s="1" t="e">
        <f t="shared" si="133"/>
        <v>#DIV/0!</v>
      </c>
      <c r="AR117" s="1">
        <f t="shared" si="134"/>
        <v>-1</v>
      </c>
      <c r="AS117" s="12" t="e">
        <f t="shared" si="109"/>
        <v>#DIV/0!</v>
      </c>
      <c r="AT117" s="12" t="e">
        <f t="shared" si="110"/>
        <v>#DIV/0!</v>
      </c>
      <c r="AU117" s="1">
        <f t="shared" si="111"/>
        <v>0</v>
      </c>
      <c r="AV117" s="1">
        <f t="shared" si="112"/>
        <v>0</v>
      </c>
      <c r="AW117" s="1">
        <f t="shared" si="113"/>
        <v>0</v>
      </c>
      <c r="AX117" s="1">
        <f t="shared" si="114"/>
        <v>0</v>
      </c>
      <c r="AY117" s="1">
        <f t="shared" si="115"/>
        <v>1</v>
      </c>
      <c r="AZ117" s="1">
        <f t="shared" si="116"/>
        <v>-1</v>
      </c>
      <c r="BA117" s="19">
        <f t="shared" si="135"/>
        <v>0</v>
      </c>
      <c r="BB117" s="19">
        <f t="shared" si="136"/>
        <v>0</v>
      </c>
      <c r="BC117" s="9" t="e">
        <f t="shared" si="137"/>
        <v>#DIV/0!</v>
      </c>
      <c r="BD117" s="9" t="e">
        <f t="shared" si="138"/>
        <v>#DIV/0!</v>
      </c>
      <c r="BE117" s="9">
        <f t="shared" si="139"/>
        <v>-1</v>
      </c>
      <c r="BF117" s="9" t="e">
        <f t="shared" si="140"/>
        <v>#DIV/0!</v>
      </c>
      <c r="BG117" s="9" t="e">
        <f t="shared" si="141"/>
        <v>#DIV/0!</v>
      </c>
      <c r="BH117" s="9" t="e">
        <f t="shared" si="142"/>
        <v>#DIV/0!</v>
      </c>
      <c r="BI117" s="12" t="e">
        <f t="shared" si="143"/>
        <v>#DIV/0!</v>
      </c>
      <c r="BJ117" s="13" t="e">
        <f t="shared" si="144"/>
        <v>#DIV/0!</v>
      </c>
      <c r="BK117" s="1">
        <f t="shared" si="117"/>
        <v>0</v>
      </c>
      <c r="BL117" s="1">
        <f t="shared" si="118"/>
        <v>1</v>
      </c>
      <c r="BM117" s="1">
        <f t="shared" si="119"/>
        <v>-1</v>
      </c>
      <c r="BN117" s="1">
        <f t="shared" si="120"/>
        <v>0</v>
      </c>
      <c r="BO117" s="1">
        <f t="shared" si="121"/>
        <v>0</v>
      </c>
      <c r="BP117" s="1">
        <f t="shared" si="122"/>
        <v>0</v>
      </c>
      <c r="BQ117" s="19">
        <f t="shared" si="145"/>
        <v>0</v>
      </c>
      <c r="BR117" s="17">
        <f t="shared" si="146"/>
        <v>0</v>
      </c>
    </row>
    <row r="118" spans="1:70" x14ac:dyDescent="0.25">
      <c r="A118" s="20">
        <v>116</v>
      </c>
      <c r="B118" s="1">
        <v>2</v>
      </c>
      <c r="E118" s="1">
        <v>1</v>
      </c>
      <c r="I118" s="1">
        <v>1</v>
      </c>
      <c r="L118" s="1">
        <v>1</v>
      </c>
      <c r="P118" s="1">
        <v>1</v>
      </c>
      <c r="W118" s="8">
        <f t="shared" si="123"/>
        <v>-1</v>
      </c>
      <c r="X118" s="8" t="e">
        <f t="shared" si="124"/>
        <v>#DIV/0!</v>
      </c>
      <c r="Y118" s="8" t="e">
        <f t="shared" si="125"/>
        <v>#DIV/0!</v>
      </c>
      <c r="Z118" s="8">
        <f t="shared" si="126"/>
        <v>-1</v>
      </c>
      <c r="AA118" s="8" t="e">
        <f t="shared" si="127"/>
        <v>#DIV/0!</v>
      </c>
      <c r="AB118" s="8" t="e">
        <f t="shared" si="128"/>
        <v>#DIV/0!</v>
      </c>
      <c r="AC118" s="12" t="e">
        <f t="shared" si="99"/>
        <v>#DIV/0!</v>
      </c>
      <c r="AD118" s="12" t="e">
        <f t="shared" si="100"/>
        <v>#DIV/0!</v>
      </c>
      <c r="AE118" s="1">
        <f t="shared" si="101"/>
        <v>-2</v>
      </c>
      <c r="AF118" s="1">
        <f t="shared" si="102"/>
        <v>0</v>
      </c>
      <c r="AG118" s="1">
        <f t="shared" si="103"/>
        <v>1</v>
      </c>
      <c r="AH118" s="1">
        <f t="shared" si="104"/>
        <v>-1</v>
      </c>
      <c r="AI118" s="1">
        <f t="shared" si="105"/>
        <v>0</v>
      </c>
      <c r="AJ118" s="1">
        <f t="shared" si="106"/>
        <v>0</v>
      </c>
      <c r="AK118" s="17">
        <f t="shared" si="107"/>
        <v>-0.33333333333333331</v>
      </c>
      <c r="AL118" s="17">
        <f t="shared" si="108"/>
        <v>0</v>
      </c>
      <c r="AM118" s="1">
        <f t="shared" si="129"/>
        <v>-1</v>
      </c>
      <c r="AN118" s="1" t="e">
        <f t="shared" si="130"/>
        <v>#DIV/0!</v>
      </c>
      <c r="AO118" s="1" t="e">
        <f t="shared" si="131"/>
        <v>#DIV/0!</v>
      </c>
      <c r="AP118" s="1">
        <f t="shared" si="132"/>
        <v>-1</v>
      </c>
      <c r="AQ118" s="1" t="e">
        <f t="shared" si="133"/>
        <v>#DIV/0!</v>
      </c>
      <c r="AR118" s="1" t="e">
        <f t="shared" si="134"/>
        <v>#DIV/0!</v>
      </c>
      <c r="AS118" s="12" t="e">
        <f t="shared" si="109"/>
        <v>#DIV/0!</v>
      </c>
      <c r="AT118" s="12" t="e">
        <f t="shared" si="110"/>
        <v>#DIV/0!</v>
      </c>
      <c r="AU118" s="1">
        <f t="shared" si="111"/>
        <v>-1</v>
      </c>
      <c r="AV118" s="1">
        <f t="shared" si="112"/>
        <v>0</v>
      </c>
      <c r="AW118" s="1">
        <f t="shared" si="113"/>
        <v>1</v>
      </c>
      <c r="AX118" s="1">
        <f t="shared" si="114"/>
        <v>-1</v>
      </c>
      <c r="AY118" s="1">
        <f t="shared" si="115"/>
        <v>0</v>
      </c>
      <c r="AZ118" s="1">
        <f t="shared" si="116"/>
        <v>0</v>
      </c>
      <c r="BA118" s="19">
        <f t="shared" si="135"/>
        <v>-0.16666666666666666</v>
      </c>
      <c r="BB118" s="19">
        <f t="shared" si="136"/>
        <v>0</v>
      </c>
      <c r="BC118" s="9">
        <f t="shared" si="137"/>
        <v>-1</v>
      </c>
      <c r="BD118" s="9" t="e">
        <f t="shared" si="138"/>
        <v>#DIV/0!</v>
      </c>
      <c r="BE118" s="9" t="e">
        <f t="shared" si="139"/>
        <v>#DIV/0!</v>
      </c>
      <c r="BF118" s="9" t="e">
        <f t="shared" si="140"/>
        <v>#DIV/0!</v>
      </c>
      <c r="BG118" s="9" t="e">
        <f t="shared" si="141"/>
        <v>#DIV/0!</v>
      </c>
      <c r="BH118" s="9" t="e">
        <f t="shared" si="142"/>
        <v>#DIV/0!</v>
      </c>
      <c r="BI118" s="12" t="e">
        <f t="shared" si="143"/>
        <v>#DIV/0!</v>
      </c>
      <c r="BJ118" s="13" t="e">
        <f t="shared" si="144"/>
        <v>#DIV/0!</v>
      </c>
      <c r="BK118" s="1">
        <f t="shared" si="117"/>
        <v>-1</v>
      </c>
      <c r="BL118" s="1">
        <f t="shared" si="118"/>
        <v>0</v>
      </c>
      <c r="BM118" s="1">
        <f t="shared" si="119"/>
        <v>0</v>
      </c>
      <c r="BN118" s="1">
        <f t="shared" si="120"/>
        <v>0</v>
      </c>
      <c r="BO118" s="1">
        <f t="shared" si="121"/>
        <v>0</v>
      </c>
      <c r="BP118" s="1">
        <f t="shared" si="122"/>
        <v>0</v>
      </c>
      <c r="BQ118" s="19">
        <f t="shared" si="145"/>
        <v>-0.16666666666666666</v>
      </c>
      <c r="BR118" s="17">
        <f t="shared" si="146"/>
        <v>0</v>
      </c>
    </row>
    <row r="119" spans="1:70" x14ac:dyDescent="0.25">
      <c r="A119" s="20">
        <v>117</v>
      </c>
      <c r="B119" s="1">
        <v>2</v>
      </c>
      <c r="E119" s="1">
        <v>1</v>
      </c>
      <c r="I119" s="1">
        <v>1</v>
      </c>
      <c r="L119" s="1">
        <v>1</v>
      </c>
      <c r="P119" s="1">
        <v>1</v>
      </c>
      <c r="W119" s="8">
        <f t="shared" si="123"/>
        <v>-1</v>
      </c>
      <c r="X119" s="8" t="e">
        <f t="shared" si="124"/>
        <v>#DIV/0!</v>
      </c>
      <c r="Y119" s="8" t="e">
        <f t="shared" si="125"/>
        <v>#DIV/0!</v>
      </c>
      <c r="Z119" s="8">
        <f t="shared" si="126"/>
        <v>-1</v>
      </c>
      <c r="AA119" s="8" t="e">
        <f t="shared" si="127"/>
        <v>#DIV/0!</v>
      </c>
      <c r="AB119" s="8" t="e">
        <f t="shared" si="128"/>
        <v>#DIV/0!</v>
      </c>
      <c r="AC119" s="12" t="e">
        <f t="shared" si="99"/>
        <v>#DIV/0!</v>
      </c>
      <c r="AD119" s="12" t="e">
        <f t="shared" si="100"/>
        <v>#DIV/0!</v>
      </c>
      <c r="AE119" s="1">
        <f t="shared" si="101"/>
        <v>-2</v>
      </c>
      <c r="AF119" s="1">
        <f t="shared" si="102"/>
        <v>0</v>
      </c>
      <c r="AG119" s="1">
        <f t="shared" si="103"/>
        <v>1</v>
      </c>
      <c r="AH119" s="1">
        <f t="shared" si="104"/>
        <v>-1</v>
      </c>
      <c r="AI119" s="1">
        <f t="shared" si="105"/>
        <v>0</v>
      </c>
      <c r="AJ119" s="1">
        <f t="shared" si="106"/>
        <v>0</v>
      </c>
      <c r="AK119" s="17">
        <f t="shared" si="107"/>
        <v>-0.33333333333333331</v>
      </c>
      <c r="AL119" s="17">
        <f t="shared" si="108"/>
        <v>0</v>
      </c>
      <c r="AM119" s="1">
        <f t="shared" si="129"/>
        <v>-1</v>
      </c>
      <c r="AN119" s="1" t="e">
        <f t="shared" si="130"/>
        <v>#DIV/0!</v>
      </c>
      <c r="AO119" s="1" t="e">
        <f t="shared" si="131"/>
        <v>#DIV/0!</v>
      </c>
      <c r="AP119" s="1">
        <f t="shared" si="132"/>
        <v>-1</v>
      </c>
      <c r="AQ119" s="1" t="e">
        <f t="shared" si="133"/>
        <v>#DIV/0!</v>
      </c>
      <c r="AR119" s="1" t="e">
        <f t="shared" si="134"/>
        <v>#DIV/0!</v>
      </c>
      <c r="AS119" s="12" t="e">
        <f t="shared" si="109"/>
        <v>#DIV/0!</v>
      </c>
      <c r="AT119" s="12" t="e">
        <f t="shared" si="110"/>
        <v>#DIV/0!</v>
      </c>
      <c r="AU119" s="1">
        <f t="shared" si="111"/>
        <v>-1</v>
      </c>
      <c r="AV119" s="1">
        <f t="shared" si="112"/>
        <v>0</v>
      </c>
      <c r="AW119" s="1">
        <f t="shared" si="113"/>
        <v>1</v>
      </c>
      <c r="AX119" s="1">
        <f t="shared" si="114"/>
        <v>-1</v>
      </c>
      <c r="AY119" s="1">
        <f t="shared" si="115"/>
        <v>0</v>
      </c>
      <c r="AZ119" s="1">
        <f t="shared" si="116"/>
        <v>0</v>
      </c>
      <c r="BA119" s="19">
        <f t="shared" si="135"/>
        <v>-0.16666666666666666</v>
      </c>
      <c r="BB119" s="19">
        <f t="shared" si="136"/>
        <v>0</v>
      </c>
      <c r="BC119" s="9">
        <f t="shared" si="137"/>
        <v>-1</v>
      </c>
      <c r="BD119" s="9" t="e">
        <f t="shared" si="138"/>
        <v>#DIV/0!</v>
      </c>
      <c r="BE119" s="9" t="e">
        <f t="shared" si="139"/>
        <v>#DIV/0!</v>
      </c>
      <c r="BF119" s="9" t="e">
        <f t="shared" si="140"/>
        <v>#DIV/0!</v>
      </c>
      <c r="BG119" s="9" t="e">
        <f t="shared" si="141"/>
        <v>#DIV/0!</v>
      </c>
      <c r="BH119" s="9" t="e">
        <f t="shared" si="142"/>
        <v>#DIV/0!</v>
      </c>
      <c r="BI119" s="12" t="e">
        <f t="shared" si="143"/>
        <v>#DIV/0!</v>
      </c>
      <c r="BJ119" s="13" t="e">
        <f t="shared" si="144"/>
        <v>#DIV/0!</v>
      </c>
      <c r="BK119" s="1">
        <f t="shared" si="117"/>
        <v>-1</v>
      </c>
      <c r="BL119" s="1">
        <f t="shared" si="118"/>
        <v>0</v>
      </c>
      <c r="BM119" s="1">
        <f t="shared" si="119"/>
        <v>0</v>
      </c>
      <c r="BN119" s="1">
        <f t="shared" si="120"/>
        <v>0</v>
      </c>
      <c r="BO119" s="1">
        <f t="shared" si="121"/>
        <v>0</v>
      </c>
      <c r="BP119" s="1">
        <f t="shared" si="122"/>
        <v>0</v>
      </c>
      <c r="BQ119" s="19">
        <f t="shared" si="145"/>
        <v>-0.16666666666666666</v>
      </c>
      <c r="BR119" s="17">
        <f t="shared" si="146"/>
        <v>0</v>
      </c>
    </row>
    <row r="120" spans="1:70" x14ac:dyDescent="0.25">
      <c r="A120" s="20">
        <v>118</v>
      </c>
      <c r="C120" s="1">
        <v>2</v>
      </c>
      <c r="D120" s="1">
        <v>1</v>
      </c>
      <c r="K120" s="1">
        <v>1</v>
      </c>
      <c r="Q120" s="1">
        <v>2</v>
      </c>
      <c r="W120" s="8" t="e">
        <f t="shared" si="123"/>
        <v>#DIV/0!</v>
      </c>
      <c r="X120" s="8">
        <f t="shared" si="124"/>
        <v>-0.5</v>
      </c>
      <c r="Y120" s="8">
        <f t="shared" si="125"/>
        <v>-1</v>
      </c>
      <c r="Z120" s="8" t="e">
        <f t="shared" si="126"/>
        <v>#DIV/0!</v>
      </c>
      <c r="AA120" s="8" t="e">
        <f t="shared" si="127"/>
        <v>#DIV/0!</v>
      </c>
      <c r="AB120" s="8" t="e">
        <f t="shared" si="128"/>
        <v>#DIV/0!</v>
      </c>
      <c r="AC120" s="12" t="e">
        <f t="shared" si="99"/>
        <v>#DIV/0!</v>
      </c>
      <c r="AD120" s="12" t="e">
        <f t="shared" si="100"/>
        <v>#DIV/0!</v>
      </c>
      <c r="AE120" s="1">
        <f t="shared" si="101"/>
        <v>2</v>
      </c>
      <c r="AF120" s="1">
        <f t="shared" si="102"/>
        <v>-1</v>
      </c>
      <c r="AG120" s="1">
        <f t="shared" si="103"/>
        <v>-1</v>
      </c>
      <c r="AH120" s="1">
        <f t="shared" si="104"/>
        <v>0</v>
      </c>
      <c r="AI120" s="1">
        <f t="shared" si="105"/>
        <v>0</v>
      </c>
      <c r="AJ120" s="1">
        <f t="shared" si="106"/>
        <v>0</v>
      </c>
      <c r="AK120" s="17">
        <f t="shared" si="107"/>
        <v>0</v>
      </c>
      <c r="AL120" s="17">
        <f t="shared" si="108"/>
        <v>0</v>
      </c>
      <c r="AM120" s="1" t="e">
        <f t="shared" si="129"/>
        <v>#DIV/0!</v>
      </c>
      <c r="AN120" s="1" t="e">
        <f t="shared" si="130"/>
        <v>#DIV/0!</v>
      </c>
      <c r="AO120" s="1">
        <f t="shared" si="131"/>
        <v>-1</v>
      </c>
      <c r="AP120" s="1" t="e">
        <f t="shared" si="132"/>
        <v>#DIV/0!</v>
      </c>
      <c r="AQ120" s="1" t="e">
        <f t="shared" si="133"/>
        <v>#DIV/0!</v>
      </c>
      <c r="AR120" s="1" t="e">
        <f t="shared" si="134"/>
        <v>#DIV/0!</v>
      </c>
      <c r="AS120" s="12" t="e">
        <f t="shared" si="109"/>
        <v>#DIV/0!</v>
      </c>
      <c r="AT120" s="12" t="e">
        <f t="shared" si="110"/>
        <v>#DIV/0!</v>
      </c>
      <c r="AU120" s="1">
        <f t="shared" si="111"/>
        <v>0</v>
      </c>
      <c r="AV120" s="1">
        <f t="shared" si="112"/>
        <v>1</v>
      </c>
      <c r="AW120" s="1">
        <f t="shared" si="113"/>
        <v>-1</v>
      </c>
      <c r="AX120" s="1">
        <f t="shared" si="114"/>
        <v>0</v>
      </c>
      <c r="AY120" s="1">
        <f t="shared" si="115"/>
        <v>0</v>
      </c>
      <c r="AZ120" s="1">
        <f t="shared" si="116"/>
        <v>0</v>
      </c>
      <c r="BA120" s="19">
        <f t="shared" si="135"/>
        <v>0</v>
      </c>
      <c r="BB120" s="19">
        <f t="shared" si="136"/>
        <v>0</v>
      </c>
      <c r="BC120" s="9" t="e">
        <f t="shared" si="137"/>
        <v>#DIV/0!</v>
      </c>
      <c r="BD120" s="9">
        <f t="shared" si="138"/>
        <v>-1</v>
      </c>
      <c r="BE120" s="9" t="e">
        <f t="shared" si="139"/>
        <v>#DIV/0!</v>
      </c>
      <c r="BF120" s="9" t="e">
        <f t="shared" si="140"/>
        <v>#DIV/0!</v>
      </c>
      <c r="BG120" s="9" t="e">
        <f t="shared" si="141"/>
        <v>#DIV/0!</v>
      </c>
      <c r="BH120" s="9" t="e">
        <f t="shared" si="142"/>
        <v>#DIV/0!</v>
      </c>
      <c r="BI120" s="12" t="e">
        <f t="shared" si="143"/>
        <v>#DIV/0!</v>
      </c>
      <c r="BJ120" s="13" t="e">
        <f t="shared" si="144"/>
        <v>#DIV/0!</v>
      </c>
      <c r="BK120" s="1">
        <f t="shared" si="117"/>
        <v>2</v>
      </c>
      <c r="BL120" s="1">
        <f t="shared" si="118"/>
        <v>-2</v>
      </c>
      <c r="BM120" s="1">
        <f t="shared" si="119"/>
        <v>0</v>
      </c>
      <c r="BN120" s="1">
        <f t="shared" si="120"/>
        <v>0</v>
      </c>
      <c r="BO120" s="1">
        <f t="shared" si="121"/>
        <v>0</v>
      </c>
      <c r="BP120" s="1">
        <f t="shared" si="122"/>
        <v>0</v>
      </c>
      <c r="BQ120" s="19">
        <f t="shared" si="145"/>
        <v>0</v>
      </c>
      <c r="BR120" s="17">
        <f t="shared" si="146"/>
        <v>0</v>
      </c>
    </row>
    <row r="121" spans="1:70" x14ac:dyDescent="0.25">
      <c r="A121" s="20">
        <v>119</v>
      </c>
      <c r="D121" s="1">
        <v>1</v>
      </c>
      <c r="E121" s="1">
        <v>2</v>
      </c>
      <c r="K121" s="1">
        <v>1</v>
      </c>
      <c r="L121" s="1">
        <v>2</v>
      </c>
      <c r="W121" s="8" t="e">
        <f t="shared" si="123"/>
        <v>#DIV/0!</v>
      </c>
      <c r="X121" s="8" t="e">
        <f t="shared" si="124"/>
        <v>#DIV/0!</v>
      </c>
      <c r="Y121" s="8">
        <f t="shared" si="125"/>
        <v>1</v>
      </c>
      <c r="Z121" s="8">
        <f t="shared" si="126"/>
        <v>-1</v>
      </c>
      <c r="AA121" s="8" t="e">
        <f t="shared" si="127"/>
        <v>#DIV/0!</v>
      </c>
      <c r="AB121" s="8" t="e">
        <f t="shared" si="128"/>
        <v>#DIV/0!</v>
      </c>
      <c r="AC121" s="12" t="e">
        <f t="shared" si="99"/>
        <v>#DIV/0!</v>
      </c>
      <c r="AD121" s="12" t="e">
        <f t="shared" si="100"/>
        <v>#DIV/0!</v>
      </c>
      <c r="AE121" s="1">
        <f t="shared" si="101"/>
        <v>0</v>
      </c>
      <c r="AF121" s="1">
        <f t="shared" si="102"/>
        <v>1</v>
      </c>
      <c r="AG121" s="1">
        <f t="shared" si="103"/>
        <v>1</v>
      </c>
      <c r="AH121" s="1">
        <f t="shared" si="104"/>
        <v>-2</v>
      </c>
      <c r="AI121" s="1">
        <f t="shared" si="105"/>
        <v>0</v>
      </c>
      <c r="AJ121" s="1">
        <f t="shared" si="106"/>
        <v>0</v>
      </c>
      <c r="AK121" s="17">
        <f t="shared" si="107"/>
        <v>0</v>
      </c>
      <c r="AL121" s="17">
        <f t="shared" si="108"/>
        <v>0</v>
      </c>
      <c r="AM121" s="1" t="e">
        <f t="shared" si="129"/>
        <v>#DIV/0!</v>
      </c>
      <c r="AN121" s="1" t="e">
        <f t="shared" si="130"/>
        <v>#DIV/0!</v>
      </c>
      <c r="AO121" s="1">
        <f t="shared" si="131"/>
        <v>1</v>
      </c>
      <c r="AP121" s="1">
        <f t="shared" si="132"/>
        <v>-1</v>
      </c>
      <c r="AQ121" s="1" t="e">
        <f t="shared" si="133"/>
        <v>#DIV/0!</v>
      </c>
      <c r="AR121" s="1" t="e">
        <f t="shared" si="134"/>
        <v>#DIV/0!</v>
      </c>
      <c r="AS121" s="12" t="e">
        <f t="shared" si="109"/>
        <v>#DIV/0!</v>
      </c>
      <c r="AT121" s="12" t="e">
        <f t="shared" si="110"/>
        <v>#DIV/0!</v>
      </c>
      <c r="AU121" s="1">
        <f t="shared" si="111"/>
        <v>0</v>
      </c>
      <c r="AV121" s="1">
        <f t="shared" si="112"/>
        <v>1</v>
      </c>
      <c r="AW121" s="1">
        <f t="shared" si="113"/>
        <v>1</v>
      </c>
      <c r="AX121" s="1">
        <f t="shared" si="114"/>
        <v>-2</v>
      </c>
      <c r="AY121" s="1">
        <f t="shared" si="115"/>
        <v>0</v>
      </c>
      <c r="AZ121" s="1">
        <f t="shared" si="116"/>
        <v>0</v>
      </c>
      <c r="BA121" s="19">
        <f t="shared" si="135"/>
        <v>0</v>
      </c>
      <c r="BB121" s="19">
        <f t="shared" si="136"/>
        <v>0</v>
      </c>
      <c r="BC121" s="9" t="e">
        <f t="shared" si="137"/>
        <v>#DIV/0!</v>
      </c>
      <c r="BD121" s="9" t="e">
        <f t="shared" si="138"/>
        <v>#DIV/0!</v>
      </c>
      <c r="BE121" s="9" t="e">
        <f t="shared" si="139"/>
        <v>#DIV/0!</v>
      </c>
      <c r="BF121" s="9" t="e">
        <f t="shared" si="140"/>
        <v>#DIV/0!</v>
      </c>
      <c r="BG121" s="9" t="e">
        <f t="shared" si="141"/>
        <v>#DIV/0!</v>
      </c>
      <c r="BH121" s="9" t="e">
        <f t="shared" si="142"/>
        <v>#DIV/0!</v>
      </c>
      <c r="BI121" s="12" t="e">
        <f t="shared" si="143"/>
        <v>#DIV/0!</v>
      </c>
      <c r="BJ121" s="13" t="e">
        <f t="shared" si="144"/>
        <v>#DIV/0!</v>
      </c>
      <c r="BK121" s="1">
        <f t="shared" si="117"/>
        <v>0</v>
      </c>
      <c r="BL121" s="1">
        <f t="shared" si="118"/>
        <v>0</v>
      </c>
      <c r="BM121" s="1">
        <f t="shared" si="119"/>
        <v>0</v>
      </c>
      <c r="BN121" s="1">
        <f t="shared" si="120"/>
        <v>0</v>
      </c>
      <c r="BO121" s="1">
        <f t="shared" si="121"/>
        <v>0</v>
      </c>
      <c r="BP121" s="1">
        <f t="shared" si="122"/>
        <v>0</v>
      </c>
      <c r="BQ121" s="19">
        <f t="shared" si="145"/>
        <v>0</v>
      </c>
      <c r="BR121" s="17">
        <f t="shared" si="146"/>
        <v>0</v>
      </c>
    </row>
    <row r="122" spans="1:70" x14ac:dyDescent="0.25">
      <c r="A122" s="20">
        <v>120</v>
      </c>
      <c r="F122" s="1">
        <v>2</v>
      </c>
      <c r="H122" s="1">
        <v>1</v>
      </c>
      <c r="M122" s="1">
        <v>2</v>
      </c>
      <c r="V122" s="1">
        <v>1</v>
      </c>
      <c r="W122" s="8" t="e">
        <f t="shared" si="123"/>
        <v>#DIV/0!</v>
      </c>
      <c r="X122" s="8" t="e">
        <f t="shared" si="124"/>
        <v>#DIV/0!</v>
      </c>
      <c r="Y122" s="8" t="e">
        <f t="shared" si="125"/>
        <v>#DIV/0!</v>
      </c>
      <c r="Z122" s="8" t="e">
        <f t="shared" si="126"/>
        <v>#DIV/0!</v>
      </c>
      <c r="AA122" s="8">
        <f t="shared" si="127"/>
        <v>-1</v>
      </c>
      <c r="AB122" s="8" t="e">
        <f t="shared" si="128"/>
        <v>#DIV/0!</v>
      </c>
      <c r="AC122" s="12" t="e">
        <f t="shared" si="99"/>
        <v>#DIV/0!</v>
      </c>
      <c r="AD122" s="12" t="e">
        <f t="shared" si="100"/>
        <v>#DIV/0!</v>
      </c>
      <c r="AE122" s="1">
        <f t="shared" si="101"/>
        <v>0</v>
      </c>
      <c r="AF122" s="1">
        <f t="shared" si="102"/>
        <v>0</v>
      </c>
      <c r="AG122" s="1">
        <f t="shared" si="103"/>
        <v>0</v>
      </c>
      <c r="AH122" s="1">
        <f t="shared" si="104"/>
        <v>2</v>
      </c>
      <c r="AI122" s="1">
        <f t="shared" si="105"/>
        <v>-2</v>
      </c>
      <c r="AJ122" s="1">
        <f t="shared" si="106"/>
        <v>1</v>
      </c>
      <c r="AK122" s="17">
        <f t="shared" si="107"/>
        <v>0.16666666666666666</v>
      </c>
      <c r="AL122" s="17">
        <f t="shared" si="108"/>
        <v>0</v>
      </c>
      <c r="AM122" s="1" t="e">
        <f t="shared" si="129"/>
        <v>#DIV/0!</v>
      </c>
      <c r="AN122" s="1" t="e">
        <f t="shared" si="130"/>
        <v>#DIV/0!</v>
      </c>
      <c r="AO122" s="1" t="e">
        <f t="shared" si="131"/>
        <v>#DIV/0!</v>
      </c>
      <c r="AP122" s="1" t="e">
        <f t="shared" si="132"/>
        <v>#DIV/0!</v>
      </c>
      <c r="AQ122" s="1">
        <f t="shared" si="133"/>
        <v>-1</v>
      </c>
      <c r="AR122" s="1" t="e">
        <f t="shared" si="134"/>
        <v>#DIV/0!</v>
      </c>
      <c r="AS122" s="12" t="e">
        <f t="shared" si="109"/>
        <v>#DIV/0!</v>
      </c>
      <c r="AT122" s="12" t="e">
        <f t="shared" si="110"/>
        <v>#DIV/0!</v>
      </c>
      <c r="AU122" s="1">
        <f t="shared" si="111"/>
        <v>0</v>
      </c>
      <c r="AV122" s="1">
        <f t="shared" si="112"/>
        <v>0</v>
      </c>
      <c r="AW122" s="1">
        <f t="shared" si="113"/>
        <v>0</v>
      </c>
      <c r="AX122" s="1">
        <f t="shared" si="114"/>
        <v>2</v>
      </c>
      <c r="AY122" s="1">
        <f t="shared" si="115"/>
        <v>-2</v>
      </c>
      <c r="AZ122" s="1">
        <f t="shared" si="116"/>
        <v>0</v>
      </c>
      <c r="BA122" s="19">
        <f t="shared" si="135"/>
        <v>0</v>
      </c>
      <c r="BB122" s="19">
        <f t="shared" si="136"/>
        <v>0</v>
      </c>
      <c r="BC122" s="9" t="e">
        <f t="shared" si="137"/>
        <v>#DIV/0!</v>
      </c>
      <c r="BD122" s="9" t="e">
        <f t="shared" si="138"/>
        <v>#DIV/0!</v>
      </c>
      <c r="BE122" s="9" t="e">
        <f t="shared" si="139"/>
        <v>#DIV/0!</v>
      </c>
      <c r="BF122" s="9" t="e">
        <f t="shared" si="140"/>
        <v>#DIV/0!</v>
      </c>
      <c r="BG122" s="9" t="e">
        <f t="shared" si="141"/>
        <v>#DIV/0!</v>
      </c>
      <c r="BH122" s="9" t="e">
        <f t="shared" si="142"/>
        <v>#DIV/0!</v>
      </c>
      <c r="BI122" s="12" t="e">
        <f t="shared" si="143"/>
        <v>#DIV/0!</v>
      </c>
      <c r="BJ122" s="13" t="e">
        <f t="shared" si="144"/>
        <v>#DIV/0!</v>
      </c>
      <c r="BK122" s="1">
        <f t="shared" si="117"/>
        <v>0</v>
      </c>
      <c r="BL122" s="1">
        <f t="shared" si="118"/>
        <v>0</v>
      </c>
      <c r="BM122" s="1">
        <f t="shared" si="119"/>
        <v>0</v>
      </c>
      <c r="BN122" s="1">
        <f t="shared" si="120"/>
        <v>0</v>
      </c>
      <c r="BO122" s="1">
        <f t="shared" si="121"/>
        <v>0</v>
      </c>
      <c r="BP122" s="1">
        <f t="shared" si="122"/>
        <v>1</v>
      </c>
      <c r="BQ122" s="19">
        <f t="shared" si="145"/>
        <v>0.16666666666666666</v>
      </c>
      <c r="BR122" s="17">
        <f t="shared" si="146"/>
        <v>0</v>
      </c>
    </row>
    <row r="123" spans="1:70" x14ac:dyDescent="0.25">
      <c r="A123" s="20">
        <v>999</v>
      </c>
      <c r="B123" s="1">
        <v>1</v>
      </c>
      <c r="C123" s="1">
        <v>4</v>
      </c>
      <c r="D123" s="1">
        <v>28</v>
      </c>
      <c r="G123" s="1">
        <v>2</v>
      </c>
      <c r="H123" s="1">
        <v>2</v>
      </c>
      <c r="I123" s="1">
        <v>1</v>
      </c>
      <c r="J123" s="1">
        <v>4</v>
      </c>
      <c r="K123" s="1">
        <v>15</v>
      </c>
      <c r="O123" s="1">
        <v>2</v>
      </c>
      <c r="R123" s="1">
        <v>13</v>
      </c>
      <c r="U123" s="1">
        <v>2</v>
      </c>
      <c r="W123" s="8">
        <f t="shared" si="123"/>
        <v>3</v>
      </c>
      <c r="X123" s="8">
        <f t="shared" si="124"/>
        <v>6</v>
      </c>
      <c r="Y123" s="8">
        <f t="shared" si="125"/>
        <v>-1</v>
      </c>
      <c r="Z123" s="8" t="e">
        <f t="shared" si="126"/>
        <v>#DIV/0!</v>
      </c>
      <c r="AA123" s="8" t="e">
        <f t="shared" si="127"/>
        <v>#DIV/0!</v>
      </c>
      <c r="AB123" s="8">
        <f t="shared" si="128"/>
        <v>0</v>
      </c>
      <c r="AC123" s="12" t="e">
        <f t="shared" si="99"/>
        <v>#DIV/0!</v>
      </c>
      <c r="AD123" s="12" t="e">
        <f t="shared" si="100"/>
        <v>#DIV/0!</v>
      </c>
      <c r="AE123" s="1">
        <f t="shared" si="101"/>
        <v>3</v>
      </c>
      <c r="AF123" s="1">
        <f t="shared" si="102"/>
        <v>24</v>
      </c>
      <c r="AG123" s="1">
        <f t="shared" si="103"/>
        <v>-28</v>
      </c>
      <c r="AH123" s="1">
        <f t="shared" si="104"/>
        <v>0</v>
      </c>
      <c r="AI123" s="1">
        <f t="shared" si="105"/>
        <v>2</v>
      </c>
      <c r="AJ123" s="1">
        <f t="shared" si="106"/>
        <v>0</v>
      </c>
      <c r="AK123" s="17">
        <f t="shared" si="107"/>
        <v>0.16666666666666666</v>
      </c>
      <c r="AL123" s="17">
        <f t="shared" si="108"/>
        <v>1</v>
      </c>
      <c r="AM123" s="1">
        <f t="shared" si="129"/>
        <v>3</v>
      </c>
      <c r="AN123" s="1">
        <f t="shared" si="130"/>
        <v>2.75</v>
      </c>
      <c r="AO123" s="1">
        <f t="shared" si="131"/>
        <v>-1</v>
      </c>
      <c r="AP123" s="1" t="e">
        <f t="shared" si="132"/>
        <v>#DIV/0!</v>
      </c>
      <c r="AQ123" s="1" t="e">
        <f t="shared" si="133"/>
        <v>#DIV/0!</v>
      </c>
      <c r="AR123" s="1" t="e">
        <f t="shared" si="134"/>
        <v>#DIV/0!</v>
      </c>
      <c r="AS123" s="12" t="e">
        <f t="shared" si="109"/>
        <v>#DIV/0!</v>
      </c>
      <c r="AT123" s="12" t="e">
        <f t="shared" si="110"/>
        <v>#DIV/0!</v>
      </c>
      <c r="AU123" s="1">
        <f t="shared" si="111"/>
        <v>3</v>
      </c>
      <c r="AV123" s="1">
        <f t="shared" si="112"/>
        <v>11</v>
      </c>
      <c r="AW123" s="1">
        <f t="shared" si="113"/>
        <v>-15</v>
      </c>
      <c r="AX123" s="1">
        <f t="shared" si="114"/>
        <v>0</v>
      </c>
      <c r="AY123" s="1">
        <f t="shared" si="115"/>
        <v>0</v>
      </c>
      <c r="AZ123" s="1">
        <f t="shared" si="116"/>
        <v>2</v>
      </c>
      <c r="BA123" s="19">
        <f t="shared" si="135"/>
        <v>0.16666666666666666</v>
      </c>
      <c r="BB123" s="19">
        <f t="shared" si="136"/>
        <v>1</v>
      </c>
      <c r="BC123" s="9" t="e">
        <f t="shared" si="137"/>
        <v>#DIV/0!</v>
      </c>
      <c r="BD123" s="9" t="e">
        <f t="shared" si="138"/>
        <v>#DIV/0!</v>
      </c>
      <c r="BE123" s="9">
        <f t="shared" si="139"/>
        <v>-1</v>
      </c>
      <c r="BF123" s="9" t="e">
        <f t="shared" si="140"/>
        <v>#DIV/0!</v>
      </c>
      <c r="BG123" s="9" t="e">
        <f t="shared" si="141"/>
        <v>#DIV/0!</v>
      </c>
      <c r="BH123" s="9">
        <f t="shared" si="142"/>
        <v>-1</v>
      </c>
      <c r="BI123" s="12" t="e">
        <f t="shared" si="143"/>
        <v>#DIV/0!</v>
      </c>
      <c r="BJ123" s="13" t="e">
        <f t="shared" si="144"/>
        <v>#DIV/0!</v>
      </c>
      <c r="BK123" s="1">
        <f t="shared" si="117"/>
        <v>0</v>
      </c>
      <c r="BL123" s="1">
        <f t="shared" si="118"/>
        <v>13</v>
      </c>
      <c r="BM123" s="1">
        <f t="shared" si="119"/>
        <v>-13</v>
      </c>
      <c r="BN123" s="1">
        <f t="shared" si="120"/>
        <v>0</v>
      </c>
      <c r="BO123" s="1">
        <f t="shared" si="121"/>
        <v>2</v>
      </c>
      <c r="BP123" s="1">
        <f t="shared" si="122"/>
        <v>-2</v>
      </c>
      <c r="BQ123" s="19">
        <f t="shared" si="145"/>
        <v>0</v>
      </c>
      <c r="BR123" s="17">
        <f t="shared" si="146"/>
        <v>0</v>
      </c>
    </row>
    <row r="124" spans="1:70" x14ac:dyDescent="0.25">
      <c r="A124" s="35"/>
      <c r="B124" s="26">
        <f>SUBTOTAL(109,Tabla16[2017])</f>
        <v>51750</v>
      </c>
      <c r="C124" s="26">
        <f>SUBTOTAL(109,Tabla16[2018])</f>
        <v>53044</v>
      </c>
      <c r="D124" s="26">
        <f>SUBTOTAL(109,Tabla16[2019])</f>
        <v>55469</v>
      </c>
      <c r="E124" s="26">
        <f>SUBTOTAL(109,Tabla16[2020])</f>
        <v>73732</v>
      </c>
      <c r="F124" s="26">
        <f>SUBTOTAL(109,Tabla16[2021])</f>
        <v>64945</v>
      </c>
      <c r="G124" s="26">
        <f>SUBTOTAL(109,Tabla16[2022])</f>
        <v>65325</v>
      </c>
      <c r="H124" s="26">
        <f>SUBTOTAL(109,Tabla16[2023])</f>
        <v>63161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36"/>
      <c r="AD124" s="36"/>
      <c r="AE124" s="26"/>
      <c r="AF124" s="26"/>
      <c r="AG124" s="26"/>
      <c r="AH124" s="26"/>
      <c r="AI124" s="26"/>
      <c r="AJ124" s="26"/>
      <c r="AK124" s="30"/>
      <c r="AL124" s="30"/>
      <c r="AM124" s="26"/>
      <c r="AN124" s="26"/>
      <c r="AO124" s="26"/>
      <c r="AP124" s="26"/>
      <c r="AQ124" s="26"/>
      <c r="AR124" s="26"/>
      <c r="AS124" s="32"/>
      <c r="AT124" s="32"/>
      <c r="AU124" s="26"/>
      <c r="AV124" s="26"/>
      <c r="AW124" s="26"/>
      <c r="AX124" s="26"/>
      <c r="AY124" s="26"/>
      <c r="AZ124" s="26"/>
      <c r="BA124" s="37"/>
      <c r="BB124" s="30"/>
      <c r="BC124" s="38"/>
      <c r="BD124" s="26"/>
      <c r="BE124" s="26"/>
      <c r="BF124" s="26"/>
      <c r="BG124" s="26"/>
      <c r="BH124" s="26"/>
      <c r="BI124" s="32"/>
      <c r="BJ124" s="36"/>
      <c r="BK124" s="26"/>
      <c r="BL124" s="26"/>
      <c r="BM124" s="26"/>
      <c r="BN124" s="26"/>
      <c r="BO124" s="26"/>
      <c r="BP124" s="26"/>
      <c r="BQ124" s="39"/>
      <c r="BR124" s="39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105F-C144-46F8-94EA-FD3C5C01F669}">
  <dimension ref="A1:V27"/>
  <sheetViews>
    <sheetView workbookViewId="0">
      <selection activeCell="D1" sqref="D1:D27"/>
    </sheetView>
  </sheetViews>
  <sheetFormatPr baseColWidth="10" defaultRowHeight="15" x14ac:dyDescent="0.25"/>
  <cols>
    <col min="1" max="2" width="11.42578125" style="1"/>
    <col min="3" max="3" width="16.140625" style="1" customWidth="1"/>
    <col min="4" max="4" width="15.5703125" style="1" customWidth="1"/>
    <col min="5" max="5" width="11.42578125" style="1"/>
    <col min="6" max="6" width="16.140625" style="1" customWidth="1"/>
    <col min="7" max="7" width="15.5703125" style="1" customWidth="1"/>
    <col min="8" max="8" width="11.42578125" style="1"/>
    <col min="9" max="9" width="16.140625" style="1" customWidth="1"/>
    <col min="10" max="10" width="15.5703125" style="1" customWidth="1"/>
    <col min="11" max="11" width="11.42578125" style="1"/>
    <col min="12" max="12" width="16.140625" style="1" customWidth="1"/>
    <col min="13" max="13" width="15.5703125" style="1" customWidth="1"/>
    <col min="14" max="14" width="11.42578125" style="1"/>
    <col min="15" max="15" width="16.140625" style="1" customWidth="1"/>
    <col min="16" max="16" width="15.5703125" style="1" customWidth="1"/>
    <col min="17" max="17" width="11.42578125" style="1"/>
    <col min="18" max="18" width="16.140625" style="1" customWidth="1"/>
    <col min="19" max="19" width="15.5703125" style="1" customWidth="1"/>
    <col min="20" max="20" width="11.42578125" style="1"/>
    <col min="21" max="21" width="16.140625" style="1" customWidth="1"/>
    <col min="22" max="22" width="15.5703125" style="1" customWidth="1"/>
    <col min="23" max="16384" width="11.42578125" style="1"/>
  </cols>
  <sheetData>
    <row r="1" spans="1:22" x14ac:dyDescent="0.25">
      <c r="A1" s="1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5">
      <c r="A2" s="1" t="s">
        <v>28</v>
      </c>
      <c r="B2" s="1">
        <v>15503</v>
      </c>
      <c r="C2" s="1">
        <v>8132</v>
      </c>
      <c r="D2" s="1">
        <v>7371</v>
      </c>
      <c r="E2" s="1">
        <v>15014</v>
      </c>
      <c r="F2" s="1">
        <v>7777</v>
      </c>
      <c r="G2" s="1">
        <v>7237</v>
      </c>
      <c r="H2" s="1">
        <v>15912</v>
      </c>
      <c r="I2" s="1">
        <v>8305</v>
      </c>
      <c r="J2" s="1">
        <v>7607</v>
      </c>
      <c r="K2" s="1">
        <v>27460</v>
      </c>
      <c r="L2" s="1">
        <v>15682</v>
      </c>
      <c r="M2" s="1">
        <v>11778</v>
      </c>
      <c r="N2" s="1">
        <v>18550</v>
      </c>
      <c r="O2" s="1">
        <v>9750</v>
      </c>
      <c r="P2" s="1">
        <v>8800</v>
      </c>
      <c r="Q2" s="1">
        <v>18872</v>
      </c>
      <c r="R2" s="1">
        <v>9834</v>
      </c>
      <c r="S2" s="1">
        <v>9038</v>
      </c>
      <c r="T2" s="1">
        <v>17738</v>
      </c>
      <c r="U2" s="1">
        <v>9256</v>
      </c>
      <c r="V2" s="1">
        <v>8482</v>
      </c>
    </row>
    <row r="3" spans="1:22" x14ac:dyDescent="0.25">
      <c r="A3" s="1" t="s">
        <v>29</v>
      </c>
      <c r="B3" s="1">
        <v>8873</v>
      </c>
      <c r="C3" s="1">
        <v>4333</v>
      </c>
      <c r="D3" s="1">
        <v>4540</v>
      </c>
      <c r="E3" s="1">
        <v>9304</v>
      </c>
      <c r="F3" s="1">
        <v>4486</v>
      </c>
      <c r="G3" s="1">
        <v>4818</v>
      </c>
      <c r="H3" s="1">
        <v>9414</v>
      </c>
      <c r="I3" s="1">
        <v>4509</v>
      </c>
      <c r="J3" s="1">
        <v>4905</v>
      </c>
      <c r="K3" s="1">
        <v>10717</v>
      </c>
      <c r="L3" s="1">
        <v>5376</v>
      </c>
      <c r="M3" s="1">
        <v>5341</v>
      </c>
      <c r="N3" s="1">
        <v>10694</v>
      </c>
      <c r="O3" s="1">
        <v>5378</v>
      </c>
      <c r="P3" s="1">
        <v>5316</v>
      </c>
      <c r="Q3" s="1">
        <v>10580</v>
      </c>
      <c r="R3" s="1">
        <v>5176</v>
      </c>
      <c r="S3" s="1">
        <v>5404</v>
      </c>
      <c r="T3" s="1">
        <v>10466</v>
      </c>
      <c r="U3" s="1">
        <v>5099</v>
      </c>
      <c r="V3" s="1">
        <v>5367</v>
      </c>
    </row>
    <row r="4" spans="1:22" x14ac:dyDescent="0.25">
      <c r="A4" s="1" t="s">
        <v>30</v>
      </c>
      <c r="B4" s="1">
        <v>5279</v>
      </c>
      <c r="C4" s="1">
        <v>2843</v>
      </c>
      <c r="D4" s="1">
        <v>2436</v>
      </c>
      <c r="E4" s="1">
        <v>5462</v>
      </c>
      <c r="F4" s="1">
        <v>2955</v>
      </c>
      <c r="G4" s="1">
        <v>2507</v>
      </c>
      <c r="H4" s="1">
        <v>5721</v>
      </c>
      <c r="I4" s="1">
        <v>3127</v>
      </c>
      <c r="J4" s="1">
        <v>2594</v>
      </c>
      <c r="K4" s="1">
        <v>7220</v>
      </c>
      <c r="L4" s="1">
        <v>4051</v>
      </c>
      <c r="M4" s="1">
        <v>3169</v>
      </c>
      <c r="N4" s="1">
        <v>6431</v>
      </c>
      <c r="O4" s="1">
        <v>3475</v>
      </c>
      <c r="P4" s="1">
        <v>2956</v>
      </c>
      <c r="Q4" s="1">
        <v>6640</v>
      </c>
      <c r="R4" s="1">
        <v>3562</v>
      </c>
      <c r="S4" s="1">
        <v>3078</v>
      </c>
      <c r="T4" s="1">
        <v>6141</v>
      </c>
      <c r="U4" s="1">
        <v>3304</v>
      </c>
      <c r="V4" s="1">
        <v>2837</v>
      </c>
    </row>
    <row r="5" spans="1:22" x14ac:dyDescent="0.25">
      <c r="A5" s="1" t="s">
        <v>31</v>
      </c>
      <c r="B5" s="1">
        <v>2922</v>
      </c>
      <c r="C5" s="1">
        <v>1591</v>
      </c>
      <c r="D5" s="1">
        <v>1331</v>
      </c>
      <c r="E5" s="1">
        <v>2967</v>
      </c>
      <c r="F5" s="1">
        <v>1638</v>
      </c>
      <c r="G5" s="1">
        <v>1329</v>
      </c>
      <c r="H5" s="1">
        <v>3148</v>
      </c>
      <c r="I5" s="1">
        <v>1710</v>
      </c>
      <c r="J5" s="1">
        <v>1438</v>
      </c>
      <c r="K5" s="1">
        <v>3755</v>
      </c>
      <c r="L5" s="1">
        <v>2127</v>
      </c>
      <c r="M5" s="1">
        <v>1628</v>
      </c>
      <c r="N5" s="1">
        <v>3762</v>
      </c>
      <c r="O5" s="1">
        <v>2039</v>
      </c>
      <c r="P5" s="1">
        <v>1723</v>
      </c>
      <c r="Q5" s="1">
        <v>3673</v>
      </c>
      <c r="R5" s="1">
        <v>2017</v>
      </c>
      <c r="S5" s="1">
        <v>1656</v>
      </c>
      <c r="T5" s="1">
        <v>3554</v>
      </c>
      <c r="U5" s="1">
        <v>1930</v>
      </c>
      <c r="V5" s="1">
        <v>1624</v>
      </c>
    </row>
    <row r="6" spans="1:22" x14ac:dyDescent="0.25">
      <c r="A6" s="1" t="s">
        <v>32</v>
      </c>
      <c r="B6" s="1">
        <v>2609</v>
      </c>
      <c r="C6" s="1">
        <v>1241</v>
      </c>
      <c r="D6" s="1">
        <v>1368</v>
      </c>
      <c r="E6" s="1">
        <v>2800</v>
      </c>
      <c r="F6" s="1">
        <v>1335</v>
      </c>
      <c r="G6" s="1">
        <v>1465</v>
      </c>
      <c r="H6" s="1">
        <v>2852</v>
      </c>
      <c r="I6" s="1">
        <v>1358</v>
      </c>
      <c r="J6" s="1">
        <v>1494</v>
      </c>
      <c r="K6" s="1">
        <v>3136</v>
      </c>
      <c r="L6" s="1">
        <v>1572</v>
      </c>
      <c r="M6" s="1">
        <v>1564</v>
      </c>
      <c r="N6" s="1">
        <v>3224</v>
      </c>
      <c r="O6" s="1">
        <v>1592</v>
      </c>
      <c r="P6" s="1">
        <v>1632</v>
      </c>
      <c r="Q6" s="1">
        <v>3384</v>
      </c>
      <c r="R6" s="1">
        <v>1632</v>
      </c>
      <c r="S6" s="1">
        <v>1752</v>
      </c>
      <c r="T6" s="1">
        <v>3216</v>
      </c>
      <c r="U6" s="1">
        <v>1578</v>
      </c>
      <c r="V6" s="1">
        <v>1638</v>
      </c>
    </row>
    <row r="7" spans="1:22" x14ac:dyDescent="0.25">
      <c r="A7" s="1" t="s">
        <v>33</v>
      </c>
      <c r="B7" s="1">
        <v>2078</v>
      </c>
      <c r="C7" s="1">
        <v>1140</v>
      </c>
      <c r="D7" s="1">
        <v>938</v>
      </c>
      <c r="E7" s="1">
        <v>2006</v>
      </c>
      <c r="F7" s="1">
        <v>1073</v>
      </c>
      <c r="G7" s="1">
        <v>933</v>
      </c>
      <c r="H7" s="1">
        <v>2105</v>
      </c>
      <c r="I7" s="1">
        <v>1133</v>
      </c>
      <c r="J7" s="1">
        <v>972</v>
      </c>
      <c r="K7" s="1">
        <v>2422</v>
      </c>
      <c r="L7" s="1">
        <v>1323</v>
      </c>
      <c r="M7" s="1">
        <v>1099</v>
      </c>
      <c r="N7" s="1">
        <v>2615</v>
      </c>
      <c r="O7" s="1">
        <v>1469</v>
      </c>
      <c r="P7" s="1">
        <v>1146</v>
      </c>
      <c r="Q7" s="1">
        <v>2655</v>
      </c>
      <c r="R7" s="1">
        <v>1438</v>
      </c>
      <c r="S7" s="1">
        <v>1217</v>
      </c>
      <c r="T7" s="1">
        <v>2730</v>
      </c>
      <c r="U7" s="1">
        <v>1462</v>
      </c>
      <c r="V7" s="1">
        <v>1268</v>
      </c>
    </row>
    <row r="8" spans="1:22" x14ac:dyDescent="0.25">
      <c r="A8" s="1" t="s">
        <v>34</v>
      </c>
      <c r="B8" s="1">
        <v>2000</v>
      </c>
      <c r="C8" s="1">
        <v>952</v>
      </c>
      <c r="D8" s="1">
        <v>1048</v>
      </c>
      <c r="E8" s="1">
        <v>2250</v>
      </c>
      <c r="F8" s="1">
        <v>1114</v>
      </c>
      <c r="G8" s="1">
        <v>1136</v>
      </c>
      <c r="H8" s="1">
        <v>2192</v>
      </c>
      <c r="I8" s="1">
        <v>1093</v>
      </c>
      <c r="J8" s="1">
        <v>1099</v>
      </c>
      <c r="K8" s="1">
        <v>2507</v>
      </c>
      <c r="L8" s="1">
        <v>1307</v>
      </c>
      <c r="M8" s="1">
        <v>1200</v>
      </c>
      <c r="N8" s="1">
        <v>2526</v>
      </c>
      <c r="O8" s="1">
        <v>1292</v>
      </c>
      <c r="P8" s="1">
        <v>1234</v>
      </c>
      <c r="Q8" s="1">
        <v>2413</v>
      </c>
      <c r="R8" s="1">
        <v>1219</v>
      </c>
      <c r="S8" s="1">
        <v>1194</v>
      </c>
      <c r="T8" s="1">
        <v>2448</v>
      </c>
      <c r="U8" s="1">
        <v>1193</v>
      </c>
      <c r="V8" s="1">
        <v>1255</v>
      </c>
    </row>
    <row r="9" spans="1:22" x14ac:dyDescent="0.25">
      <c r="A9" s="1" t="s">
        <v>35</v>
      </c>
      <c r="B9" s="1">
        <v>1814</v>
      </c>
      <c r="C9" s="1">
        <v>901</v>
      </c>
      <c r="D9" s="1">
        <v>913</v>
      </c>
      <c r="E9" s="1">
        <v>1764</v>
      </c>
      <c r="F9" s="1">
        <v>856</v>
      </c>
      <c r="G9" s="1">
        <v>908</v>
      </c>
      <c r="H9" s="1">
        <v>1775</v>
      </c>
      <c r="I9" s="1">
        <v>886</v>
      </c>
      <c r="J9" s="1">
        <v>889</v>
      </c>
      <c r="K9" s="1">
        <v>2145</v>
      </c>
      <c r="L9" s="1">
        <v>1131</v>
      </c>
      <c r="M9" s="1">
        <v>1014</v>
      </c>
      <c r="N9" s="1">
        <v>2049</v>
      </c>
      <c r="O9" s="1">
        <v>1068</v>
      </c>
      <c r="P9" s="1">
        <v>981</v>
      </c>
      <c r="Q9" s="1">
        <v>1946</v>
      </c>
      <c r="R9" s="1">
        <v>934</v>
      </c>
      <c r="S9" s="1">
        <v>1012</v>
      </c>
      <c r="T9" s="1">
        <v>1952</v>
      </c>
      <c r="U9" s="1">
        <v>977</v>
      </c>
      <c r="V9" s="1">
        <v>975</v>
      </c>
    </row>
    <row r="10" spans="1:22" x14ac:dyDescent="0.25">
      <c r="A10" s="1" t="s">
        <v>36</v>
      </c>
      <c r="B10" s="1">
        <v>1589</v>
      </c>
      <c r="C10" s="1">
        <v>772</v>
      </c>
      <c r="D10" s="1">
        <v>817</v>
      </c>
      <c r="E10" s="1">
        <v>1634</v>
      </c>
      <c r="F10" s="1">
        <v>842</v>
      </c>
      <c r="G10" s="1">
        <v>792</v>
      </c>
      <c r="H10" s="1">
        <v>1724</v>
      </c>
      <c r="I10" s="1">
        <v>851</v>
      </c>
      <c r="J10" s="1">
        <v>873</v>
      </c>
      <c r="K10" s="1">
        <v>1854</v>
      </c>
      <c r="L10" s="1">
        <v>934</v>
      </c>
      <c r="M10" s="1">
        <v>920</v>
      </c>
      <c r="N10" s="1">
        <v>1905</v>
      </c>
      <c r="O10" s="1">
        <v>973</v>
      </c>
      <c r="P10" s="1">
        <v>932</v>
      </c>
      <c r="Q10" s="1">
        <v>2038</v>
      </c>
      <c r="R10" s="1">
        <v>1014</v>
      </c>
      <c r="S10" s="1">
        <v>1024</v>
      </c>
      <c r="T10" s="1">
        <v>1938</v>
      </c>
      <c r="U10" s="1">
        <v>943</v>
      </c>
      <c r="V10" s="1">
        <v>995</v>
      </c>
    </row>
    <row r="11" spans="1:22" x14ac:dyDescent="0.25">
      <c r="A11" s="1" t="s">
        <v>37</v>
      </c>
      <c r="B11" s="1">
        <v>1367</v>
      </c>
      <c r="C11" s="1">
        <v>692</v>
      </c>
      <c r="D11" s="1">
        <v>675</v>
      </c>
      <c r="E11" s="1">
        <v>1387</v>
      </c>
      <c r="F11" s="1">
        <v>715</v>
      </c>
      <c r="G11" s="1">
        <v>672</v>
      </c>
      <c r="H11" s="1">
        <v>1431</v>
      </c>
      <c r="I11" s="1">
        <v>729</v>
      </c>
      <c r="J11" s="1">
        <v>702</v>
      </c>
      <c r="K11" s="1">
        <v>1586</v>
      </c>
      <c r="L11" s="1">
        <v>821</v>
      </c>
      <c r="M11" s="1">
        <v>765</v>
      </c>
      <c r="N11" s="1">
        <v>2183</v>
      </c>
      <c r="O11" s="1">
        <v>1128</v>
      </c>
      <c r="P11" s="1">
        <v>1055</v>
      </c>
      <c r="Q11" s="1">
        <v>2148</v>
      </c>
      <c r="R11" s="1">
        <v>1121</v>
      </c>
      <c r="S11" s="1">
        <v>1027</v>
      </c>
      <c r="T11" s="1">
        <v>2179</v>
      </c>
      <c r="U11" s="1">
        <v>1138</v>
      </c>
      <c r="V11" s="1">
        <v>1041</v>
      </c>
    </row>
    <row r="12" spans="1:22" x14ac:dyDescent="0.25">
      <c r="A12" s="1" t="s">
        <v>38</v>
      </c>
      <c r="B12" s="1">
        <v>1348</v>
      </c>
      <c r="C12" s="1">
        <v>700</v>
      </c>
      <c r="D12" s="1">
        <v>648</v>
      </c>
      <c r="E12" s="1">
        <v>1385</v>
      </c>
      <c r="F12" s="1">
        <v>734</v>
      </c>
      <c r="G12" s="1">
        <v>651</v>
      </c>
      <c r="H12" s="1">
        <v>1514</v>
      </c>
      <c r="I12" s="1">
        <v>835</v>
      </c>
      <c r="J12" s="1">
        <v>679</v>
      </c>
      <c r="K12" s="1">
        <v>1722</v>
      </c>
      <c r="L12" s="1">
        <v>946</v>
      </c>
      <c r="M12" s="1">
        <v>776</v>
      </c>
      <c r="N12" s="1">
        <v>1758</v>
      </c>
      <c r="O12" s="1">
        <v>982</v>
      </c>
      <c r="P12" s="1">
        <v>776</v>
      </c>
      <c r="Q12" s="1">
        <v>1762</v>
      </c>
      <c r="R12" s="1">
        <v>908</v>
      </c>
      <c r="S12" s="1">
        <v>854</v>
      </c>
      <c r="T12" s="1">
        <v>1746</v>
      </c>
      <c r="U12" s="1">
        <v>909</v>
      </c>
      <c r="V12" s="1">
        <v>837</v>
      </c>
    </row>
    <row r="13" spans="1:22" x14ac:dyDescent="0.25">
      <c r="A13" s="1" t="s">
        <v>39</v>
      </c>
      <c r="B13" s="1">
        <v>1182</v>
      </c>
      <c r="C13" s="1">
        <v>615</v>
      </c>
      <c r="D13" s="1">
        <v>567</v>
      </c>
      <c r="E13" s="1">
        <v>1418</v>
      </c>
      <c r="F13" s="1">
        <v>725</v>
      </c>
      <c r="G13" s="1">
        <v>693</v>
      </c>
      <c r="H13" s="1">
        <v>1490</v>
      </c>
      <c r="I13" s="1">
        <v>755</v>
      </c>
      <c r="J13" s="1">
        <v>735</v>
      </c>
      <c r="K13" s="1">
        <v>1680</v>
      </c>
      <c r="L13" s="1">
        <v>874</v>
      </c>
      <c r="M13" s="1">
        <v>806</v>
      </c>
      <c r="N13" s="1">
        <v>1865</v>
      </c>
      <c r="O13" s="1">
        <v>927</v>
      </c>
      <c r="P13" s="1">
        <v>938</v>
      </c>
      <c r="Q13" s="1">
        <v>1764</v>
      </c>
      <c r="R13" s="1">
        <v>881</v>
      </c>
      <c r="S13" s="1">
        <v>883</v>
      </c>
      <c r="T13" s="1">
        <v>1666</v>
      </c>
      <c r="U13" s="1">
        <v>847</v>
      </c>
      <c r="V13" s="1">
        <v>819</v>
      </c>
    </row>
    <row r="14" spans="1:22" x14ac:dyDescent="0.25">
      <c r="A14" s="1" t="s">
        <v>40</v>
      </c>
      <c r="B14" s="1">
        <v>1022</v>
      </c>
      <c r="C14" s="1">
        <v>527</v>
      </c>
      <c r="D14" s="1">
        <v>495</v>
      </c>
      <c r="E14" s="1">
        <v>1079</v>
      </c>
      <c r="F14" s="1">
        <v>556</v>
      </c>
      <c r="G14" s="1">
        <v>523</v>
      </c>
      <c r="H14" s="1">
        <v>1097</v>
      </c>
      <c r="I14" s="1">
        <v>609</v>
      </c>
      <c r="J14" s="1">
        <v>488</v>
      </c>
      <c r="K14" s="1">
        <v>1930</v>
      </c>
      <c r="L14" s="1">
        <v>1174</v>
      </c>
      <c r="M14" s="1">
        <v>756</v>
      </c>
      <c r="N14" s="1">
        <v>1242</v>
      </c>
      <c r="O14" s="1">
        <v>678</v>
      </c>
      <c r="P14" s="1">
        <v>564</v>
      </c>
      <c r="Q14" s="1">
        <v>1346</v>
      </c>
      <c r="R14" s="1">
        <v>708</v>
      </c>
      <c r="S14" s="1">
        <v>638</v>
      </c>
      <c r="T14" s="1">
        <v>1276</v>
      </c>
      <c r="U14" s="1">
        <v>683</v>
      </c>
      <c r="V14" s="1">
        <v>593</v>
      </c>
    </row>
    <row r="15" spans="1:22" x14ac:dyDescent="0.25">
      <c r="A15" s="1" t="s">
        <v>41</v>
      </c>
      <c r="B15" s="1">
        <v>956</v>
      </c>
      <c r="C15" s="1">
        <v>488</v>
      </c>
      <c r="D15" s="1">
        <v>468</v>
      </c>
      <c r="E15" s="1">
        <v>1157</v>
      </c>
      <c r="F15" s="1">
        <v>611</v>
      </c>
      <c r="G15" s="1">
        <v>546</v>
      </c>
      <c r="H15" s="1">
        <v>1353</v>
      </c>
      <c r="I15" s="1">
        <v>714</v>
      </c>
      <c r="J15" s="1">
        <v>639</v>
      </c>
      <c r="K15" s="1">
        <v>1511</v>
      </c>
      <c r="L15" s="1">
        <v>815</v>
      </c>
      <c r="M15" s="1">
        <v>696</v>
      </c>
      <c r="N15" s="1">
        <v>1683</v>
      </c>
      <c r="O15" s="1">
        <v>909</v>
      </c>
      <c r="P15" s="1">
        <v>774</v>
      </c>
      <c r="Q15" s="1">
        <v>1581</v>
      </c>
      <c r="R15" s="1">
        <v>838</v>
      </c>
      <c r="S15" s="1">
        <v>743</v>
      </c>
      <c r="T15" s="1">
        <v>1590</v>
      </c>
      <c r="U15" s="1">
        <v>885</v>
      </c>
      <c r="V15" s="1">
        <v>705</v>
      </c>
    </row>
    <row r="16" spans="1:22" x14ac:dyDescent="0.25">
      <c r="A16" s="1" t="s">
        <v>42</v>
      </c>
      <c r="B16" s="1">
        <v>756</v>
      </c>
      <c r="C16" s="1">
        <v>395</v>
      </c>
      <c r="D16" s="1">
        <v>361</v>
      </c>
      <c r="E16" s="1">
        <v>728</v>
      </c>
      <c r="F16" s="1">
        <v>359</v>
      </c>
      <c r="G16" s="1">
        <v>369</v>
      </c>
      <c r="H16" s="1">
        <v>891</v>
      </c>
      <c r="I16" s="1">
        <v>462</v>
      </c>
      <c r="J16" s="1">
        <v>429</v>
      </c>
      <c r="K16" s="1">
        <v>978</v>
      </c>
      <c r="L16" s="1">
        <v>488</v>
      </c>
      <c r="M16" s="1">
        <v>490</v>
      </c>
      <c r="N16" s="1">
        <v>1056</v>
      </c>
      <c r="O16" s="1">
        <v>544</v>
      </c>
      <c r="P16" s="1">
        <v>512</v>
      </c>
      <c r="Q16" s="1">
        <v>1001</v>
      </c>
      <c r="R16" s="1">
        <v>467</v>
      </c>
      <c r="S16" s="1">
        <v>534</v>
      </c>
      <c r="T16" s="1">
        <v>1023</v>
      </c>
      <c r="U16" s="1">
        <v>497</v>
      </c>
      <c r="V16" s="1">
        <v>526</v>
      </c>
    </row>
    <row r="17" spans="1:22" x14ac:dyDescent="0.25">
      <c r="A17" s="1" t="s">
        <v>43</v>
      </c>
      <c r="B17" s="1">
        <v>692</v>
      </c>
      <c r="C17" s="1">
        <v>367</v>
      </c>
      <c r="D17" s="1">
        <v>325</v>
      </c>
      <c r="E17" s="1">
        <v>787</v>
      </c>
      <c r="F17" s="1">
        <v>413</v>
      </c>
      <c r="G17" s="1">
        <v>374</v>
      </c>
      <c r="H17" s="1">
        <v>800</v>
      </c>
      <c r="I17" s="1">
        <v>402</v>
      </c>
      <c r="J17" s="1">
        <v>398</v>
      </c>
      <c r="K17" s="1">
        <v>898</v>
      </c>
      <c r="L17" s="1">
        <v>467</v>
      </c>
      <c r="M17" s="1">
        <v>431</v>
      </c>
      <c r="N17" s="1">
        <v>948</v>
      </c>
      <c r="O17" s="1">
        <v>491</v>
      </c>
      <c r="P17" s="1">
        <v>457</v>
      </c>
      <c r="Q17" s="1">
        <v>900</v>
      </c>
      <c r="R17" s="1">
        <v>446</v>
      </c>
      <c r="S17" s="1">
        <v>454</v>
      </c>
      <c r="T17" s="1">
        <v>851</v>
      </c>
      <c r="U17" s="1">
        <v>419</v>
      </c>
      <c r="V17" s="1">
        <v>432</v>
      </c>
    </row>
    <row r="18" spans="1:22" x14ac:dyDescent="0.25">
      <c r="A18" s="1" t="s">
        <v>44</v>
      </c>
      <c r="B18" s="1">
        <v>610</v>
      </c>
      <c r="C18" s="1">
        <v>320</v>
      </c>
      <c r="D18" s="1">
        <v>290</v>
      </c>
      <c r="E18" s="1">
        <v>656</v>
      </c>
      <c r="F18" s="1">
        <v>326</v>
      </c>
      <c r="G18" s="1">
        <v>330</v>
      </c>
      <c r="H18" s="1">
        <v>676</v>
      </c>
      <c r="I18" s="1">
        <v>360</v>
      </c>
      <c r="J18" s="1">
        <v>316</v>
      </c>
      <c r="K18" s="1">
        <v>714</v>
      </c>
      <c r="L18" s="1">
        <v>338</v>
      </c>
      <c r="M18" s="1">
        <v>376</v>
      </c>
      <c r="N18" s="1">
        <v>770</v>
      </c>
      <c r="O18" s="1">
        <v>393</v>
      </c>
      <c r="P18" s="1">
        <v>377</v>
      </c>
      <c r="Q18" s="1">
        <v>758</v>
      </c>
      <c r="R18" s="1">
        <v>386</v>
      </c>
      <c r="S18" s="1">
        <v>372</v>
      </c>
      <c r="T18" s="1">
        <v>718</v>
      </c>
      <c r="U18" s="1">
        <v>358</v>
      </c>
      <c r="V18" s="1">
        <v>360</v>
      </c>
    </row>
    <row r="19" spans="1:22" x14ac:dyDescent="0.25">
      <c r="A19" s="1" t="s">
        <v>45</v>
      </c>
      <c r="B19" s="1">
        <v>248</v>
      </c>
      <c r="C19" s="1">
        <v>138</v>
      </c>
      <c r="D19" s="1">
        <v>110</v>
      </c>
      <c r="E19" s="1">
        <v>276</v>
      </c>
      <c r="F19" s="1">
        <v>143</v>
      </c>
      <c r="G19" s="1">
        <v>133</v>
      </c>
      <c r="H19" s="1">
        <v>282</v>
      </c>
      <c r="I19" s="1">
        <v>136</v>
      </c>
      <c r="J19" s="1">
        <v>146</v>
      </c>
      <c r="K19" s="1">
        <v>330</v>
      </c>
      <c r="L19" s="1">
        <v>196</v>
      </c>
      <c r="M19" s="1">
        <v>134</v>
      </c>
      <c r="N19" s="1">
        <v>346</v>
      </c>
      <c r="O19" s="1">
        <v>179</v>
      </c>
      <c r="P19" s="1">
        <v>167</v>
      </c>
      <c r="Q19" s="1">
        <v>388</v>
      </c>
      <c r="R19" s="1">
        <v>220</v>
      </c>
      <c r="S19" s="1">
        <v>168</v>
      </c>
      <c r="T19" s="1">
        <v>394</v>
      </c>
      <c r="U19" s="1">
        <v>207</v>
      </c>
      <c r="V19" s="1">
        <v>187</v>
      </c>
    </row>
    <row r="20" spans="1:22" x14ac:dyDescent="0.25">
      <c r="A20" s="1" t="s">
        <v>46</v>
      </c>
      <c r="B20" s="1">
        <v>205</v>
      </c>
      <c r="C20" s="1">
        <v>119</v>
      </c>
      <c r="D20" s="1">
        <v>86</v>
      </c>
      <c r="E20" s="1">
        <v>201</v>
      </c>
      <c r="F20" s="1">
        <v>117</v>
      </c>
      <c r="G20" s="1">
        <v>84</v>
      </c>
      <c r="H20" s="1">
        <v>210</v>
      </c>
      <c r="I20" s="1">
        <v>108</v>
      </c>
      <c r="J20" s="1">
        <v>102</v>
      </c>
      <c r="K20" s="1">
        <v>201</v>
      </c>
      <c r="L20" s="1">
        <v>112</v>
      </c>
      <c r="M20" s="1">
        <v>89</v>
      </c>
      <c r="N20" s="1">
        <v>227</v>
      </c>
      <c r="O20" s="1">
        <v>112</v>
      </c>
      <c r="P20" s="1">
        <v>115</v>
      </c>
      <c r="Q20" s="1">
        <v>276</v>
      </c>
      <c r="R20" s="1">
        <v>149</v>
      </c>
      <c r="S20" s="1">
        <v>127</v>
      </c>
      <c r="T20" s="1">
        <v>266</v>
      </c>
      <c r="U20" s="1">
        <v>146</v>
      </c>
      <c r="V20" s="1">
        <v>120</v>
      </c>
    </row>
    <row r="21" spans="1:22" x14ac:dyDescent="0.25">
      <c r="A21" s="1" t="s">
        <v>47</v>
      </c>
      <c r="B21" s="1">
        <v>188</v>
      </c>
      <c r="C21" s="1">
        <v>114</v>
      </c>
      <c r="D21" s="1">
        <v>74</v>
      </c>
      <c r="E21" s="1">
        <v>231</v>
      </c>
      <c r="F21" s="1">
        <v>141</v>
      </c>
      <c r="G21" s="1">
        <v>90</v>
      </c>
      <c r="H21" s="1">
        <v>256</v>
      </c>
      <c r="I21" s="1">
        <v>141</v>
      </c>
      <c r="J21" s="1">
        <v>115</v>
      </c>
      <c r="K21" s="1">
        <v>373</v>
      </c>
      <c r="L21" s="1">
        <v>214</v>
      </c>
      <c r="M21" s="1">
        <v>159</v>
      </c>
      <c r="N21" s="1">
        <v>387</v>
      </c>
      <c r="O21" s="1">
        <v>216</v>
      </c>
      <c r="P21" s="1">
        <v>171</v>
      </c>
      <c r="Q21" s="1">
        <v>409</v>
      </c>
      <c r="R21" s="1">
        <v>208</v>
      </c>
      <c r="S21" s="1">
        <v>201</v>
      </c>
      <c r="T21" s="1">
        <v>471</v>
      </c>
      <c r="U21" s="1">
        <v>246</v>
      </c>
      <c r="V21" s="1">
        <v>225</v>
      </c>
    </row>
    <row r="22" spans="1:22" x14ac:dyDescent="0.25">
      <c r="A22" s="1" t="s">
        <v>48</v>
      </c>
      <c r="B22" s="1">
        <v>178</v>
      </c>
      <c r="C22" s="1">
        <v>97</v>
      </c>
      <c r="D22" s="1">
        <v>81</v>
      </c>
      <c r="E22" s="1">
        <v>139</v>
      </c>
      <c r="F22" s="1">
        <v>68</v>
      </c>
      <c r="G22" s="1">
        <v>71</v>
      </c>
      <c r="H22" s="1">
        <v>156</v>
      </c>
      <c r="I22" s="1">
        <v>95</v>
      </c>
      <c r="J22" s="1">
        <v>61</v>
      </c>
      <c r="K22" s="1">
        <v>159</v>
      </c>
      <c r="L22" s="1">
        <v>91</v>
      </c>
      <c r="M22" s="1">
        <v>68</v>
      </c>
      <c r="N22" s="1">
        <v>223</v>
      </c>
      <c r="O22" s="1">
        <v>134</v>
      </c>
      <c r="P22" s="1">
        <v>89</v>
      </c>
      <c r="Q22" s="1">
        <v>262</v>
      </c>
      <c r="R22" s="1">
        <v>143</v>
      </c>
      <c r="S22" s="1">
        <v>119</v>
      </c>
      <c r="T22" s="1">
        <v>236</v>
      </c>
      <c r="U22" s="1">
        <v>126</v>
      </c>
      <c r="V22" s="1">
        <v>110</v>
      </c>
    </row>
    <row r="23" spans="1:22" x14ac:dyDescent="0.25">
      <c r="A23" s="1" t="s">
        <v>49</v>
      </c>
      <c r="B23" s="1">
        <v>152</v>
      </c>
      <c r="C23" s="1">
        <v>84</v>
      </c>
      <c r="D23" s="1">
        <v>68</v>
      </c>
      <c r="E23" s="1">
        <v>156</v>
      </c>
      <c r="F23" s="1">
        <v>86</v>
      </c>
      <c r="G23" s="1">
        <v>70</v>
      </c>
      <c r="H23" s="1">
        <v>193</v>
      </c>
      <c r="I23" s="1">
        <v>112</v>
      </c>
      <c r="J23" s="1">
        <v>81</v>
      </c>
      <c r="K23" s="1">
        <v>206</v>
      </c>
      <c r="L23" s="1">
        <v>116</v>
      </c>
      <c r="M23" s="1">
        <v>90</v>
      </c>
      <c r="N23" s="1">
        <v>230</v>
      </c>
      <c r="O23" s="1">
        <v>126</v>
      </c>
      <c r="P23" s="1">
        <v>104</v>
      </c>
      <c r="Q23" s="1">
        <v>222</v>
      </c>
      <c r="R23" s="1">
        <v>114</v>
      </c>
      <c r="S23" s="1">
        <v>108</v>
      </c>
      <c r="T23" s="1">
        <v>215</v>
      </c>
      <c r="U23" s="1">
        <v>116</v>
      </c>
      <c r="V23" s="1">
        <v>99</v>
      </c>
    </row>
    <row r="24" spans="1:22" x14ac:dyDescent="0.25">
      <c r="A24" s="1" t="s">
        <v>50</v>
      </c>
      <c r="B24" s="1">
        <v>118</v>
      </c>
      <c r="C24" s="1">
        <v>74</v>
      </c>
      <c r="D24" s="1">
        <v>44</v>
      </c>
      <c r="E24" s="1">
        <v>165</v>
      </c>
      <c r="F24" s="1">
        <v>93</v>
      </c>
      <c r="G24" s="1">
        <v>72</v>
      </c>
      <c r="H24" s="1">
        <v>203</v>
      </c>
      <c r="I24" s="1">
        <v>119</v>
      </c>
      <c r="J24" s="1">
        <v>84</v>
      </c>
      <c r="K24" s="1">
        <v>188</v>
      </c>
      <c r="L24" s="1">
        <v>101</v>
      </c>
      <c r="M24" s="1">
        <v>87</v>
      </c>
      <c r="N24" s="1">
        <v>218</v>
      </c>
      <c r="O24" s="1">
        <v>122</v>
      </c>
      <c r="P24" s="1">
        <v>96</v>
      </c>
      <c r="Q24" s="1">
        <v>235</v>
      </c>
      <c r="R24" s="1">
        <v>126</v>
      </c>
      <c r="S24" s="1">
        <v>109</v>
      </c>
      <c r="T24" s="1">
        <v>275</v>
      </c>
      <c r="U24" s="1">
        <v>145</v>
      </c>
      <c r="V24" s="1">
        <v>130</v>
      </c>
    </row>
    <row r="25" spans="1:22" x14ac:dyDescent="0.25">
      <c r="A25" s="1" t="s">
        <v>51</v>
      </c>
      <c r="B25" s="1">
        <v>33</v>
      </c>
      <c r="C25" s="1">
        <v>23</v>
      </c>
      <c r="D25" s="1">
        <v>10</v>
      </c>
      <c r="E25" s="1">
        <v>37</v>
      </c>
      <c r="F25" s="1">
        <v>18</v>
      </c>
      <c r="G25" s="1">
        <v>19</v>
      </c>
      <c r="H25" s="1">
        <v>35</v>
      </c>
      <c r="I25" s="1">
        <v>24</v>
      </c>
      <c r="J25" s="1">
        <v>11</v>
      </c>
      <c r="K25" s="1">
        <v>8</v>
      </c>
      <c r="L25" s="1">
        <v>4</v>
      </c>
      <c r="M25" s="1">
        <v>4</v>
      </c>
      <c r="N25" s="1">
        <v>11</v>
      </c>
      <c r="O25" s="1">
        <v>7</v>
      </c>
      <c r="P25" s="1">
        <v>4</v>
      </c>
      <c r="Q25" s="1">
        <v>19</v>
      </c>
      <c r="R25" s="1">
        <v>13</v>
      </c>
      <c r="S25" s="1">
        <v>6</v>
      </c>
      <c r="T25" s="1">
        <v>23</v>
      </c>
      <c r="U25" s="1">
        <v>19</v>
      </c>
      <c r="V25" s="1">
        <v>4</v>
      </c>
    </row>
    <row r="26" spans="1:22" x14ac:dyDescent="0.25">
      <c r="A26" s="1" t="s">
        <v>52</v>
      </c>
      <c r="B26" s="1">
        <v>27</v>
      </c>
      <c r="C26" s="1">
        <v>16</v>
      </c>
      <c r="D26" s="1">
        <v>11</v>
      </c>
      <c r="E26" s="1">
        <v>41</v>
      </c>
      <c r="F26" s="1">
        <v>16</v>
      </c>
      <c r="G26" s="1">
        <v>25</v>
      </c>
      <c r="H26" s="1">
        <v>39</v>
      </c>
      <c r="I26" s="1">
        <v>22</v>
      </c>
      <c r="J26" s="1">
        <v>17</v>
      </c>
      <c r="K26" s="1">
        <v>32</v>
      </c>
      <c r="L26" s="1">
        <v>23</v>
      </c>
      <c r="M26" s="1">
        <v>9</v>
      </c>
      <c r="N26" s="1">
        <v>42</v>
      </c>
      <c r="O26" s="1">
        <v>28</v>
      </c>
      <c r="P26" s="1">
        <v>14</v>
      </c>
      <c r="Q26" s="1">
        <v>53</v>
      </c>
      <c r="R26" s="1">
        <v>29</v>
      </c>
      <c r="S26" s="1">
        <v>24</v>
      </c>
      <c r="T26" s="1">
        <v>49</v>
      </c>
      <c r="U26" s="1">
        <v>30</v>
      </c>
      <c r="V26" s="1">
        <v>19</v>
      </c>
    </row>
    <row r="27" spans="1:22" x14ac:dyDescent="0.25">
      <c r="A27" s="1" t="s">
        <v>53</v>
      </c>
      <c r="B27" s="1">
        <v>1</v>
      </c>
      <c r="C27" s="1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FD8D-9309-4490-B6D7-3AC2D0683005}">
  <dimension ref="A1:BV123"/>
  <sheetViews>
    <sheetView workbookViewId="0">
      <pane xSplit="15" ySplit="18" topLeftCell="AD32" activePane="bottomRight" state="frozen"/>
      <selection pane="topRight" activeCell="L1" sqref="L1"/>
      <selection pane="bottomLeft" activeCell="A19" sqref="A19"/>
      <selection pane="bottomRight" activeCell="J33" sqref="J33:K55"/>
    </sheetView>
  </sheetViews>
  <sheetFormatPr baseColWidth="10" defaultRowHeight="15" x14ac:dyDescent="0.25"/>
  <cols>
    <col min="1" max="1" width="11.42578125" style="1"/>
    <col min="2" max="2" width="36.42578125" style="1" bestFit="1" customWidth="1"/>
    <col min="3" max="11" width="11.42578125" style="1"/>
    <col min="12" max="12" width="11.7109375" style="1" bestFit="1" customWidth="1"/>
    <col min="13" max="20" width="16.28515625" style="1" customWidth="1"/>
    <col min="21" max="26" width="15.5703125" style="1" customWidth="1"/>
    <col min="27" max="31" width="15" customWidth="1"/>
    <col min="33" max="33" width="11.42578125" style="11"/>
    <col min="34" max="34" width="12.7109375" style="11" customWidth="1"/>
    <col min="35" max="40" width="17.28515625" customWidth="1"/>
    <col min="41" max="42" width="11.42578125" style="18"/>
    <col min="43" max="48" width="16.42578125" customWidth="1"/>
    <col min="49" max="50" width="14.7109375" style="15" bestFit="1" customWidth="1"/>
    <col min="51" max="56" width="17.5703125" customWidth="1"/>
    <col min="57" max="58" width="14.7109375" style="18" customWidth="1"/>
    <col min="59" max="64" width="14.7109375" customWidth="1"/>
    <col min="65" max="65" width="14.7109375" style="11" customWidth="1"/>
    <col min="66" max="66" width="15.7109375" style="11" bestFit="1" customWidth="1"/>
    <col min="67" max="72" width="15.7109375" customWidth="1"/>
    <col min="73" max="74" width="15.7109375" style="18" bestFit="1" customWidth="1"/>
  </cols>
  <sheetData>
    <row r="1" spans="1:74" x14ac:dyDescent="0.25">
      <c r="A1" s="1" t="s">
        <v>27</v>
      </c>
      <c r="B1" s="1" t="s">
        <v>871</v>
      </c>
      <c r="C1" s="2" t="s">
        <v>1</v>
      </c>
      <c r="D1" s="2" t="s">
        <v>4</v>
      </c>
      <c r="E1" s="2" t="s">
        <v>7</v>
      </c>
      <c r="F1" s="2" t="s">
        <v>10</v>
      </c>
      <c r="G1" s="2" t="s">
        <v>13</v>
      </c>
      <c r="H1" s="2" t="s">
        <v>16</v>
      </c>
      <c r="I1" s="2" t="s">
        <v>19</v>
      </c>
      <c r="J1" s="2" t="s">
        <v>844</v>
      </c>
      <c r="K1" s="2" t="s">
        <v>873</v>
      </c>
      <c r="L1" s="2" t="s">
        <v>872</v>
      </c>
      <c r="M1" s="2" t="s">
        <v>2</v>
      </c>
      <c r="N1" s="2" t="s">
        <v>5</v>
      </c>
      <c r="O1" s="2" t="s">
        <v>8</v>
      </c>
      <c r="P1" s="2" t="s">
        <v>11</v>
      </c>
      <c r="Q1" s="2" t="s">
        <v>14</v>
      </c>
      <c r="R1" s="2" t="s">
        <v>17</v>
      </c>
      <c r="S1" s="2" t="s">
        <v>20</v>
      </c>
      <c r="T1" s="2" t="s">
        <v>3</v>
      </c>
      <c r="U1" s="2" t="s">
        <v>6</v>
      </c>
      <c r="V1" s="2" t="s">
        <v>9</v>
      </c>
      <c r="W1" s="2" t="s">
        <v>12</v>
      </c>
      <c r="X1" s="2" t="s">
        <v>15</v>
      </c>
      <c r="Y1" s="2" t="s">
        <v>18</v>
      </c>
      <c r="Z1" s="3" t="s">
        <v>21</v>
      </c>
      <c r="AA1" s="7" t="s">
        <v>777</v>
      </c>
      <c r="AB1" s="7" t="s">
        <v>778</v>
      </c>
      <c r="AC1" s="7" t="s">
        <v>779</v>
      </c>
      <c r="AD1" s="7" t="s">
        <v>780</v>
      </c>
      <c r="AE1" s="7" t="s">
        <v>781</v>
      </c>
      <c r="AF1" s="7" t="s">
        <v>782</v>
      </c>
      <c r="AG1" s="10" t="s">
        <v>783</v>
      </c>
      <c r="AH1" s="10" t="s">
        <v>784</v>
      </c>
      <c r="AI1" s="7" t="s">
        <v>785</v>
      </c>
      <c r="AJ1" s="7" t="s">
        <v>786</v>
      </c>
      <c r="AK1" s="7" t="s">
        <v>787</v>
      </c>
      <c r="AL1" s="7" t="s">
        <v>788</v>
      </c>
      <c r="AM1" s="7" t="s">
        <v>789</v>
      </c>
      <c r="AN1" s="7" t="s">
        <v>790</v>
      </c>
      <c r="AO1" s="16" t="s">
        <v>791</v>
      </c>
      <c r="AP1" s="16" t="s">
        <v>792</v>
      </c>
      <c r="AQ1" s="7" t="s">
        <v>794</v>
      </c>
      <c r="AR1" s="7" t="s">
        <v>795</v>
      </c>
      <c r="AS1" s="7" t="s">
        <v>796</v>
      </c>
      <c r="AT1" s="7" t="s">
        <v>797</v>
      </c>
      <c r="AU1" s="7" t="s">
        <v>798</v>
      </c>
      <c r="AV1" s="7" t="s">
        <v>799</v>
      </c>
      <c r="AW1" s="14" t="s">
        <v>800</v>
      </c>
      <c r="AX1" s="14" t="s">
        <v>793</v>
      </c>
      <c r="AY1" s="7" t="s">
        <v>801</v>
      </c>
      <c r="AZ1" s="7" t="s">
        <v>802</v>
      </c>
      <c r="BA1" s="7" t="s">
        <v>803</v>
      </c>
      <c r="BB1" s="7" t="s">
        <v>804</v>
      </c>
      <c r="BC1" s="7" t="s">
        <v>805</v>
      </c>
      <c r="BD1" s="7" t="s">
        <v>806</v>
      </c>
      <c r="BE1" s="16" t="s">
        <v>807</v>
      </c>
      <c r="BF1" s="16" t="s">
        <v>808</v>
      </c>
      <c r="BG1" s="7" t="s">
        <v>809</v>
      </c>
      <c r="BH1" s="7" t="s">
        <v>810</v>
      </c>
      <c r="BI1" s="7" t="s">
        <v>811</v>
      </c>
      <c r="BJ1" s="7" t="s">
        <v>812</v>
      </c>
      <c r="BK1" s="7" t="s">
        <v>813</v>
      </c>
      <c r="BL1" s="7" t="s">
        <v>814</v>
      </c>
      <c r="BM1" s="10" t="s">
        <v>815</v>
      </c>
      <c r="BN1" s="10" t="s">
        <v>816</v>
      </c>
      <c r="BO1" s="7" t="s">
        <v>817</v>
      </c>
      <c r="BP1" s="7" t="s">
        <v>818</v>
      </c>
      <c r="BQ1" s="7" t="s">
        <v>819</v>
      </c>
      <c r="BR1" s="7" t="s">
        <v>820</v>
      </c>
      <c r="BS1" s="7" t="s">
        <v>821</v>
      </c>
      <c r="BT1" s="7" t="s">
        <v>822</v>
      </c>
      <c r="BU1" s="16" t="s">
        <v>823</v>
      </c>
      <c r="BV1" s="16" t="s">
        <v>824</v>
      </c>
    </row>
    <row r="2" spans="1:74" x14ac:dyDescent="0.25">
      <c r="A2" s="20">
        <v>9</v>
      </c>
      <c r="B2" s="1" t="str">
        <f>_xlfn.XLOOKUP(Tabla10[[#This Row],[prov_res]],Hoja1!$A$34:$A$60,Hoja1!$B$34:$B$60,"",0)</f>
        <v>Guayas</v>
      </c>
      <c r="C2" s="1">
        <v>15503</v>
      </c>
      <c r="D2" s="1">
        <v>15014</v>
      </c>
      <c r="E2" s="1">
        <v>15912</v>
      </c>
      <c r="F2" s="1">
        <v>27460</v>
      </c>
      <c r="G2" s="1">
        <v>18550</v>
      </c>
      <c r="H2" s="1">
        <v>18872</v>
      </c>
      <c r="I2" s="1">
        <v>17738</v>
      </c>
      <c r="J2" s="1">
        <f>+SUM(Tabla10[[#This Row],[2017]:[2023]])</f>
        <v>129049</v>
      </c>
      <c r="K2" s="1">
        <f>+AVERAGE(Tabla10[[#This Row],[2017]:[suma]])</f>
        <v>32262.25</v>
      </c>
      <c r="L2" s="1">
        <f>+MEDIAN(Tabla10[[#This Row],[2017]:[suma]])</f>
        <v>18144</v>
      </c>
      <c r="M2" s="1">
        <v>8132</v>
      </c>
      <c r="N2" s="1">
        <v>7777</v>
      </c>
      <c r="O2" s="1">
        <v>8305</v>
      </c>
      <c r="P2" s="1">
        <v>15682</v>
      </c>
      <c r="Q2" s="1">
        <v>9750</v>
      </c>
      <c r="R2" s="1">
        <v>9834</v>
      </c>
      <c r="S2" s="1">
        <v>9256</v>
      </c>
      <c r="T2" s="1">
        <v>7371</v>
      </c>
      <c r="U2" s="1">
        <v>7237</v>
      </c>
      <c r="V2" s="1">
        <v>7607</v>
      </c>
      <c r="W2" s="1">
        <v>11778</v>
      </c>
      <c r="X2" s="1">
        <v>8800</v>
      </c>
      <c r="Y2" s="1">
        <v>9038</v>
      </c>
      <c r="Z2" s="1">
        <v>8482</v>
      </c>
      <c r="AA2" s="8">
        <f t="shared" ref="AA2:AA27" si="0">+(D2-C2)/C2</f>
        <v>-3.154228213894085E-2</v>
      </c>
      <c r="AB2" s="8">
        <f t="shared" ref="AB2:AB27" si="1">+(E2-D2)/D2</f>
        <v>5.9810843213001195E-2</v>
      </c>
      <c r="AC2" s="8">
        <f t="shared" ref="AC2:AC27" si="2">+(F2-E2)/E2</f>
        <v>0.72574157868275513</v>
      </c>
      <c r="AD2" s="8">
        <f t="shared" ref="AD2:AD27" si="3">+(G2-F2)/F2</f>
        <v>-0.32447195921340133</v>
      </c>
      <c r="AE2" s="8">
        <f t="shared" ref="AE2:AE27" si="4">+(H2-G2)/G2</f>
        <v>1.7358490566037735E-2</v>
      </c>
      <c r="AF2" s="8">
        <f t="shared" ref="AF2:AF27" si="5">+(I2-H2)/H2</f>
        <v>-6.0089020771513353E-2</v>
      </c>
      <c r="AG2" s="12">
        <f t="shared" ref="AG2:AG27" si="6">+AVERAGE(AA2:AF2)</f>
        <v>6.4467941722989766E-2</v>
      </c>
      <c r="AH2" s="12">
        <f t="shared" ref="AH2:AH27" si="7">MEDIAN(AA2:AF2)</f>
        <v>-7.0918957864515575E-3</v>
      </c>
      <c r="AI2" s="1">
        <f t="shared" ref="AI2:AI27" si="8">D2-C2</f>
        <v>-489</v>
      </c>
      <c r="AJ2" s="1">
        <f t="shared" ref="AJ2:AJ27" si="9">E2-D2</f>
        <v>898</v>
      </c>
      <c r="AK2" s="1">
        <f t="shared" ref="AK2:AK27" si="10">F2-E2</f>
        <v>11548</v>
      </c>
      <c r="AL2" s="1">
        <f t="shared" ref="AL2:AL27" si="11">G2-F2</f>
        <v>-8910</v>
      </c>
      <c r="AM2" s="1">
        <f t="shared" ref="AM2:AM27" si="12">H2-G2</f>
        <v>322</v>
      </c>
      <c r="AN2" s="1">
        <f t="shared" ref="AN2:AN27" si="13">I2-H2</f>
        <v>-1134</v>
      </c>
      <c r="AO2" s="17">
        <f t="shared" ref="AO2:AO27" si="14">+AVERAGE(AI2:AN2)</f>
        <v>372.5</v>
      </c>
      <c r="AP2" s="17">
        <f t="shared" ref="AP2:AP27" si="15">+MEDIAN(AI2:AN2)</f>
        <v>-83.5</v>
      </c>
      <c r="AQ2" s="1">
        <f t="shared" ref="AQ2:AQ27" si="16">+(N2-M2)/M2</f>
        <v>-4.365469749139203E-2</v>
      </c>
      <c r="AR2" s="1">
        <f t="shared" ref="AR2:AR27" si="17">+(O2-N2)/N2</f>
        <v>6.7892503536067891E-2</v>
      </c>
      <c r="AS2" s="1">
        <f t="shared" ref="AS2:AS27" si="18">+(P2-O2)/O2</f>
        <v>0.88826008428657433</v>
      </c>
      <c r="AT2" s="1">
        <f t="shared" ref="AT2:AT27" si="19">+(Q2-P2)/P2</f>
        <v>-0.378268078051269</v>
      </c>
      <c r="AU2" s="1">
        <f t="shared" ref="AU2:AU27" si="20">+(R2-Q2)/Q2</f>
        <v>8.615384615384615E-3</v>
      </c>
      <c r="AV2" s="1">
        <f t="shared" ref="AV2:AV27" si="21">+(S2-R2)/R2</f>
        <v>-5.8775676225340655E-2</v>
      </c>
      <c r="AW2" s="12">
        <f t="shared" ref="AW2:AW27" si="22">+AVERAGE(AQ2:AV2)</f>
        <v>8.0678253445004178E-2</v>
      </c>
      <c r="AX2" s="12">
        <f t="shared" ref="AX2:AX27" si="23">+MEDIAN(AQ2:AV2)</f>
        <v>-1.7519656438003708E-2</v>
      </c>
      <c r="AY2" s="1">
        <f t="shared" ref="AY2:AY27" si="24">N2-M2</f>
        <v>-355</v>
      </c>
      <c r="AZ2" s="1">
        <f t="shared" ref="AZ2:AZ27" si="25">O2-N2</f>
        <v>528</v>
      </c>
      <c r="BA2" s="1">
        <f t="shared" ref="BA2:BA27" si="26">P2-O2</f>
        <v>7377</v>
      </c>
      <c r="BB2" s="1">
        <f t="shared" ref="BB2:BB27" si="27">Q2-P2</f>
        <v>-5932</v>
      </c>
      <c r="BC2" s="1">
        <f t="shared" ref="BC2:BC27" si="28">R2-Q2</f>
        <v>84</v>
      </c>
      <c r="BD2" s="1">
        <f t="shared" ref="BD2:BD27" si="29">S2-R2</f>
        <v>-578</v>
      </c>
      <c r="BE2" s="19">
        <f t="shared" ref="BE2:BE27" si="30">+AVERAGE(AY2:BD2)</f>
        <v>187.33333333333334</v>
      </c>
      <c r="BF2" s="19">
        <f t="shared" ref="BF2:BF27" si="31">MEDIAN(AY2:BD2)</f>
        <v>-135.5</v>
      </c>
      <c r="BG2" s="9">
        <f t="shared" ref="BG2:BG27" si="32">+(U2-T2)/T2</f>
        <v>-1.8179351512684846E-2</v>
      </c>
      <c r="BH2" s="9">
        <f t="shared" ref="BH2:BH27" si="33">+(V2-U2)/U2</f>
        <v>5.1126157247478238E-2</v>
      </c>
      <c r="BI2" s="9">
        <f t="shared" ref="BI2:BI27" si="34">+(W2-V2)/V2</f>
        <v>0.54831076639936904</v>
      </c>
      <c r="BJ2" s="9">
        <f t="shared" ref="BJ2:BJ27" si="35">+(X2-W2)/W2</f>
        <v>-0.25284428595686875</v>
      </c>
      <c r="BK2" s="9">
        <f t="shared" ref="BK2:BK27" si="36">+(Y2-X2)/X2</f>
        <v>2.7045454545454546E-2</v>
      </c>
      <c r="BL2" s="9">
        <f t="shared" ref="BL2:BL27" si="37">+(Z2-Y2)/Y2</f>
        <v>-6.1518034963487497E-2</v>
      </c>
      <c r="BM2" s="12">
        <f t="shared" ref="BM2:BM27" si="38">+AVERAGE(BG2:BL2)</f>
        <v>4.8990117626543449E-2</v>
      </c>
      <c r="BN2" s="13">
        <f t="shared" ref="BN2:BN27" si="39">MEDIAN(BG2:BL2)</f>
        <v>4.4330515163848484E-3</v>
      </c>
      <c r="BO2" s="1">
        <f t="shared" ref="BO2:BO27" si="40">+U2-T2</f>
        <v>-134</v>
      </c>
      <c r="BP2" s="1">
        <f t="shared" ref="BP2:BP27" si="41">+V2-U2</f>
        <v>370</v>
      </c>
      <c r="BQ2" s="1">
        <f t="shared" ref="BQ2:BQ27" si="42">+W2-V2</f>
        <v>4171</v>
      </c>
      <c r="BR2" s="1">
        <f t="shared" ref="BR2:BR27" si="43">+X2-W2</f>
        <v>-2978</v>
      </c>
      <c r="BS2" s="1">
        <f t="shared" ref="BS2:BS27" si="44">+Y2-X2</f>
        <v>238</v>
      </c>
      <c r="BT2" s="1">
        <f t="shared" ref="BT2:BT27" si="45">+Z2-Y2</f>
        <v>-556</v>
      </c>
      <c r="BU2" s="19">
        <f t="shared" ref="BU2:BU27" si="46">+AVERAGE(BO2:BT2)</f>
        <v>185.16666666666666</v>
      </c>
      <c r="BV2" s="17">
        <f t="shared" ref="BV2:BV27" si="47">MEDIAN(BO2:BT2)</f>
        <v>52</v>
      </c>
    </row>
    <row r="3" spans="1:74" x14ac:dyDescent="0.25">
      <c r="A3" s="20">
        <v>17</v>
      </c>
      <c r="B3" s="1" t="str">
        <f>_xlfn.XLOOKUP(Tabla10[[#This Row],[prov_res]],Hoja1!$A$34:$A$60,Hoja1!$B$34:$B$60,"",0)</f>
        <v>Pichincha</v>
      </c>
      <c r="C3" s="1">
        <v>8873</v>
      </c>
      <c r="D3" s="1">
        <v>9304</v>
      </c>
      <c r="E3" s="1">
        <v>9414</v>
      </c>
      <c r="F3" s="1">
        <v>10717</v>
      </c>
      <c r="G3" s="1">
        <v>10694</v>
      </c>
      <c r="H3" s="1">
        <v>10580</v>
      </c>
      <c r="I3" s="1">
        <v>10466</v>
      </c>
      <c r="J3" s="1">
        <f>+SUM(Tabla10[[#This Row],[2017]:[2023]])</f>
        <v>70048</v>
      </c>
      <c r="K3" s="1">
        <f>+AVERAGE(Tabla10[[#This Row],[2017]:[suma]])</f>
        <v>17512</v>
      </c>
      <c r="L3" s="1">
        <f>+MEDIAN(Tabla10[[#This Row],[2017]:[suma]])</f>
        <v>10523</v>
      </c>
      <c r="M3" s="1">
        <v>4333</v>
      </c>
      <c r="N3" s="1">
        <v>4486</v>
      </c>
      <c r="O3" s="1">
        <v>4509</v>
      </c>
      <c r="P3" s="1">
        <v>5376</v>
      </c>
      <c r="Q3" s="1">
        <v>5378</v>
      </c>
      <c r="R3" s="1">
        <v>5176</v>
      </c>
      <c r="S3" s="1">
        <v>5099</v>
      </c>
      <c r="T3" s="1">
        <v>4540</v>
      </c>
      <c r="U3" s="1">
        <v>4818</v>
      </c>
      <c r="V3" s="1">
        <v>4905</v>
      </c>
      <c r="W3" s="1">
        <v>5341</v>
      </c>
      <c r="X3" s="1">
        <v>5316</v>
      </c>
      <c r="Y3" s="1">
        <v>5404</v>
      </c>
      <c r="Z3" s="1">
        <v>5367</v>
      </c>
      <c r="AA3" s="8">
        <f t="shared" si="0"/>
        <v>4.8574326608813251E-2</v>
      </c>
      <c r="AB3" s="8">
        <f t="shared" si="1"/>
        <v>1.1822871883061048E-2</v>
      </c>
      <c r="AC3" s="8">
        <f t="shared" si="2"/>
        <v>0.13841087741661356</v>
      </c>
      <c r="AD3" s="8">
        <f t="shared" si="3"/>
        <v>-2.1461229821778485E-3</v>
      </c>
      <c r="AE3" s="8">
        <f t="shared" si="4"/>
        <v>-1.0660183280344118E-2</v>
      </c>
      <c r="AF3" s="8">
        <f t="shared" si="5"/>
        <v>-1.0775047258979206E-2</v>
      </c>
      <c r="AG3" s="12">
        <f t="shared" si="6"/>
        <v>2.920445373116445E-2</v>
      </c>
      <c r="AH3" s="12">
        <f t="shared" si="7"/>
        <v>4.8383744504416001E-3</v>
      </c>
      <c r="AI3" s="1">
        <f t="shared" si="8"/>
        <v>431</v>
      </c>
      <c r="AJ3" s="1">
        <f t="shared" si="9"/>
        <v>110</v>
      </c>
      <c r="AK3" s="1">
        <f t="shared" si="10"/>
        <v>1303</v>
      </c>
      <c r="AL3" s="1">
        <f t="shared" si="11"/>
        <v>-23</v>
      </c>
      <c r="AM3" s="1">
        <f t="shared" si="12"/>
        <v>-114</v>
      </c>
      <c r="AN3" s="1">
        <f t="shared" si="13"/>
        <v>-114</v>
      </c>
      <c r="AO3" s="17">
        <f t="shared" si="14"/>
        <v>265.5</v>
      </c>
      <c r="AP3" s="17">
        <f t="shared" si="15"/>
        <v>43.5</v>
      </c>
      <c r="AQ3" s="1">
        <f t="shared" si="16"/>
        <v>3.5310408492961E-2</v>
      </c>
      <c r="AR3" s="1">
        <f t="shared" si="17"/>
        <v>5.1270619705751225E-3</v>
      </c>
      <c r="AS3" s="1">
        <f t="shared" si="18"/>
        <v>0.19228210246174318</v>
      </c>
      <c r="AT3" s="1">
        <f t="shared" si="19"/>
        <v>3.720238095238095E-4</v>
      </c>
      <c r="AU3" s="1">
        <f t="shared" si="20"/>
        <v>-3.7560431387132762E-2</v>
      </c>
      <c r="AV3" s="1">
        <f t="shared" si="21"/>
        <v>-1.4876352395672334E-2</v>
      </c>
      <c r="AW3" s="12">
        <f t="shared" si="22"/>
        <v>3.0109135491999669E-2</v>
      </c>
      <c r="AX3" s="12">
        <f t="shared" si="23"/>
        <v>2.7495428900494658E-3</v>
      </c>
      <c r="AY3" s="1">
        <f t="shared" si="24"/>
        <v>153</v>
      </c>
      <c r="AZ3" s="1">
        <f t="shared" si="25"/>
        <v>23</v>
      </c>
      <c r="BA3" s="1">
        <f t="shared" si="26"/>
        <v>867</v>
      </c>
      <c r="BB3" s="1">
        <f t="shared" si="27"/>
        <v>2</v>
      </c>
      <c r="BC3" s="1">
        <f t="shared" si="28"/>
        <v>-202</v>
      </c>
      <c r="BD3" s="1">
        <f t="shared" si="29"/>
        <v>-77</v>
      </c>
      <c r="BE3" s="19">
        <f t="shared" si="30"/>
        <v>127.66666666666667</v>
      </c>
      <c r="BF3" s="19">
        <f t="shared" si="31"/>
        <v>12.5</v>
      </c>
      <c r="BG3" s="9">
        <f t="shared" si="32"/>
        <v>6.1233480176211455E-2</v>
      </c>
      <c r="BH3" s="9">
        <f t="shared" si="33"/>
        <v>1.8057285180572851E-2</v>
      </c>
      <c r="BI3" s="9">
        <f t="shared" si="34"/>
        <v>8.8888888888888892E-2</v>
      </c>
      <c r="BJ3" s="9">
        <f t="shared" si="35"/>
        <v>-4.6807713911252574E-3</v>
      </c>
      <c r="BK3" s="9">
        <f t="shared" si="36"/>
        <v>1.6553799849510911E-2</v>
      </c>
      <c r="BL3" s="9">
        <f t="shared" si="37"/>
        <v>-6.8467801628423388E-3</v>
      </c>
      <c r="BM3" s="12">
        <f t="shared" si="38"/>
        <v>2.8867650423536086E-2</v>
      </c>
      <c r="BN3" s="13">
        <f t="shared" si="39"/>
        <v>1.7305542515041881E-2</v>
      </c>
      <c r="BO3" s="1">
        <f t="shared" si="40"/>
        <v>278</v>
      </c>
      <c r="BP3" s="1">
        <f t="shared" si="41"/>
        <v>87</v>
      </c>
      <c r="BQ3" s="1">
        <f t="shared" si="42"/>
        <v>436</v>
      </c>
      <c r="BR3" s="1">
        <f t="shared" si="43"/>
        <v>-25</v>
      </c>
      <c r="BS3" s="1">
        <f t="shared" si="44"/>
        <v>88</v>
      </c>
      <c r="BT3" s="1">
        <f t="shared" si="45"/>
        <v>-37</v>
      </c>
      <c r="BU3" s="19">
        <f t="shared" si="46"/>
        <v>137.83333333333334</v>
      </c>
      <c r="BV3" s="17">
        <f t="shared" si="47"/>
        <v>87.5</v>
      </c>
    </row>
    <row r="4" spans="1:74" x14ac:dyDescent="0.25">
      <c r="A4" s="20">
        <v>13</v>
      </c>
      <c r="B4" s="1" t="str">
        <f>_xlfn.XLOOKUP(Tabla10[[#This Row],[prov_res]],Hoja1!$A$34:$A$60,Hoja1!$B$34:$B$60,"",0)</f>
        <v>Manabí</v>
      </c>
      <c r="C4" s="1">
        <v>5279</v>
      </c>
      <c r="D4" s="1">
        <v>5462</v>
      </c>
      <c r="E4" s="1">
        <v>5721</v>
      </c>
      <c r="F4" s="1">
        <v>7220</v>
      </c>
      <c r="G4" s="1">
        <v>6431</v>
      </c>
      <c r="H4" s="1">
        <v>6640</v>
      </c>
      <c r="I4" s="1">
        <v>6141</v>
      </c>
      <c r="J4" s="1">
        <f>+SUM(Tabla10[[#This Row],[2017]:[2023]])</f>
        <v>42894</v>
      </c>
      <c r="K4" s="1">
        <f>+AVERAGE(Tabla10[[#This Row],[2017]:[suma]])</f>
        <v>10723.5</v>
      </c>
      <c r="L4" s="1">
        <f>+MEDIAN(Tabla10[[#This Row],[2017]:[suma]])</f>
        <v>6286</v>
      </c>
      <c r="M4" s="1">
        <v>2843</v>
      </c>
      <c r="N4" s="1">
        <v>2955</v>
      </c>
      <c r="O4" s="1">
        <v>3127</v>
      </c>
      <c r="P4" s="1">
        <v>4051</v>
      </c>
      <c r="Q4" s="1">
        <v>3475</v>
      </c>
      <c r="R4" s="1">
        <v>3562</v>
      </c>
      <c r="S4" s="1">
        <v>3304</v>
      </c>
      <c r="T4" s="1">
        <v>2436</v>
      </c>
      <c r="U4" s="1">
        <v>2507</v>
      </c>
      <c r="V4" s="1">
        <v>2594</v>
      </c>
      <c r="W4" s="1">
        <v>3169</v>
      </c>
      <c r="X4" s="1">
        <v>2956</v>
      </c>
      <c r="Y4" s="1">
        <v>3078</v>
      </c>
      <c r="Z4" s="1">
        <v>2837</v>
      </c>
      <c r="AA4" s="8">
        <f t="shared" si="0"/>
        <v>3.4665656374313319E-2</v>
      </c>
      <c r="AB4" s="8">
        <f t="shared" si="1"/>
        <v>4.7418528011717323E-2</v>
      </c>
      <c r="AC4" s="8">
        <f t="shared" si="2"/>
        <v>0.26201712987239995</v>
      </c>
      <c r="AD4" s="8">
        <f t="shared" si="3"/>
        <v>-0.1092797783933518</v>
      </c>
      <c r="AE4" s="8">
        <f t="shared" si="4"/>
        <v>3.2498833773907637E-2</v>
      </c>
      <c r="AF4" s="8">
        <f t="shared" si="5"/>
        <v>-7.5150602409638556E-2</v>
      </c>
      <c r="AG4" s="12">
        <f t="shared" si="6"/>
        <v>3.2028294538224644E-2</v>
      </c>
      <c r="AH4" s="12">
        <f t="shared" si="7"/>
        <v>3.3582245074110478E-2</v>
      </c>
      <c r="AI4" s="1">
        <f t="shared" si="8"/>
        <v>183</v>
      </c>
      <c r="AJ4" s="1">
        <f t="shared" si="9"/>
        <v>259</v>
      </c>
      <c r="AK4" s="1">
        <f t="shared" si="10"/>
        <v>1499</v>
      </c>
      <c r="AL4" s="1">
        <f t="shared" si="11"/>
        <v>-789</v>
      </c>
      <c r="AM4" s="1">
        <f t="shared" si="12"/>
        <v>209</v>
      </c>
      <c r="AN4" s="1">
        <f t="shared" si="13"/>
        <v>-499</v>
      </c>
      <c r="AO4" s="17">
        <f t="shared" si="14"/>
        <v>143.66666666666666</v>
      </c>
      <c r="AP4" s="17">
        <f t="shared" si="15"/>
        <v>196</v>
      </c>
      <c r="AQ4" s="1">
        <f t="shared" si="16"/>
        <v>3.9395005276116779E-2</v>
      </c>
      <c r="AR4" s="1">
        <f t="shared" si="17"/>
        <v>5.820642978003384E-2</v>
      </c>
      <c r="AS4" s="1">
        <f t="shared" si="18"/>
        <v>0.29549088583306682</v>
      </c>
      <c r="AT4" s="1">
        <f t="shared" si="19"/>
        <v>-0.14218711429276723</v>
      </c>
      <c r="AU4" s="1">
        <f t="shared" si="20"/>
        <v>2.5035971223021584E-2</v>
      </c>
      <c r="AV4" s="1">
        <f t="shared" si="21"/>
        <v>-7.2431218416619883E-2</v>
      </c>
      <c r="AW4" s="12">
        <f t="shared" si="22"/>
        <v>3.3918326567141992E-2</v>
      </c>
      <c r="AX4" s="12">
        <f t="shared" si="23"/>
        <v>3.2215488249569185E-2</v>
      </c>
      <c r="AY4" s="1">
        <f t="shared" si="24"/>
        <v>112</v>
      </c>
      <c r="AZ4" s="1">
        <f t="shared" si="25"/>
        <v>172</v>
      </c>
      <c r="BA4" s="1">
        <f t="shared" si="26"/>
        <v>924</v>
      </c>
      <c r="BB4" s="1">
        <f t="shared" si="27"/>
        <v>-576</v>
      </c>
      <c r="BC4" s="1">
        <f t="shared" si="28"/>
        <v>87</v>
      </c>
      <c r="BD4" s="1">
        <f t="shared" si="29"/>
        <v>-258</v>
      </c>
      <c r="BE4" s="19">
        <f t="shared" si="30"/>
        <v>76.833333333333329</v>
      </c>
      <c r="BF4" s="19">
        <f t="shared" si="31"/>
        <v>99.5</v>
      </c>
      <c r="BG4" s="9">
        <f t="shared" si="32"/>
        <v>2.9146141215106731E-2</v>
      </c>
      <c r="BH4" s="9">
        <f t="shared" si="33"/>
        <v>3.4702832070203429E-2</v>
      </c>
      <c r="BI4" s="9">
        <f t="shared" si="34"/>
        <v>0.22166538164996144</v>
      </c>
      <c r="BJ4" s="9">
        <f t="shared" si="35"/>
        <v>-6.7213632060586934E-2</v>
      </c>
      <c r="BK4" s="9">
        <f t="shared" si="36"/>
        <v>4.1271989174560215E-2</v>
      </c>
      <c r="BL4" s="9">
        <f t="shared" si="37"/>
        <v>-7.8297595841455486E-2</v>
      </c>
      <c r="BM4" s="12">
        <f t="shared" si="38"/>
        <v>3.0212519367964898E-2</v>
      </c>
      <c r="BN4" s="13">
        <f t="shared" si="39"/>
        <v>3.1924486642655084E-2</v>
      </c>
      <c r="BO4" s="1">
        <f t="shared" si="40"/>
        <v>71</v>
      </c>
      <c r="BP4" s="1">
        <f t="shared" si="41"/>
        <v>87</v>
      </c>
      <c r="BQ4" s="1">
        <f t="shared" si="42"/>
        <v>575</v>
      </c>
      <c r="BR4" s="1">
        <f t="shared" si="43"/>
        <v>-213</v>
      </c>
      <c r="BS4" s="1">
        <f t="shared" si="44"/>
        <v>122</v>
      </c>
      <c r="BT4" s="1">
        <f t="shared" si="45"/>
        <v>-241</v>
      </c>
      <c r="BU4" s="19">
        <f t="shared" si="46"/>
        <v>66.833333333333329</v>
      </c>
      <c r="BV4" s="17">
        <f t="shared" si="47"/>
        <v>79</v>
      </c>
    </row>
    <row r="5" spans="1:74" x14ac:dyDescent="0.25">
      <c r="A5" s="20">
        <v>12</v>
      </c>
      <c r="B5" s="1" t="str">
        <f>_xlfn.XLOOKUP(Tabla10[[#This Row],[prov_res]],Hoja1!$A$34:$A$60,Hoja1!$B$34:$B$60,"",0)</f>
        <v>Los Ríos</v>
      </c>
      <c r="C5" s="1">
        <v>2922</v>
      </c>
      <c r="D5" s="1">
        <v>2967</v>
      </c>
      <c r="E5" s="1">
        <v>3148</v>
      </c>
      <c r="F5" s="1">
        <v>3755</v>
      </c>
      <c r="G5" s="1">
        <v>3762</v>
      </c>
      <c r="H5" s="1">
        <v>3673</v>
      </c>
      <c r="I5" s="1">
        <v>3554</v>
      </c>
      <c r="J5" s="1">
        <f>+SUM(Tabla10[[#This Row],[2017]:[2023]])</f>
        <v>23781</v>
      </c>
      <c r="K5" s="1">
        <f>+AVERAGE(Tabla10[[#This Row],[2017]:[suma]])</f>
        <v>5945.25</v>
      </c>
      <c r="L5" s="1">
        <f>+MEDIAN(Tabla10[[#This Row],[2017]:[suma]])</f>
        <v>3613.5</v>
      </c>
      <c r="M5" s="1">
        <v>1591</v>
      </c>
      <c r="N5" s="1">
        <v>1638</v>
      </c>
      <c r="O5" s="1">
        <v>1710</v>
      </c>
      <c r="P5" s="1">
        <v>2127</v>
      </c>
      <c r="Q5" s="1">
        <v>2039</v>
      </c>
      <c r="R5" s="1">
        <v>2017</v>
      </c>
      <c r="S5" s="1">
        <v>1930</v>
      </c>
      <c r="T5" s="1">
        <v>1331</v>
      </c>
      <c r="U5" s="1">
        <v>1329</v>
      </c>
      <c r="V5" s="1">
        <v>1438</v>
      </c>
      <c r="W5" s="1">
        <v>1628</v>
      </c>
      <c r="X5" s="1">
        <v>1723</v>
      </c>
      <c r="Y5" s="1">
        <v>1656</v>
      </c>
      <c r="Z5" s="1">
        <v>1624</v>
      </c>
      <c r="AA5" s="8">
        <f t="shared" si="0"/>
        <v>1.5400410677618069E-2</v>
      </c>
      <c r="AB5" s="8">
        <f t="shared" si="1"/>
        <v>6.1004381530165151E-2</v>
      </c>
      <c r="AC5" s="8">
        <f t="shared" si="2"/>
        <v>0.19282083862770014</v>
      </c>
      <c r="AD5" s="8">
        <f t="shared" si="3"/>
        <v>1.8641810918774966E-3</v>
      </c>
      <c r="AE5" s="8">
        <f t="shared" si="4"/>
        <v>-2.3657628920786815E-2</v>
      </c>
      <c r="AF5" s="8">
        <f t="shared" si="5"/>
        <v>-3.2398584263544784E-2</v>
      </c>
      <c r="AG5" s="12">
        <f t="shared" si="6"/>
        <v>3.58389331238382E-2</v>
      </c>
      <c r="AH5" s="12">
        <f t="shared" si="7"/>
        <v>8.6322958847477836E-3</v>
      </c>
      <c r="AI5" s="1">
        <f t="shared" si="8"/>
        <v>45</v>
      </c>
      <c r="AJ5" s="1">
        <f t="shared" si="9"/>
        <v>181</v>
      </c>
      <c r="AK5" s="1">
        <f t="shared" si="10"/>
        <v>607</v>
      </c>
      <c r="AL5" s="1">
        <f t="shared" si="11"/>
        <v>7</v>
      </c>
      <c r="AM5" s="1">
        <f t="shared" si="12"/>
        <v>-89</v>
      </c>
      <c r="AN5" s="1">
        <f t="shared" si="13"/>
        <v>-119</v>
      </c>
      <c r="AO5" s="17">
        <f t="shared" si="14"/>
        <v>105.33333333333333</v>
      </c>
      <c r="AP5" s="17">
        <f t="shared" si="15"/>
        <v>26</v>
      </c>
      <c r="AQ5" s="1">
        <f t="shared" si="16"/>
        <v>2.9541169076052799E-2</v>
      </c>
      <c r="AR5" s="1">
        <f t="shared" si="17"/>
        <v>4.3956043956043959E-2</v>
      </c>
      <c r="AS5" s="1">
        <f t="shared" si="18"/>
        <v>0.24385964912280703</v>
      </c>
      <c r="AT5" s="1">
        <f t="shared" si="19"/>
        <v>-4.1372825575928536E-2</v>
      </c>
      <c r="AU5" s="1">
        <f t="shared" si="20"/>
        <v>-1.0789602746444336E-2</v>
      </c>
      <c r="AV5" s="1">
        <f t="shared" si="21"/>
        <v>-4.3133366385721371E-2</v>
      </c>
      <c r="AW5" s="12">
        <f t="shared" si="22"/>
        <v>3.7010177907801582E-2</v>
      </c>
      <c r="AX5" s="12">
        <f t="shared" si="23"/>
        <v>9.3757831648042314E-3</v>
      </c>
      <c r="AY5" s="1">
        <f t="shared" si="24"/>
        <v>47</v>
      </c>
      <c r="AZ5" s="1">
        <f t="shared" si="25"/>
        <v>72</v>
      </c>
      <c r="BA5" s="1">
        <f t="shared" si="26"/>
        <v>417</v>
      </c>
      <c r="BB5" s="1">
        <f t="shared" si="27"/>
        <v>-88</v>
      </c>
      <c r="BC5" s="1">
        <f t="shared" si="28"/>
        <v>-22</v>
      </c>
      <c r="BD5" s="1">
        <f t="shared" si="29"/>
        <v>-87</v>
      </c>
      <c r="BE5" s="19">
        <f t="shared" si="30"/>
        <v>56.5</v>
      </c>
      <c r="BF5" s="19">
        <f t="shared" si="31"/>
        <v>12.5</v>
      </c>
      <c r="BG5" s="9">
        <f t="shared" si="32"/>
        <v>-1.5026296018031556E-3</v>
      </c>
      <c r="BH5" s="9">
        <f t="shared" si="33"/>
        <v>8.2016553799849512E-2</v>
      </c>
      <c r="BI5" s="9">
        <f t="shared" si="34"/>
        <v>0.13212795549374132</v>
      </c>
      <c r="BJ5" s="9">
        <f t="shared" si="35"/>
        <v>5.8353808353808351E-2</v>
      </c>
      <c r="BK5" s="9">
        <f t="shared" si="36"/>
        <v>-3.8885664538595474E-2</v>
      </c>
      <c r="BL5" s="9">
        <f t="shared" si="37"/>
        <v>-1.932367149758454E-2</v>
      </c>
      <c r="BM5" s="12">
        <f t="shared" si="38"/>
        <v>3.5464392001569332E-2</v>
      </c>
      <c r="BN5" s="13">
        <f t="shared" si="39"/>
        <v>2.8425589376002598E-2</v>
      </c>
      <c r="BO5" s="1">
        <f t="shared" si="40"/>
        <v>-2</v>
      </c>
      <c r="BP5" s="1">
        <f t="shared" si="41"/>
        <v>109</v>
      </c>
      <c r="BQ5" s="1">
        <f t="shared" si="42"/>
        <v>190</v>
      </c>
      <c r="BR5" s="1">
        <f t="shared" si="43"/>
        <v>95</v>
      </c>
      <c r="BS5" s="1">
        <f t="shared" si="44"/>
        <v>-67</v>
      </c>
      <c r="BT5" s="1">
        <f t="shared" si="45"/>
        <v>-32</v>
      </c>
      <c r="BU5" s="19">
        <f t="shared" si="46"/>
        <v>48.833333333333336</v>
      </c>
      <c r="BV5" s="17">
        <f t="shared" si="47"/>
        <v>46.5</v>
      </c>
    </row>
    <row r="6" spans="1:74" x14ac:dyDescent="0.25">
      <c r="A6" s="20">
        <v>1</v>
      </c>
      <c r="B6" s="1" t="str">
        <f>_xlfn.XLOOKUP(Tabla10[[#This Row],[prov_res]],Hoja1!$A$34:$A$60,Hoja1!$B$34:$B$60,"",0)</f>
        <v>Azuay</v>
      </c>
      <c r="C6" s="1">
        <v>2609</v>
      </c>
      <c r="D6" s="1">
        <v>2800</v>
      </c>
      <c r="E6" s="1">
        <v>2852</v>
      </c>
      <c r="F6" s="1">
        <v>3136</v>
      </c>
      <c r="G6" s="1">
        <v>3224</v>
      </c>
      <c r="H6" s="1">
        <v>3384</v>
      </c>
      <c r="I6" s="1">
        <v>3216</v>
      </c>
      <c r="J6" s="1">
        <f>+SUM(Tabla10[[#This Row],[2017]:[2023]])</f>
        <v>21221</v>
      </c>
      <c r="K6" s="1">
        <f>+AVERAGE(Tabla10[[#This Row],[2017]:[suma]])</f>
        <v>5305.25</v>
      </c>
      <c r="L6" s="1">
        <f>+MEDIAN(Tabla10[[#This Row],[2017]:[suma]])</f>
        <v>3176</v>
      </c>
      <c r="M6" s="1">
        <v>1241</v>
      </c>
      <c r="N6" s="1">
        <v>1335</v>
      </c>
      <c r="O6" s="1">
        <v>1358</v>
      </c>
      <c r="P6" s="1">
        <v>1572</v>
      </c>
      <c r="Q6" s="1">
        <v>1592</v>
      </c>
      <c r="R6" s="1">
        <v>1632</v>
      </c>
      <c r="S6" s="1">
        <v>1578</v>
      </c>
      <c r="T6" s="1">
        <v>1368</v>
      </c>
      <c r="U6" s="1">
        <v>1465</v>
      </c>
      <c r="V6" s="1">
        <v>1494</v>
      </c>
      <c r="W6" s="1">
        <v>1564</v>
      </c>
      <c r="X6" s="1">
        <v>1632</v>
      </c>
      <c r="Y6" s="1">
        <v>1752</v>
      </c>
      <c r="Z6" s="1">
        <v>1638</v>
      </c>
      <c r="AA6" s="8">
        <f t="shared" si="0"/>
        <v>7.3208125718666153E-2</v>
      </c>
      <c r="AB6" s="8">
        <f t="shared" si="1"/>
        <v>1.8571428571428572E-2</v>
      </c>
      <c r="AC6" s="8">
        <f t="shared" si="2"/>
        <v>9.957924263674614E-2</v>
      </c>
      <c r="AD6" s="8">
        <f t="shared" si="3"/>
        <v>2.8061224489795918E-2</v>
      </c>
      <c r="AE6" s="8">
        <f t="shared" si="4"/>
        <v>4.9627791563275438E-2</v>
      </c>
      <c r="AF6" s="8">
        <f t="shared" si="5"/>
        <v>-4.9645390070921988E-2</v>
      </c>
      <c r="AG6" s="12">
        <f t="shared" si="6"/>
        <v>3.656707048483171E-2</v>
      </c>
      <c r="AH6" s="12">
        <f t="shared" si="7"/>
        <v>3.8844508026535676E-2</v>
      </c>
      <c r="AI6" s="1">
        <f t="shared" si="8"/>
        <v>191</v>
      </c>
      <c r="AJ6" s="1">
        <f t="shared" si="9"/>
        <v>52</v>
      </c>
      <c r="AK6" s="1">
        <f t="shared" si="10"/>
        <v>284</v>
      </c>
      <c r="AL6" s="1">
        <f t="shared" si="11"/>
        <v>88</v>
      </c>
      <c r="AM6" s="1">
        <f t="shared" si="12"/>
        <v>160</v>
      </c>
      <c r="AN6" s="1">
        <f t="shared" si="13"/>
        <v>-168</v>
      </c>
      <c r="AO6" s="17">
        <f t="shared" si="14"/>
        <v>101.16666666666667</v>
      </c>
      <c r="AP6" s="17">
        <f t="shared" si="15"/>
        <v>124</v>
      </c>
      <c r="AQ6" s="1">
        <f t="shared" si="16"/>
        <v>7.5745366639806605E-2</v>
      </c>
      <c r="AR6" s="1">
        <f t="shared" si="17"/>
        <v>1.7228464419475654E-2</v>
      </c>
      <c r="AS6" s="1">
        <f t="shared" si="18"/>
        <v>0.15758468335787923</v>
      </c>
      <c r="AT6" s="1">
        <f t="shared" si="19"/>
        <v>1.2722646310432569E-2</v>
      </c>
      <c r="AU6" s="1">
        <f t="shared" si="20"/>
        <v>2.5125628140703519E-2</v>
      </c>
      <c r="AV6" s="1">
        <f t="shared" si="21"/>
        <v>-3.3088235294117647E-2</v>
      </c>
      <c r="AW6" s="12">
        <f t="shared" si="22"/>
        <v>4.2553092262363319E-2</v>
      </c>
      <c r="AX6" s="12">
        <f t="shared" si="23"/>
        <v>2.1177046280089588E-2</v>
      </c>
      <c r="AY6" s="1">
        <f t="shared" si="24"/>
        <v>94</v>
      </c>
      <c r="AZ6" s="1">
        <f t="shared" si="25"/>
        <v>23</v>
      </c>
      <c r="BA6" s="1">
        <f t="shared" si="26"/>
        <v>214</v>
      </c>
      <c r="BB6" s="1">
        <f t="shared" si="27"/>
        <v>20</v>
      </c>
      <c r="BC6" s="1">
        <f t="shared" si="28"/>
        <v>40</v>
      </c>
      <c r="BD6" s="1">
        <f t="shared" si="29"/>
        <v>-54</v>
      </c>
      <c r="BE6" s="19">
        <f t="shared" si="30"/>
        <v>56.166666666666664</v>
      </c>
      <c r="BF6" s="19">
        <f t="shared" si="31"/>
        <v>31.5</v>
      </c>
      <c r="BG6" s="9">
        <f t="shared" si="32"/>
        <v>7.0906432748538015E-2</v>
      </c>
      <c r="BH6" s="9">
        <f t="shared" si="33"/>
        <v>1.9795221843003412E-2</v>
      </c>
      <c r="BI6" s="9">
        <f t="shared" si="34"/>
        <v>4.6854082998661312E-2</v>
      </c>
      <c r="BJ6" s="9">
        <f t="shared" si="35"/>
        <v>4.3478260869565216E-2</v>
      </c>
      <c r="BK6" s="9">
        <f t="shared" si="36"/>
        <v>7.3529411764705885E-2</v>
      </c>
      <c r="BL6" s="9">
        <f t="shared" si="37"/>
        <v>-6.5068493150684928E-2</v>
      </c>
      <c r="BM6" s="12">
        <f t="shared" si="38"/>
        <v>3.1582486178964815E-2</v>
      </c>
      <c r="BN6" s="13">
        <f t="shared" si="39"/>
        <v>4.5166171934113264E-2</v>
      </c>
      <c r="BO6" s="1">
        <f t="shared" si="40"/>
        <v>97</v>
      </c>
      <c r="BP6" s="1">
        <f t="shared" si="41"/>
        <v>29</v>
      </c>
      <c r="BQ6" s="1">
        <f t="shared" si="42"/>
        <v>70</v>
      </c>
      <c r="BR6" s="1">
        <f t="shared" si="43"/>
        <v>68</v>
      </c>
      <c r="BS6" s="1">
        <f t="shared" si="44"/>
        <v>120</v>
      </c>
      <c r="BT6" s="1">
        <f t="shared" si="45"/>
        <v>-114</v>
      </c>
      <c r="BU6" s="19">
        <f t="shared" si="46"/>
        <v>45</v>
      </c>
      <c r="BV6" s="17">
        <f t="shared" si="47"/>
        <v>69</v>
      </c>
    </row>
    <row r="7" spans="1:74" x14ac:dyDescent="0.25">
      <c r="A7" s="20">
        <v>7</v>
      </c>
      <c r="B7" s="1" t="str">
        <f>_xlfn.XLOOKUP(Tabla10[[#This Row],[prov_res]],Hoja1!$A$34:$A$60,Hoja1!$B$34:$B$60,"",0)</f>
        <v>El Oro</v>
      </c>
      <c r="C7" s="1">
        <v>2078</v>
      </c>
      <c r="D7" s="1">
        <v>2006</v>
      </c>
      <c r="E7" s="1">
        <v>2105</v>
      </c>
      <c r="F7" s="1">
        <v>2422</v>
      </c>
      <c r="G7" s="1">
        <v>2615</v>
      </c>
      <c r="H7" s="1">
        <v>2655</v>
      </c>
      <c r="I7" s="1">
        <v>2730</v>
      </c>
      <c r="J7" s="1">
        <f>+SUM(Tabla10[[#This Row],[2017]:[2023]])</f>
        <v>16611</v>
      </c>
      <c r="K7" s="1">
        <f>+AVERAGE(Tabla10[[#This Row],[2017]:[suma]])</f>
        <v>4152.75</v>
      </c>
      <c r="L7" s="1">
        <f>+MEDIAN(Tabla10[[#This Row],[2017]:[suma]])</f>
        <v>2518.5</v>
      </c>
      <c r="M7" s="1">
        <v>1140</v>
      </c>
      <c r="N7" s="1">
        <v>1073</v>
      </c>
      <c r="O7" s="1">
        <v>1133</v>
      </c>
      <c r="P7" s="1">
        <v>1323</v>
      </c>
      <c r="Q7" s="1">
        <v>1469</v>
      </c>
      <c r="R7" s="1">
        <v>1438</v>
      </c>
      <c r="S7" s="1">
        <v>1462</v>
      </c>
      <c r="T7" s="1">
        <v>938</v>
      </c>
      <c r="U7" s="1">
        <v>933</v>
      </c>
      <c r="V7" s="1">
        <v>972</v>
      </c>
      <c r="W7" s="1">
        <v>1099</v>
      </c>
      <c r="X7" s="1">
        <v>1146</v>
      </c>
      <c r="Y7" s="1">
        <v>1217</v>
      </c>
      <c r="Z7" s="1">
        <v>1268</v>
      </c>
      <c r="AA7" s="8">
        <f t="shared" si="0"/>
        <v>-3.4648700673724733E-2</v>
      </c>
      <c r="AB7" s="8">
        <f t="shared" si="1"/>
        <v>4.9351944167497511E-2</v>
      </c>
      <c r="AC7" s="8">
        <f t="shared" si="2"/>
        <v>0.1505938242280285</v>
      </c>
      <c r="AD7" s="8">
        <f t="shared" si="3"/>
        <v>7.9686209744013206E-2</v>
      </c>
      <c r="AE7" s="8">
        <f t="shared" si="4"/>
        <v>1.5296367112810707E-2</v>
      </c>
      <c r="AF7" s="8">
        <f t="shared" si="5"/>
        <v>2.8248587570621469E-2</v>
      </c>
      <c r="AG7" s="12">
        <f t="shared" si="6"/>
        <v>4.8088038691541109E-2</v>
      </c>
      <c r="AH7" s="12">
        <f t="shared" si="7"/>
        <v>3.8800265869059491E-2</v>
      </c>
      <c r="AI7" s="1">
        <f t="shared" si="8"/>
        <v>-72</v>
      </c>
      <c r="AJ7" s="1">
        <f t="shared" si="9"/>
        <v>99</v>
      </c>
      <c r="AK7" s="1">
        <f t="shared" si="10"/>
        <v>317</v>
      </c>
      <c r="AL7" s="1">
        <f t="shared" si="11"/>
        <v>193</v>
      </c>
      <c r="AM7" s="1">
        <f t="shared" si="12"/>
        <v>40</v>
      </c>
      <c r="AN7" s="1">
        <f t="shared" si="13"/>
        <v>75</v>
      </c>
      <c r="AO7" s="17">
        <f t="shared" si="14"/>
        <v>108.66666666666667</v>
      </c>
      <c r="AP7" s="17">
        <f t="shared" si="15"/>
        <v>87</v>
      </c>
      <c r="AQ7" s="1">
        <f t="shared" si="16"/>
        <v>-5.8771929824561406E-2</v>
      </c>
      <c r="AR7" s="1">
        <f t="shared" si="17"/>
        <v>5.591798695246971E-2</v>
      </c>
      <c r="AS7" s="1">
        <f t="shared" si="18"/>
        <v>0.1676963812886143</v>
      </c>
      <c r="AT7" s="1">
        <f t="shared" si="19"/>
        <v>0.11035525321239607</v>
      </c>
      <c r="AU7" s="1">
        <f t="shared" si="20"/>
        <v>-2.1102791014295439E-2</v>
      </c>
      <c r="AV7" s="1">
        <f t="shared" si="21"/>
        <v>1.6689847009735744E-2</v>
      </c>
      <c r="AW7" s="12">
        <f t="shared" si="22"/>
        <v>4.5130791270726493E-2</v>
      </c>
      <c r="AX7" s="12">
        <f t="shared" si="23"/>
        <v>3.6303916981102732E-2</v>
      </c>
      <c r="AY7" s="1">
        <f t="shared" si="24"/>
        <v>-67</v>
      </c>
      <c r="AZ7" s="1">
        <f t="shared" si="25"/>
        <v>60</v>
      </c>
      <c r="BA7" s="1">
        <f t="shared" si="26"/>
        <v>190</v>
      </c>
      <c r="BB7" s="1">
        <f t="shared" si="27"/>
        <v>146</v>
      </c>
      <c r="BC7" s="1">
        <f t="shared" si="28"/>
        <v>-31</v>
      </c>
      <c r="BD7" s="1">
        <f t="shared" si="29"/>
        <v>24</v>
      </c>
      <c r="BE7" s="19">
        <f t="shared" si="30"/>
        <v>53.666666666666664</v>
      </c>
      <c r="BF7" s="19">
        <f t="shared" si="31"/>
        <v>42</v>
      </c>
      <c r="BG7" s="9">
        <f t="shared" si="32"/>
        <v>-5.3304904051172707E-3</v>
      </c>
      <c r="BH7" s="9">
        <f t="shared" si="33"/>
        <v>4.1800643086816719E-2</v>
      </c>
      <c r="BI7" s="9">
        <f t="shared" si="34"/>
        <v>0.13065843621399176</v>
      </c>
      <c r="BJ7" s="9">
        <f t="shared" si="35"/>
        <v>4.2766151046405826E-2</v>
      </c>
      <c r="BK7" s="9">
        <f t="shared" si="36"/>
        <v>6.1954624781849911E-2</v>
      </c>
      <c r="BL7" s="9">
        <f t="shared" si="37"/>
        <v>4.1906327033689399E-2</v>
      </c>
      <c r="BM7" s="12">
        <f t="shared" si="38"/>
        <v>5.2292615292939389E-2</v>
      </c>
      <c r="BN7" s="13">
        <f t="shared" si="39"/>
        <v>4.2336239040047616E-2</v>
      </c>
      <c r="BO7" s="1">
        <f t="shared" si="40"/>
        <v>-5</v>
      </c>
      <c r="BP7" s="1">
        <f t="shared" si="41"/>
        <v>39</v>
      </c>
      <c r="BQ7" s="1">
        <f t="shared" si="42"/>
        <v>127</v>
      </c>
      <c r="BR7" s="1">
        <f t="shared" si="43"/>
        <v>47</v>
      </c>
      <c r="BS7" s="1">
        <f t="shared" si="44"/>
        <v>71</v>
      </c>
      <c r="BT7" s="1">
        <f t="shared" si="45"/>
        <v>51</v>
      </c>
      <c r="BU7" s="19">
        <f t="shared" si="46"/>
        <v>55</v>
      </c>
      <c r="BV7" s="17">
        <f t="shared" si="47"/>
        <v>49</v>
      </c>
    </row>
    <row r="8" spans="1:74" x14ac:dyDescent="0.25">
      <c r="A8" s="20">
        <v>18</v>
      </c>
      <c r="B8" s="1" t="str">
        <f>_xlfn.XLOOKUP(Tabla10[[#This Row],[prov_res]],Hoja1!$A$34:$A$60,Hoja1!$B$34:$B$60,"",0)</f>
        <v>Tungurahua</v>
      </c>
      <c r="C8" s="1">
        <v>2000</v>
      </c>
      <c r="D8" s="1">
        <v>2250</v>
      </c>
      <c r="E8" s="1">
        <v>2192</v>
      </c>
      <c r="F8" s="1">
        <v>2507</v>
      </c>
      <c r="G8" s="1">
        <v>2526</v>
      </c>
      <c r="H8" s="1">
        <v>2413</v>
      </c>
      <c r="I8" s="1">
        <v>2448</v>
      </c>
      <c r="J8" s="1">
        <f>+SUM(Tabla10[[#This Row],[2017]:[2023]])</f>
        <v>16336</v>
      </c>
      <c r="K8" s="1">
        <f>+AVERAGE(Tabla10[[#This Row],[2017]:[suma]])</f>
        <v>4084</v>
      </c>
      <c r="L8" s="1">
        <f>+MEDIAN(Tabla10[[#This Row],[2017]:[suma]])</f>
        <v>2430.5</v>
      </c>
      <c r="M8" s="1">
        <v>952</v>
      </c>
      <c r="N8" s="1">
        <v>1114</v>
      </c>
      <c r="O8" s="1">
        <v>1093</v>
      </c>
      <c r="P8" s="1">
        <v>1307</v>
      </c>
      <c r="Q8" s="1">
        <v>1292</v>
      </c>
      <c r="R8" s="1">
        <v>1219</v>
      </c>
      <c r="S8" s="1">
        <v>1193</v>
      </c>
      <c r="T8" s="1">
        <v>1048</v>
      </c>
      <c r="U8" s="1">
        <v>1136</v>
      </c>
      <c r="V8" s="1">
        <v>1099</v>
      </c>
      <c r="W8" s="1">
        <v>1200</v>
      </c>
      <c r="X8" s="1">
        <v>1234</v>
      </c>
      <c r="Y8" s="1">
        <v>1194</v>
      </c>
      <c r="Z8" s="1">
        <v>1255</v>
      </c>
      <c r="AA8" s="8">
        <f t="shared" si="0"/>
        <v>0.125</v>
      </c>
      <c r="AB8" s="8">
        <f t="shared" si="1"/>
        <v>-2.5777777777777778E-2</v>
      </c>
      <c r="AC8" s="8">
        <f t="shared" si="2"/>
        <v>0.14370437956204379</v>
      </c>
      <c r="AD8" s="8">
        <f t="shared" si="3"/>
        <v>7.578779417630634E-3</v>
      </c>
      <c r="AE8" s="8">
        <f t="shared" si="4"/>
        <v>-4.47347585114806E-2</v>
      </c>
      <c r="AF8" s="8">
        <f t="shared" si="5"/>
        <v>1.4504765851636967E-2</v>
      </c>
      <c r="AG8" s="12">
        <f t="shared" si="6"/>
        <v>3.6712564757008834E-2</v>
      </c>
      <c r="AH8" s="12">
        <f t="shared" si="7"/>
        <v>1.10417726346338E-2</v>
      </c>
      <c r="AI8" s="1">
        <f t="shared" si="8"/>
        <v>250</v>
      </c>
      <c r="AJ8" s="1">
        <f t="shared" si="9"/>
        <v>-58</v>
      </c>
      <c r="AK8" s="1">
        <f t="shared" si="10"/>
        <v>315</v>
      </c>
      <c r="AL8" s="1">
        <f t="shared" si="11"/>
        <v>19</v>
      </c>
      <c r="AM8" s="1">
        <f t="shared" si="12"/>
        <v>-113</v>
      </c>
      <c r="AN8" s="1">
        <f t="shared" si="13"/>
        <v>35</v>
      </c>
      <c r="AO8" s="17">
        <f t="shared" si="14"/>
        <v>74.666666666666671</v>
      </c>
      <c r="AP8" s="17">
        <f t="shared" si="15"/>
        <v>27</v>
      </c>
      <c r="AQ8" s="1">
        <f t="shared" si="16"/>
        <v>0.17016806722689076</v>
      </c>
      <c r="AR8" s="1">
        <f t="shared" si="17"/>
        <v>-1.8850987432675045E-2</v>
      </c>
      <c r="AS8" s="1">
        <f t="shared" si="18"/>
        <v>0.19579139981701738</v>
      </c>
      <c r="AT8" s="1">
        <f t="shared" si="19"/>
        <v>-1.1476664116296864E-2</v>
      </c>
      <c r="AU8" s="1">
        <f t="shared" si="20"/>
        <v>-5.6501547987616099E-2</v>
      </c>
      <c r="AV8" s="1">
        <f t="shared" si="21"/>
        <v>-2.1328958162428219E-2</v>
      </c>
      <c r="AW8" s="12">
        <f t="shared" si="22"/>
        <v>4.2966884890815314E-2</v>
      </c>
      <c r="AX8" s="12">
        <f t="shared" si="23"/>
        <v>-1.5163825774485953E-2</v>
      </c>
      <c r="AY8" s="1">
        <f t="shared" si="24"/>
        <v>162</v>
      </c>
      <c r="AZ8" s="1">
        <f t="shared" si="25"/>
        <v>-21</v>
      </c>
      <c r="BA8" s="1">
        <f t="shared" si="26"/>
        <v>214</v>
      </c>
      <c r="BB8" s="1">
        <f t="shared" si="27"/>
        <v>-15</v>
      </c>
      <c r="BC8" s="1">
        <f t="shared" si="28"/>
        <v>-73</v>
      </c>
      <c r="BD8" s="1">
        <f t="shared" si="29"/>
        <v>-26</v>
      </c>
      <c r="BE8" s="19">
        <f t="shared" si="30"/>
        <v>40.166666666666664</v>
      </c>
      <c r="BF8" s="19">
        <f t="shared" si="31"/>
        <v>-18</v>
      </c>
      <c r="BG8" s="9">
        <f t="shared" si="32"/>
        <v>8.3969465648854963E-2</v>
      </c>
      <c r="BH8" s="9">
        <f t="shared" si="33"/>
        <v>-3.2570422535211266E-2</v>
      </c>
      <c r="BI8" s="9">
        <f t="shared" si="34"/>
        <v>9.1901728844404007E-2</v>
      </c>
      <c r="BJ8" s="9">
        <f t="shared" si="35"/>
        <v>2.8333333333333332E-2</v>
      </c>
      <c r="BK8" s="9">
        <f t="shared" si="36"/>
        <v>-3.2414910858995137E-2</v>
      </c>
      <c r="BL8" s="9">
        <f t="shared" si="37"/>
        <v>5.1088777219430483E-2</v>
      </c>
      <c r="BM8" s="12">
        <f t="shared" si="38"/>
        <v>3.1717995275302724E-2</v>
      </c>
      <c r="BN8" s="13">
        <f t="shared" si="39"/>
        <v>3.9711055276381906E-2</v>
      </c>
      <c r="BO8" s="1">
        <f t="shared" si="40"/>
        <v>88</v>
      </c>
      <c r="BP8" s="1">
        <f t="shared" si="41"/>
        <v>-37</v>
      </c>
      <c r="BQ8" s="1">
        <f t="shared" si="42"/>
        <v>101</v>
      </c>
      <c r="BR8" s="1">
        <f t="shared" si="43"/>
        <v>34</v>
      </c>
      <c r="BS8" s="1">
        <f t="shared" si="44"/>
        <v>-40</v>
      </c>
      <c r="BT8" s="1">
        <f t="shared" si="45"/>
        <v>61</v>
      </c>
      <c r="BU8" s="19">
        <f t="shared" si="46"/>
        <v>34.5</v>
      </c>
      <c r="BV8" s="17">
        <f t="shared" si="47"/>
        <v>47.5</v>
      </c>
    </row>
    <row r="9" spans="1:74" x14ac:dyDescent="0.25">
      <c r="A9" s="20">
        <v>11</v>
      </c>
      <c r="B9" s="1" t="str">
        <f>_xlfn.XLOOKUP(Tabla10[[#This Row],[prov_res]],Hoja1!$A$34:$A$60,Hoja1!$B$34:$B$60,"",0)</f>
        <v>Loja</v>
      </c>
      <c r="C9" s="1">
        <v>1367</v>
      </c>
      <c r="D9" s="1">
        <v>1387</v>
      </c>
      <c r="E9" s="1">
        <v>1431</v>
      </c>
      <c r="F9" s="1">
        <v>1586</v>
      </c>
      <c r="G9" s="1">
        <v>2183</v>
      </c>
      <c r="H9" s="1">
        <v>2148</v>
      </c>
      <c r="I9" s="1">
        <v>2179</v>
      </c>
      <c r="J9" s="1">
        <f>+SUM(Tabla10[[#This Row],[2017]:[2023]])</f>
        <v>12281</v>
      </c>
      <c r="K9" s="1">
        <f>+AVERAGE(Tabla10[[#This Row],[2017]:[suma]])</f>
        <v>3070.25</v>
      </c>
      <c r="L9" s="1">
        <f>+MEDIAN(Tabla10[[#This Row],[2017]:[suma]])</f>
        <v>1867</v>
      </c>
      <c r="M9" s="1">
        <v>692</v>
      </c>
      <c r="N9" s="1">
        <v>715</v>
      </c>
      <c r="O9" s="1">
        <v>729</v>
      </c>
      <c r="P9" s="1">
        <v>821</v>
      </c>
      <c r="Q9" s="1">
        <v>1128</v>
      </c>
      <c r="R9" s="1">
        <v>1121</v>
      </c>
      <c r="S9" s="1">
        <v>1138</v>
      </c>
      <c r="T9" s="1">
        <v>675</v>
      </c>
      <c r="U9" s="1">
        <v>672</v>
      </c>
      <c r="V9" s="1">
        <v>702</v>
      </c>
      <c r="W9" s="1">
        <v>765</v>
      </c>
      <c r="X9" s="1">
        <v>1055</v>
      </c>
      <c r="Y9" s="1">
        <v>1027</v>
      </c>
      <c r="Z9" s="1">
        <v>1041</v>
      </c>
      <c r="AA9" s="8">
        <f t="shared" si="0"/>
        <v>1.4630577907827359E-2</v>
      </c>
      <c r="AB9" s="8">
        <f t="shared" si="1"/>
        <v>3.172314347512617E-2</v>
      </c>
      <c r="AC9" s="8">
        <f t="shared" si="2"/>
        <v>0.10831586303284417</v>
      </c>
      <c r="AD9" s="8">
        <f t="shared" si="3"/>
        <v>0.37641866330390922</v>
      </c>
      <c r="AE9" s="8">
        <f t="shared" si="4"/>
        <v>-1.6032982134677048E-2</v>
      </c>
      <c r="AF9" s="8">
        <f t="shared" si="5"/>
        <v>1.4432029795158287E-2</v>
      </c>
      <c r="AG9" s="12">
        <f t="shared" si="6"/>
        <v>8.8247882563364702E-2</v>
      </c>
      <c r="AH9" s="12">
        <f t="shared" si="7"/>
        <v>2.3176860691476765E-2</v>
      </c>
      <c r="AI9" s="1">
        <f t="shared" si="8"/>
        <v>20</v>
      </c>
      <c r="AJ9" s="1">
        <f t="shared" si="9"/>
        <v>44</v>
      </c>
      <c r="AK9" s="1">
        <f t="shared" si="10"/>
        <v>155</v>
      </c>
      <c r="AL9" s="1">
        <f t="shared" si="11"/>
        <v>597</v>
      </c>
      <c r="AM9" s="1">
        <f t="shared" si="12"/>
        <v>-35</v>
      </c>
      <c r="AN9" s="1">
        <f t="shared" si="13"/>
        <v>31</v>
      </c>
      <c r="AO9" s="17">
        <f t="shared" si="14"/>
        <v>135.33333333333334</v>
      </c>
      <c r="AP9" s="17">
        <f t="shared" si="15"/>
        <v>37.5</v>
      </c>
      <c r="AQ9" s="1">
        <f t="shared" si="16"/>
        <v>3.3236994219653176E-2</v>
      </c>
      <c r="AR9" s="1">
        <f t="shared" si="17"/>
        <v>1.9580419580419582E-2</v>
      </c>
      <c r="AS9" s="1">
        <f t="shared" si="18"/>
        <v>0.12620027434842249</v>
      </c>
      <c r="AT9" s="1">
        <f t="shared" si="19"/>
        <v>0.37393422655298414</v>
      </c>
      <c r="AU9" s="1">
        <f t="shared" si="20"/>
        <v>-6.2056737588652485E-3</v>
      </c>
      <c r="AV9" s="1">
        <f t="shared" si="21"/>
        <v>1.5165031222123104E-2</v>
      </c>
      <c r="AW9" s="12">
        <f t="shared" si="22"/>
        <v>9.3651878694122878E-2</v>
      </c>
      <c r="AX9" s="12">
        <f t="shared" si="23"/>
        <v>2.6408706900036379E-2</v>
      </c>
      <c r="AY9" s="1">
        <f t="shared" si="24"/>
        <v>23</v>
      </c>
      <c r="AZ9" s="1">
        <f t="shared" si="25"/>
        <v>14</v>
      </c>
      <c r="BA9" s="1">
        <f t="shared" si="26"/>
        <v>92</v>
      </c>
      <c r="BB9" s="1">
        <f t="shared" si="27"/>
        <v>307</v>
      </c>
      <c r="BC9" s="1">
        <f t="shared" si="28"/>
        <v>-7</v>
      </c>
      <c r="BD9" s="1">
        <f t="shared" si="29"/>
        <v>17</v>
      </c>
      <c r="BE9" s="19">
        <f t="shared" si="30"/>
        <v>74.333333333333329</v>
      </c>
      <c r="BF9" s="19">
        <f t="shared" si="31"/>
        <v>20</v>
      </c>
      <c r="BG9" s="9">
        <f t="shared" si="32"/>
        <v>-4.4444444444444444E-3</v>
      </c>
      <c r="BH9" s="9">
        <f t="shared" si="33"/>
        <v>4.4642857142857144E-2</v>
      </c>
      <c r="BI9" s="9">
        <f t="shared" si="34"/>
        <v>8.9743589743589744E-2</v>
      </c>
      <c r="BJ9" s="9">
        <f t="shared" si="35"/>
        <v>0.37908496732026142</v>
      </c>
      <c r="BK9" s="9">
        <f t="shared" si="36"/>
        <v>-2.6540284360189573E-2</v>
      </c>
      <c r="BL9" s="9">
        <f t="shared" si="37"/>
        <v>1.3631937682570594E-2</v>
      </c>
      <c r="BM9" s="12">
        <f t="shared" si="38"/>
        <v>8.2686437180774133E-2</v>
      </c>
      <c r="BN9" s="13">
        <f t="shared" si="39"/>
        <v>2.9137397412713869E-2</v>
      </c>
      <c r="BO9" s="1">
        <f t="shared" si="40"/>
        <v>-3</v>
      </c>
      <c r="BP9" s="1">
        <f t="shared" si="41"/>
        <v>30</v>
      </c>
      <c r="BQ9" s="1">
        <f t="shared" si="42"/>
        <v>63</v>
      </c>
      <c r="BR9" s="1">
        <f t="shared" si="43"/>
        <v>290</v>
      </c>
      <c r="BS9" s="1">
        <f t="shared" si="44"/>
        <v>-28</v>
      </c>
      <c r="BT9" s="1">
        <f t="shared" si="45"/>
        <v>14</v>
      </c>
      <c r="BU9" s="19">
        <f t="shared" si="46"/>
        <v>61</v>
      </c>
      <c r="BV9" s="17">
        <f t="shared" si="47"/>
        <v>22</v>
      </c>
    </row>
    <row r="10" spans="1:74" x14ac:dyDescent="0.25">
      <c r="A10" s="20">
        <v>6</v>
      </c>
      <c r="B10" s="1" t="str">
        <f>_xlfn.XLOOKUP(Tabla10[[#This Row],[prov_res]],Hoja1!$A$34:$A$60,Hoja1!$B$34:$B$60,"",0)</f>
        <v>Cotopaxi</v>
      </c>
      <c r="C10" s="1">
        <v>1814</v>
      </c>
      <c r="D10" s="1">
        <v>1764</v>
      </c>
      <c r="E10" s="1">
        <v>1775</v>
      </c>
      <c r="F10" s="1">
        <v>2145</v>
      </c>
      <c r="G10" s="1">
        <v>2049</v>
      </c>
      <c r="H10" s="1">
        <v>1946</v>
      </c>
      <c r="I10" s="1">
        <v>1952</v>
      </c>
      <c r="J10" s="1">
        <f>+SUM(Tabla10[[#This Row],[2017]:[2023]])</f>
        <v>13445</v>
      </c>
      <c r="K10" s="1">
        <f>+AVERAGE(Tabla10[[#This Row],[2017]:[suma]])</f>
        <v>3361.25</v>
      </c>
      <c r="L10" s="1">
        <f>+MEDIAN(Tabla10[[#This Row],[2017]:[suma]])</f>
        <v>1949</v>
      </c>
      <c r="M10" s="1">
        <v>901</v>
      </c>
      <c r="N10" s="1">
        <v>856</v>
      </c>
      <c r="O10" s="1">
        <v>886</v>
      </c>
      <c r="P10" s="1">
        <v>1131</v>
      </c>
      <c r="Q10" s="1">
        <v>1068</v>
      </c>
      <c r="R10" s="1">
        <v>934</v>
      </c>
      <c r="S10" s="1">
        <v>977</v>
      </c>
      <c r="T10" s="1">
        <v>913</v>
      </c>
      <c r="U10" s="1">
        <v>908</v>
      </c>
      <c r="V10" s="1">
        <v>889</v>
      </c>
      <c r="W10" s="1">
        <v>1014</v>
      </c>
      <c r="X10" s="1">
        <v>981</v>
      </c>
      <c r="Y10" s="1">
        <v>1012</v>
      </c>
      <c r="Z10" s="1">
        <v>975</v>
      </c>
      <c r="AA10" s="8">
        <f t="shared" si="0"/>
        <v>-2.7563395810363836E-2</v>
      </c>
      <c r="AB10" s="8">
        <f t="shared" si="1"/>
        <v>6.2358276643990932E-3</v>
      </c>
      <c r="AC10" s="8">
        <f t="shared" si="2"/>
        <v>0.20845070422535211</v>
      </c>
      <c r="AD10" s="8">
        <f t="shared" si="3"/>
        <v>-4.4755244755244755E-2</v>
      </c>
      <c r="AE10" s="8">
        <f t="shared" si="4"/>
        <v>-5.0268423621278674E-2</v>
      </c>
      <c r="AF10" s="8">
        <f t="shared" si="5"/>
        <v>3.0832476875642342E-3</v>
      </c>
      <c r="AG10" s="12">
        <f t="shared" si="6"/>
        <v>1.58637858984047E-2</v>
      </c>
      <c r="AH10" s="12">
        <f t="shared" si="7"/>
        <v>-1.22400740613998E-2</v>
      </c>
      <c r="AI10" s="1">
        <f t="shared" si="8"/>
        <v>-50</v>
      </c>
      <c r="AJ10" s="1">
        <f t="shared" si="9"/>
        <v>11</v>
      </c>
      <c r="AK10" s="1">
        <f t="shared" si="10"/>
        <v>370</v>
      </c>
      <c r="AL10" s="1">
        <f t="shared" si="11"/>
        <v>-96</v>
      </c>
      <c r="AM10" s="1">
        <f t="shared" si="12"/>
        <v>-103</v>
      </c>
      <c r="AN10" s="1">
        <f t="shared" si="13"/>
        <v>6</v>
      </c>
      <c r="AO10" s="17">
        <f t="shared" si="14"/>
        <v>23</v>
      </c>
      <c r="AP10" s="17">
        <f t="shared" si="15"/>
        <v>-22</v>
      </c>
      <c r="AQ10" s="1">
        <f t="shared" si="16"/>
        <v>-4.9944506104328525E-2</v>
      </c>
      <c r="AR10" s="1">
        <f t="shared" si="17"/>
        <v>3.5046728971962614E-2</v>
      </c>
      <c r="AS10" s="1">
        <f t="shared" si="18"/>
        <v>0.2765237020316027</v>
      </c>
      <c r="AT10" s="1">
        <f t="shared" si="19"/>
        <v>-5.5702917771883291E-2</v>
      </c>
      <c r="AU10" s="1">
        <f t="shared" si="20"/>
        <v>-0.12546816479400749</v>
      </c>
      <c r="AV10" s="1">
        <f t="shared" si="21"/>
        <v>4.6038543897216275E-2</v>
      </c>
      <c r="AW10" s="12">
        <f t="shared" si="22"/>
        <v>2.1082231038427046E-2</v>
      </c>
      <c r="AX10" s="12">
        <f t="shared" si="23"/>
        <v>-7.4488885661829554E-3</v>
      </c>
      <c r="AY10" s="1">
        <f t="shared" si="24"/>
        <v>-45</v>
      </c>
      <c r="AZ10" s="1">
        <f t="shared" si="25"/>
        <v>30</v>
      </c>
      <c r="BA10" s="1">
        <f t="shared" si="26"/>
        <v>245</v>
      </c>
      <c r="BB10" s="1">
        <f t="shared" si="27"/>
        <v>-63</v>
      </c>
      <c r="BC10" s="1">
        <f t="shared" si="28"/>
        <v>-134</v>
      </c>
      <c r="BD10" s="1">
        <f t="shared" si="29"/>
        <v>43</v>
      </c>
      <c r="BE10" s="19">
        <f t="shared" si="30"/>
        <v>12.666666666666666</v>
      </c>
      <c r="BF10" s="19">
        <f t="shared" si="31"/>
        <v>-7.5</v>
      </c>
      <c r="BG10" s="9">
        <f t="shared" si="32"/>
        <v>-5.4764512595837896E-3</v>
      </c>
      <c r="BH10" s="9">
        <f t="shared" si="33"/>
        <v>-2.092511013215859E-2</v>
      </c>
      <c r="BI10" s="9">
        <f t="shared" si="34"/>
        <v>0.14060742407199101</v>
      </c>
      <c r="BJ10" s="9">
        <f t="shared" si="35"/>
        <v>-3.2544378698224852E-2</v>
      </c>
      <c r="BK10" s="9">
        <f t="shared" si="36"/>
        <v>3.1600407747196739E-2</v>
      </c>
      <c r="BL10" s="9">
        <f t="shared" si="37"/>
        <v>-3.6561264822134384E-2</v>
      </c>
      <c r="BM10" s="12">
        <f t="shared" si="38"/>
        <v>1.2783437817847689E-2</v>
      </c>
      <c r="BN10" s="13">
        <f t="shared" si="39"/>
        <v>-1.3200780695871189E-2</v>
      </c>
      <c r="BO10" s="1">
        <f t="shared" si="40"/>
        <v>-5</v>
      </c>
      <c r="BP10" s="1">
        <f t="shared" si="41"/>
        <v>-19</v>
      </c>
      <c r="BQ10" s="1">
        <f t="shared" si="42"/>
        <v>125</v>
      </c>
      <c r="BR10" s="1">
        <f t="shared" si="43"/>
        <v>-33</v>
      </c>
      <c r="BS10" s="1">
        <f t="shared" si="44"/>
        <v>31</v>
      </c>
      <c r="BT10" s="1">
        <f t="shared" si="45"/>
        <v>-37</v>
      </c>
      <c r="BU10" s="19">
        <f t="shared" si="46"/>
        <v>10.333333333333334</v>
      </c>
      <c r="BV10" s="17">
        <f t="shared" si="47"/>
        <v>-12</v>
      </c>
    </row>
    <row r="11" spans="1:74" x14ac:dyDescent="0.25">
      <c r="A11" s="20">
        <v>10</v>
      </c>
      <c r="B11" s="1" t="str">
        <f>_xlfn.XLOOKUP(Tabla10[[#This Row],[prov_res]],Hoja1!$A$34:$A$60,Hoja1!$B$34:$B$60,"",0)</f>
        <v>Imbabura</v>
      </c>
      <c r="C11" s="1">
        <v>1589</v>
      </c>
      <c r="D11" s="1">
        <v>1634</v>
      </c>
      <c r="E11" s="1">
        <v>1724</v>
      </c>
      <c r="F11" s="1">
        <v>1854</v>
      </c>
      <c r="G11" s="1">
        <v>1905</v>
      </c>
      <c r="H11" s="1">
        <v>2038</v>
      </c>
      <c r="I11" s="1">
        <v>1938</v>
      </c>
      <c r="J11" s="1">
        <f>+SUM(Tabla10[[#This Row],[2017]:[2023]])</f>
        <v>12682</v>
      </c>
      <c r="K11" s="1">
        <f>+AVERAGE(Tabla10[[#This Row],[2017]:[suma]])</f>
        <v>3170.5</v>
      </c>
      <c r="L11" s="1">
        <f>+MEDIAN(Tabla10[[#This Row],[2017]:[suma]])</f>
        <v>1879.5</v>
      </c>
      <c r="M11" s="1">
        <v>772</v>
      </c>
      <c r="N11" s="1">
        <v>842</v>
      </c>
      <c r="O11" s="1">
        <v>851</v>
      </c>
      <c r="P11" s="1">
        <v>934</v>
      </c>
      <c r="Q11" s="1">
        <v>973</v>
      </c>
      <c r="R11" s="1">
        <v>1014</v>
      </c>
      <c r="S11" s="1">
        <v>943</v>
      </c>
      <c r="T11" s="1">
        <v>817</v>
      </c>
      <c r="U11" s="1">
        <v>792</v>
      </c>
      <c r="V11" s="1">
        <v>873</v>
      </c>
      <c r="W11" s="1">
        <v>920</v>
      </c>
      <c r="X11" s="1">
        <v>932</v>
      </c>
      <c r="Y11" s="1">
        <v>1024</v>
      </c>
      <c r="Z11" s="1">
        <v>995</v>
      </c>
      <c r="AA11" s="8">
        <f t="shared" si="0"/>
        <v>2.8319697923222153E-2</v>
      </c>
      <c r="AB11" s="8">
        <f t="shared" si="1"/>
        <v>5.5079559363525092E-2</v>
      </c>
      <c r="AC11" s="8">
        <f t="shared" si="2"/>
        <v>7.5406032482598612E-2</v>
      </c>
      <c r="AD11" s="8">
        <f t="shared" si="3"/>
        <v>2.7508090614886731E-2</v>
      </c>
      <c r="AE11" s="8">
        <f t="shared" si="4"/>
        <v>6.9816272965879264E-2</v>
      </c>
      <c r="AF11" s="8">
        <f t="shared" si="5"/>
        <v>-4.9067713444553483E-2</v>
      </c>
      <c r="AG11" s="12">
        <f t="shared" si="6"/>
        <v>3.4510323317593058E-2</v>
      </c>
      <c r="AH11" s="12">
        <f t="shared" si="7"/>
        <v>4.1699628643373621E-2</v>
      </c>
      <c r="AI11" s="1">
        <f t="shared" si="8"/>
        <v>45</v>
      </c>
      <c r="AJ11" s="1">
        <f t="shared" si="9"/>
        <v>90</v>
      </c>
      <c r="AK11" s="1">
        <f t="shared" si="10"/>
        <v>130</v>
      </c>
      <c r="AL11" s="1">
        <f t="shared" si="11"/>
        <v>51</v>
      </c>
      <c r="AM11" s="1">
        <f t="shared" si="12"/>
        <v>133</v>
      </c>
      <c r="AN11" s="1">
        <f t="shared" si="13"/>
        <v>-100</v>
      </c>
      <c r="AO11" s="17">
        <f t="shared" si="14"/>
        <v>58.166666666666664</v>
      </c>
      <c r="AP11" s="17">
        <f t="shared" si="15"/>
        <v>70.5</v>
      </c>
      <c r="AQ11" s="1">
        <f t="shared" si="16"/>
        <v>9.0673575129533682E-2</v>
      </c>
      <c r="AR11" s="1">
        <f t="shared" si="17"/>
        <v>1.0688836104513063E-2</v>
      </c>
      <c r="AS11" s="1">
        <f t="shared" si="18"/>
        <v>9.7532314923619273E-2</v>
      </c>
      <c r="AT11" s="1">
        <f t="shared" si="19"/>
        <v>4.17558886509636E-2</v>
      </c>
      <c r="AU11" s="1">
        <f t="shared" si="20"/>
        <v>4.2137718396711203E-2</v>
      </c>
      <c r="AV11" s="1">
        <f t="shared" si="21"/>
        <v>-7.0019723865877709E-2</v>
      </c>
      <c r="AW11" s="12">
        <f t="shared" si="22"/>
        <v>3.5461434889910513E-2</v>
      </c>
      <c r="AX11" s="12">
        <f t="shared" si="23"/>
        <v>4.1946803523837402E-2</v>
      </c>
      <c r="AY11" s="1">
        <f t="shared" si="24"/>
        <v>70</v>
      </c>
      <c r="AZ11" s="1">
        <f t="shared" si="25"/>
        <v>9</v>
      </c>
      <c r="BA11" s="1">
        <f t="shared" si="26"/>
        <v>83</v>
      </c>
      <c r="BB11" s="1">
        <f t="shared" si="27"/>
        <v>39</v>
      </c>
      <c r="BC11" s="1">
        <f t="shared" si="28"/>
        <v>41</v>
      </c>
      <c r="BD11" s="1">
        <f t="shared" si="29"/>
        <v>-71</v>
      </c>
      <c r="BE11" s="19">
        <f t="shared" si="30"/>
        <v>28.5</v>
      </c>
      <c r="BF11" s="19">
        <f t="shared" si="31"/>
        <v>40</v>
      </c>
      <c r="BG11" s="9">
        <f t="shared" si="32"/>
        <v>-3.0599755201958383E-2</v>
      </c>
      <c r="BH11" s="9">
        <f t="shared" si="33"/>
        <v>0.10227272727272728</v>
      </c>
      <c r="BI11" s="9">
        <f t="shared" si="34"/>
        <v>5.3837342497136315E-2</v>
      </c>
      <c r="BJ11" s="9">
        <f t="shared" si="35"/>
        <v>1.3043478260869565E-2</v>
      </c>
      <c r="BK11" s="9">
        <f t="shared" si="36"/>
        <v>9.8712446351931327E-2</v>
      </c>
      <c r="BL11" s="9">
        <f t="shared" si="37"/>
        <v>-2.83203125E-2</v>
      </c>
      <c r="BM11" s="12">
        <f t="shared" si="38"/>
        <v>3.4824321113451018E-2</v>
      </c>
      <c r="BN11" s="13">
        <f t="shared" si="39"/>
        <v>3.3440410379002937E-2</v>
      </c>
      <c r="BO11" s="1">
        <f t="shared" si="40"/>
        <v>-25</v>
      </c>
      <c r="BP11" s="1">
        <f t="shared" si="41"/>
        <v>81</v>
      </c>
      <c r="BQ11" s="1">
        <f t="shared" si="42"/>
        <v>47</v>
      </c>
      <c r="BR11" s="1">
        <f t="shared" si="43"/>
        <v>12</v>
      </c>
      <c r="BS11" s="1">
        <f t="shared" si="44"/>
        <v>92</v>
      </c>
      <c r="BT11" s="1">
        <f t="shared" si="45"/>
        <v>-29</v>
      </c>
      <c r="BU11" s="19">
        <f t="shared" si="46"/>
        <v>29.666666666666668</v>
      </c>
      <c r="BV11" s="17">
        <f t="shared" si="47"/>
        <v>29.5</v>
      </c>
    </row>
    <row r="12" spans="1:74" x14ac:dyDescent="0.25">
      <c r="A12" s="20">
        <v>23</v>
      </c>
      <c r="B12" s="1" t="str">
        <f>_xlfn.XLOOKUP(Tabla10[[#This Row],[prov_res]],Hoja1!$A$34:$A$60,Hoja1!$B$34:$B$60,"",0)</f>
        <v>Santo Domingo de los Tsáchilas</v>
      </c>
      <c r="C12" s="1">
        <v>1348</v>
      </c>
      <c r="D12" s="1">
        <v>1385</v>
      </c>
      <c r="E12" s="1">
        <v>1514</v>
      </c>
      <c r="F12" s="1">
        <v>1722</v>
      </c>
      <c r="G12" s="1">
        <v>1758</v>
      </c>
      <c r="H12" s="1">
        <v>1762</v>
      </c>
      <c r="I12" s="1">
        <v>1746</v>
      </c>
      <c r="J12" s="1">
        <f>+SUM(Tabla10[[#This Row],[2017]:[2023]])</f>
        <v>11235</v>
      </c>
      <c r="K12" s="1">
        <f>+AVERAGE(Tabla10[[#This Row],[2017]:[suma]])</f>
        <v>2808.75</v>
      </c>
      <c r="L12" s="1">
        <f>+MEDIAN(Tabla10[[#This Row],[2017]:[suma]])</f>
        <v>1734</v>
      </c>
      <c r="M12" s="1">
        <v>700</v>
      </c>
      <c r="N12" s="1">
        <v>734</v>
      </c>
      <c r="O12" s="1">
        <v>835</v>
      </c>
      <c r="P12" s="1">
        <v>946</v>
      </c>
      <c r="Q12" s="1">
        <v>982</v>
      </c>
      <c r="R12" s="1">
        <v>908</v>
      </c>
      <c r="S12" s="1">
        <v>909</v>
      </c>
      <c r="T12" s="1">
        <v>648</v>
      </c>
      <c r="U12" s="1">
        <v>651</v>
      </c>
      <c r="V12" s="1">
        <v>679</v>
      </c>
      <c r="W12" s="1">
        <v>776</v>
      </c>
      <c r="X12" s="1">
        <v>776</v>
      </c>
      <c r="Y12" s="1">
        <v>854</v>
      </c>
      <c r="Z12" s="1">
        <v>837</v>
      </c>
      <c r="AA12" s="8">
        <f t="shared" si="0"/>
        <v>2.7448071216617211E-2</v>
      </c>
      <c r="AB12" s="8">
        <f t="shared" si="1"/>
        <v>9.314079422382672E-2</v>
      </c>
      <c r="AC12" s="8">
        <f t="shared" si="2"/>
        <v>0.13738441215323646</v>
      </c>
      <c r="AD12" s="8">
        <f t="shared" si="3"/>
        <v>2.0905923344947737E-2</v>
      </c>
      <c r="AE12" s="8">
        <f t="shared" si="4"/>
        <v>2.2753128555176336E-3</v>
      </c>
      <c r="AF12" s="8">
        <f t="shared" si="5"/>
        <v>-9.0805902383654935E-3</v>
      </c>
      <c r="AG12" s="12">
        <f t="shared" si="6"/>
        <v>4.5345653925963375E-2</v>
      </c>
      <c r="AH12" s="12">
        <f t="shared" si="7"/>
        <v>2.4176997280782472E-2</v>
      </c>
      <c r="AI12" s="1">
        <f t="shared" si="8"/>
        <v>37</v>
      </c>
      <c r="AJ12" s="1">
        <f t="shared" si="9"/>
        <v>129</v>
      </c>
      <c r="AK12" s="1">
        <f t="shared" si="10"/>
        <v>208</v>
      </c>
      <c r="AL12" s="1">
        <f t="shared" si="11"/>
        <v>36</v>
      </c>
      <c r="AM12" s="1">
        <f t="shared" si="12"/>
        <v>4</v>
      </c>
      <c r="AN12" s="1">
        <f t="shared" si="13"/>
        <v>-16</v>
      </c>
      <c r="AO12" s="17">
        <f t="shared" si="14"/>
        <v>66.333333333333329</v>
      </c>
      <c r="AP12" s="17">
        <f t="shared" si="15"/>
        <v>36.5</v>
      </c>
      <c r="AQ12" s="1">
        <f t="shared" si="16"/>
        <v>4.8571428571428571E-2</v>
      </c>
      <c r="AR12" s="1">
        <f t="shared" si="17"/>
        <v>0.13760217983651227</v>
      </c>
      <c r="AS12" s="1">
        <f t="shared" si="18"/>
        <v>0.13293413173652693</v>
      </c>
      <c r="AT12" s="1">
        <f t="shared" si="19"/>
        <v>3.8054968287526428E-2</v>
      </c>
      <c r="AU12" s="1">
        <f t="shared" si="20"/>
        <v>-7.5356415478615074E-2</v>
      </c>
      <c r="AV12" s="1">
        <f t="shared" si="21"/>
        <v>1.1013215859030838E-3</v>
      </c>
      <c r="AW12" s="12">
        <f t="shared" si="22"/>
        <v>4.715126908988037E-2</v>
      </c>
      <c r="AX12" s="12">
        <f t="shared" si="23"/>
        <v>4.3313198429477499E-2</v>
      </c>
      <c r="AY12" s="1">
        <f t="shared" si="24"/>
        <v>34</v>
      </c>
      <c r="AZ12" s="1">
        <f t="shared" si="25"/>
        <v>101</v>
      </c>
      <c r="BA12" s="1">
        <f t="shared" si="26"/>
        <v>111</v>
      </c>
      <c r="BB12" s="1">
        <f t="shared" si="27"/>
        <v>36</v>
      </c>
      <c r="BC12" s="1">
        <f t="shared" si="28"/>
        <v>-74</v>
      </c>
      <c r="BD12" s="1">
        <f t="shared" si="29"/>
        <v>1</v>
      </c>
      <c r="BE12" s="19">
        <f t="shared" si="30"/>
        <v>34.833333333333336</v>
      </c>
      <c r="BF12" s="19">
        <f t="shared" si="31"/>
        <v>35</v>
      </c>
      <c r="BG12" s="9">
        <f t="shared" si="32"/>
        <v>4.6296296296296294E-3</v>
      </c>
      <c r="BH12" s="9">
        <f t="shared" si="33"/>
        <v>4.3010752688172046E-2</v>
      </c>
      <c r="BI12" s="9">
        <f t="shared" si="34"/>
        <v>0.14285714285714285</v>
      </c>
      <c r="BJ12" s="9">
        <f t="shared" si="35"/>
        <v>0</v>
      </c>
      <c r="BK12" s="9">
        <f t="shared" si="36"/>
        <v>0.10051546391752578</v>
      </c>
      <c r="BL12" s="9">
        <f t="shared" si="37"/>
        <v>-1.9906323185011711E-2</v>
      </c>
      <c r="BM12" s="12">
        <f t="shared" si="38"/>
        <v>4.5184444317909765E-2</v>
      </c>
      <c r="BN12" s="13">
        <f t="shared" si="39"/>
        <v>2.3820191158900838E-2</v>
      </c>
      <c r="BO12" s="1">
        <f t="shared" si="40"/>
        <v>3</v>
      </c>
      <c r="BP12" s="1">
        <f t="shared" si="41"/>
        <v>28</v>
      </c>
      <c r="BQ12" s="1">
        <f t="shared" si="42"/>
        <v>97</v>
      </c>
      <c r="BR12" s="1">
        <f t="shared" si="43"/>
        <v>0</v>
      </c>
      <c r="BS12" s="1">
        <f t="shared" si="44"/>
        <v>78</v>
      </c>
      <c r="BT12" s="1">
        <f t="shared" si="45"/>
        <v>-17</v>
      </c>
      <c r="BU12" s="19">
        <f t="shared" si="46"/>
        <v>31.5</v>
      </c>
      <c r="BV12" s="17">
        <f t="shared" si="47"/>
        <v>15.5</v>
      </c>
    </row>
    <row r="13" spans="1:74" x14ac:dyDescent="0.25">
      <c r="A13" s="20">
        <v>5</v>
      </c>
      <c r="B13" s="1" t="str">
        <f>_xlfn.XLOOKUP(Tabla10[[#This Row],[prov_res]],Hoja1!$A$34:$A$60,Hoja1!$B$34:$B$60,"",0)</f>
        <v>Chimborazo</v>
      </c>
      <c r="C13" s="1">
        <v>1182</v>
      </c>
      <c r="D13" s="1">
        <v>1418</v>
      </c>
      <c r="E13" s="1">
        <v>1490</v>
      </c>
      <c r="F13" s="1">
        <v>1680</v>
      </c>
      <c r="G13" s="1">
        <v>1865</v>
      </c>
      <c r="H13" s="1">
        <v>1764</v>
      </c>
      <c r="I13" s="1">
        <v>1666</v>
      </c>
      <c r="J13" s="1">
        <f>+SUM(Tabla10[[#This Row],[2017]:[2023]])</f>
        <v>11065</v>
      </c>
      <c r="K13" s="1">
        <f>+AVERAGE(Tabla10[[#This Row],[2017]:[suma]])</f>
        <v>2766.25</v>
      </c>
      <c r="L13" s="1">
        <f>+MEDIAN(Tabla10[[#This Row],[2017]:[suma]])</f>
        <v>1673</v>
      </c>
      <c r="M13" s="1">
        <v>615</v>
      </c>
      <c r="N13" s="1">
        <v>725</v>
      </c>
      <c r="O13" s="1">
        <v>755</v>
      </c>
      <c r="P13" s="1">
        <v>874</v>
      </c>
      <c r="Q13" s="1">
        <v>927</v>
      </c>
      <c r="R13" s="1">
        <v>881</v>
      </c>
      <c r="S13" s="1">
        <v>847</v>
      </c>
      <c r="T13" s="1">
        <v>567</v>
      </c>
      <c r="U13" s="1">
        <v>693</v>
      </c>
      <c r="V13" s="1">
        <v>735</v>
      </c>
      <c r="W13" s="1">
        <v>806</v>
      </c>
      <c r="X13" s="1">
        <v>938</v>
      </c>
      <c r="Y13" s="1">
        <v>883</v>
      </c>
      <c r="Z13" s="1">
        <v>819</v>
      </c>
      <c r="AA13" s="8">
        <f t="shared" si="0"/>
        <v>0.19966159052453469</v>
      </c>
      <c r="AB13" s="8">
        <f t="shared" si="1"/>
        <v>5.0775740479548657E-2</v>
      </c>
      <c r="AC13" s="8">
        <f t="shared" si="2"/>
        <v>0.12751677852348994</v>
      </c>
      <c r="AD13" s="8">
        <f t="shared" si="3"/>
        <v>0.11011904761904762</v>
      </c>
      <c r="AE13" s="8">
        <f t="shared" si="4"/>
        <v>-5.4155495978552279E-2</v>
      </c>
      <c r="AF13" s="8">
        <f t="shared" si="5"/>
        <v>-5.5555555555555552E-2</v>
      </c>
      <c r="AG13" s="12">
        <f t="shared" si="6"/>
        <v>6.3060350935418841E-2</v>
      </c>
      <c r="AH13" s="12">
        <f t="shared" si="7"/>
        <v>8.044739404929814E-2</v>
      </c>
      <c r="AI13" s="1">
        <f t="shared" si="8"/>
        <v>236</v>
      </c>
      <c r="AJ13" s="1">
        <f t="shared" si="9"/>
        <v>72</v>
      </c>
      <c r="AK13" s="1">
        <f t="shared" si="10"/>
        <v>190</v>
      </c>
      <c r="AL13" s="1">
        <f t="shared" si="11"/>
        <v>185</v>
      </c>
      <c r="AM13" s="1">
        <f t="shared" si="12"/>
        <v>-101</v>
      </c>
      <c r="AN13" s="1">
        <f t="shared" si="13"/>
        <v>-98</v>
      </c>
      <c r="AO13" s="17">
        <f t="shared" si="14"/>
        <v>80.666666666666671</v>
      </c>
      <c r="AP13" s="17">
        <f t="shared" si="15"/>
        <v>128.5</v>
      </c>
      <c r="AQ13" s="1">
        <f t="shared" si="16"/>
        <v>0.17886178861788618</v>
      </c>
      <c r="AR13" s="1">
        <f t="shared" si="17"/>
        <v>4.1379310344827586E-2</v>
      </c>
      <c r="AS13" s="1">
        <f t="shared" si="18"/>
        <v>0.15761589403973511</v>
      </c>
      <c r="AT13" s="1">
        <f t="shared" si="19"/>
        <v>6.0640732265446223E-2</v>
      </c>
      <c r="AU13" s="1">
        <f t="shared" si="20"/>
        <v>-4.9622437971952538E-2</v>
      </c>
      <c r="AV13" s="1">
        <f t="shared" si="21"/>
        <v>-3.8592508513053347E-2</v>
      </c>
      <c r="AW13" s="12">
        <f t="shared" si="22"/>
        <v>5.8380463130481536E-2</v>
      </c>
      <c r="AX13" s="12">
        <f t="shared" si="23"/>
        <v>5.1010021305136904E-2</v>
      </c>
      <c r="AY13" s="1">
        <f t="shared" si="24"/>
        <v>110</v>
      </c>
      <c r="AZ13" s="1">
        <f t="shared" si="25"/>
        <v>30</v>
      </c>
      <c r="BA13" s="1">
        <f t="shared" si="26"/>
        <v>119</v>
      </c>
      <c r="BB13" s="1">
        <f t="shared" si="27"/>
        <v>53</v>
      </c>
      <c r="BC13" s="1">
        <f t="shared" si="28"/>
        <v>-46</v>
      </c>
      <c r="BD13" s="1">
        <f t="shared" si="29"/>
        <v>-34</v>
      </c>
      <c r="BE13" s="19">
        <f t="shared" si="30"/>
        <v>38.666666666666664</v>
      </c>
      <c r="BF13" s="19">
        <f t="shared" si="31"/>
        <v>41.5</v>
      </c>
      <c r="BG13" s="9">
        <f t="shared" si="32"/>
        <v>0.22222222222222221</v>
      </c>
      <c r="BH13" s="9">
        <f t="shared" si="33"/>
        <v>6.0606060606060608E-2</v>
      </c>
      <c r="BI13" s="9">
        <f t="shared" si="34"/>
        <v>9.6598639455782315E-2</v>
      </c>
      <c r="BJ13" s="9">
        <f t="shared" si="35"/>
        <v>0.16377171215880892</v>
      </c>
      <c r="BK13" s="9">
        <f t="shared" si="36"/>
        <v>-5.8635394456289978E-2</v>
      </c>
      <c r="BL13" s="9">
        <f t="shared" si="37"/>
        <v>-7.2480181200453006E-2</v>
      </c>
      <c r="BM13" s="12">
        <f t="shared" si="38"/>
        <v>6.8680509797688513E-2</v>
      </c>
      <c r="BN13" s="13">
        <f t="shared" si="39"/>
        <v>7.8602350030921461E-2</v>
      </c>
      <c r="BO13" s="1">
        <f t="shared" si="40"/>
        <v>126</v>
      </c>
      <c r="BP13" s="1">
        <f t="shared" si="41"/>
        <v>42</v>
      </c>
      <c r="BQ13" s="1">
        <f t="shared" si="42"/>
        <v>71</v>
      </c>
      <c r="BR13" s="1">
        <f t="shared" si="43"/>
        <v>132</v>
      </c>
      <c r="BS13" s="1">
        <f t="shared" si="44"/>
        <v>-55</v>
      </c>
      <c r="BT13" s="1">
        <f t="shared" si="45"/>
        <v>-64</v>
      </c>
      <c r="BU13" s="19">
        <f t="shared" si="46"/>
        <v>42</v>
      </c>
      <c r="BV13" s="17">
        <f t="shared" si="47"/>
        <v>56.5</v>
      </c>
    </row>
    <row r="14" spans="1:74" x14ac:dyDescent="0.25">
      <c r="A14" s="20">
        <v>8</v>
      </c>
      <c r="B14" s="1" t="str">
        <f>_xlfn.XLOOKUP(Tabla10[[#This Row],[prov_res]],Hoja1!$A$34:$A$60,Hoja1!$B$34:$B$60,"",0)</f>
        <v>Esmeraldas</v>
      </c>
      <c r="C14" s="1">
        <v>956</v>
      </c>
      <c r="D14" s="1">
        <v>1157</v>
      </c>
      <c r="E14" s="1">
        <v>1353</v>
      </c>
      <c r="F14" s="1">
        <v>1511</v>
      </c>
      <c r="G14" s="1">
        <v>1683</v>
      </c>
      <c r="H14" s="1">
        <v>1581</v>
      </c>
      <c r="I14" s="1">
        <v>1590</v>
      </c>
      <c r="J14" s="1">
        <f>+SUM(Tabla10[[#This Row],[2017]:[2023]])</f>
        <v>9831</v>
      </c>
      <c r="K14" s="1">
        <f>+AVERAGE(Tabla10[[#This Row],[2017]:[suma]])</f>
        <v>2457.75</v>
      </c>
      <c r="L14" s="1">
        <f>+MEDIAN(Tabla10[[#This Row],[2017]:[suma]])</f>
        <v>1546</v>
      </c>
      <c r="M14" s="1">
        <v>488</v>
      </c>
      <c r="N14" s="1">
        <v>611</v>
      </c>
      <c r="O14" s="1">
        <v>714</v>
      </c>
      <c r="P14" s="1">
        <v>815</v>
      </c>
      <c r="Q14" s="1">
        <v>909</v>
      </c>
      <c r="R14" s="1">
        <v>838</v>
      </c>
      <c r="S14" s="1">
        <v>885</v>
      </c>
      <c r="T14" s="1">
        <v>468</v>
      </c>
      <c r="U14" s="1">
        <v>546</v>
      </c>
      <c r="V14" s="1">
        <v>639</v>
      </c>
      <c r="W14" s="1">
        <v>696</v>
      </c>
      <c r="X14" s="1">
        <v>774</v>
      </c>
      <c r="Y14" s="1">
        <v>743</v>
      </c>
      <c r="Z14" s="1">
        <v>705</v>
      </c>
      <c r="AA14" s="8">
        <f t="shared" si="0"/>
        <v>0.21025104602510461</v>
      </c>
      <c r="AB14" s="8">
        <f t="shared" si="1"/>
        <v>0.16940363007778739</v>
      </c>
      <c r="AC14" s="8">
        <f t="shared" si="2"/>
        <v>0.11677753141167775</v>
      </c>
      <c r="AD14" s="8">
        <f t="shared" si="3"/>
        <v>0.11383189940436797</v>
      </c>
      <c r="AE14" s="8">
        <f t="shared" si="4"/>
        <v>-6.0606060606060608E-2</v>
      </c>
      <c r="AF14" s="8">
        <f t="shared" si="5"/>
        <v>5.6925996204933585E-3</v>
      </c>
      <c r="AG14" s="12">
        <f t="shared" si="6"/>
        <v>9.2558440988895083E-2</v>
      </c>
      <c r="AH14" s="12">
        <f t="shared" si="7"/>
        <v>0.11530471540802287</v>
      </c>
      <c r="AI14" s="1">
        <f t="shared" si="8"/>
        <v>201</v>
      </c>
      <c r="AJ14" s="1">
        <f t="shared" si="9"/>
        <v>196</v>
      </c>
      <c r="AK14" s="1">
        <f t="shared" si="10"/>
        <v>158</v>
      </c>
      <c r="AL14" s="1">
        <f t="shared" si="11"/>
        <v>172</v>
      </c>
      <c r="AM14" s="1">
        <f t="shared" si="12"/>
        <v>-102</v>
      </c>
      <c r="AN14" s="1">
        <f t="shared" si="13"/>
        <v>9</v>
      </c>
      <c r="AO14" s="17">
        <f t="shared" si="14"/>
        <v>105.66666666666667</v>
      </c>
      <c r="AP14" s="17">
        <f t="shared" si="15"/>
        <v>165</v>
      </c>
      <c r="AQ14" s="1">
        <f t="shared" si="16"/>
        <v>0.25204918032786883</v>
      </c>
      <c r="AR14" s="1">
        <f t="shared" si="17"/>
        <v>0.16857610474631751</v>
      </c>
      <c r="AS14" s="1">
        <f t="shared" si="18"/>
        <v>0.14145658263305322</v>
      </c>
      <c r="AT14" s="1">
        <f t="shared" si="19"/>
        <v>0.11533742331288344</v>
      </c>
      <c r="AU14" s="1">
        <f t="shared" si="20"/>
        <v>-7.8107810781078105E-2</v>
      </c>
      <c r="AV14" s="1">
        <f t="shared" si="21"/>
        <v>5.6085918854415273E-2</v>
      </c>
      <c r="AW14" s="12">
        <f t="shared" si="22"/>
        <v>0.10923289984891003</v>
      </c>
      <c r="AX14" s="12">
        <f t="shared" si="23"/>
        <v>0.12839700297296833</v>
      </c>
      <c r="AY14" s="1">
        <f t="shared" si="24"/>
        <v>123</v>
      </c>
      <c r="AZ14" s="1">
        <f t="shared" si="25"/>
        <v>103</v>
      </c>
      <c r="BA14" s="1">
        <f t="shared" si="26"/>
        <v>101</v>
      </c>
      <c r="BB14" s="1">
        <f t="shared" si="27"/>
        <v>94</v>
      </c>
      <c r="BC14" s="1">
        <f t="shared" si="28"/>
        <v>-71</v>
      </c>
      <c r="BD14" s="1">
        <f t="shared" si="29"/>
        <v>47</v>
      </c>
      <c r="BE14" s="19">
        <f t="shared" si="30"/>
        <v>66.166666666666671</v>
      </c>
      <c r="BF14" s="19">
        <f t="shared" si="31"/>
        <v>97.5</v>
      </c>
      <c r="BG14" s="9">
        <f t="shared" si="32"/>
        <v>0.16666666666666666</v>
      </c>
      <c r="BH14" s="9">
        <f t="shared" si="33"/>
        <v>0.17032967032967034</v>
      </c>
      <c r="BI14" s="9">
        <f t="shared" si="34"/>
        <v>8.9201877934272297E-2</v>
      </c>
      <c r="BJ14" s="9">
        <f t="shared" si="35"/>
        <v>0.11206896551724138</v>
      </c>
      <c r="BK14" s="9">
        <f t="shared" si="36"/>
        <v>-4.0051679586563305E-2</v>
      </c>
      <c r="BL14" s="9">
        <f t="shared" si="37"/>
        <v>-5.1144010767160158E-2</v>
      </c>
      <c r="BM14" s="12">
        <f t="shared" si="38"/>
        <v>7.451191501568788E-2</v>
      </c>
      <c r="BN14" s="13">
        <f t="shared" si="39"/>
        <v>0.10063542172575685</v>
      </c>
      <c r="BO14" s="1">
        <f t="shared" si="40"/>
        <v>78</v>
      </c>
      <c r="BP14" s="1">
        <f t="shared" si="41"/>
        <v>93</v>
      </c>
      <c r="BQ14" s="1">
        <f t="shared" si="42"/>
        <v>57</v>
      </c>
      <c r="BR14" s="1">
        <f t="shared" si="43"/>
        <v>78</v>
      </c>
      <c r="BS14" s="1">
        <f t="shared" si="44"/>
        <v>-31</v>
      </c>
      <c r="BT14" s="1">
        <f t="shared" si="45"/>
        <v>-38</v>
      </c>
      <c r="BU14" s="19">
        <f t="shared" si="46"/>
        <v>39.5</v>
      </c>
      <c r="BV14" s="17">
        <f t="shared" si="47"/>
        <v>67.5</v>
      </c>
    </row>
    <row r="15" spans="1:74" x14ac:dyDescent="0.25">
      <c r="A15" s="20">
        <v>24</v>
      </c>
      <c r="B15" s="1" t="str">
        <f>_xlfn.XLOOKUP(Tabla10[[#This Row],[prov_res]],Hoja1!$A$34:$A$60,Hoja1!$B$34:$B$60,"",0)</f>
        <v>Santa Elena</v>
      </c>
      <c r="C15" s="1">
        <v>1022</v>
      </c>
      <c r="D15" s="1">
        <v>1079</v>
      </c>
      <c r="E15" s="1">
        <v>1097</v>
      </c>
      <c r="F15" s="1">
        <v>1930</v>
      </c>
      <c r="G15" s="1">
        <v>1242</v>
      </c>
      <c r="H15" s="1">
        <v>1346</v>
      </c>
      <c r="I15" s="1">
        <v>1276</v>
      </c>
      <c r="J15" s="1">
        <f>+SUM(Tabla10[[#This Row],[2017]:[2023]])</f>
        <v>8992</v>
      </c>
      <c r="K15" s="1">
        <f>+AVERAGE(Tabla10[[#This Row],[2017]:[suma]])</f>
        <v>2248</v>
      </c>
      <c r="L15" s="1">
        <f>+MEDIAN(Tabla10[[#This Row],[2017]:[suma]])</f>
        <v>1259</v>
      </c>
      <c r="M15" s="1">
        <v>527</v>
      </c>
      <c r="N15" s="1">
        <v>556</v>
      </c>
      <c r="O15" s="1">
        <v>609</v>
      </c>
      <c r="P15" s="1">
        <v>1174</v>
      </c>
      <c r="Q15" s="1">
        <v>678</v>
      </c>
      <c r="R15" s="1">
        <v>708</v>
      </c>
      <c r="S15" s="1">
        <v>683</v>
      </c>
      <c r="T15" s="1">
        <v>495</v>
      </c>
      <c r="U15" s="1">
        <v>523</v>
      </c>
      <c r="V15" s="1">
        <v>488</v>
      </c>
      <c r="W15" s="1">
        <v>756</v>
      </c>
      <c r="X15" s="1">
        <v>564</v>
      </c>
      <c r="Y15" s="1">
        <v>638</v>
      </c>
      <c r="Z15" s="1">
        <v>593</v>
      </c>
      <c r="AA15" s="8">
        <f t="shared" si="0"/>
        <v>5.577299412915851E-2</v>
      </c>
      <c r="AB15" s="8">
        <f t="shared" si="1"/>
        <v>1.6682113067655237E-2</v>
      </c>
      <c r="AC15" s="8">
        <f t="shared" si="2"/>
        <v>0.75934366453965363</v>
      </c>
      <c r="AD15" s="8">
        <f t="shared" si="3"/>
        <v>-0.35647668393782384</v>
      </c>
      <c r="AE15" s="8">
        <f t="shared" si="4"/>
        <v>8.3735909822866342E-2</v>
      </c>
      <c r="AF15" s="8">
        <f t="shared" si="5"/>
        <v>-5.2005943536404163E-2</v>
      </c>
      <c r="AG15" s="12">
        <f t="shared" si="6"/>
        <v>8.4508675680850964E-2</v>
      </c>
      <c r="AH15" s="12">
        <f t="shared" si="7"/>
        <v>3.6227553598406875E-2</v>
      </c>
      <c r="AI15" s="1">
        <f t="shared" si="8"/>
        <v>57</v>
      </c>
      <c r="AJ15" s="1">
        <f t="shared" si="9"/>
        <v>18</v>
      </c>
      <c r="AK15" s="1">
        <f t="shared" si="10"/>
        <v>833</v>
      </c>
      <c r="AL15" s="1">
        <f t="shared" si="11"/>
        <v>-688</v>
      </c>
      <c r="AM15" s="1">
        <f t="shared" si="12"/>
        <v>104</v>
      </c>
      <c r="AN15" s="1">
        <f t="shared" si="13"/>
        <v>-70</v>
      </c>
      <c r="AO15" s="17">
        <f t="shared" si="14"/>
        <v>42.333333333333336</v>
      </c>
      <c r="AP15" s="17">
        <f t="shared" si="15"/>
        <v>37.5</v>
      </c>
      <c r="AQ15" s="1">
        <f t="shared" si="16"/>
        <v>5.5028462998102469E-2</v>
      </c>
      <c r="AR15" s="1">
        <f t="shared" si="17"/>
        <v>9.5323741007194249E-2</v>
      </c>
      <c r="AS15" s="1">
        <f t="shared" si="18"/>
        <v>0.92775041050903118</v>
      </c>
      <c r="AT15" s="1">
        <f t="shared" si="19"/>
        <v>-0.42248722316865417</v>
      </c>
      <c r="AU15" s="1">
        <f t="shared" si="20"/>
        <v>4.4247787610619468E-2</v>
      </c>
      <c r="AV15" s="1">
        <f t="shared" si="21"/>
        <v>-3.5310734463276837E-2</v>
      </c>
      <c r="AW15" s="12">
        <f t="shared" si="22"/>
        <v>0.11075874074883607</v>
      </c>
      <c r="AX15" s="12">
        <f t="shared" si="23"/>
        <v>4.9638125304360972E-2</v>
      </c>
      <c r="AY15" s="1">
        <f t="shared" si="24"/>
        <v>29</v>
      </c>
      <c r="AZ15" s="1">
        <f t="shared" si="25"/>
        <v>53</v>
      </c>
      <c r="BA15" s="1">
        <f t="shared" si="26"/>
        <v>565</v>
      </c>
      <c r="BB15" s="1">
        <f t="shared" si="27"/>
        <v>-496</v>
      </c>
      <c r="BC15" s="1">
        <f t="shared" si="28"/>
        <v>30</v>
      </c>
      <c r="BD15" s="1">
        <f t="shared" si="29"/>
        <v>-25</v>
      </c>
      <c r="BE15" s="19">
        <f t="shared" si="30"/>
        <v>26</v>
      </c>
      <c r="BF15" s="19">
        <f t="shared" si="31"/>
        <v>29.5</v>
      </c>
      <c r="BG15" s="9">
        <f t="shared" si="32"/>
        <v>5.6565656565656569E-2</v>
      </c>
      <c r="BH15" s="9">
        <f t="shared" si="33"/>
        <v>-6.6921606118546847E-2</v>
      </c>
      <c r="BI15" s="9">
        <f t="shared" si="34"/>
        <v>0.54918032786885251</v>
      </c>
      <c r="BJ15" s="9">
        <f t="shared" si="35"/>
        <v>-0.25396825396825395</v>
      </c>
      <c r="BK15" s="9">
        <f t="shared" si="36"/>
        <v>0.13120567375886524</v>
      </c>
      <c r="BL15" s="9">
        <f t="shared" si="37"/>
        <v>-7.0532915360501561E-2</v>
      </c>
      <c r="BM15" s="12">
        <f t="shared" si="38"/>
        <v>5.7588147124345325E-2</v>
      </c>
      <c r="BN15" s="13">
        <f t="shared" si="39"/>
        <v>-5.1779747764451392E-3</v>
      </c>
      <c r="BO15" s="1">
        <f t="shared" si="40"/>
        <v>28</v>
      </c>
      <c r="BP15" s="1">
        <f t="shared" si="41"/>
        <v>-35</v>
      </c>
      <c r="BQ15" s="1">
        <f t="shared" si="42"/>
        <v>268</v>
      </c>
      <c r="BR15" s="1">
        <f t="shared" si="43"/>
        <v>-192</v>
      </c>
      <c r="BS15" s="1">
        <f t="shared" si="44"/>
        <v>74</v>
      </c>
      <c r="BT15" s="1">
        <f t="shared" si="45"/>
        <v>-45</v>
      </c>
      <c r="BU15" s="19">
        <f t="shared" si="46"/>
        <v>16.333333333333332</v>
      </c>
      <c r="BV15" s="17">
        <f t="shared" si="47"/>
        <v>-3.5</v>
      </c>
    </row>
    <row r="16" spans="1:74" x14ac:dyDescent="0.25">
      <c r="A16" s="20">
        <v>3</v>
      </c>
      <c r="B16" s="1" t="str">
        <f>_xlfn.XLOOKUP(Tabla10[[#This Row],[prov_res]],Hoja1!$A$34:$A$60,Hoja1!$B$34:$B$60,"",0)</f>
        <v>Cañar</v>
      </c>
      <c r="C16" s="1">
        <v>756</v>
      </c>
      <c r="D16" s="1">
        <v>728</v>
      </c>
      <c r="E16" s="1">
        <v>891</v>
      </c>
      <c r="F16" s="1">
        <v>978</v>
      </c>
      <c r="G16" s="1">
        <v>1056</v>
      </c>
      <c r="H16" s="1">
        <v>1001</v>
      </c>
      <c r="I16" s="1">
        <v>1023</v>
      </c>
      <c r="J16" s="1">
        <f>+SUM(Tabla10[[#This Row],[2017]:[2023]])</f>
        <v>6433</v>
      </c>
      <c r="K16" s="1">
        <f>+AVERAGE(Tabla10[[#This Row],[2017]:[suma]])</f>
        <v>1608.25</v>
      </c>
      <c r="L16" s="1">
        <f>+MEDIAN(Tabla10[[#This Row],[2017]:[suma]])</f>
        <v>989.5</v>
      </c>
      <c r="M16" s="1">
        <v>395</v>
      </c>
      <c r="N16" s="1">
        <v>359</v>
      </c>
      <c r="O16" s="1">
        <v>462</v>
      </c>
      <c r="P16" s="1">
        <v>488</v>
      </c>
      <c r="Q16" s="1">
        <v>544</v>
      </c>
      <c r="R16" s="1">
        <v>467</v>
      </c>
      <c r="S16" s="1">
        <v>497</v>
      </c>
      <c r="T16" s="1">
        <v>361</v>
      </c>
      <c r="U16" s="1">
        <v>369</v>
      </c>
      <c r="V16" s="1">
        <v>429</v>
      </c>
      <c r="W16" s="1">
        <v>490</v>
      </c>
      <c r="X16" s="1">
        <v>512</v>
      </c>
      <c r="Y16" s="1">
        <v>534</v>
      </c>
      <c r="Z16" s="1">
        <v>526</v>
      </c>
      <c r="AA16" s="8">
        <f t="shared" si="0"/>
        <v>-3.7037037037037035E-2</v>
      </c>
      <c r="AB16" s="8">
        <f t="shared" si="1"/>
        <v>0.22390109890109891</v>
      </c>
      <c r="AC16" s="8">
        <f t="shared" si="2"/>
        <v>9.7643097643097643E-2</v>
      </c>
      <c r="AD16" s="8">
        <f t="shared" si="3"/>
        <v>7.9754601226993863E-2</v>
      </c>
      <c r="AE16" s="8">
        <f t="shared" si="4"/>
        <v>-5.2083333333333336E-2</v>
      </c>
      <c r="AF16" s="8">
        <f t="shared" si="5"/>
        <v>2.197802197802198E-2</v>
      </c>
      <c r="AG16" s="12">
        <f t="shared" si="6"/>
        <v>5.5692741563140337E-2</v>
      </c>
      <c r="AH16" s="12">
        <f t="shared" si="7"/>
        <v>5.0866311602507916E-2</v>
      </c>
      <c r="AI16" s="1">
        <f t="shared" si="8"/>
        <v>-28</v>
      </c>
      <c r="AJ16" s="1">
        <f t="shared" si="9"/>
        <v>163</v>
      </c>
      <c r="AK16" s="1">
        <f t="shared" si="10"/>
        <v>87</v>
      </c>
      <c r="AL16" s="1">
        <f t="shared" si="11"/>
        <v>78</v>
      </c>
      <c r="AM16" s="1">
        <f t="shared" si="12"/>
        <v>-55</v>
      </c>
      <c r="AN16" s="1">
        <f t="shared" si="13"/>
        <v>22</v>
      </c>
      <c r="AO16" s="17">
        <f t="shared" si="14"/>
        <v>44.5</v>
      </c>
      <c r="AP16" s="17">
        <f t="shared" si="15"/>
        <v>50</v>
      </c>
      <c r="AQ16" s="1">
        <f t="shared" si="16"/>
        <v>-9.1139240506329114E-2</v>
      </c>
      <c r="AR16" s="1">
        <f t="shared" si="17"/>
        <v>0.28690807799442897</v>
      </c>
      <c r="AS16" s="1">
        <f t="shared" si="18"/>
        <v>5.627705627705628E-2</v>
      </c>
      <c r="AT16" s="1">
        <f t="shared" si="19"/>
        <v>0.11475409836065574</v>
      </c>
      <c r="AU16" s="1">
        <f t="shared" si="20"/>
        <v>-0.14154411764705882</v>
      </c>
      <c r="AV16" s="1">
        <f t="shared" si="21"/>
        <v>6.4239828693790149E-2</v>
      </c>
      <c r="AW16" s="12">
        <f t="shared" si="22"/>
        <v>4.8249283862090535E-2</v>
      </c>
      <c r="AX16" s="12">
        <f t="shared" si="23"/>
        <v>6.0258442485423211E-2</v>
      </c>
      <c r="AY16" s="1">
        <f t="shared" si="24"/>
        <v>-36</v>
      </c>
      <c r="AZ16" s="1">
        <f t="shared" si="25"/>
        <v>103</v>
      </c>
      <c r="BA16" s="1">
        <f t="shared" si="26"/>
        <v>26</v>
      </c>
      <c r="BB16" s="1">
        <f t="shared" si="27"/>
        <v>56</v>
      </c>
      <c r="BC16" s="1">
        <f t="shared" si="28"/>
        <v>-77</v>
      </c>
      <c r="BD16" s="1">
        <f t="shared" si="29"/>
        <v>30</v>
      </c>
      <c r="BE16" s="19">
        <f t="shared" si="30"/>
        <v>17</v>
      </c>
      <c r="BF16" s="19">
        <f t="shared" si="31"/>
        <v>28</v>
      </c>
      <c r="BG16" s="9">
        <f t="shared" si="32"/>
        <v>2.2160664819944598E-2</v>
      </c>
      <c r="BH16" s="9">
        <f t="shared" si="33"/>
        <v>0.16260162601626016</v>
      </c>
      <c r="BI16" s="9">
        <f t="shared" si="34"/>
        <v>0.14219114219114218</v>
      </c>
      <c r="BJ16" s="9">
        <f t="shared" si="35"/>
        <v>4.4897959183673466E-2</v>
      </c>
      <c r="BK16" s="9">
        <f t="shared" si="36"/>
        <v>4.296875E-2</v>
      </c>
      <c r="BL16" s="9">
        <f t="shared" si="37"/>
        <v>-1.4981273408239701E-2</v>
      </c>
      <c r="BM16" s="12">
        <f t="shared" si="38"/>
        <v>6.6639811467130119E-2</v>
      </c>
      <c r="BN16" s="13">
        <f t="shared" si="39"/>
        <v>4.3933354591836733E-2</v>
      </c>
      <c r="BO16" s="1">
        <f t="shared" si="40"/>
        <v>8</v>
      </c>
      <c r="BP16" s="1">
        <f t="shared" si="41"/>
        <v>60</v>
      </c>
      <c r="BQ16" s="1">
        <f t="shared" si="42"/>
        <v>61</v>
      </c>
      <c r="BR16" s="1">
        <f t="shared" si="43"/>
        <v>22</v>
      </c>
      <c r="BS16" s="1">
        <f t="shared" si="44"/>
        <v>22</v>
      </c>
      <c r="BT16" s="1">
        <f t="shared" si="45"/>
        <v>-8</v>
      </c>
      <c r="BU16" s="19">
        <f t="shared" si="46"/>
        <v>27.5</v>
      </c>
      <c r="BV16" s="17">
        <f t="shared" si="47"/>
        <v>22</v>
      </c>
    </row>
    <row r="17" spans="1:74" x14ac:dyDescent="0.25">
      <c r="A17" s="20">
        <v>2</v>
      </c>
      <c r="B17" s="1" t="str">
        <f>_xlfn.XLOOKUP(Tabla10[[#This Row],[prov_res]],Hoja1!$A$34:$A$60,Hoja1!$B$34:$B$60,"",0)</f>
        <v>Bolivar</v>
      </c>
      <c r="C17" s="1">
        <v>692</v>
      </c>
      <c r="D17" s="1">
        <v>787</v>
      </c>
      <c r="E17" s="1">
        <v>800</v>
      </c>
      <c r="F17" s="1">
        <v>898</v>
      </c>
      <c r="G17" s="1">
        <v>948</v>
      </c>
      <c r="H17" s="1">
        <v>900</v>
      </c>
      <c r="I17" s="1">
        <v>851</v>
      </c>
      <c r="J17" s="1">
        <f>+SUM(Tabla10[[#This Row],[2017]:[2023]])</f>
        <v>5876</v>
      </c>
      <c r="K17" s="1">
        <f>+AVERAGE(Tabla10[[#This Row],[2017]:[suma]])</f>
        <v>1469</v>
      </c>
      <c r="L17" s="1">
        <f>+MEDIAN(Tabla10[[#This Row],[2017]:[suma]])</f>
        <v>874.5</v>
      </c>
      <c r="M17" s="1">
        <v>367</v>
      </c>
      <c r="N17" s="1">
        <v>413</v>
      </c>
      <c r="O17" s="1">
        <v>402</v>
      </c>
      <c r="P17" s="1">
        <v>467</v>
      </c>
      <c r="Q17" s="1">
        <v>491</v>
      </c>
      <c r="R17" s="1">
        <v>446</v>
      </c>
      <c r="S17" s="1">
        <v>419</v>
      </c>
      <c r="T17" s="1">
        <v>325</v>
      </c>
      <c r="U17" s="1">
        <v>374</v>
      </c>
      <c r="V17" s="1">
        <v>398</v>
      </c>
      <c r="W17" s="1">
        <v>431</v>
      </c>
      <c r="X17" s="1">
        <v>457</v>
      </c>
      <c r="Y17" s="1">
        <v>454</v>
      </c>
      <c r="Z17" s="1">
        <v>432</v>
      </c>
      <c r="AA17" s="8">
        <f t="shared" si="0"/>
        <v>0.13728323699421965</v>
      </c>
      <c r="AB17" s="8">
        <f t="shared" si="1"/>
        <v>1.6518424396442185E-2</v>
      </c>
      <c r="AC17" s="8">
        <f t="shared" si="2"/>
        <v>0.1225</v>
      </c>
      <c r="AD17" s="8">
        <f t="shared" si="3"/>
        <v>5.5679287305122498E-2</v>
      </c>
      <c r="AE17" s="8">
        <f t="shared" si="4"/>
        <v>-5.0632911392405063E-2</v>
      </c>
      <c r="AF17" s="8">
        <f t="shared" si="5"/>
        <v>-5.4444444444444441E-2</v>
      </c>
      <c r="AG17" s="12">
        <f t="shared" si="6"/>
        <v>3.7817265476489136E-2</v>
      </c>
      <c r="AH17" s="12">
        <f t="shared" si="7"/>
        <v>3.6098855850782346E-2</v>
      </c>
      <c r="AI17" s="1">
        <f t="shared" si="8"/>
        <v>95</v>
      </c>
      <c r="AJ17" s="1">
        <f t="shared" si="9"/>
        <v>13</v>
      </c>
      <c r="AK17" s="1">
        <f t="shared" si="10"/>
        <v>98</v>
      </c>
      <c r="AL17" s="1">
        <f t="shared" si="11"/>
        <v>50</v>
      </c>
      <c r="AM17" s="1">
        <f t="shared" si="12"/>
        <v>-48</v>
      </c>
      <c r="AN17" s="1">
        <f t="shared" si="13"/>
        <v>-49</v>
      </c>
      <c r="AO17" s="17">
        <f t="shared" si="14"/>
        <v>26.5</v>
      </c>
      <c r="AP17" s="17">
        <f t="shared" si="15"/>
        <v>31.5</v>
      </c>
      <c r="AQ17" s="1">
        <f t="shared" si="16"/>
        <v>0.12534059945504086</v>
      </c>
      <c r="AR17" s="1">
        <f t="shared" si="17"/>
        <v>-2.6634382566585957E-2</v>
      </c>
      <c r="AS17" s="1">
        <f t="shared" si="18"/>
        <v>0.16169154228855723</v>
      </c>
      <c r="AT17" s="1">
        <f t="shared" si="19"/>
        <v>5.1391862955032119E-2</v>
      </c>
      <c r="AU17" s="1">
        <f t="shared" si="20"/>
        <v>-9.1649694501018328E-2</v>
      </c>
      <c r="AV17" s="1">
        <f t="shared" si="21"/>
        <v>-6.0538116591928252E-2</v>
      </c>
      <c r="AW17" s="12">
        <f t="shared" si="22"/>
        <v>2.660030183984961E-2</v>
      </c>
      <c r="AX17" s="12">
        <f t="shared" si="23"/>
        <v>1.2378740194223081E-2</v>
      </c>
      <c r="AY17" s="1">
        <f t="shared" si="24"/>
        <v>46</v>
      </c>
      <c r="AZ17" s="1">
        <f t="shared" si="25"/>
        <v>-11</v>
      </c>
      <c r="BA17" s="1">
        <f t="shared" si="26"/>
        <v>65</v>
      </c>
      <c r="BB17" s="1">
        <f t="shared" si="27"/>
        <v>24</v>
      </c>
      <c r="BC17" s="1">
        <f t="shared" si="28"/>
        <v>-45</v>
      </c>
      <c r="BD17" s="1">
        <f t="shared" si="29"/>
        <v>-27</v>
      </c>
      <c r="BE17" s="19">
        <f t="shared" si="30"/>
        <v>8.6666666666666661</v>
      </c>
      <c r="BF17" s="19">
        <f t="shared" si="31"/>
        <v>6.5</v>
      </c>
      <c r="BG17" s="9">
        <f t="shared" si="32"/>
        <v>0.15076923076923077</v>
      </c>
      <c r="BH17" s="9">
        <f t="shared" si="33"/>
        <v>6.4171122994652413E-2</v>
      </c>
      <c r="BI17" s="9">
        <f t="shared" si="34"/>
        <v>8.2914572864321606E-2</v>
      </c>
      <c r="BJ17" s="9">
        <f t="shared" si="35"/>
        <v>6.0324825986078884E-2</v>
      </c>
      <c r="BK17" s="9">
        <f t="shared" si="36"/>
        <v>-6.5645514223194746E-3</v>
      </c>
      <c r="BL17" s="9">
        <f t="shared" si="37"/>
        <v>-4.8458149779735685E-2</v>
      </c>
      <c r="BM17" s="12">
        <f t="shared" si="38"/>
        <v>5.0526175235371423E-2</v>
      </c>
      <c r="BN17" s="13">
        <f t="shared" si="39"/>
        <v>6.2247974490365648E-2</v>
      </c>
      <c r="BO17" s="1">
        <f t="shared" si="40"/>
        <v>49</v>
      </c>
      <c r="BP17" s="1">
        <f t="shared" si="41"/>
        <v>24</v>
      </c>
      <c r="BQ17" s="1">
        <f t="shared" si="42"/>
        <v>33</v>
      </c>
      <c r="BR17" s="1">
        <f t="shared" si="43"/>
        <v>26</v>
      </c>
      <c r="BS17" s="1">
        <f t="shared" si="44"/>
        <v>-3</v>
      </c>
      <c r="BT17" s="1">
        <f t="shared" si="45"/>
        <v>-22</v>
      </c>
      <c r="BU17" s="19">
        <f t="shared" si="46"/>
        <v>17.833333333333332</v>
      </c>
      <c r="BV17" s="17">
        <f t="shared" si="47"/>
        <v>25</v>
      </c>
    </row>
    <row r="18" spans="1:74" x14ac:dyDescent="0.25">
      <c r="A18" s="20">
        <v>4</v>
      </c>
      <c r="B18" s="1" t="str">
        <f>_xlfn.XLOOKUP(Tabla10[[#This Row],[prov_res]],Hoja1!$A$34:$A$60,Hoja1!$B$34:$B$60,"",0)</f>
        <v>Carchi</v>
      </c>
      <c r="C18" s="1">
        <v>610</v>
      </c>
      <c r="D18" s="1">
        <v>656</v>
      </c>
      <c r="E18" s="1">
        <v>676</v>
      </c>
      <c r="F18" s="1">
        <v>714</v>
      </c>
      <c r="G18" s="1">
        <v>770</v>
      </c>
      <c r="H18" s="1">
        <v>758</v>
      </c>
      <c r="I18" s="1">
        <v>718</v>
      </c>
      <c r="J18" s="1">
        <f>+SUM(Tabla10[[#This Row],[2017]:[2023]])</f>
        <v>4902</v>
      </c>
      <c r="K18" s="1">
        <f>+AVERAGE(Tabla10[[#This Row],[2017]:[suma]])</f>
        <v>1225.5</v>
      </c>
      <c r="L18" s="1">
        <f>+MEDIAN(Tabla10[[#This Row],[2017]:[suma]])</f>
        <v>716</v>
      </c>
      <c r="M18" s="1">
        <v>320</v>
      </c>
      <c r="N18" s="1">
        <v>326</v>
      </c>
      <c r="O18" s="1">
        <v>360</v>
      </c>
      <c r="P18" s="1">
        <v>338</v>
      </c>
      <c r="Q18" s="1">
        <v>393</v>
      </c>
      <c r="R18" s="1">
        <v>386</v>
      </c>
      <c r="S18" s="1">
        <v>358</v>
      </c>
      <c r="T18" s="1">
        <v>290</v>
      </c>
      <c r="U18" s="1">
        <v>330</v>
      </c>
      <c r="V18" s="1">
        <v>316</v>
      </c>
      <c r="W18" s="1">
        <v>376</v>
      </c>
      <c r="X18" s="1">
        <v>377</v>
      </c>
      <c r="Y18" s="1">
        <v>372</v>
      </c>
      <c r="Z18" s="1">
        <v>360</v>
      </c>
      <c r="AA18" s="8">
        <f t="shared" si="0"/>
        <v>7.5409836065573776E-2</v>
      </c>
      <c r="AB18" s="8">
        <f t="shared" si="1"/>
        <v>3.048780487804878E-2</v>
      </c>
      <c r="AC18" s="8">
        <f t="shared" si="2"/>
        <v>5.6213017751479293E-2</v>
      </c>
      <c r="AD18" s="8">
        <f t="shared" si="3"/>
        <v>7.8431372549019607E-2</v>
      </c>
      <c r="AE18" s="8">
        <f t="shared" si="4"/>
        <v>-1.5584415584415584E-2</v>
      </c>
      <c r="AF18" s="8">
        <f t="shared" si="5"/>
        <v>-5.2770448548812667E-2</v>
      </c>
      <c r="AG18" s="12">
        <f t="shared" si="6"/>
        <v>2.869786118514887E-2</v>
      </c>
      <c r="AH18" s="12">
        <f t="shared" si="7"/>
        <v>4.335041131476404E-2</v>
      </c>
      <c r="AI18" s="1">
        <f t="shared" si="8"/>
        <v>46</v>
      </c>
      <c r="AJ18" s="1">
        <f t="shared" si="9"/>
        <v>20</v>
      </c>
      <c r="AK18" s="1">
        <f t="shared" si="10"/>
        <v>38</v>
      </c>
      <c r="AL18" s="1">
        <f t="shared" si="11"/>
        <v>56</v>
      </c>
      <c r="AM18" s="1">
        <f t="shared" si="12"/>
        <v>-12</v>
      </c>
      <c r="AN18" s="1">
        <f t="shared" si="13"/>
        <v>-40</v>
      </c>
      <c r="AO18" s="17">
        <f t="shared" si="14"/>
        <v>18</v>
      </c>
      <c r="AP18" s="17">
        <f t="shared" si="15"/>
        <v>29</v>
      </c>
      <c r="AQ18" s="1">
        <f t="shared" si="16"/>
        <v>1.8749999999999999E-2</v>
      </c>
      <c r="AR18" s="1">
        <f t="shared" si="17"/>
        <v>0.10429447852760736</v>
      </c>
      <c r="AS18" s="1">
        <f t="shared" si="18"/>
        <v>-6.1111111111111109E-2</v>
      </c>
      <c r="AT18" s="1">
        <f t="shared" si="19"/>
        <v>0.16272189349112426</v>
      </c>
      <c r="AU18" s="1">
        <f t="shared" si="20"/>
        <v>-1.7811704834605598E-2</v>
      </c>
      <c r="AV18" s="1">
        <f t="shared" si="21"/>
        <v>-7.2538860103626937E-2</v>
      </c>
      <c r="AW18" s="12">
        <f t="shared" si="22"/>
        <v>2.2384115994897997E-2</v>
      </c>
      <c r="AX18" s="12">
        <f t="shared" si="23"/>
        <v>4.6914758269719914E-4</v>
      </c>
      <c r="AY18" s="1">
        <f t="shared" si="24"/>
        <v>6</v>
      </c>
      <c r="AZ18" s="1">
        <f t="shared" si="25"/>
        <v>34</v>
      </c>
      <c r="BA18" s="1">
        <f t="shared" si="26"/>
        <v>-22</v>
      </c>
      <c r="BB18" s="1">
        <f t="shared" si="27"/>
        <v>55</v>
      </c>
      <c r="BC18" s="1">
        <f t="shared" si="28"/>
        <v>-7</v>
      </c>
      <c r="BD18" s="1">
        <f t="shared" si="29"/>
        <v>-28</v>
      </c>
      <c r="BE18" s="19">
        <f t="shared" si="30"/>
        <v>6.333333333333333</v>
      </c>
      <c r="BF18" s="19">
        <f t="shared" si="31"/>
        <v>-0.5</v>
      </c>
      <c r="BG18" s="9">
        <f t="shared" si="32"/>
        <v>0.13793103448275862</v>
      </c>
      <c r="BH18" s="9">
        <f t="shared" si="33"/>
        <v>-4.2424242424242427E-2</v>
      </c>
      <c r="BI18" s="9">
        <f t="shared" si="34"/>
        <v>0.189873417721519</v>
      </c>
      <c r="BJ18" s="9">
        <f t="shared" si="35"/>
        <v>2.6595744680851063E-3</v>
      </c>
      <c r="BK18" s="9">
        <f t="shared" si="36"/>
        <v>-1.3262599469496022E-2</v>
      </c>
      <c r="BL18" s="9">
        <f t="shared" si="37"/>
        <v>-3.2258064516129031E-2</v>
      </c>
      <c r="BM18" s="12">
        <f t="shared" si="38"/>
        <v>4.0419853377082544E-2</v>
      </c>
      <c r="BN18" s="13">
        <f t="shared" si="39"/>
        <v>-5.3015125007054575E-3</v>
      </c>
      <c r="BO18" s="1">
        <f t="shared" si="40"/>
        <v>40</v>
      </c>
      <c r="BP18" s="1">
        <f t="shared" si="41"/>
        <v>-14</v>
      </c>
      <c r="BQ18" s="1">
        <f t="shared" si="42"/>
        <v>60</v>
      </c>
      <c r="BR18" s="1">
        <f t="shared" si="43"/>
        <v>1</v>
      </c>
      <c r="BS18" s="1">
        <f t="shared" si="44"/>
        <v>-5</v>
      </c>
      <c r="BT18" s="1">
        <f t="shared" si="45"/>
        <v>-12</v>
      </c>
      <c r="BU18" s="19">
        <f t="shared" si="46"/>
        <v>11.666666666666666</v>
      </c>
      <c r="BV18" s="17">
        <f t="shared" si="47"/>
        <v>-2</v>
      </c>
    </row>
    <row r="19" spans="1:74" x14ac:dyDescent="0.25">
      <c r="A19" s="20">
        <v>21</v>
      </c>
      <c r="B19" s="1" t="str">
        <f>_xlfn.XLOOKUP(Tabla10[[#This Row],[prov_res]],Hoja1!$A$34:$A$60,Hoja1!$B$34:$B$60,"",0)</f>
        <v>Sucumbí­os</v>
      </c>
      <c r="C19" s="1">
        <v>188</v>
      </c>
      <c r="D19" s="1">
        <v>231</v>
      </c>
      <c r="E19" s="1">
        <v>256</v>
      </c>
      <c r="F19" s="1">
        <v>373</v>
      </c>
      <c r="G19" s="1">
        <v>387</v>
      </c>
      <c r="H19" s="1">
        <v>409</v>
      </c>
      <c r="I19" s="1">
        <v>471</v>
      </c>
      <c r="J19" s="1">
        <f>+SUM(Tabla10[[#This Row],[2017]:[2023]])</f>
        <v>2315</v>
      </c>
      <c r="K19" s="1">
        <f>+AVERAGE(Tabla10[[#This Row],[2017]:[suma]])</f>
        <v>578.75</v>
      </c>
      <c r="L19" s="1">
        <f>+MEDIAN(Tabla10[[#This Row],[2017]:[suma]])</f>
        <v>380</v>
      </c>
      <c r="M19" s="1">
        <v>114</v>
      </c>
      <c r="N19" s="1">
        <v>141</v>
      </c>
      <c r="O19" s="1">
        <v>141</v>
      </c>
      <c r="P19" s="1">
        <v>214</v>
      </c>
      <c r="Q19" s="1">
        <v>216</v>
      </c>
      <c r="R19" s="1">
        <v>208</v>
      </c>
      <c r="S19" s="1">
        <v>246</v>
      </c>
      <c r="T19" s="1">
        <v>74</v>
      </c>
      <c r="U19" s="1">
        <v>90</v>
      </c>
      <c r="V19" s="1">
        <v>115</v>
      </c>
      <c r="W19" s="1">
        <v>159</v>
      </c>
      <c r="X19" s="1">
        <v>171</v>
      </c>
      <c r="Y19" s="1">
        <v>201</v>
      </c>
      <c r="Z19" s="1">
        <v>225</v>
      </c>
      <c r="AA19" s="8">
        <f t="shared" si="0"/>
        <v>0.22872340425531915</v>
      </c>
      <c r="AB19" s="8">
        <f t="shared" si="1"/>
        <v>0.10822510822510822</v>
      </c>
      <c r="AC19" s="8">
        <f t="shared" si="2"/>
        <v>0.45703125</v>
      </c>
      <c r="AD19" s="8">
        <f t="shared" si="3"/>
        <v>3.7533512064343161E-2</v>
      </c>
      <c r="AE19" s="8">
        <f t="shared" si="4"/>
        <v>5.6847545219638244E-2</v>
      </c>
      <c r="AF19" s="8">
        <f t="shared" si="5"/>
        <v>0.15158924205378974</v>
      </c>
      <c r="AG19" s="12">
        <f t="shared" si="6"/>
        <v>0.17332501030303307</v>
      </c>
      <c r="AH19" s="12">
        <f t="shared" si="7"/>
        <v>0.12990717513944899</v>
      </c>
      <c r="AI19" s="1">
        <f t="shared" si="8"/>
        <v>43</v>
      </c>
      <c r="AJ19" s="1">
        <f t="shared" si="9"/>
        <v>25</v>
      </c>
      <c r="AK19" s="1">
        <f t="shared" si="10"/>
        <v>117</v>
      </c>
      <c r="AL19" s="1">
        <f t="shared" si="11"/>
        <v>14</v>
      </c>
      <c r="AM19" s="1">
        <f t="shared" si="12"/>
        <v>22</v>
      </c>
      <c r="AN19" s="1">
        <f t="shared" si="13"/>
        <v>62</v>
      </c>
      <c r="AO19" s="17">
        <f t="shared" si="14"/>
        <v>47.166666666666664</v>
      </c>
      <c r="AP19" s="17">
        <f t="shared" si="15"/>
        <v>34</v>
      </c>
      <c r="AQ19" s="1">
        <f t="shared" si="16"/>
        <v>0.23684210526315788</v>
      </c>
      <c r="AR19" s="1">
        <f t="shared" si="17"/>
        <v>0</v>
      </c>
      <c r="AS19" s="1">
        <f t="shared" si="18"/>
        <v>0.51773049645390068</v>
      </c>
      <c r="AT19" s="1">
        <f t="shared" si="19"/>
        <v>9.3457943925233638E-3</v>
      </c>
      <c r="AU19" s="1">
        <f t="shared" si="20"/>
        <v>-3.7037037037037035E-2</v>
      </c>
      <c r="AV19" s="1">
        <f t="shared" si="21"/>
        <v>0.18269230769230768</v>
      </c>
      <c r="AW19" s="12">
        <f t="shared" si="22"/>
        <v>0.15159561112747544</v>
      </c>
      <c r="AX19" s="12">
        <f t="shared" si="23"/>
        <v>9.6019051042415524E-2</v>
      </c>
      <c r="AY19" s="1">
        <f t="shared" si="24"/>
        <v>27</v>
      </c>
      <c r="AZ19" s="1">
        <f t="shared" si="25"/>
        <v>0</v>
      </c>
      <c r="BA19" s="1">
        <f t="shared" si="26"/>
        <v>73</v>
      </c>
      <c r="BB19" s="1">
        <f t="shared" si="27"/>
        <v>2</v>
      </c>
      <c r="BC19" s="1">
        <f t="shared" si="28"/>
        <v>-8</v>
      </c>
      <c r="BD19" s="1">
        <f t="shared" si="29"/>
        <v>38</v>
      </c>
      <c r="BE19" s="19">
        <f t="shared" si="30"/>
        <v>22</v>
      </c>
      <c r="BF19" s="19">
        <f t="shared" si="31"/>
        <v>14.5</v>
      </c>
      <c r="BG19" s="9">
        <f t="shared" si="32"/>
        <v>0.21621621621621623</v>
      </c>
      <c r="BH19" s="9">
        <f t="shared" si="33"/>
        <v>0.27777777777777779</v>
      </c>
      <c r="BI19" s="9">
        <f t="shared" si="34"/>
        <v>0.38260869565217392</v>
      </c>
      <c r="BJ19" s="9">
        <f t="shared" si="35"/>
        <v>7.5471698113207544E-2</v>
      </c>
      <c r="BK19" s="9">
        <f t="shared" si="36"/>
        <v>0.17543859649122806</v>
      </c>
      <c r="BL19" s="9">
        <f t="shared" si="37"/>
        <v>0.11940298507462686</v>
      </c>
      <c r="BM19" s="12">
        <f t="shared" si="38"/>
        <v>0.20781932822087171</v>
      </c>
      <c r="BN19" s="13">
        <f t="shared" si="39"/>
        <v>0.19582740635372214</v>
      </c>
      <c r="BO19" s="1">
        <f t="shared" si="40"/>
        <v>16</v>
      </c>
      <c r="BP19" s="1">
        <f t="shared" si="41"/>
        <v>25</v>
      </c>
      <c r="BQ19" s="1">
        <f t="shared" si="42"/>
        <v>44</v>
      </c>
      <c r="BR19" s="1">
        <f t="shared" si="43"/>
        <v>12</v>
      </c>
      <c r="BS19" s="1">
        <f t="shared" si="44"/>
        <v>30</v>
      </c>
      <c r="BT19" s="1">
        <f t="shared" si="45"/>
        <v>24</v>
      </c>
      <c r="BU19" s="19">
        <f t="shared" si="46"/>
        <v>25.166666666666668</v>
      </c>
      <c r="BV19" s="17">
        <f t="shared" si="47"/>
        <v>24.5</v>
      </c>
    </row>
    <row r="20" spans="1:74" x14ac:dyDescent="0.25">
      <c r="A20" s="20">
        <v>14</v>
      </c>
      <c r="B20" s="1" t="str">
        <f>_xlfn.XLOOKUP(Tabla10[[#This Row],[prov_res]],Hoja1!$A$34:$A$60,Hoja1!$B$34:$B$60,"",0)</f>
        <v>Morona Santiago</v>
      </c>
      <c r="C20" s="1">
        <v>248</v>
      </c>
      <c r="D20" s="1">
        <v>276</v>
      </c>
      <c r="E20" s="1">
        <v>282</v>
      </c>
      <c r="F20" s="1">
        <v>330</v>
      </c>
      <c r="G20" s="1">
        <v>346</v>
      </c>
      <c r="H20" s="1">
        <v>388</v>
      </c>
      <c r="I20" s="1">
        <v>394</v>
      </c>
      <c r="J20" s="1">
        <f>+SUM(Tabla10[[#This Row],[2017]:[2023]])</f>
        <v>2264</v>
      </c>
      <c r="K20" s="1">
        <f>+AVERAGE(Tabla10[[#This Row],[2017]:[suma]])</f>
        <v>566</v>
      </c>
      <c r="L20" s="1">
        <f>+MEDIAN(Tabla10[[#This Row],[2017]:[suma]])</f>
        <v>338</v>
      </c>
      <c r="M20" s="1">
        <v>138</v>
      </c>
      <c r="N20" s="1">
        <v>143</v>
      </c>
      <c r="O20" s="1">
        <v>136</v>
      </c>
      <c r="P20" s="1">
        <v>196</v>
      </c>
      <c r="Q20" s="1">
        <v>179</v>
      </c>
      <c r="R20" s="1">
        <v>220</v>
      </c>
      <c r="S20" s="1">
        <v>207</v>
      </c>
      <c r="T20" s="1">
        <v>110</v>
      </c>
      <c r="U20" s="1">
        <v>133</v>
      </c>
      <c r="V20" s="1">
        <v>146</v>
      </c>
      <c r="W20" s="1">
        <v>134</v>
      </c>
      <c r="X20" s="1">
        <v>167</v>
      </c>
      <c r="Y20" s="1">
        <v>168</v>
      </c>
      <c r="Z20" s="1">
        <v>187</v>
      </c>
      <c r="AA20" s="8">
        <f t="shared" si="0"/>
        <v>0.11290322580645161</v>
      </c>
      <c r="AB20" s="8">
        <f t="shared" si="1"/>
        <v>2.1739130434782608E-2</v>
      </c>
      <c r="AC20" s="8">
        <f t="shared" si="2"/>
        <v>0.1702127659574468</v>
      </c>
      <c r="AD20" s="8">
        <f t="shared" si="3"/>
        <v>4.8484848484848485E-2</v>
      </c>
      <c r="AE20" s="8">
        <f t="shared" si="4"/>
        <v>0.12138728323699421</v>
      </c>
      <c r="AF20" s="8">
        <f t="shared" si="5"/>
        <v>1.5463917525773196E-2</v>
      </c>
      <c r="AG20" s="12">
        <f t="shared" si="6"/>
        <v>8.1698528574382825E-2</v>
      </c>
      <c r="AH20" s="12">
        <f t="shared" si="7"/>
        <v>8.0694037145650044E-2</v>
      </c>
      <c r="AI20" s="1">
        <f t="shared" si="8"/>
        <v>28</v>
      </c>
      <c r="AJ20" s="1">
        <f t="shared" si="9"/>
        <v>6</v>
      </c>
      <c r="AK20" s="1">
        <f t="shared" si="10"/>
        <v>48</v>
      </c>
      <c r="AL20" s="1">
        <f t="shared" si="11"/>
        <v>16</v>
      </c>
      <c r="AM20" s="1">
        <f t="shared" si="12"/>
        <v>42</v>
      </c>
      <c r="AN20" s="1">
        <f t="shared" si="13"/>
        <v>6</v>
      </c>
      <c r="AO20" s="17">
        <f t="shared" si="14"/>
        <v>24.333333333333332</v>
      </c>
      <c r="AP20" s="17">
        <f t="shared" si="15"/>
        <v>22</v>
      </c>
      <c r="AQ20" s="1">
        <f t="shared" si="16"/>
        <v>3.6231884057971016E-2</v>
      </c>
      <c r="AR20" s="1">
        <f t="shared" si="17"/>
        <v>-4.8951048951048952E-2</v>
      </c>
      <c r="AS20" s="1">
        <f t="shared" si="18"/>
        <v>0.44117647058823528</v>
      </c>
      <c r="AT20" s="1">
        <f t="shared" si="19"/>
        <v>-8.673469387755102E-2</v>
      </c>
      <c r="AU20" s="1">
        <f t="shared" si="20"/>
        <v>0.22905027932960895</v>
      </c>
      <c r="AV20" s="1">
        <f t="shared" si="21"/>
        <v>-5.909090909090909E-2</v>
      </c>
      <c r="AW20" s="12">
        <f t="shared" si="22"/>
        <v>8.5280330342717703E-2</v>
      </c>
      <c r="AX20" s="12">
        <f t="shared" si="23"/>
        <v>-6.359582446538968E-3</v>
      </c>
      <c r="AY20" s="1">
        <f t="shared" si="24"/>
        <v>5</v>
      </c>
      <c r="AZ20" s="1">
        <f t="shared" si="25"/>
        <v>-7</v>
      </c>
      <c r="BA20" s="1">
        <f t="shared" si="26"/>
        <v>60</v>
      </c>
      <c r="BB20" s="1">
        <f t="shared" si="27"/>
        <v>-17</v>
      </c>
      <c r="BC20" s="1">
        <f t="shared" si="28"/>
        <v>41</v>
      </c>
      <c r="BD20" s="1">
        <f t="shared" si="29"/>
        <v>-13</v>
      </c>
      <c r="BE20" s="19">
        <f t="shared" si="30"/>
        <v>11.5</v>
      </c>
      <c r="BF20" s="19">
        <f t="shared" si="31"/>
        <v>-1</v>
      </c>
      <c r="BG20" s="9">
        <f t="shared" si="32"/>
        <v>0.20909090909090908</v>
      </c>
      <c r="BH20" s="9">
        <f t="shared" si="33"/>
        <v>9.7744360902255634E-2</v>
      </c>
      <c r="BI20" s="9">
        <f t="shared" si="34"/>
        <v>-8.2191780821917804E-2</v>
      </c>
      <c r="BJ20" s="9">
        <f t="shared" si="35"/>
        <v>0.2462686567164179</v>
      </c>
      <c r="BK20" s="9">
        <f t="shared" si="36"/>
        <v>5.9880239520958087E-3</v>
      </c>
      <c r="BL20" s="9">
        <f t="shared" si="37"/>
        <v>0.1130952380952381</v>
      </c>
      <c r="BM20" s="12">
        <f t="shared" si="38"/>
        <v>9.8332567989166453E-2</v>
      </c>
      <c r="BN20" s="13">
        <f t="shared" si="39"/>
        <v>0.10541979949874686</v>
      </c>
      <c r="BO20" s="1">
        <f t="shared" si="40"/>
        <v>23</v>
      </c>
      <c r="BP20" s="1">
        <f t="shared" si="41"/>
        <v>13</v>
      </c>
      <c r="BQ20" s="1">
        <f t="shared" si="42"/>
        <v>-12</v>
      </c>
      <c r="BR20" s="1">
        <f t="shared" si="43"/>
        <v>33</v>
      </c>
      <c r="BS20" s="1">
        <f t="shared" si="44"/>
        <v>1</v>
      </c>
      <c r="BT20" s="1">
        <f t="shared" si="45"/>
        <v>19</v>
      </c>
      <c r="BU20" s="19">
        <f t="shared" si="46"/>
        <v>12.833333333333334</v>
      </c>
      <c r="BV20" s="17">
        <f t="shared" si="47"/>
        <v>16</v>
      </c>
    </row>
    <row r="21" spans="1:74" x14ac:dyDescent="0.25">
      <c r="A21" s="20">
        <v>22</v>
      </c>
      <c r="B21" s="1" t="str">
        <f>_xlfn.XLOOKUP(Tabla10[[#This Row],[prov_res]],Hoja1!$A$34:$A$60,Hoja1!$B$34:$B$60,"",0)</f>
        <v>Orellana</v>
      </c>
      <c r="C21" s="1">
        <v>118</v>
      </c>
      <c r="D21" s="1">
        <v>165</v>
      </c>
      <c r="E21" s="1">
        <v>203</v>
      </c>
      <c r="F21" s="1">
        <v>188</v>
      </c>
      <c r="G21" s="1">
        <v>218</v>
      </c>
      <c r="H21" s="1">
        <v>235</v>
      </c>
      <c r="I21" s="1">
        <v>275</v>
      </c>
      <c r="J21" s="1">
        <f>+SUM(Tabla10[[#This Row],[2017]:[2023]])</f>
        <v>1402</v>
      </c>
      <c r="K21" s="1">
        <f>+AVERAGE(Tabla10[[#This Row],[2017]:[suma]])</f>
        <v>350.5</v>
      </c>
      <c r="L21" s="1">
        <f>+MEDIAN(Tabla10[[#This Row],[2017]:[suma]])</f>
        <v>210.5</v>
      </c>
      <c r="M21" s="1">
        <v>74</v>
      </c>
      <c r="N21" s="1">
        <v>93</v>
      </c>
      <c r="O21" s="1">
        <v>119</v>
      </c>
      <c r="P21" s="1">
        <v>101</v>
      </c>
      <c r="Q21" s="1">
        <v>122</v>
      </c>
      <c r="R21" s="1">
        <v>126</v>
      </c>
      <c r="S21" s="1">
        <v>145</v>
      </c>
      <c r="T21" s="1">
        <v>44</v>
      </c>
      <c r="U21" s="1">
        <v>72</v>
      </c>
      <c r="V21" s="1">
        <v>84</v>
      </c>
      <c r="W21" s="1">
        <v>87</v>
      </c>
      <c r="X21" s="1">
        <v>96</v>
      </c>
      <c r="Y21" s="1">
        <v>109</v>
      </c>
      <c r="Z21" s="1">
        <v>130</v>
      </c>
      <c r="AA21" s="8">
        <f t="shared" si="0"/>
        <v>0.39830508474576271</v>
      </c>
      <c r="AB21" s="8">
        <f t="shared" si="1"/>
        <v>0.23030303030303031</v>
      </c>
      <c r="AC21" s="8">
        <f t="shared" si="2"/>
        <v>-7.3891625615763554E-2</v>
      </c>
      <c r="AD21" s="8">
        <f t="shared" si="3"/>
        <v>0.15957446808510639</v>
      </c>
      <c r="AE21" s="8">
        <f t="shared" si="4"/>
        <v>7.7981651376146793E-2</v>
      </c>
      <c r="AF21" s="8">
        <f t="shared" si="5"/>
        <v>0.1702127659574468</v>
      </c>
      <c r="AG21" s="12">
        <f t="shared" si="6"/>
        <v>0.16041422914195488</v>
      </c>
      <c r="AH21" s="12">
        <f t="shared" si="7"/>
        <v>0.16489361702127658</v>
      </c>
      <c r="AI21" s="1">
        <f t="shared" si="8"/>
        <v>47</v>
      </c>
      <c r="AJ21" s="1">
        <f t="shared" si="9"/>
        <v>38</v>
      </c>
      <c r="AK21" s="1">
        <f t="shared" si="10"/>
        <v>-15</v>
      </c>
      <c r="AL21" s="1">
        <f t="shared" si="11"/>
        <v>30</v>
      </c>
      <c r="AM21" s="1">
        <f t="shared" si="12"/>
        <v>17</v>
      </c>
      <c r="AN21" s="1">
        <f t="shared" si="13"/>
        <v>40</v>
      </c>
      <c r="AO21" s="17">
        <f t="shared" si="14"/>
        <v>26.166666666666668</v>
      </c>
      <c r="AP21" s="17">
        <f t="shared" si="15"/>
        <v>34</v>
      </c>
      <c r="AQ21" s="1">
        <f t="shared" si="16"/>
        <v>0.25675675675675674</v>
      </c>
      <c r="AR21" s="1">
        <f t="shared" si="17"/>
        <v>0.27956989247311825</v>
      </c>
      <c r="AS21" s="1">
        <f t="shared" si="18"/>
        <v>-0.15126050420168066</v>
      </c>
      <c r="AT21" s="1">
        <f t="shared" si="19"/>
        <v>0.20792079207920791</v>
      </c>
      <c r="AU21" s="1">
        <f t="shared" si="20"/>
        <v>3.2786885245901641E-2</v>
      </c>
      <c r="AV21" s="1">
        <f t="shared" si="21"/>
        <v>0.15079365079365079</v>
      </c>
      <c r="AW21" s="12">
        <f t="shared" si="22"/>
        <v>0.12942791219115912</v>
      </c>
      <c r="AX21" s="12">
        <f t="shared" si="23"/>
        <v>0.17935722143642935</v>
      </c>
      <c r="AY21" s="1">
        <f t="shared" si="24"/>
        <v>19</v>
      </c>
      <c r="AZ21" s="1">
        <f t="shared" si="25"/>
        <v>26</v>
      </c>
      <c r="BA21" s="1">
        <f t="shared" si="26"/>
        <v>-18</v>
      </c>
      <c r="BB21" s="1">
        <f t="shared" si="27"/>
        <v>21</v>
      </c>
      <c r="BC21" s="1">
        <f t="shared" si="28"/>
        <v>4</v>
      </c>
      <c r="BD21" s="1">
        <f t="shared" si="29"/>
        <v>19</v>
      </c>
      <c r="BE21" s="19">
        <f t="shared" si="30"/>
        <v>11.833333333333334</v>
      </c>
      <c r="BF21" s="19">
        <f t="shared" si="31"/>
        <v>19</v>
      </c>
      <c r="BG21" s="9">
        <f t="shared" si="32"/>
        <v>0.63636363636363635</v>
      </c>
      <c r="BH21" s="9">
        <f t="shared" si="33"/>
        <v>0.16666666666666666</v>
      </c>
      <c r="BI21" s="9">
        <f t="shared" si="34"/>
        <v>3.5714285714285712E-2</v>
      </c>
      <c r="BJ21" s="9">
        <f t="shared" si="35"/>
        <v>0.10344827586206896</v>
      </c>
      <c r="BK21" s="9">
        <f t="shared" si="36"/>
        <v>0.13541666666666666</v>
      </c>
      <c r="BL21" s="9">
        <f t="shared" si="37"/>
        <v>0.19266055045871561</v>
      </c>
      <c r="BM21" s="12">
        <f t="shared" si="38"/>
        <v>0.21171168028867329</v>
      </c>
      <c r="BN21" s="13">
        <f t="shared" si="39"/>
        <v>0.15104166666666666</v>
      </c>
      <c r="BO21" s="1">
        <f t="shared" si="40"/>
        <v>28</v>
      </c>
      <c r="BP21" s="1">
        <f t="shared" si="41"/>
        <v>12</v>
      </c>
      <c r="BQ21" s="1">
        <f t="shared" si="42"/>
        <v>3</v>
      </c>
      <c r="BR21" s="1">
        <f t="shared" si="43"/>
        <v>9</v>
      </c>
      <c r="BS21" s="1">
        <f t="shared" si="44"/>
        <v>13</v>
      </c>
      <c r="BT21" s="1">
        <f t="shared" si="45"/>
        <v>21</v>
      </c>
      <c r="BU21" s="19">
        <f t="shared" si="46"/>
        <v>14.333333333333334</v>
      </c>
      <c r="BV21" s="17">
        <f t="shared" si="47"/>
        <v>12.5</v>
      </c>
    </row>
    <row r="22" spans="1:74" x14ac:dyDescent="0.25">
      <c r="A22" s="20">
        <v>16</v>
      </c>
      <c r="B22" s="1" t="str">
        <f>_xlfn.XLOOKUP(Tabla10[[#This Row],[prov_res]],Hoja1!$A$34:$A$60,Hoja1!$B$34:$B$60,"",0)</f>
        <v>Pastaza</v>
      </c>
      <c r="C22" s="1">
        <v>205</v>
      </c>
      <c r="D22" s="1">
        <v>201</v>
      </c>
      <c r="E22" s="1">
        <v>210</v>
      </c>
      <c r="F22" s="1">
        <v>201</v>
      </c>
      <c r="G22" s="1">
        <v>227</v>
      </c>
      <c r="H22" s="1">
        <v>276</v>
      </c>
      <c r="I22" s="1">
        <v>266</v>
      </c>
      <c r="J22" s="1">
        <f>+SUM(Tabla10[[#This Row],[2017]:[2023]])</f>
        <v>1586</v>
      </c>
      <c r="K22" s="1">
        <f>+AVERAGE(Tabla10[[#This Row],[2017]:[suma]])</f>
        <v>396.5</v>
      </c>
      <c r="L22" s="1">
        <f>+MEDIAN(Tabla10[[#This Row],[2017]:[suma]])</f>
        <v>218.5</v>
      </c>
      <c r="M22" s="1">
        <v>119</v>
      </c>
      <c r="N22" s="1">
        <v>117</v>
      </c>
      <c r="O22" s="1">
        <v>108</v>
      </c>
      <c r="P22" s="1">
        <v>112</v>
      </c>
      <c r="Q22" s="1">
        <v>112</v>
      </c>
      <c r="R22" s="1">
        <v>149</v>
      </c>
      <c r="S22" s="1">
        <v>146</v>
      </c>
      <c r="T22" s="1">
        <v>86</v>
      </c>
      <c r="U22" s="1">
        <v>84</v>
      </c>
      <c r="V22" s="1">
        <v>102</v>
      </c>
      <c r="W22" s="1">
        <v>89</v>
      </c>
      <c r="X22" s="1">
        <v>115</v>
      </c>
      <c r="Y22" s="1">
        <v>127</v>
      </c>
      <c r="Z22" s="1">
        <v>120</v>
      </c>
      <c r="AA22" s="8">
        <f t="shared" si="0"/>
        <v>-1.9512195121951219E-2</v>
      </c>
      <c r="AB22" s="8">
        <f t="shared" si="1"/>
        <v>4.4776119402985072E-2</v>
      </c>
      <c r="AC22" s="8">
        <f t="shared" si="2"/>
        <v>-4.2857142857142858E-2</v>
      </c>
      <c r="AD22" s="8">
        <f t="shared" si="3"/>
        <v>0.12935323383084577</v>
      </c>
      <c r="AE22" s="8">
        <f t="shared" si="4"/>
        <v>0.21585903083700442</v>
      </c>
      <c r="AF22" s="8">
        <f t="shared" si="5"/>
        <v>-3.6231884057971016E-2</v>
      </c>
      <c r="AG22" s="12">
        <f t="shared" si="6"/>
        <v>4.8564527005628362E-2</v>
      </c>
      <c r="AH22" s="12">
        <f t="shared" si="7"/>
        <v>1.2631962140516925E-2</v>
      </c>
      <c r="AI22" s="1">
        <f t="shared" si="8"/>
        <v>-4</v>
      </c>
      <c r="AJ22" s="1">
        <f t="shared" si="9"/>
        <v>9</v>
      </c>
      <c r="AK22" s="1">
        <f t="shared" si="10"/>
        <v>-9</v>
      </c>
      <c r="AL22" s="1">
        <f t="shared" si="11"/>
        <v>26</v>
      </c>
      <c r="AM22" s="1">
        <f t="shared" si="12"/>
        <v>49</v>
      </c>
      <c r="AN22" s="1">
        <f t="shared" si="13"/>
        <v>-10</v>
      </c>
      <c r="AO22" s="17">
        <f t="shared" si="14"/>
        <v>10.166666666666666</v>
      </c>
      <c r="AP22" s="17">
        <f t="shared" si="15"/>
        <v>2.5</v>
      </c>
      <c r="AQ22" s="1">
        <f t="shared" si="16"/>
        <v>-1.680672268907563E-2</v>
      </c>
      <c r="AR22" s="1">
        <f t="shared" si="17"/>
        <v>-7.6923076923076927E-2</v>
      </c>
      <c r="AS22" s="1">
        <f t="shared" si="18"/>
        <v>3.7037037037037035E-2</v>
      </c>
      <c r="AT22" s="1">
        <f t="shared" si="19"/>
        <v>0</v>
      </c>
      <c r="AU22" s="1">
        <f t="shared" si="20"/>
        <v>0.33035714285714285</v>
      </c>
      <c r="AV22" s="1">
        <f t="shared" si="21"/>
        <v>-2.0134228187919462E-2</v>
      </c>
      <c r="AW22" s="12">
        <f t="shared" si="22"/>
        <v>4.2255025349017983E-2</v>
      </c>
      <c r="AX22" s="12">
        <f t="shared" si="23"/>
        <v>-8.4033613445378148E-3</v>
      </c>
      <c r="AY22" s="1">
        <f t="shared" si="24"/>
        <v>-2</v>
      </c>
      <c r="AZ22" s="1">
        <f t="shared" si="25"/>
        <v>-9</v>
      </c>
      <c r="BA22" s="1">
        <f t="shared" si="26"/>
        <v>4</v>
      </c>
      <c r="BB22" s="1">
        <f t="shared" si="27"/>
        <v>0</v>
      </c>
      <c r="BC22" s="1">
        <f t="shared" si="28"/>
        <v>37</v>
      </c>
      <c r="BD22" s="1">
        <f t="shared" si="29"/>
        <v>-3</v>
      </c>
      <c r="BE22" s="19">
        <f t="shared" si="30"/>
        <v>4.5</v>
      </c>
      <c r="BF22" s="19">
        <f t="shared" si="31"/>
        <v>-1</v>
      </c>
      <c r="BG22" s="9">
        <f t="shared" si="32"/>
        <v>-2.3255813953488372E-2</v>
      </c>
      <c r="BH22" s="9">
        <f t="shared" si="33"/>
        <v>0.21428571428571427</v>
      </c>
      <c r="BI22" s="9">
        <f t="shared" si="34"/>
        <v>-0.12745098039215685</v>
      </c>
      <c r="BJ22" s="9">
        <f t="shared" si="35"/>
        <v>0.29213483146067415</v>
      </c>
      <c r="BK22" s="9">
        <f t="shared" si="36"/>
        <v>0.10434782608695652</v>
      </c>
      <c r="BL22" s="9">
        <f t="shared" si="37"/>
        <v>-5.5118110236220472E-2</v>
      </c>
      <c r="BM22" s="12">
        <f t="shared" si="38"/>
        <v>6.7490577875246538E-2</v>
      </c>
      <c r="BN22" s="13">
        <f t="shared" si="39"/>
        <v>4.0546006066734072E-2</v>
      </c>
      <c r="BO22" s="1">
        <f t="shared" si="40"/>
        <v>-2</v>
      </c>
      <c r="BP22" s="1">
        <f t="shared" si="41"/>
        <v>18</v>
      </c>
      <c r="BQ22" s="1">
        <f t="shared" si="42"/>
        <v>-13</v>
      </c>
      <c r="BR22" s="1">
        <f t="shared" si="43"/>
        <v>26</v>
      </c>
      <c r="BS22" s="1">
        <f t="shared" si="44"/>
        <v>12</v>
      </c>
      <c r="BT22" s="1">
        <f t="shared" si="45"/>
        <v>-7</v>
      </c>
      <c r="BU22" s="19">
        <f t="shared" si="46"/>
        <v>5.666666666666667</v>
      </c>
      <c r="BV22" s="17">
        <f t="shared" si="47"/>
        <v>5</v>
      </c>
    </row>
    <row r="23" spans="1:74" x14ac:dyDescent="0.25">
      <c r="A23" s="20">
        <v>19</v>
      </c>
      <c r="B23" s="1" t="str">
        <f>_xlfn.XLOOKUP(Tabla10[[#This Row],[prov_res]],Hoja1!$A$34:$A$60,Hoja1!$B$34:$B$60,"",0)</f>
        <v>Zamora Chinchipe</v>
      </c>
      <c r="C23" s="1">
        <v>178</v>
      </c>
      <c r="D23" s="1">
        <v>139</v>
      </c>
      <c r="E23" s="1">
        <v>156</v>
      </c>
      <c r="F23" s="1">
        <v>159</v>
      </c>
      <c r="G23" s="1">
        <v>223</v>
      </c>
      <c r="H23" s="1">
        <v>262</v>
      </c>
      <c r="I23" s="1">
        <v>236</v>
      </c>
      <c r="J23" s="1">
        <f>+SUM(Tabla10[[#This Row],[2017]:[2023]])</f>
        <v>1353</v>
      </c>
      <c r="K23" s="1">
        <f>+AVERAGE(Tabla10[[#This Row],[2017]:[suma]])</f>
        <v>338.25</v>
      </c>
      <c r="L23" s="1">
        <f>+MEDIAN(Tabla10[[#This Row],[2017]:[suma]])</f>
        <v>200.5</v>
      </c>
      <c r="M23" s="1">
        <v>97</v>
      </c>
      <c r="N23" s="1">
        <v>68</v>
      </c>
      <c r="O23" s="1">
        <v>95</v>
      </c>
      <c r="P23" s="1">
        <v>91</v>
      </c>
      <c r="Q23" s="1">
        <v>134</v>
      </c>
      <c r="R23" s="1">
        <v>143</v>
      </c>
      <c r="S23" s="1">
        <v>126</v>
      </c>
      <c r="T23" s="1">
        <v>81</v>
      </c>
      <c r="U23" s="1">
        <v>71</v>
      </c>
      <c r="V23" s="1">
        <v>61</v>
      </c>
      <c r="W23" s="1">
        <v>68</v>
      </c>
      <c r="X23" s="1">
        <v>89</v>
      </c>
      <c r="Y23" s="1">
        <v>119</v>
      </c>
      <c r="Z23" s="1">
        <v>110</v>
      </c>
      <c r="AA23" s="8">
        <f t="shared" si="0"/>
        <v>-0.21910112359550563</v>
      </c>
      <c r="AB23" s="8">
        <f t="shared" si="1"/>
        <v>0.1223021582733813</v>
      </c>
      <c r="AC23" s="8">
        <f t="shared" si="2"/>
        <v>1.9230769230769232E-2</v>
      </c>
      <c r="AD23" s="8">
        <f t="shared" si="3"/>
        <v>0.40251572327044027</v>
      </c>
      <c r="AE23" s="8">
        <f t="shared" si="4"/>
        <v>0.17488789237668162</v>
      </c>
      <c r="AF23" s="8">
        <f t="shared" si="5"/>
        <v>-9.9236641221374045E-2</v>
      </c>
      <c r="AG23" s="12">
        <f t="shared" si="6"/>
        <v>6.6766463055732125E-2</v>
      </c>
      <c r="AH23" s="12">
        <f t="shared" si="7"/>
        <v>7.0766463752075265E-2</v>
      </c>
      <c r="AI23" s="1">
        <f t="shared" si="8"/>
        <v>-39</v>
      </c>
      <c r="AJ23" s="1">
        <f t="shared" si="9"/>
        <v>17</v>
      </c>
      <c r="AK23" s="1">
        <f t="shared" si="10"/>
        <v>3</v>
      </c>
      <c r="AL23" s="1">
        <f t="shared" si="11"/>
        <v>64</v>
      </c>
      <c r="AM23" s="1">
        <f t="shared" si="12"/>
        <v>39</v>
      </c>
      <c r="AN23" s="1">
        <f t="shared" si="13"/>
        <v>-26</v>
      </c>
      <c r="AO23" s="17">
        <f t="shared" si="14"/>
        <v>9.6666666666666661</v>
      </c>
      <c r="AP23" s="17">
        <f t="shared" si="15"/>
        <v>10</v>
      </c>
      <c r="AQ23" s="1">
        <f t="shared" si="16"/>
        <v>-0.29896907216494845</v>
      </c>
      <c r="AR23" s="1">
        <f t="shared" si="17"/>
        <v>0.39705882352941174</v>
      </c>
      <c r="AS23" s="1">
        <f t="shared" si="18"/>
        <v>-4.2105263157894736E-2</v>
      </c>
      <c r="AT23" s="1">
        <f t="shared" si="19"/>
        <v>0.47252747252747251</v>
      </c>
      <c r="AU23" s="1">
        <f t="shared" si="20"/>
        <v>6.7164179104477612E-2</v>
      </c>
      <c r="AV23" s="1">
        <f t="shared" si="21"/>
        <v>-0.11888111888111888</v>
      </c>
      <c r="AW23" s="12">
        <f t="shared" si="22"/>
        <v>7.9465836826233302E-2</v>
      </c>
      <c r="AX23" s="12">
        <f t="shared" si="23"/>
        <v>1.2529457973291434E-2</v>
      </c>
      <c r="AY23" s="1">
        <f t="shared" si="24"/>
        <v>-29</v>
      </c>
      <c r="AZ23" s="1">
        <f t="shared" si="25"/>
        <v>27</v>
      </c>
      <c r="BA23" s="1">
        <f t="shared" si="26"/>
        <v>-4</v>
      </c>
      <c r="BB23" s="1">
        <f t="shared" si="27"/>
        <v>43</v>
      </c>
      <c r="BC23" s="1">
        <f t="shared" si="28"/>
        <v>9</v>
      </c>
      <c r="BD23" s="1">
        <f t="shared" si="29"/>
        <v>-17</v>
      </c>
      <c r="BE23" s="19">
        <f t="shared" si="30"/>
        <v>4.833333333333333</v>
      </c>
      <c r="BF23" s="19">
        <f t="shared" si="31"/>
        <v>2.5</v>
      </c>
      <c r="BG23" s="9">
        <f t="shared" si="32"/>
        <v>-0.12345679012345678</v>
      </c>
      <c r="BH23" s="9">
        <f t="shared" si="33"/>
        <v>-0.14084507042253522</v>
      </c>
      <c r="BI23" s="9">
        <f t="shared" si="34"/>
        <v>0.11475409836065574</v>
      </c>
      <c r="BJ23" s="9">
        <f t="shared" si="35"/>
        <v>0.30882352941176472</v>
      </c>
      <c r="BK23" s="9">
        <f t="shared" si="36"/>
        <v>0.33707865168539325</v>
      </c>
      <c r="BL23" s="9">
        <f t="shared" si="37"/>
        <v>-7.5630252100840331E-2</v>
      </c>
      <c r="BM23" s="12">
        <f t="shared" si="38"/>
        <v>7.0120694468496891E-2</v>
      </c>
      <c r="BN23" s="13">
        <f t="shared" si="39"/>
        <v>1.9561923129907705E-2</v>
      </c>
      <c r="BO23" s="1">
        <f t="shared" si="40"/>
        <v>-10</v>
      </c>
      <c r="BP23" s="1">
        <f t="shared" si="41"/>
        <v>-10</v>
      </c>
      <c r="BQ23" s="1">
        <f t="shared" si="42"/>
        <v>7</v>
      </c>
      <c r="BR23" s="1">
        <f t="shared" si="43"/>
        <v>21</v>
      </c>
      <c r="BS23" s="1">
        <f t="shared" si="44"/>
        <v>30</v>
      </c>
      <c r="BT23" s="1">
        <f t="shared" si="45"/>
        <v>-9</v>
      </c>
      <c r="BU23" s="19">
        <f t="shared" si="46"/>
        <v>4.833333333333333</v>
      </c>
      <c r="BV23" s="17">
        <f t="shared" si="47"/>
        <v>-1</v>
      </c>
    </row>
    <row r="24" spans="1:74" x14ac:dyDescent="0.25">
      <c r="A24" s="20">
        <v>15</v>
      </c>
      <c r="B24" s="1" t="str">
        <f>_xlfn.XLOOKUP(Tabla10[[#This Row],[prov_res]],Hoja1!$A$34:$A$60,Hoja1!$B$34:$B$60,"",0)</f>
        <v>Napo</v>
      </c>
      <c r="C24" s="1">
        <v>152</v>
      </c>
      <c r="D24" s="1">
        <v>156</v>
      </c>
      <c r="E24" s="1">
        <v>193</v>
      </c>
      <c r="F24" s="1">
        <v>206</v>
      </c>
      <c r="G24" s="1">
        <v>230</v>
      </c>
      <c r="H24" s="1">
        <v>222</v>
      </c>
      <c r="I24" s="1">
        <v>215</v>
      </c>
      <c r="J24" s="1">
        <f>+SUM(Tabla10[[#This Row],[2017]:[2023]])</f>
        <v>1374</v>
      </c>
      <c r="K24" s="1">
        <f>+AVERAGE(Tabla10[[#This Row],[2017]:[suma]])</f>
        <v>343.5</v>
      </c>
      <c r="L24" s="1">
        <f>+MEDIAN(Tabla10[[#This Row],[2017]:[suma]])</f>
        <v>210.5</v>
      </c>
      <c r="M24" s="1">
        <v>84</v>
      </c>
      <c r="N24" s="1">
        <v>86</v>
      </c>
      <c r="O24" s="1">
        <v>112</v>
      </c>
      <c r="P24" s="1">
        <v>116</v>
      </c>
      <c r="Q24" s="1">
        <v>126</v>
      </c>
      <c r="R24" s="1">
        <v>114</v>
      </c>
      <c r="S24" s="1">
        <v>116</v>
      </c>
      <c r="T24" s="1">
        <v>68</v>
      </c>
      <c r="U24" s="1">
        <v>70</v>
      </c>
      <c r="V24" s="1">
        <v>81</v>
      </c>
      <c r="W24" s="1">
        <v>90</v>
      </c>
      <c r="X24" s="1">
        <v>104</v>
      </c>
      <c r="Y24" s="1">
        <v>108</v>
      </c>
      <c r="Z24" s="1">
        <v>99</v>
      </c>
      <c r="AA24" s="8">
        <f t="shared" si="0"/>
        <v>2.6315789473684209E-2</v>
      </c>
      <c r="AB24" s="8">
        <f t="shared" si="1"/>
        <v>0.23717948717948717</v>
      </c>
      <c r="AC24" s="8">
        <f t="shared" si="2"/>
        <v>6.7357512953367879E-2</v>
      </c>
      <c r="AD24" s="8">
        <f t="shared" si="3"/>
        <v>0.11650485436893204</v>
      </c>
      <c r="AE24" s="8">
        <f t="shared" si="4"/>
        <v>-3.4782608695652174E-2</v>
      </c>
      <c r="AF24" s="8">
        <f t="shared" si="5"/>
        <v>-3.1531531531531529E-2</v>
      </c>
      <c r="AG24" s="12">
        <f t="shared" si="6"/>
        <v>6.3507250624714601E-2</v>
      </c>
      <c r="AH24" s="12">
        <f t="shared" si="7"/>
        <v>4.6836651213526044E-2</v>
      </c>
      <c r="AI24" s="1">
        <f t="shared" si="8"/>
        <v>4</v>
      </c>
      <c r="AJ24" s="1">
        <f t="shared" si="9"/>
        <v>37</v>
      </c>
      <c r="AK24" s="1">
        <f t="shared" si="10"/>
        <v>13</v>
      </c>
      <c r="AL24" s="1">
        <f t="shared" si="11"/>
        <v>24</v>
      </c>
      <c r="AM24" s="1">
        <f t="shared" si="12"/>
        <v>-8</v>
      </c>
      <c r="AN24" s="1">
        <f t="shared" si="13"/>
        <v>-7</v>
      </c>
      <c r="AO24" s="17">
        <f t="shared" si="14"/>
        <v>10.5</v>
      </c>
      <c r="AP24" s="17">
        <f t="shared" si="15"/>
        <v>8.5</v>
      </c>
      <c r="AQ24" s="1">
        <f t="shared" si="16"/>
        <v>2.3809523809523808E-2</v>
      </c>
      <c r="AR24" s="1">
        <f t="shared" si="17"/>
        <v>0.30232558139534882</v>
      </c>
      <c r="AS24" s="1">
        <f t="shared" si="18"/>
        <v>3.5714285714285712E-2</v>
      </c>
      <c r="AT24" s="1">
        <f t="shared" si="19"/>
        <v>8.6206896551724144E-2</v>
      </c>
      <c r="AU24" s="1">
        <f t="shared" si="20"/>
        <v>-9.5238095238095233E-2</v>
      </c>
      <c r="AV24" s="1">
        <f t="shared" si="21"/>
        <v>1.7543859649122806E-2</v>
      </c>
      <c r="AW24" s="12">
        <f t="shared" si="22"/>
        <v>6.1727008646985014E-2</v>
      </c>
      <c r="AX24" s="12">
        <f t="shared" si="23"/>
        <v>2.976190476190476E-2</v>
      </c>
      <c r="AY24" s="1">
        <f t="shared" si="24"/>
        <v>2</v>
      </c>
      <c r="AZ24" s="1">
        <f t="shared" si="25"/>
        <v>26</v>
      </c>
      <c r="BA24" s="1">
        <f t="shared" si="26"/>
        <v>4</v>
      </c>
      <c r="BB24" s="1">
        <f t="shared" si="27"/>
        <v>10</v>
      </c>
      <c r="BC24" s="1">
        <f t="shared" si="28"/>
        <v>-12</v>
      </c>
      <c r="BD24" s="1">
        <f t="shared" si="29"/>
        <v>2</v>
      </c>
      <c r="BE24" s="19">
        <f t="shared" si="30"/>
        <v>5.333333333333333</v>
      </c>
      <c r="BF24" s="19">
        <f t="shared" si="31"/>
        <v>3</v>
      </c>
      <c r="BG24" s="9">
        <f t="shared" si="32"/>
        <v>2.9411764705882353E-2</v>
      </c>
      <c r="BH24" s="9">
        <f t="shared" si="33"/>
        <v>0.15714285714285714</v>
      </c>
      <c r="BI24" s="9">
        <f t="shared" si="34"/>
        <v>0.1111111111111111</v>
      </c>
      <c r="BJ24" s="9">
        <f t="shared" si="35"/>
        <v>0.15555555555555556</v>
      </c>
      <c r="BK24" s="9">
        <f t="shared" si="36"/>
        <v>3.8461538461538464E-2</v>
      </c>
      <c r="BL24" s="9">
        <f t="shared" si="37"/>
        <v>-8.3333333333333329E-2</v>
      </c>
      <c r="BM24" s="12">
        <f t="shared" si="38"/>
        <v>6.805824894060189E-2</v>
      </c>
      <c r="BN24" s="13">
        <f t="shared" si="39"/>
        <v>7.4786324786324784E-2</v>
      </c>
      <c r="BO24" s="1">
        <f t="shared" si="40"/>
        <v>2</v>
      </c>
      <c r="BP24" s="1">
        <f t="shared" si="41"/>
        <v>11</v>
      </c>
      <c r="BQ24" s="1">
        <f t="shared" si="42"/>
        <v>9</v>
      </c>
      <c r="BR24" s="1">
        <f t="shared" si="43"/>
        <v>14</v>
      </c>
      <c r="BS24" s="1">
        <f t="shared" si="44"/>
        <v>4</v>
      </c>
      <c r="BT24" s="1">
        <f t="shared" si="45"/>
        <v>-9</v>
      </c>
      <c r="BU24" s="19">
        <f t="shared" si="46"/>
        <v>5.166666666666667</v>
      </c>
      <c r="BV24" s="17">
        <f t="shared" si="47"/>
        <v>6.5</v>
      </c>
    </row>
    <row r="25" spans="1:74" x14ac:dyDescent="0.25">
      <c r="A25" s="20">
        <v>20</v>
      </c>
      <c r="B25" s="1" t="str">
        <f>_xlfn.XLOOKUP(Tabla10[[#This Row],[prov_res]],Hoja1!$A$34:$A$60,Hoja1!$B$34:$B$60,"",0)</f>
        <v>Galápagos</v>
      </c>
      <c r="C25" s="1">
        <v>27</v>
      </c>
      <c r="D25" s="1">
        <v>41</v>
      </c>
      <c r="E25" s="1">
        <v>39</v>
      </c>
      <c r="F25" s="1">
        <v>32</v>
      </c>
      <c r="G25" s="1">
        <v>42</v>
      </c>
      <c r="H25" s="1">
        <v>53</v>
      </c>
      <c r="I25" s="1">
        <v>49</v>
      </c>
      <c r="J25" s="1">
        <f>+SUM(Tabla10[[#This Row],[2017]:[2023]])</f>
        <v>283</v>
      </c>
      <c r="K25" s="1">
        <f>+AVERAGE(Tabla10[[#This Row],[2017]:[suma]])</f>
        <v>70.75</v>
      </c>
      <c r="L25" s="1">
        <f>+MEDIAN(Tabla10[[#This Row],[2017]:[suma]])</f>
        <v>41.5</v>
      </c>
      <c r="M25" s="1">
        <v>16</v>
      </c>
      <c r="N25" s="1">
        <v>16</v>
      </c>
      <c r="O25" s="1">
        <v>22</v>
      </c>
      <c r="P25" s="1">
        <v>23</v>
      </c>
      <c r="Q25" s="1">
        <v>28</v>
      </c>
      <c r="R25" s="1">
        <v>29</v>
      </c>
      <c r="S25" s="1">
        <v>30</v>
      </c>
      <c r="T25" s="1">
        <v>11</v>
      </c>
      <c r="U25" s="1">
        <v>25</v>
      </c>
      <c r="V25" s="1">
        <v>17</v>
      </c>
      <c r="W25" s="1">
        <v>9</v>
      </c>
      <c r="X25" s="1">
        <v>14</v>
      </c>
      <c r="Y25" s="1">
        <v>24</v>
      </c>
      <c r="Z25" s="1">
        <v>19</v>
      </c>
      <c r="AA25" s="8">
        <f t="shared" si="0"/>
        <v>0.51851851851851849</v>
      </c>
      <c r="AB25" s="8">
        <f t="shared" si="1"/>
        <v>-4.878048780487805E-2</v>
      </c>
      <c r="AC25" s="8">
        <f t="shared" si="2"/>
        <v>-0.17948717948717949</v>
      </c>
      <c r="AD25" s="8">
        <f t="shared" si="3"/>
        <v>0.3125</v>
      </c>
      <c r="AE25" s="8">
        <f t="shared" si="4"/>
        <v>0.26190476190476192</v>
      </c>
      <c r="AF25" s="8">
        <f t="shared" si="5"/>
        <v>-7.5471698113207544E-2</v>
      </c>
      <c r="AG25" s="12">
        <f t="shared" si="6"/>
        <v>0.13153065250300255</v>
      </c>
      <c r="AH25" s="12">
        <f t="shared" si="7"/>
        <v>0.10656213704994193</v>
      </c>
      <c r="AI25" s="1">
        <f t="shared" si="8"/>
        <v>14</v>
      </c>
      <c r="AJ25" s="1">
        <f t="shared" si="9"/>
        <v>-2</v>
      </c>
      <c r="AK25" s="1">
        <f t="shared" si="10"/>
        <v>-7</v>
      </c>
      <c r="AL25" s="1">
        <f t="shared" si="11"/>
        <v>10</v>
      </c>
      <c r="AM25" s="1">
        <f t="shared" si="12"/>
        <v>11</v>
      </c>
      <c r="AN25" s="1">
        <f t="shared" si="13"/>
        <v>-4</v>
      </c>
      <c r="AO25" s="17">
        <f t="shared" si="14"/>
        <v>3.6666666666666665</v>
      </c>
      <c r="AP25" s="17">
        <f t="shared" si="15"/>
        <v>4</v>
      </c>
      <c r="AQ25" s="1">
        <f t="shared" si="16"/>
        <v>0</v>
      </c>
      <c r="AR25" s="1">
        <f t="shared" si="17"/>
        <v>0.375</v>
      </c>
      <c r="AS25" s="1">
        <f t="shared" si="18"/>
        <v>4.5454545454545456E-2</v>
      </c>
      <c r="AT25" s="1">
        <f t="shared" si="19"/>
        <v>0.21739130434782608</v>
      </c>
      <c r="AU25" s="1">
        <f t="shared" si="20"/>
        <v>3.5714285714285712E-2</v>
      </c>
      <c r="AV25" s="1">
        <f t="shared" si="21"/>
        <v>3.4482758620689655E-2</v>
      </c>
      <c r="AW25" s="12">
        <f t="shared" si="22"/>
        <v>0.11800714902289115</v>
      </c>
      <c r="AX25" s="12">
        <f t="shared" si="23"/>
        <v>4.0584415584415584E-2</v>
      </c>
      <c r="AY25" s="1">
        <f t="shared" si="24"/>
        <v>0</v>
      </c>
      <c r="AZ25" s="1">
        <f t="shared" si="25"/>
        <v>6</v>
      </c>
      <c r="BA25" s="1">
        <f t="shared" si="26"/>
        <v>1</v>
      </c>
      <c r="BB25" s="1">
        <f t="shared" si="27"/>
        <v>5</v>
      </c>
      <c r="BC25" s="1">
        <f t="shared" si="28"/>
        <v>1</v>
      </c>
      <c r="BD25" s="1">
        <f t="shared" si="29"/>
        <v>1</v>
      </c>
      <c r="BE25" s="19">
        <f t="shared" si="30"/>
        <v>2.3333333333333335</v>
      </c>
      <c r="BF25" s="19">
        <f t="shared" si="31"/>
        <v>1</v>
      </c>
      <c r="BG25" s="9">
        <f t="shared" si="32"/>
        <v>1.2727272727272727</v>
      </c>
      <c r="BH25" s="9">
        <f t="shared" si="33"/>
        <v>-0.32</v>
      </c>
      <c r="BI25" s="9">
        <f t="shared" si="34"/>
        <v>-0.47058823529411764</v>
      </c>
      <c r="BJ25" s="9">
        <f t="shared" si="35"/>
        <v>0.55555555555555558</v>
      </c>
      <c r="BK25" s="9">
        <f t="shared" si="36"/>
        <v>0.7142857142857143</v>
      </c>
      <c r="BL25" s="9">
        <f t="shared" si="37"/>
        <v>-0.20833333333333334</v>
      </c>
      <c r="BM25" s="12">
        <f t="shared" si="38"/>
        <v>0.25727449565684862</v>
      </c>
      <c r="BN25" s="13">
        <f t="shared" si="39"/>
        <v>0.17361111111111113</v>
      </c>
      <c r="BO25" s="1">
        <f t="shared" si="40"/>
        <v>14</v>
      </c>
      <c r="BP25" s="1">
        <f t="shared" si="41"/>
        <v>-8</v>
      </c>
      <c r="BQ25" s="1">
        <f t="shared" si="42"/>
        <v>-8</v>
      </c>
      <c r="BR25" s="1">
        <f t="shared" si="43"/>
        <v>5</v>
      </c>
      <c r="BS25" s="1">
        <f t="shared" si="44"/>
        <v>10</v>
      </c>
      <c r="BT25" s="1">
        <f t="shared" si="45"/>
        <v>-5</v>
      </c>
      <c r="BU25" s="19">
        <f t="shared" si="46"/>
        <v>1.3333333333333333</v>
      </c>
      <c r="BV25" s="17">
        <f t="shared" si="47"/>
        <v>0</v>
      </c>
    </row>
    <row r="26" spans="1:74" x14ac:dyDescent="0.25">
      <c r="A26" s="20">
        <v>88</v>
      </c>
      <c r="B26" s="1" t="str">
        <f>_xlfn.XLOOKUP(Tabla10[[#This Row],[prov_res]],Hoja1!$A$34:$A$60,Hoja1!$B$34:$B$60,"",0)</f>
        <v>Zonas no delimitadas (código especial)</v>
      </c>
      <c r="C26" s="1">
        <v>33</v>
      </c>
      <c r="D26" s="1">
        <v>37</v>
      </c>
      <c r="E26" s="1">
        <v>35</v>
      </c>
      <c r="F26" s="1">
        <v>8</v>
      </c>
      <c r="G26" s="1">
        <v>11</v>
      </c>
      <c r="H26" s="1">
        <v>19</v>
      </c>
      <c r="I26" s="1">
        <v>23</v>
      </c>
      <c r="J26" s="1">
        <f>+SUM(Tabla10[[#This Row],[2017]:[2023]])</f>
        <v>166</v>
      </c>
      <c r="K26" s="1">
        <f>+AVERAGE(Tabla10[[#This Row],[2017]:[suma]])</f>
        <v>41.5</v>
      </c>
      <c r="L26" s="1">
        <f>+MEDIAN(Tabla10[[#This Row],[2017]:[suma]])</f>
        <v>28</v>
      </c>
      <c r="M26" s="1">
        <v>23</v>
      </c>
      <c r="N26" s="1">
        <v>18</v>
      </c>
      <c r="O26" s="1">
        <v>24</v>
      </c>
      <c r="P26" s="1">
        <v>4</v>
      </c>
      <c r="Q26" s="1">
        <v>7</v>
      </c>
      <c r="R26" s="1">
        <v>13</v>
      </c>
      <c r="S26" s="1">
        <v>19</v>
      </c>
      <c r="T26" s="1">
        <v>10</v>
      </c>
      <c r="U26" s="1">
        <v>19</v>
      </c>
      <c r="V26" s="1">
        <v>11</v>
      </c>
      <c r="W26" s="1">
        <v>4</v>
      </c>
      <c r="X26" s="1">
        <v>4</v>
      </c>
      <c r="Y26" s="1">
        <v>6</v>
      </c>
      <c r="Z26" s="1">
        <v>4</v>
      </c>
      <c r="AA26" s="8">
        <f t="shared" si="0"/>
        <v>0.12121212121212122</v>
      </c>
      <c r="AB26" s="8">
        <f t="shared" si="1"/>
        <v>-5.4054054054054057E-2</v>
      </c>
      <c r="AC26" s="8">
        <f t="shared" si="2"/>
        <v>-0.77142857142857146</v>
      </c>
      <c r="AD26" s="8">
        <f t="shared" si="3"/>
        <v>0.375</v>
      </c>
      <c r="AE26" s="8">
        <f t="shared" si="4"/>
        <v>0.72727272727272729</v>
      </c>
      <c r="AF26" s="8">
        <f t="shared" si="5"/>
        <v>0.21052631578947367</v>
      </c>
      <c r="AG26" s="12">
        <f t="shared" si="6"/>
        <v>0.10142142313194945</v>
      </c>
      <c r="AH26" s="12">
        <f t="shared" si="7"/>
        <v>0.16586921850079744</v>
      </c>
      <c r="AI26" s="1">
        <f t="shared" si="8"/>
        <v>4</v>
      </c>
      <c r="AJ26" s="1">
        <f t="shared" si="9"/>
        <v>-2</v>
      </c>
      <c r="AK26" s="1">
        <f t="shared" si="10"/>
        <v>-27</v>
      </c>
      <c r="AL26" s="1">
        <f t="shared" si="11"/>
        <v>3</v>
      </c>
      <c r="AM26" s="1">
        <f t="shared" si="12"/>
        <v>8</v>
      </c>
      <c r="AN26" s="1">
        <f t="shared" si="13"/>
        <v>4</v>
      </c>
      <c r="AO26" s="17">
        <f t="shared" si="14"/>
        <v>-1.6666666666666667</v>
      </c>
      <c r="AP26" s="17">
        <f t="shared" si="15"/>
        <v>3.5</v>
      </c>
      <c r="AQ26" s="1">
        <f t="shared" si="16"/>
        <v>-0.21739130434782608</v>
      </c>
      <c r="AR26" s="1">
        <f t="shared" si="17"/>
        <v>0.33333333333333331</v>
      </c>
      <c r="AS26" s="1">
        <f t="shared" si="18"/>
        <v>-0.83333333333333337</v>
      </c>
      <c r="AT26" s="1">
        <f t="shared" si="19"/>
        <v>0.75</v>
      </c>
      <c r="AU26" s="1">
        <f t="shared" si="20"/>
        <v>0.8571428571428571</v>
      </c>
      <c r="AV26" s="1">
        <f t="shared" si="21"/>
        <v>0.46153846153846156</v>
      </c>
      <c r="AW26" s="12">
        <f t="shared" si="22"/>
        <v>0.22521500238891543</v>
      </c>
      <c r="AX26" s="12">
        <f t="shared" si="23"/>
        <v>0.39743589743589747</v>
      </c>
      <c r="AY26" s="1">
        <f t="shared" si="24"/>
        <v>-5</v>
      </c>
      <c r="AZ26" s="1">
        <f t="shared" si="25"/>
        <v>6</v>
      </c>
      <c r="BA26" s="1">
        <f t="shared" si="26"/>
        <v>-20</v>
      </c>
      <c r="BB26" s="1">
        <f t="shared" si="27"/>
        <v>3</v>
      </c>
      <c r="BC26" s="1">
        <f t="shared" si="28"/>
        <v>6</v>
      </c>
      <c r="BD26" s="1">
        <f t="shared" si="29"/>
        <v>6</v>
      </c>
      <c r="BE26" s="19">
        <f t="shared" si="30"/>
        <v>-0.66666666666666663</v>
      </c>
      <c r="BF26" s="19">
        <f t="shared" si="31"/>
        <v>4.5</v>
      </c>
      <c r="BG26" s="9">
        <f t="shared" si="32"/>
        <v>0.9</v>
      </c>
      <c r="BH26" s="9">
        <f t="shared" si="33"/>
        <v>-0.42105263157894735</v>
      </c>
      <c r="BI26" s="9">
        <f t="shared" si="34"/>
        <v>-0.63636363636363635</v>
      </c>
      <c r="BJ26" s="9">
        <f t="shared" si="35"/>
        <v>0</v>
      </c>
      <c r="BK26" s="9">
        <f t="shared" si="36"/>
        <v>0.5</v>
      </c>
      <c r="BL26" s="9">
        <f t="shared" si="37"/>
        <v>-0.33333333333333331</v>
      </c>
      <c r="BM26" s="12">
        <f t="shared" si="38"/>
        <v>1.5417331206805014E-3</v>
      </c>
      <c r="BN26" s="13">
        <f t="shared" si="39"/>
        <v>-0.16666666666666666</v>
      </c>
      <c r="BO26" s="1">
        <f t="shared" si="40"/>
        <v>9</v>
      </c>
      <c r="BP26" s="1">
        <f t="shared" si="41"/>
        <v>-8</v>
      </c>
      <c r="BQ26" s="1">
        <f t="shared" si="42"/>
        <v>-7</v>
      </c>
      <c r="BR26" s="1">
        <f t="shared" si="43"/>
        <v>0</v>
      </c>
      <c r="BS26" s="1">
        <f t="shared" si="44"/>
        <v>2</v>
      </c>
      <c r="BT26" s="1">
        <f t="shared" si="45"/>
        <v>-2</v>
      </c>
      <c r="BU26" s="19">
        <f t="shared" si="46"/>
        <v>-1</v>
      </c>
      <c r="BV26" s="17">
        <f t="shared" si="47"/>
        <v>-1</v>
      </c>
    </row>
    <row r="27" spans="1:74" x14ac:dyDescent="0.25">
      <c r="A27" s="20">
        <v>90</v>
      </c>
      <c r="B27" s="1" t="str">
        <f>_xlfn.XLOOKUP(Tabla10[[#This Row],[prov_res]],Hoja1!$A$34:$A$60,Hoja1!$B$34:$B$60,"",0)</f>
        <v>Zonas no delimitadas (código especial)</v>
      </c>
      <c r="C27" s="1">
        <v>1</v>
      </c>
      <c r="J27" s="1">
        <f>+SUM(Tabla10[[#This Row],[2017]:[2023]])</f>
        <v>1</v>
      </c>
      <c r="K27" s="1">
        <f>+AVERAGE(Tabla10[[#This Row],[2017]:[suma]])</f>
        <v>1</v>
      </c>
      <c r="L27" s="1">
        <f>+MEDIAN(Tabla10[[#This Row],[2017]:[suma]])</f>
        <v>1</v>
      </c>
      <c r="M27" s="1">
        <v>1</v>
      </c>
      <c r="AA27" s="8">
        <f t="shared" si="0"/>
        <v>-1</v>
      </c>
      <c r="AB27" s="8" t="e">
        <f t="shared" si="1"/>
        <v>#DIV/0!</v>
      </c>
      <c r="AC27" s="8" t="e">
        <f t="shared" si="2"/>
        <v>#DIV/0!</v>
      </c>
      <c r="AD27" s="8" t="e">
        <f t="shared" si="3"/>
        <v>#DIV/0!</v>
      </c>
      <c r="AE27" s="8" t="e">
        <f t="shared" si="4"/>
        <v>#DIV/0!</v>
      </c>
      <c r="AF27" s="8" t="e">
        <f t="shared" si="5"/>
        <v>#DIV/0!</v>
      </c>
      <c r="AG27" s="12" t="e">
        <f t="shared" si="6"/>
        <v>#DIV/0!</v>
      </c>
      <c r="AH27" s="12" t="e">
        <f t="shared" si="7"/>
        <v>#DIV/0!</v>
      </c>
      <c r="AI27" s="1">
        <f t="shared" si="8"/>
        <v>-1</v>
      </c>
      <c r="AJ27" s="1">
        <f t="shared" si="9"/>
        <v>0</v>
      </c>
      <c r="AK27" s="1">
        <f t="shared" si="10"/>
        <v>0</v>
      </c>
      <c r="AL27" s="1">
        <f t="shared" si="11"/>
        <v>0</v>
      </c>
      <c r="AM27" s="1">
        <f t="shared" si="12"/>
        <v>0</v>
      </c>
      <c r="AN27" s="1">
        <f t="shared" si="13"/>
        <v>0</v>
      </c>
      <c r="AO27" s="17">
        <f t="shared" si="14"/>
        <v>-0.16666666666666666</v>
      </c>
      <c r="AP27" s="17">
        <f t="shared" si="15"/>
        <v>0</v>
      </c>
      <c r="AQ27" s="1">
        <f t="shared" si="16"/>
        <v>-1</v>
      </c>
      <c r="AR27" s="1" t="e">
        <f t="shared" si="17"/>
        <v>#DIV/0!</v>
      </c>
      <c r="AS27" s="1" t="e">
        <f t="shared" si="18"/>
        <v>#DIV/0!</v>
      </c>
      <c r="AT27" s="1" t="e">
        <f t="shared" si="19"/>
        <v>#DIV/0!</v>
      </c>
      <c r="AU27" s="1" t="e">
        <f t="shared" si="20"/>
        <v>#DIV/0!</v>
      </c>
      <c r="AV27" s="1" t="e">
        <f t="shared" si="21"/>
        <v>#DIV/0!</v>
      </c>
      <c r="AW27" s="12" t="e">
        <f t="shared" si="22"/>
        <v>#DIV/0!</v>
      </c>
      <c r="AX27" s="12" t="e">
        <f t="shared" si="23"/>
        <v>#DIV/0!</v>
      </c>
      <c r="AY27" s="1">
        <f t="shared" si="24"/>
        <v>-1</v>
      </c>
      <c r="AZ27" s="1">
        <f t="shared" si="25"/>
        <v>0</v>
      </c>
      <c r="BA27" s="1">
        <f t="shared" si="26"/>
        <v>0</v>
      </c>
      <c r="BB27" s="1">
        <f t="shared" si="27"/>
        <v>0</v>
      </c>
      <c r="BC27" s="1">
        <f t="shared" si="28"/>
        <v>0</v>
      </c>
      <c r="BD27" s="1">
        <f t="shared" si="29"/>
        <v>0</v>
      </c>
      <c r="BE27" s="19">
        <f t="shared" si="30"/>
        <v>-0.16666666666666666</v>
      </c>
      <c r="BF27" s="19">
        <f t="shared" si="31"/>
        <v>0</v>
      </c>
      <c r="BG27" s="9" t="e">
        <f t="shared" si="32"/>
        <v>#DIV/0!</v>
      </c>
      <c r="BH27" s="9" t="e">
        <f t="shared" si="33"/>
        <v>#DIV/0!</v>
      </c>
      <c r="BI27" s="9" t="e">
        <f t="shared" si="34"/>
        <v>#DIV/0!</v>
      </c>
      <c r="BJ27" s="9" t="e">
        <f t="shared" si="35"/>
        <v>#DIV/0!</v>
      </c>
      <c r="BK27" s="9" t="e">
        <f t="shared" si="36"/>
        <v>#DIV/0!</v>
      </c>
      <c r="BL27" s="9" t="e">
        <f t="shared" si="37"/>
        <v>#DIV/0!</v>
      </c>
      <c r="BM27" s="12" t="e">
        <f t="shared" si="38"/>
        <v>#DIV/0!</v>
      </c>
      <c r="BN27" s="13" t="e">
        <f t="shared" si="39"/>
        <v>#DIV/0!</v>
      </c>
      <c r="BO27" s="1">
        <f t="shared" si="40"/>
        <v>0</v>
      </c>
      <c r="BP27" s="1">
        <f t="shared" si="41"/>
        <v>0</v>
      </c>
      <c r="BQ27" s="1">
        <f t="shared" si="42"/>
        <v>0</v>
      </c>
      <c r="BR27" s="1">
        <f t="shared" si="43"/>
        <v>0</v>
      </c>
      <c r="BS27" s="1">
        <f t="shared" si="44"/>
        <v>0</v>
      </c>
      <c r="BT27" s="1">
        <f t="shared" si="45"/>
        <v>0</v>
      </c>
      <c r="BU27" s="19">
        <f t="shared" si="46"/>
        <v>0</v>
      </c>
      <c r="BV27" s="17">
        <f t="shared" si="47"/>
        <v>0</v>
      </c>
    </row>
    <row r="28" spans="1:74" x14ac:dyDescent="0.25">
      <c r="A28" s="26"/>
      <c r="B28" s="26"/>
      <c r="C28" s="26">
        <f>SUBTOTAL(109,Tabla10[2017])</f>
        <v>51750</v>
      </c>
      <c r="D28" s="26">
        <f>SUBTOTAL(109,Tabla10[2018])</f>
        <v>53044</v>
      </c>
      <c r="E28" s="26">
        <f>SUBTOTAL(109,Tabla10[2019])</f>
        <v>55469</v>
      </c>
      <c r="F28" s="26">
        <f>SUBTOTAL(109,Tabla10[2020])</f>
        <v>73732</v>
      </c>
      <c r="G28" s="26">
        <f>SUBTOTAL(109,Tabla10[2021])</f>
        <v>64945</v>
      </c>
      <c r="H28" s="26">
        <f>SUBTOTAL(109,Tabla10[2022])</f>
        <v>65325</v>
      </c>
      <c r="I28" s="26">
        <f>SUBTOTAL(109,Tabla10[2023])</f>
        <v>63161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33"/>
      <c r="AB28" s="33"/>
      <c r="AC28" s="33"/>
      <c r="AD28" s="33"/>
      <c r="AE28" s="33"/>
      <c r="AF28" s="33"/>
      <c r="AG28" s="28"/>
      <c r="AH28" s="28"/>
      <c r="AI28" s="26"/>
      <c r="AJ28" s="26"/>
      <c r="AK28" s="26"/>
      <c r="AL28" s="26"/>
      <c r="AM28" s="26"/>
      <c r="AN28" s="26"/>
      <c r="AO28" s="30"/>
      <c r="AP28" s="30"/>
      <c r="AQ28" s="26"/>
      <c r="AR28" s="26"/>
      <c r="AS28" s="26"/>
      <c r="AT28" s="26"/>
      <c r="AU28" s="26"/>
      <c r="AV28" s="26"/>
      <c r="AW28" s="28"/>
      <c r="AX28" s="28"/>
      <c r="AY28" s="26"/>
      <c r="AZ28" s="26"/>
      <c r="BA28" s="26"/>
      <c r="BB28" s="26"/>
      <c r="BC28" s="26"/>
      <c r="BD28" s="26"/>
      <c r="BE28" s="30"/>
      <c r="BF28" s="30"/>
      <c r="BG28" s="34"/>
      <c r="BH28" s="34"/>
      <c r="BI28" s="34"/>
      <c r="BJ28" s="34"/>
      <c r="BK28" s="34"/>
      <c r="BL28" s="34"/>
      <c r="BM28" s="28"/>
      <c r="BN28" s="28"/>
      <c r="BO28" s="26"/>
      <c r="BP28" s="26"/>
      <c r="BQ28" s="26"/>
      <c r="BR28" s="26"/>
      <c r="BS28" s="26"/>
      <c r="BT28" s="26"/>
      <c r="BU28" s="30"/>
      <c r="BV28" s="30"/>
    </row>
    <row r="29" spans="1:74" x14ac:dyDescent="0.25">
      <c r="AA29" s="8"/>
      <c r="AB29" s="8"/>
      <c r="AC29" s="8"/>
      <c r="AD29" s="8"/>
      <c r="AE29" s="8"/>
      <c r="AF29" s="8"/>
      <c r="AG29" s="12"/>
      <c r="AH29" s="12"/>
      <c r="AI29" s="1"/>
      <c r="AJ29" s="1"/>
      <c r="AK29" s="1"/>
      <c r="AL29" s="1"/>
      <c r="AM29" s="1"/>
      <c r="AN29" s="1"/>
      <c r="AO29" s="17"/>
      <c r="AP29" s="17"/>
      <c r="AQ29" s="1"/>
      <c r="AR29" s="1"/>
      <c r="AS29" s="1"/>
      <c r="AT29" s="1"/>
      <c r="AU29" s="1"/>
      <c r="AV29" s="1"/>
      <c r="AW29" s="12"/>
      <c r="AX29" s="12"/>
      <c r="AY29" s="1"/>
      <c r="AZ29" s="1"/>
      <c r="BA29" s="1"/>
      <c r="BB29" s="1"/>
      <c r="BC29" s="1"/>
      <c r="BD29" s="1"/>
      <c r="BE29" s="19"/>
      <c r="BF29" s="19"/>
      <c r="BG29" s="9"/>
      <c r="BH29" s="9"/>
      <c r="BI29" s="9"/>
      <c r="BJ29" s="9"/>
      <c r="BK29" s="9"/>
      <c r="BL29" s="9"/>
      <c r="BM29" s="12"/>
      <c r="BN29" s="13"/>
      <c r="BO29" s="1"/>
      <c r="BP29" s="1"/>
      <c r="BQ29" s="1"/>
      <c r="BR29" s="1"/>
      <c r="BS29" s="1"/>
      <c r="BT29" s="1"/>
      <c r="BU29" s="19"/>
      <c r="BV29" s="17"/>
    </row>
    <row r="30" spans="1:74" x14ac:dyDescent="0.25">
      <c r="AA30" s="8"/>
      <c r="AB30" s="8"/>
      <c r="AC30" s="8"/>
      <c r="AD30" s="8"/>
      <c r="AE30" s="8"/>
      <c r="AF30" s="8"/>
      <c r="AG30" s="12"/>
      <c r="AH30" s="12"/>
      <c r="AI30" s="1"/>
      <c r="AJ30" s="1"/>
      <c r="AK30" s="1"/>
      <c r="AL30" s="1"/>
      <c r="AM30" s="1"/>
      <c r="AN30" s="1"/>
      <c r="AO30" s="17"/>
      <c r="AP30" s="17"/>
      <c r="AQ30" s="1"/>
      <c r="AR30" s="1"/>
      <c r="AS30" s="1"/>
      <c r="AT30" s="1"/>
      <c r="AU30" s="1"/>
      <c r="AV30" s="1"/>
      <c r="AW30" s="12"/>
      <c r="AX30" s="12"/>
      <c r="AY30" s="1"/>
      <c r="AZ30" s="1"/>
      <c r="BA30" s="1"/>
      <c r="BB30" s="1"/>
      <c r="BC30" s="1"/>
      <c r="BD30" s="1"/>
      <c r="BE30" s="19"/>
      <c r="BF30" s="19"/>
      <c r="BG30" s="9"/>
      <c r="BH30" s="9"/>
      <c r="BI30" s="9"/>
      <c r="BJ30" s="9"/>
      <c r="BK30" s="9"/>
      <c r="BL30" s="9"/>
      <c r="BM30" s="12"/>
      <c r="BN30" s="13"/>
      <c r="BO30" s="1"/>
      <c r="BP30" s="1"/>
      <c r="BQ30" s="1"/>
      <c r="BR30" s="1"/>
      <c r="BS30" s="1"/>
      <c r="BT30" s="1"/>
      <c r="BU30" s="19"/>
      <c r="BV30" s="17"/>
    </row>
    <row r="31" spans="1:74" x14ac:dyDescent="0.25">
      <c r="AA31" s="8"/>
      <c r="AB31" s="8"/>
      <c r="AC31" s="8"/>
      <c r="AD31" s="8"/>
      <c r="AE31" s="8"/>
      <c r="AF31" s="8"/>
      <c r="AG31" s="12"/>
      <c r="AH31" s="12"/>
      <c r="AI31" s="1"/>
      <c r="AJ31" s="1"/>
      <c r="AK31" s="1"/>
      <c r="AL31" s="1"/>
      <c r="AM31" s="1"/>
      <c r="AN31" s="1"/>
      <c r="AO31" s="17"/>
      <c r="AP31" s="17"/>
      <c r="AQ31" s="1"/>
      <c r="AR31" s="1"/>
      <c r="AS31" s="1"/>
      <c r="AT31" s="1"/>
      <c r="AU31" s="1"/>
      <c r="AV31" s="1"/>
      <c r="AW31" s="12"/>
      <c r="AX31" s="12"/>
      <c r="AY31" s="1"/>
      <c r="AZ31" s="1"/>
      <c r="BA31" s="1"/>
      <c r="BB31" s="1"/>
      <c r="BC31" s="1"/>
      <c r="BD31" s="1"/>
      <c r="BE31" s="19"/>
      <c r="BF31" s="19"/>
      <c r="BG31" s="9"/>
      <c r="BH31" s="9"/>
      <c r="BI31" s="9"/>
      <c r="BJ31" s="9"/>
      <c r="BK31" s="9"/>
      <c r="BL31" s="9"/>
      <c r="BM31" s="12"/>
      <c r="BN31" s="13"/>
      <c r="BO31" s="1"/>
      <c r="BP31" s="1"/>
      <c r="BQ31" s="1"/>
      <c r="BR31" s="1"/>
      <c r="BS31" s="1"/>
      <c r="BT31" s="1"/>
      <c r="BU31" s="19"/>
      <c r="BV31" s="17"/>
    </row>
    <row r="32" spans="1:74" x14ac:dyDescent="0.25">
      <c r="AA32" s="8"/>
      <c r="AB32" s="8"/>
      <c r="AC32" s="8"/>
      <c r="AD32" s="8"/>
      <c r="AE32" s="8"/>
      <c r="AF32" s="8"/>
      <c r="AG32" s="12"/>
      <c r="AH32" s="12"/>
      <c r="AI32" s="1"/>
      <c r="AJ32" s="1"/>
      <c r="AK32" s="1"/>
      <c r="AL32" s="1"/>
      <c r="AM32" s="1"/>
      <c r="AN32" s="1"/>
      <c r="AO32" s="17"/>
      <c r="AP32" s="17"/>
      <c r="AQ32" s="1"/>
      <c r="AR32" s="1"/>
      <c r="AS32" s="1"/>
      <c r="AT32" s="1"/>
      <c r="AU32" s="1"/>
      <c r="AV32" s="1"/>
      <c r="AW32" s="12"/>
      <c r="AX32" s="12"/>
      <c r="AY32" s="1"/>
      <c r="AZ32" s="1"/>
      <c r="BA32" s="1"/>
      <c r="BB32" s="1"/>
      <c r="BC32" s="1"/>
      <c r="BD32" s="1"/>
      <c r="BE32" s="19"/>
      <c r="BF32" s="19"/>
      <c r="BG32" s="9"/>
      <c r="BH32" s="9"/>
      <c r="BI32" s="9"/>
      <c r="BJ32" s="9"/>
      <c r="BK32" s="9"/>
      <c r="BL32" s="9"/>
      <c r="BM32" s="12"/>
      <c r="BN32" s="13"/>
      <c r="BO32" s="1"/>
      <c r="BP32" s="1"/>
      <c r="BQ32" s="1"/>
      <c r="BR32" s="1"/>
      <c r="BS32" s="1"/>
      <c r="BT32" s="1"/>
      <c r="BU32" s="19"/>
      <c r="BV32" s="17"/>
    </row>
    <row r="33" spans="3:74" x14ac:dyDescent="0.25">
      <c r="J33" s="50">
        <v>9</v>
      </c>
      <c r="K33" s="52">
        <v>-7.0918957864515575E-3</v>
      </c>
      <c r="AA33" s="8"/>
      <c r="AB33" s="8"/>
      <c r="AC33" s="8"/>
      <c r="AD33" s="8"/>
      <c r="AE33" s="8"/>
      <c r="AF33" s="8"/>
      <c r="AG33" s="12"/>
      <c r="AH33" s="12"/>
      <c r="AI33" s="1"/>
      <c r="AJ33" s="1"/>
      <c r="AK33" s="1"/>
      <c r="AL33" s="1"/>
      <c r="AM33" s="1"/>
      <c r="AN33" s="1"/>
      <c r="AO33" s="17"/>
      <c r="AP33" s="17"/>
      <c r="AQ33" s="1"/>
      <c r="AR33" s="1"/>
      <c r="AS33" s="1"/>
      <c r="AT33" s="1"/>
      <c r="AU33" s="1"/>
      <c r="AV33" s="1"/>
      <c r="AW33" s="12"/>
      <c r="AX33" s="12"/>
      <c r="AY33" s="1"/>
      <c r="AZ33" s="1"/>
      <c r="BA33" s="1"/>
      <c r="BB33" s="1"/>
      <c r="BC33" s="1"/>
      <c r="BD33" s="1"/>
      <c r="BE33" s="19"/>
      <c r="BF33" s="19"/>
      <c r="BG33" s="9"/>
      <c r="BH33" s="9"/>
      <c r="BI33" s="9"/>
      <c r="BJ33" s="9"/>
      <c r="BK33" s="9"/>
      <c r="BL33" s="9"/>
      <c r="BM33" s="12"/>
      <c r="BN33" s="13"/>
      <c r="BO33" s="1"/>
      <c r="BP33" s="1"/>
      <c r="BQ33" s="1"/>
      <c r="BR33" s="1"/>
      <c r="BS33" s="1"/>
      <c r="BT33" s="1"/>
      <c r="BU33" s="19"/>
      <c r="BV33" s="17"/>
    </row>
    <row r="34" spans="3:74" x14ac:dyDescent="0.25">
      <c r="J34" s="51">
        <v>17</v>
      </c>
      <c r="K34" s="52">
        <v>4.8383744504416001E-3</v>
      </c>
      <c r="AA34" s="8"/>
      <c r="AB34" s="8"/>
      <c r="AC34" s="8"/>
      <c r="AD34" s="8"/>
      <c r="AE34" s="8"/>
      <c r="AF34" s="8"/>
      <c r="AG34" s="12"/>
      <c r="AH34" s="12"/>
      <c r="AI34" s="1"/>
      <c r="AJ34" s="1"/>
      <c r="AK34" s="1"/>
      <c r="AL34" s="1"/>
      <c r="AM34" s="1"/>
      <c r="AN34" s="1"/>
      <c r="AO34" s="17"/>
      <c r="AP34" s="17"/>
      <c r="AQ34" s="1"/>
      <c r="AR34" s="1"/>
      <c r="AS34" s="1"/>
      <c r="AT34" s="1"/>
      <c r="AU34" s="1"/>
      <c r="AV34" s="1"/>
      <c r="AW34" s="12"/>
      <c r="AX34" s="12"/>
      <c r="AY34" s="1"/>
      <c r="AZ34" s="1"/>
      <c r="BA34" s="1"/>
      <c r="BB34" s="1"/>
      <c r="BC34" s="1"/>
      <c r="BD34" s="1"/>
      <c r="BE34" s="19"/>
      <c r="BF34" s="19"/>
      <c r="BG34" s="9"/>
      <c r="BH34" s="9"/>
      <c r="BI34" s="9"/>
      <c r="BJ34" s="9"/>
      <c r="BK34" s="9"/>
      <c r="BL34" s="9"/>
      <c r="BM34" s="12"/>
      <c r="BN34" s="13"/>
      <c r="BO34" s="1"/>
      <c r="BP34" s="1"/>
      <c r="BQ34" s="1"/>
      <c r="BR34" s="1"/>
      <c r="BS34" s="1"/>
      <c r="BT34" s="1"/>
      <c r="BU34" s="19"/>
      <c r="BV34" s="17"/>
    </row>
    <row r="35" spans="3:74" x14ac:dyDescent="0.25">
      <c r="J35" s="50">
        <v>13</v>
      </c>
      <c r="K35" s="52">
        <v>3.3582245074110478E-2</v>
      </c>
      <c r="AA35" s="8"/>
      <c r="AB35" s="8"/>
      <c r="AC35" s="8"/>
      <c r="AD35" s="8"/>
      <c r="AE35" s="8"/>
      <c r="AF35" s="8"/>
      <c r="AG35" s="12"/>
      <c r="AH35" s="12"/>
      <c r="AI35" s="1"/>
      <c r="AJ35" s="1"/>
      <c r="AK35" s="1"/>
      <c r="AL35" s="1"/>
      <c r="AM35" s="1"/>
      <c r="AN35" s="1"/>
      <c r="AO35" s="17"/>
      <c r="AP35" s="17"/>
      <c r="AQ35" s="1"/>
      <c r="AR35" s="1"/>
      <c r="AS35" s="1"/>
      <c r="AT35" s="1"/>
      <c r="AU35" s="1"/>
      <c r="AV35" s="1"/>
      <c r="AW35" s="12"/>
      <c r="AX35" s="12"/>
      <c r="AY35" s="1"/>
      <c r="AZ35" s="1"/>
      <c r="BA35" s="1"/>
      <c r="BB35" s="1"/>
      <c r="BC35" s="1"/>
      <c r="BD35" s="1"/>
      <c r="BE35" s="19"/>
      <c r="BF35" s="19"/>
      <c r="BG35" s="9"/>
      <c r="BH35" s="9"/>
      <c r="BI35" s="9"/>
      <c r="BJ35" s="9"/>
      <c r="BK35" s="9"/>
      <c r="BL35" s="9"/>
      <c r="BM35" s="12"/>
      <c r="BN35" s="13"/>
      <c r="BO35" s="1"/>
      <c r="BP35" s="1"/>
      <c r="BQ35" s="1"/>
      <c r="BR35" s="1"/>
      <c r="BS35" s="1"/>
      <c r="BT35" s="1"/>
      <c r="BU35" s="19"/>
      <c r="BV35" s="17"/>
    </row>
    <row r="36" spans="3:74" x14ac:dyDescent="0.25">
      <c r="C36" s="50"/>
      <c r="D36" s="49"/>
      <c r="J36" s="51">
        <v>12</v>
      </c>
      <c r="K36" s="52">
        <v>8.6322958847477836E-3</v>
      </c>
      <c r="AA36" s="8"/>
      <c r="AB36" s="8"/>
      <c r="AC36" s="8"/>
      <c r="AD36" s="8"/>
      <c r="AE36" s="8"/>
      <c r="AF36" s="8"/>
      <c r="AG36" s="12"/>
      <c r="AH36" s="12"/>
      <c r="AI36" s="1"/>
      <c r="AJ36" s="1"/>
      <c r="AK36" s="1"/>
      <c r="AL36" s="1"/>
      <c r="AM36" s="1"/>
      <c r="AN36" s="1"/>
      <c r="AO36" s="17"/>
      <c r="AP36" s="17"/>
      <c r="AQ36" s="1"/>
      <c r="AR36" s="1"/>
      <c r="AS36" s="1"/>
      <c r="AT36" s="1"/>
      <c r="AU36" s="1"/>
      <c r="AV36" s="1"/>
      <c r="AW36" s="12"/>
      <c r="AX36" s="12"/>
      <c r="AY36" s="1"/>
      <c r="AZ36" s="1"/>
      <c r="BA36" s="1"/>
      <c r="BB36" s="1"/>
      <c r="BC36" s="1"/>
      <c r="BD36" s="1"/>
      <c r="BE36" s="19"/>
      <c r="BF36" s="19"/>
      <c r="BG36" s="9"/>
      <c r="BH36" s="9"/>
      <c r="BI36" s="9"/>
      <c r="BJ36" s="9"/>
      <c r="BK36" s="9"/>
      <c r="BL36" s="9"/>
      <c r="BM36" s="12"/>
      <c r="BN36" s="13"/>
      <c r="BO36" s="1"/>
      <c r="BP36" s="1"/>
      <c r="BQ36" s="1"/>
      <c r="BR36" s="1"/>
      <c r="BS36" s="1"/>
      <c r="BT36" s="1"/>
      <c r="BU36" s="19"/>
      <c r="BV36" s="17"/>
    </row>
    <row r="37" spans="3:74" x14ac:dyDescent="0.25">
      <c r="C37" s="51"/>
      <c r="D37" s="49"/>
      <c r="J37" s="50">
        <v>1</v>
      </c>
      <c r="K37" s="52">
        <v>3.8844508026535676E-2</v>
      </c>
      <c r="AA37" s="8"/>
      <c r="AB37" s="8"/>
      <c r="AC37" s="8"/>
      <c r="AD37" s="8"/>
      <c r="AE37" s="8"/>
      <c r="AF37" s="8"/>
      <c r="AG37" s="12"/>
      <c r="AH37" s="12"/>
      <c r="AI37" s="1"/>
      <c r="AJ37" s="1"/>
      <c r="AK37" s="1"/>
      <c r="AL37" s="1"/>
      <c r="AM37" s="1"/>
      <c r="AN37" s="1"/>
      <c r="AO37" s="17"/>
      <c r="AP37" s="17"/>
      <c r="AQ37" s="1"/>
      <c r="AR37" s="1"/>
      <c r="AS37" s="1"/>
      <c r="AT37" s="1"/>
      <c r="AU37" s="1"/>
      <c r="AV37" s="1"/>
      <c r="AW37" s="12"/>
      <c r="AX37" s="12"/>
      <c r="AY37" s="1"/>
      <c r="AZ37" s="1"/>
      <c r="BA37" s="1"/>
      <c r="BB37" s="1"/>
      <c r="BC37" s="1"/>
      <c r="BD37" s="1"/>
      <c r="BE37" s="19"/>
      <c r="BF37" s="19"/>
      <c r="BG37" s="9"/>
      <c r="BH37" s="9"/>
      <c r="BI37" s="9"/>
      <c r="BJ37" s="9"/>
      <c r="BK37" s="9"/>
      <c r="BL37" s="9"/>
      <c r="BM37" s="12"/>
      <c r="BN37" s="13"/>
      <c r="BO37" s="1"/>
      <c r="BP37" s="1"/>
      <c r="BQ37" s="1"/>
      <c r="BR37" s="1"/>
      <c r="BS37" s="1"/>
      <c r="BT37" s="1"/>
      <c r="BU37" s="19"/>
      <c r="BV37" s="17"/>
    </row>
    <row r="38" spans="3:74" x14ac:dyDescent="0.25">
      <c r="C38" s="50"/>
      <c r="D38" s="49"/>
      <c r="J38" s="51">
        <v>7</v>
      </c>
      <c r="K38" s="52">
        <v>3.8800265869059491E-2</v>
      </c>
      <c r="AA38" s="8"/>
      <c r="AB38" s="8"/>
      <c r="AC38" s="8"/>
      <c r="AD38" s="8"/>
      <c r="AE38" s="8"/>
      <c r="AF38" s="8"/>
      <c r="AG38" s="12"/>
      <c r="AH38" s="12"/>
      <c r="AI38" s="1"/>
      <c r="AJ38" s="1"/>
      <c r="AK38" s="1"/>
      <c r="AL38" s="1"/>
      <c r="AM38" s="1"/>
      <c r="AN38" s="1"/>
      <c r="AO38" s="17"/>
      <c r="AP38" s="17"/>
      <c r="AQ38" s="1"/>
      <c r="AR38" s="1"/>
      <c r="AS38" s="1"/>
      <c r="AT38" s="1"/>
      <c r="AU38" s="1"/>
      <c r="AV38" s="1"/>
      <c r="AW38" s="12"/>
      <c r="AX38" s="12"/>
      <c r="AY38" s="1"/>
      <c r="AZ38" s="1"/>
      <c r="BA38" s="1"/>
      <c r="BB38" s="1"/>
      <c r="BC38" s="1"/>
      <c r="BD38" s="1"/>
      <c r="BE38" s="19"/>
      <c r="BF38" s="19"/>
      <c r="BG38" s="9"/>
      <c r="BH38" s="9"/>
      <c r="BI38" s="9"/>
      <c r="BJ38" s="9"/>
      <c r="BK38" s="9"/>
      <c r="BL38" s="9"/>
      <c r="BM38" s="12"/>
      <c r="BN38" s="13"/>
      <c r="BO38" s="1"/>
      <c r="BP38" s="1"/>
      <c r="BQ38" s="1"/>
      <c r="BR38" s="1"/>
      <c r="BS38" s="1"/>
      <c r="BT38" s="1"/>
      <c r="BU38" s="19"/>
      <c r="BV38" s="17"/>
    </row>
    <row r="39" spans="3:74" x14ac:dyDescent="0.25">
      <c r="C39" s="51"/>
      <c r="D39" s="49"/>
      <c r="J39" s="50">
        <v>18</v>
      </c>
      <c r="K39" s="52">
        <v>1.10417726346338E-2</v>
      </c>
      <c r="AA39" s="8"/>
      <c r="AB39" s="8"/>
      <c r="AC39" s="8"/>
      <c r="AD39" s="8"/>
      <c r="AE39" s="8"/>
      <c r="AF39" s="8"/>
      <c r="AG39" s="12"/>
      <c r="AH39" s="12"/>
      <c r="AI39" s="1"/>
      <c r="AJ39" s="1"/>
      <c r="AK39" s="1"/>
      <c r="AL39" s="1"/>
      <c r="AM39" s="1"/>
      <c r="AN39" s="1"/>
      <c r="AO39" s="17"/>
      <c r="AP39" s="17"/>
      <c r="AQ39" s="1"/>
      <c r="AR39" s="1"/>
      <c r="AS39" s="1"/>
      <c r="AT39" s="1"/>
      <c r="AU39" s="1"/>
      <c r="AV39" s="1"/>
      <c r="AW39" s="12"/>
      <c r="AX39" s="12"/>
      <c r="AY39" s="1"/>
      <c r="AZ39" s="1"/>
      <c r="BA39" s="1"/>
      <c r="BB39" s="1"/>
      <c r="BC39" s="1"/>
      <c r="BD39" s="1"/>
      <c r="BE39" s="19"/>
      <c r="BF39" s="19"/>
      <c r="BG39" s="9"/>
      <c r="BH39" s="9"/>
      <c r="BI39" s="9"/>
      <c r="BJ39" s="9"/>
      <c r="BK39" s="9"/>
      <c r="BL39" s="9"/>
      <c r="BM39" s="12"/>
      <c r="BN39" s="13"/>
      <c r="BO39" s="1"/>
      <c r="BP39" s="1"/>
      <c r="BQ39" s="1"/>
      <c r="BR39" s="1"/>
      <c r="BS39" s="1"/>
      <c r="BT39" s="1"/>
      <c r="BU39" s="19"/>
      <c r="BV39" s="17"/>
    </row>
    <row r="40" spans="3:74" x14ac:dyDescent="0.25">
      <c r="C40" s="50"/>
      <c r="D40" s="49"/>
      <c r="J40" s="51">
        <v>11</v>
      </c>
      <c r="K40" s="52">
        <v>2.3176860691476765E-2</v>
      </c>
      <c r="AA40" s="8"/>
      <c r="AB40" s="8"/>
      <c r="AC40" s="8"/>
      <c r="AD40" s="8"/>
      <c r="AE40" s="8"/>
      <c r="AF40" s="8"/>
      <c r="AG40" s="12"/>
      <c r="AH40" s="12"/>
      <c r="AI40" s="1"/>
      <c r="AJ40" s="1"/>
      <c r="AK40" s="1"/>
      <c r="AL40" s="1"/>
      <c r="AM40" s="1"/>
      <c r="AN40" s="1"/>
      <c r="AO40" s="17"/>
      <c r="AP40" s="17"/>
      <c r="AQ40" s="1"/>
      <c r="AR40" s="1"/>
      <c r="AS40" s="1"/>
      <c r="AT40" s="1"/>
      <c r="AU40" s="1"/>
      <c r="AV40" s="1"/>
      <c r="AW40" s="12"/>
      <c r="AX40" s="12"/>
      <c r="AY40" s="1"/>
      <c r="AZ40" s="1"/>
      <c r="BA40" s="1"/>
      <c r="BB40" s="1"/>
      <c r="BC40" s="1"/>
      <c r="BD40" s="1"/>
      <c r="BE40" s="19"/>
      <c r="BF40" s="19"/>
      <c r="BG40" s="9"/>
      <c r="BH40" s="9"/>
      <c r="BI40" s="9"/>
      <c r="BJ40" s="9"/>
      <c r="BK40" s="9"/>
      <c r="BL40" s="9"/>
      <c r="BM40" s="12"/>
      <c r="BN40" s="13"/>
      <c r="BO40" s="1"/>
      <c r="BP40" s="1"/>
      <c r="BQ40" s="1"/>
      <c r="BR40" s="1"/>
      <c r="BS40" s="1"/>
      <c r="BT40" s="1"/>
      <c r="BU40" s="19"/>
      <c r="BV40" s="17"/>
    </row>
    <row r="41" spans="3:74" x14ac:dyDescent="0.25">
      <c r="C41" s="51"/>
      <c r="D41" s="49"/>
      <c r="J41" s="50">
        <v>6</v>
      </c>
      <c r="K41" s="52">
        <v>-1.22400740613998E-2</v>
      </c>
      <c r="AA41" s="8"/>
      <c r="AB41" s="8"/>
      <c r="AC41" s="8"/>
      <c r="AD41" s="8"/>
      <c r="AE41" s="8"/>
      <c r="AF41" s="8"/>
      <c r="AG41" s="12"/>
      <c r="AH41" s="12"/>
      <c r="AI41" s="1"/>
      <c r="AJ41" s="1"/>
      <c r="AK41" s="1"/>
      <c r="AL41" s="1"/>
      <c r="AM41" s="1"/>
      <c r="AN41" s="1"/>
      <c r="AO41" s="17"/>
      <c r="AP41" s="17"/>
      <c r="AQ41" s="1"/>
      <c r="AR41" s="1"/>
      <c r="AS41" s="1"/>
      <c r="AT41" s="1"/>
      <c r="AU41" s="1"/>
      <c r="AV41" s="1"/>
      <c r="AW41" s="12"/>
      <c r="AX41" s="12"/>
      <c r="AY41" s="1"/>
      <c r="AZ41" s="1"/>
      <c r="BA41" s="1"/>
      <c r="BB41" s="1"/>
      <c r="BC41" s="1"/>
      <c r="BD41" s="1"/>
      <c r="BE41" s="19"/>
      <c r="BF41" s="19"/>
      <c r="BG41" s="9"/>
      <c r="BH41" s="9"/>
      <c r="BI41" s="9"/>
      <c r="BJ41" s="9"/>
      <c r="BK41" s="9"/>
      <c r="BL41" s="9"/>
      <c r="BM41" s="12"/>
      <c r="BN41" s="13"/>
      <c r="BO41" s="1"/>
      <c r="BP41" s="1"/>
      <c r="BQ41" s="1"/>
      <c r="BR41" s="1"/>
      <c r="BS41" s="1"/>
      <c r="BT41" s="1"/>
      <c r="BU41" s="19"/>
      <c r="BV41" s="17"/>
    </row>
    <row r="42" spans="3:74" x14ac:dyDescent="0.25">
      <c r="C42" s="50"/>
      <c r="D42" s="49"/>
      <c r="J42" s="51">
        <v>10</v>
      </c>
      <c r="K42" s="52">
        <v>4.1699628643373621E-2</v>
      </c>
      <c r="AA42" s="8"/>
      <c r="AB42" s="8"/>
      <c r="AC42" s="8"/>
      <c r="AD42" s="8"/>
      <c r="AE42" s="8"/>
      <c r="AF42" s="8"/>
      <c r="AG42" s="12"/>
      <c r="AH42" s="12"/>
      <c r="AI42" s="1"/>
      <c r="AJ42" s="1"/>
      <c r="AK42" s="1"/>
      <c r="AL42" s="1"/>
      <c r="AM42" s="1"/>
      <c r="AN42" s="1"/>
      <c r="AO42" s="17"/>
      <c r="AP42" s="17"/>
      <c r="AQ42" s="1"/>
      <c r="AR42" s="1"/>
      <c r="AS42" s="1"/>
      <c r="AT42" s="1"/>
      <c r="AU42" s="1"/>
      <c r="AV42" s="1"/>
      <c r="AW42" s="12"/>
      <c r="AX42" s="12"/>
      <c r="AY42" s="1"/>
      <c r="AZ42" s="1"/>
      <c r="BA42" s="1"/>
      <c r="BB42" s="1"/>
      <c r="BC42" s="1"/>
      <c r="BD42" s="1"/>
      <c r="BE42" s="19"/>
      <c r="BF42" s="19"/>
      <c r="BG42" s="9"/>
      <c r="BH42" s="9"/>
      <c r="BI42" s="9"/>
      <c r="BJ42" s="9"/>
      <c r="BK42" s="9"/>
      <c r="BL42" s="9"/>
      <c r="BM42" s="12"/>
      <c r="BN42" s="13"/>
      <c r="BO42" s="1"/>
      <c r="BP42" s="1"/>
      <c r="BQ42" s="1"/>
      <c r="BR42" s="1"/>
      <c r="BS42" s="1"/>
      <c r="BT42" s="1"/>
      <c r="BU42" s="19"/>
      <c r="BV42" s="17"/>
    </row>
    <row r="43" spans="3:74" x14ac:dyDescent="0.25">
      <c r="C43" s="51"/>
      <c r="D43" s="49"/>
      <c r="J43" s="50">
        <v>23</v>
      </c>
      <c r="K43" s="52">
        <v>2.4176997280782472E-2</v>
      </c>
      <c r="AA43" s="8"/>
      <c r="AB43" s="8"/>
      <c r="AC43" s="8"/>
      <c r="AD43" s="8"/>
      <c r="AE43" s="8"/>
      <c r="AF43" s="8"/>
      <c r="AG43" s="12"/>
      <c r="AH43" s="12"/>
      <c r="AI43" s="1"/>
      <c r="AJ43" s="1"/>
      <c r="AK43" s="1"/>
      <c r="AL43" s="1"/>
      <c r="AM43" s="1"/>
      <c r="AN43" s="1"/>
      <c r="AO43" s="17"/>
      <c r="AP43" s="17"/>
      <c r="AQ43" s="1"/>
      <c r="AR43" s="1"/>
      <c r="AS43" s="1"/>
      <c r="AT43" s="1"/>
      <c r="AU43" s="1"/>
      <c r="AV43" s="1"/>
      <c r="AW43" s="12"/>
      <c r="AX43" s="12"/>
      <c r="AY43" s="1"/>
      <c r="AZ43" s="1"/>
      <c r="BA43" s="1"/>
      <c r="BB43" s="1"/>
      <c r="BC43" s="1"/>
      <c r="BD43" s="1"/>
      <c r="BE43" s="19"/>
      <c r="BF43" s="19"/>
      <c r="BG43" s="9"/>
      <c r="BH43" s="9"/>
      <c r="BI43" s="9"/>
      <c r="BJ43" s="9"/>
      <c r="BK43" s="9"/>
      <c r="BL43" s="9"/>
      <c r="BM43" s="12"/>
      <c r="BN43" s="13"/>
      <c r="BO43" s="1"/>
      <c r="BP43" s="1"/>
      <c r="BQ43" s="1"/>
      <c r="BR43" s="1"/>
      <c r="BS43" s="1"/>
      <c r="BT43" s="1"/>
      <c r="BU43" s="19"/>
      <c r="BV43" s="17"/>
    </row>
    <row r="44" spans="3:74" x14ac:dyDescent="0.25">
      <c r="C44" s="50"/>
      <c r="D44" s="49"/>
      <c r="J44" s="51">
        <v>5</v>
      </c>
      <c r="K44" s="52">
        <v>8.044739404929814E-2</v>
      </c>
      <c r="AA44" s="8"/>
      <c r="AB44" s="8"/>
      <c r="AC44" s="8"/>
      <c r="AD44" s="8"/>
      <c r="AE44" s="8"/>
      <c r="AF44" s="8"/>
      <c r="AG44" s="12"/>
      <c r="AH44" s="12"/>
      <c r="AI44" s="1"/>
      <c r="AJ44" s="1"/>
      <c r="AK44" s="1"/>
      <c r="AL44" s="1"/>
      <c r="AM44" s="1"/>
      <c r="AN44" s="1"/>
      <c r="AO44" s="17"/>
      <c r="AP44" s="17"/>
      <c r="AQ44" s="1"/>
      <c r="AR44" s="1"/>
      <c r="AS44" s="1"/>
      <c r="AT44" s="1"/>
      <c r="AU44" s="1"/>
      <c r="AV44" s="1"/>
      <c r="AW44" s="12"/>
      <c r="AX44" s="12"/>
      <c r="AY44" s="1"/>
      <c r="AZ44" s="1"/>
      <c r="BA44" s="1"/>
      <c r="BB44" s="1"/>
      <c r="BC44" s="1"/>
      <c r="BD44" s="1"/>
      <c r="BE44" s="19"/>
      <c r="BF44" s="19"/>
      <c r="BG44" s="9"/>
      <c r="BH44" s="9"/>
      <c r="BI44" s="9"/>
      <c r="BJ44" s="9"/>
      <c r="BK44" s="9"/>
      <c r="BL44" s="9"/>
      <c r="BM44" s="12"/>
      <c r="BN44" s="13"/>
      <c r="BO44" s="1"/>
      <c r="BP44" s="1"/>
      <c r="BQ44" s="1"/>
      <c r="BR44" s="1"/>
      <c r="BS44" s="1"/>
      <c r="BT44" s="1"/>
      <c r="BU44" s="19"/>
      <c r="BV44" s="17"/>
    </row>
    <row r="45" spans="3:74" x14ac:dyDescent="0.25">
      <c r="C45" s="51"/>
      <c r="D45" s="49"/>
      <c r="J45" s="50">
        <v>8</v>
      </c>
      <c r="K45" s="52">
        <v>0.11530471540802287</v>
      </c>
      <c r="AA45" s="8"/>
      <c r="AB45" s="8"/>
      <c r="AC45" s="8"/>
      <c r="AD45" s="8"/>
      <c r="AE45" s="8"/>
      <c r="AF45" s="8"/>
      <c r="AG45" s="12"/>
      <c r="AH45" s="12"/>
      <c r="AI45" s="1"/>
      <c r="AJ45" s="1"/>
      <c r="AK45" s="1"/>
      <c r="AL45" s="1"/>
      <c r="AM45" s="1"/>
      <c r="AN45" s="1"/>
      <c r="AO45" s="17"/>
      <c r="AP45" s="17"/>
      <c r="AQ45" s="1"/>
      <c r="AR45" s="1"/>
      <c r="AS45" s="1"/>
      <c r="AT45" s="1"/>
      <c r="AU45" s="1"/>
      <c r="AV45" s="1"/>
      <c r="AW45" s="12"/>
      <c r="AX45" s="12"/>
      <c r="AY45" s="1"/>
      <c r="AZ45" s="1"/>
      <c r="BA45" s="1"/>
      <c r="BB45" s="1"/>
      <c r="BC45" s="1"/>
      <c r="BD45" s="1"/>
      <c r="BE45" s="19"/>
      <c r="BF45" s="19"/>
      <c r="BG45" s="9"/>
      <c r="BH45" s="9"/>
      <c r="BI45" s="9"/>
      <c r="BJ45" s="9"/>
      <c r="BK45" s="9"/>
      <c r="BL45" s="9"/>
      <c r="BM45" s="12"/>
      <c r="BN45" s="13"/>
      <c r="BO45" s="1"/>
      <c r="BP45" s="1"/>
      <c r="BQ45" s="1"/>
      <c r="BR45" s="1"/>
      <c r="BS45" s="1"/>
      <c r="BT45" s="1"/>
      <c r="BU45" s="19"/>
      <c r="BV45" s="17"/>
    </row>
    <row r="46" spans="3:74" x14ac:dyDescent="0.25">
      <c r="C46" s="50"/>
      <c r="D46" s="49"/>
      <c r="J46" s="51">
        <v>24</v>
      </c>
      <c r="K46" s="52">
        <v>3.6227553598406875E-2</v>
      </c>
      <c r="AA46" s="8"/>
      <c r="AB46" s="8"/>
      <c r="AC46" s="8"/>
      <c r="AD46" s="8"/>
      <c r="AE46" s="8"/>
      <c r="AF46" s="8"/>
      <c r="AG46" s="12"/>
      <c r="AH46" s="12"/>
      <c r="AI46" s="1"/>
      <c r="AJ46" s="1"/>
      <c r="AK46" s="1"/>
      <c r="AL46" s="1"/>
      <c r="AM46" s="1"/>
      <c r="AN46" s="1"/>
      <c r="AO46" s="17"/>
      <c r="AP46" s="17"/>
      <c r="AQ46" s="1"/>
      <c r="AR46" s="1"/>
      <c r="AS46" s="1"/>
      <c r="AT46" s="1"/>
      <c r="AU46" s="1"/>
      <c r="AV46" s="1"/>
      <c r="AW46" s="12"/>
      <c r="AX46" s="12"/>
      <c r="AY46" s="1"/>
      <c r="AZ46" s="1"/>
      <c r="BA46" s="1"/>
      <c r="BB46" s="1"/>
      <c r="BC46" s="1"/>
      <c r="BD46" s="1"/>
      <c r="BE46" s="19"/>
      <c r="BF46" s="19"/>
      <c r="BG46" s="9"/>
      <c r="BH46" s="9"/>
      <c r="BI46" s="9"/>
      <c r="BJ46" s="9"/>
      <c r="BK46" s="9"/>
      <c r="BL46" s="9"/>
      <c r="BM46" s="12"/>
      <c r="BN46" s="13"/>
      <c r="BO46" s="1"/>
      <c r="BP46" s="1"/>
      <c r="BQ46" s="1"/>
      <c r="BR46" s="1"/>
      <c r="BS46" s="1"/>
      <c r="BT46" s="1"/>
      <c r="BU46" s="19"/>
      <c r="BV46" s="17"/>
    </row>
    <row r="47" spans="3:74" x14ac:dyDescent="0.25">
      <c r="C47" s="51"/>
      <c r="D47" s="49"/>
      <c r="J47" s="50">
        <v>3</v>
      </c>
      <c r="K47" s="52">
        <v>5.0866311602507916E-2</v>
      </c>
      <c r="AA47" s="8"/>
      <c r="AB47" s="8"/>
      <c r="AC47" s="8"/>
      <c r="AD47" s="8"/>
      <c r="AE47" s="8"/>
      <c r="AF47" s="8"/>
      <c r="AG47" s="12"/>
      <c r="AH47" s="12"/>
      <c r="AI47" s="1"/>
      <c r="AJ47" s="1"/>
      <c r="AK47" s="1"/>
      <c r="AL47" s="1"/>
      <c r="AM47" s="1"/>
      <c r="AN47" s="1"/>
      <c r="AO47" s="17"/>
      <c r="AP47" s="17"/>
      <c r="AQ47" s="1"/>
      <c r="AR47" s="1"/>
      <c r="AS47" s="1"/>
      <c r="AT47" s="1"/>
      <c r="AU47" s="1"/>
      <c r="AV47" s="1"/>
      <c r="AW47" s="12"/>
      <c r="AX47" s="12"/>
      <c r="AY47" s="1"/>
      <c r="AZ47" s="1"/>
      <c r="BA47" s="1"/>
      <c r="BB47" s="1"/>
      <c r="BC47" s="1"/>
      <c r="BD47" s="1"/>
      <c r="BE47" s="19"/>
      <c r="BF47" s="19"/>
      <c r="BG47" s="9"/>
      <c r="BH47" s="9"/>
      <c r="BI47" s="9"/>
      <c r="BJ47" s="9"/>
      <c r="BK47" s="9"/>
      <c r="BL47" s="9"/>
      <c r="BM47" s="12"/>
      <c r="BN47" s="13"/>
      <c r="BO47" s="1"/>
      <c r="BP47" s="1"/>
      <c r="BQ47" s="1"/>
      <c r="BR47" s="1"/>
      <c r="BS47" s="1"/>
      <c r="BT47" s="1"/>
      <c r="BU47" s="19"/>
      <c r="BV47" s="17"/>
    </row>
    <row r="48" spans="3:74" x14ac:dyDescent="0.25">
      <c r="C48" s="50"/>
      <c r="D48" s="49"/>
      <c r="J48" s="51">
        <v>2</v>
      </c>
      <c r="K48" s="52">
        <v>3.6098855850782346E-2</v>
      </c>
      <c r="AA48" s="8"/>
      <c r="AB48" s="8"/>
      <c r="AC48" s="8"/>
      <c r="AD48" s="8"/>
      <c r="AE48" s="8"/>
      <c r="AF48" s="8"/>
      <c r="AG48" s="12"/>
      <c r="AH48" s="12"/>
      <c r="AI48" s="1"/>
      <c r="AJ48" s="1"/>
      <c r="AK48" s="1"/>
      <c r="AL48" s="1"/>
      <c r="AM48" s="1"/>
      <c r="AN48" s="1"/>
      <c r="AO48" s="17"/>
      <c r="AP48" s="17"/>
      <c r="AQ48" s="1"/>
      <c r="AR48" s="1"/>
      <c r="AS48" s="1"/>
      <c r="AT48" s="1"/>
      <c r="AU48" s="1"/>
      <c r="AV48" s="1"/>
      <c r="AW48" s="12"/>
      <c r="AX48" s="12"/>
      <c r="AY48" s="1"/>
      <c r="AZ48" s="1"/>
      <c r="BA48" s="1"/>
      <c r="BB48" s="1"/>
      <c r="BC48" s="1"/>
      <c r="BD48" s="1"/>
      <c r="BE48" s="19"/>
      <c r="BF48" s="19"/>
      <c r="BG48" s="9"/>
      <c r="BH48" s="9"/>
      <c r="BI48" s="9"/>
      <c r="BJ48" s="9"/>
      <c r="BK48" s="9"/>
      <c r="BL48" s="9"/>
      <c r="BM48" s="12"/>
      <c r="BN48" s="13"/>
      <c r="BO48" s="1"/>
      <c r="BP48" s="1"/>
      <c r="BQ48" s="1"/>
      <c r="BR48" s="1"/>
      <c r="BS48" s="1"/>
      <c r="BT48" s="1"/>
      <c r="BU48" s="19"/>
      <c r="BV48" s="17"/>
    </row>
    <row r="49" spans="3:74" x14ac:dyDescent="0.25">
      <c r="C49" s="51"/>
      <c r="D49" s="49"/>
      <c r="J49" s="50">
        <v>4</v>
      </c>
      <c r="K49" s="52">
        <v>4.335041131476404E-2</v>
      </c>
      <c r="AA49" s="8"/>
      <c r="AB49" s="8"/>
      <c r="AC49" s="8"/>
      <c r="AD49" s="8"/>
      <c r="AE49" s="8"/>
      <c r="AF49" s="8"/>
      <c r="AG49" s="12"/>
      <c r="AH49" s="12"/>
      <c r="AI49" s="1"/>
      <c r="AJ49" s="1"/>
      <c r="AK49" s="1"/>
      <c r="AL49" s="1"/>
      <c r="AM49" s="1"/>
      <c r="AN49" s="1"/>
      <c r="AO49" s="17"/>
      <c r="AP49" s="17"/>
      <c r="AQ49" s="1"/>
      <c r="AR49" s="1"/>
      <c r="AS49" s="1"/>
      <c r="AT49" s="1"/>
      <c r="AU49" s="1"/>
      <c r="AV49" s="1"/>
      <c r="AW49" s="12"/>
      <c r="AX49" s="12"/>
      <c r="AY49" s="1"/>
      <c r="AZ49" s="1"/>
      <c r="BA49" s="1"/>
      <c r="BB49" s="1"/>
      <c r="BC49" s="1"/>
      <c r="BD49" s="1"/>
      <c r="BE49" s="19"/>
      <c r="BF49" s="19"/>
      <c r="BG49" s="9"/>
      <c r="BH49" s="9"/>
      <c r="BI49" s="9"/>
      <c r="BJ49" s="9"/>
      <c r="BK49" s="9"/>
      <c r="BL49" s="9"/>
      <c r="BM49" s="12"/>
      <c r="BN49" s="13"/>
      <c r="BO49" s="1"/>
      <c r="BP49" s="1"/>
      <c r="BQ49" s="1"/>
      <c r="BR49" s="1"/>
      <c r="BS49" s="1"/>
      <c r="BT49" s="1"/>
      <c r="BU49" s="19"/>
      <c r="BV49" s="17"/>
    </row>
    <row r="50" spans="3:74" x14ac:dyDescent="0.25">
      <c r="C50" s="50"/>
      <c r="D50" s="49"/>
      <c r="J50" s="51">
        <v>21</v>
      </c>
      <c r="K50" s="52">
        <v>0.12990717513944899</v>
      </c>
      <c r="AA50" s="8"/>
      <c r="AB50" s="8"/>
      <c r="AC50" s="8"/>
      <c r="AD50" s="8"/>
      <c r="AE50" s="8"/>
      <c r="AF50" s="8"/>
      <c r="AG50" s="12"/>
      <c r="AH50" s="12"/>
      <c r="AI50" s="1"/>
      <c r="AJ50" s="1"/>
      <c r="AK50" s="1"/>
      <c r="AL50" s="1"/>
      <c r="AM50" s="1"/>
      <c r="AN50" s="1"/>
      <c r="AO50" s="17"/>
      <c r="AP50" s="17"/>
      <c r="AQ50" s="1"/>
      <c r="AR50" s="1"/>
      <c r="AS50" s="1"/>
      <c r="AT50" s="1"/>
      <c r="AU50" s="1"/>
      <c r="AV50" s="1"/>
      <c r="AW50" s="12"/>
      <c r="AX50" s="12"/>
      <c r="AY50" s="1"/>
      <c r="AZ50" s="1"/>
      <c r="BA50" s="1"/>
      <c r="BB50" s="1"/>
      <c r="BC50" s="1"/>
      <c r="BD50" s="1"/>
      <c r="BE50" s="19"/>
      <c r="BF50" s="19"/>
      <c r="BG50" s="9"/>
      <c r="BH50" s="9"/>
      <c r="BI50" s="9"/>
      <c r="BJ50" s="9"/>
      <c r="BK50" s="9"/>
      <c r="BL50" s="9"/>
      <c r="BM50" s="12"/>
      <c r="BN50" s="13"/>
      <c r="BO50" s="1"/>
      <c r="BP50" s="1"/>
      <c r="BQ50" s="1"/>
      <c r="BR50" s="1"/>
      <c r="BS50" s="1"/>
      <c r="BT50" s="1"/>
      <c r="BU50" s="19"/>
      <c r="BV50" s="17"/>
    </row>
    <row r="51" spans="3:74" x14ac:dyDescent="0.25">
      <c r="C51" s="51"/>
      <c r="D51" s="49"/>
      <c r="J51" s="50">
        <v>14</v>
      </c>
      <c r="K51" s="52">
        <v>8.0694037145650044E-2</v>
      </c>
      <c r="AA51" s="8"/>
      <c r="AB51" s="8"/>
      <c r="AC51" s="8"/>
      <c r="AD51" s="8"/>
      <c r="AE51" s="8"/>
      <c r="AF51" s="8"/>
      <c r="AG51" s="12"/>
      <c r="AH51" s="12"/>
      <c r="AI51" s="1"/>
      <c r="AJ51" s="1"/>
      <c r="AK51" s="1"/>
      <c r="AL51" s="1"/>
      <c r="AM51" s="1"/>
      <c r="AN51" s="1"/>
      <c r="AO51" s="17"/>
      <c r="AP51" s="17"/>
      <c r="AQ51" s="1"/>
      <c r="AR51" s="1"/>
      <c r="AS51" s="1"/>
      <c r="AT51" s="1"/>
      <c r="AU51" s="1"/>
      <c r="AV51" s="1"/>
      <c r="AW51" s="12"/>
      <c r="AX51" s="12"/>
      <c r="AY51" s="1"/>
      <c r="AZ51" s="1"/>
      <c r="BA51" s="1"/>
      <c r="BB51" s="1"/>
      <c r="BC51" s="1"/>
      <c r="BD51" s="1"/>
      <c r="BE51" s="19"/>
      <c r="BF51" s="19"/>
      <c r="BG51" s="9"/>
      <c r="BH51" s="9"/>
      <c r="BI51" s="9"/>
      <c r="BJ51" s="9"/>
      <c r="BK51" s="9"/>
      <c r="BL51" s="9"/>
      <c r="BM51" s="12"/>
      <c r="BN51" s="13"/>
      <c r="BO51" s="1"/>
      <c r="BP51" s="1"/>
      <c r="BQ51" s="1"/>
      <c r="BR51" s="1"/>
      <c r="BS51" s="1"/>
      <c r="BT51" s="1"/>
      <c r="BU51" s="19"/>
      <c r="BV51" s="17"/>
    </row>
    <row r="52" spans="3:74" x14ac:dyDescent="0.25">
      <c r="C52" s="50"/>
      <c r="D52" s="49"/>
      <c r="J52" s="51">
        <v>22</v>
      </c>
      <c r="K52" s="52">
        <v>0.16489361702127658</v>
      </c>
      <c r="AA52" s="8"/>
      <c r="AB52" s="8"/>
      <c r="AC52" s="8"/>
      <c r="AD52" s="8"/>
      <c r="AE52" s="8"/>
      <c r="AF52" s="8"/>
      <c r="AG52" s="12"/>
      <c r="AH52" s="12"/>
      <c r="AI52" s="1"/>
      <c r="AJ52" s="1"/>
      <c r="AK52" s="1"/>
      <c r="AL52" s="1"/>
      <c r="AM52" s="1"/>
      <c r="AN52" s="1"/>
      <c r="AO52" s="17"/>
      <c r="AP52" s="17"/>
      <c r="AQ52" s="1"/>
      <c r="AR52" s="1"/>
      <c r="AS52" s="1"/>
      <c r="AT52" s="1"/>
      <c r="AU52" s="1"/>
      <c r="AV52" s="1"/>
      <c r="AW52" s="12"/>
      <c r="AX52" s="12"/>
      <c r="AY52" s="1"/>
      <c r="AZ52" s="1"/>
      <c r="BA52" s="1"/>
      <c r="BB52" s="1"/>
      <c r="BC52" s="1"/>
      <c r="BD52" s="1"/>
      <c r="BE52" s="19"/>
      <c r="BF52" s="19"/>
      <c r="BG52" s="9"/>
      <c r="BH52" s="9"/>
      <c r="BI52" s="9"/>
      <c r="BJ52" s="9"/>
      <c r="BK52" s="9"/>
      <c r="BL52" s="9"/>
      <c r="BM52" s="12"/>
      <c r="BN52" s="13"/>
      <c r="BO52" s="1"/>
      <c r="BP52" s="1"/>
      <c r="BQ52" s="1"/>
      <c r="BR52" s="1"/>
      <c r="BS52" s="1"/>
      <c r="BT52" s="1"/>
      <c r="BU52" s="19"/>
      <c r="BV52" s="17"/>
    </row>
    <row r="53" spans="3:74" x14ac:dyDescent="0.25">
      <c r="C53" s="51"/>
      <c r="D53" s="49"/>
      <c r="J53" s="50">
        <v>16</v>
      </c>
      <c r="K53" s="52">
        <v>1.2631962140516925E-2</v>
      </c>
      <c r="AA53" s="8"/>
      <c r="AB53" s="8"/>
      <c r="AC53" s="8"/>
      <c r="AD53" s="8"/>
      <c r="AE53" s="8"/>
      <c r="AF53" s="8"/>
      <c r="AG53" s="12"/>
      <c r="AH53" s="12"/>
      <c r="AI53" s="1"/>
      <c r="AJ53" s="1"/>
      <c r="AK53" s="1"/>
      <c r="AL53" s="1"/>
      <c r="AM53" s="1"/>
      <c r="AN53" s="1"/>
      <c r="AO53" s="17"/>
      <c r="AP53" s="17"/>
      <c r="AQ53" s="1"/>
      <c r="AR53" s="1"/>
      <c r="AS53" s="1"/>
      <c r="AT53" s="1"/>
      <c r="AU53" s="1"/>
      <c r="AV53" s="1"/>
      <c r="AW53" s="12"/>
      <c r="AX53" s="12"/>
      <c r="AY53" s="1"/>
      <c r="AZ53" s="1"/>
      <c r="BA53" s="1"/>
      <c r="BB53" s="1"/>
      <c r="BC53" s="1"/>
      <c r="BD53" s="1"/>
      <c r="BE53" s="19"/>
      <c r="BF53" s="19"/>
      <c r="BG53" s="9"/>
      <c r="BH53" s="9"/>
      <c r="BI53" s="9"/>
      <c r="BJ53" s="9"/>
      <c r="BK53" s="9"/>
      <c r="BL53" s="9"/>
      <c r="BM53" s="12"/>
      <c r="BN53" s="13"/>
      <c r="BO53" s="1"/>
      <c r="BP53" s="1"/>
      <c r="BQ53" s="1"/>
      <c r="BR53" s="1"/>
      <c r="BS53" s="1"/>
      <c r="BT53" s="1"/>
      <c r="BU53" s="19"/>
      <c r="BV53" s="17"/>
    </row>
    <row r="54" spans="3:74" x14ac:dyDescent="0.25">
      <c r="C54" s="50"/>
      <c r="D54" s="49"/>
      <c r="J54" s="51">
        <v>19</v>
      </c>
      <c r="K54" s="52">
        <v>7.0766463752075265E-2</v>
      </c>
      <c r="AA54" s="8"/>
      <c r="AB54" s="8"/>
      <c r="AC54" s="8"/>
      <c r="AD54" s="8"/>
      <c r="AE54" s="8"/>
      <c r="AF54" s="8"/>
      <c r="AG54" s="12"/>
      <c r="AH54" s="12"/>
      <c r="AI54" s="1"/>
      <c r="AJ54" s="1"/>
      <c r="AK54" s="1"/>
      <c r="AL54" s="1"/>
      <c r="AM54" s="1"/>
      <c r="AN54" s="1"/>
      <c r="AO54" s="17"/>
      <c r="AP54" s="17"/>
      <c r="AQ54" s="1"/>
      <c r="AR54" s="1"/>
      <c r="AS54" s="1"/>
      <c r="AT54" s="1"/>
      <c r="AU54" s="1"/>
      <c r="AV54" s="1"/>
      <c r="AW54" s="12"/>
      <c r="AX54" s="12"/>
      <c r="AY54" s="1"/>
      <c r="AZ54" s="1"/>
      <c r="BA54" s="1"/>
      <c r="BB54" s="1"/>
      <c r="BC54" s="1"/>
      <c r="BD54" s="1"/>
      <c r="BE54" s="19"/>
      <c r="BF54" s="19"/>
      <c r="BG54" s="9"/>
      <c r="BH54" s="9"/>
      <c r="BI54" s="9"/>
      <c r="BJ54" s="9"/>
      <c r="BK54" s="9"/>
      <c r="BL54" s="9"/>
      <c r="BM54" s="12"/>
      <c r="BN54" s="13"/>
      <c r="BO54" s="1"/>
      <c r="BP54" s="1"/>
      <c r="BQ54" s="1"/>
      <c r="BR54" s="1"/>
      <c r="BS54" s="1"/>
      <c r="BT54" s="1"/>
      <c r="BU54" s="19"/>
      <c r="BV54" s="17"/>
    </row>
    <row r="55" spans="3:74" x14ac:dyDescent="0.25">
      <c r="C55" s="51"/>
      <c r="D55" s="49"/>
      <c r="J55" s="50">
        <v>15</v>
      </c>
      <c r="K55" s="52">
        <v>4.6836651213526044E-2</v>
      </c>
      <c r="AA55" s="8"/>
      <c r="AB55" s="8"/>
      <c r="AC55" s="8"/>
      <c r="AD55" s="8"/>
      <c r="AE55" s="8"/>
      <c r="AF55" s="8"/>
      <c r="AG55" s="12"/>
      <c r="AH55" s="12"/>
      <c r="AI55" s="1"/>
      <c r="AJ55" s="1"/>
      <c r="AK55" s="1"/>
      <c r="AL55" s="1"/>
      <c r="AM55" s="1"/>
      <c r="AN55" s="1"/>
      <c r="AO55" s="17"/>
      <c r="AP55" s="17"/>
      <c r="AQ55" s="1"/>
      <c r="AR55" s="1"/>
      <c r="AS55" s="1"/>
      <c r="AT55" s="1"/>
      <c r="AU55" s="1"/>
      <c r="AV55" s="1"/>
      <c r="AW55" s="12"/>
      <c r="AX55" s="12"/>
      <c r="AY55" s="1"/>
      <c r="AZ55" s="1"/>
      <c r="BA55" s="1"/>
      <c r="BB55" s="1"/>
      <c r="BC55" s="1"/>
      <c r="BD55" s="1"/>
      <c r="BE55" s="19"/>
      <c r="BF55" s="19"/>
      <c r="BG55" s="9"/>
      <c r="BH55" s="9"/>
      <c r="BI55" s="9"/>
      <c r="BJ55" s="9"/>
      <c r="BK55" s="9"/>
      <c r="BL55" s="9"/>
      <c r="BM55" s="12"/>
      <c r="BN55" s="13"/>
      <c r="BO55" s="1"/>
      <c r="BP55" s="1"/>
      <c r="BQ55" s="1"/>
      <c r="BR55" s="1"/>
      <c r="BS55" s="1"/>
      <c r="BT55" s="1"/>
      <c r="BU55" s="19"/>
      <c r="BV55" s="17"/>
    </row>
    <row r="56" spans="3:74" x14ac:dyDescent="0.25">
      <c r="C56" s="50"/>
      <c r="D56" s="49"/>
      <c r="AA56" s="8"/>
      <c r="AB56" s="8"/>
      <c r="AC56" s="8"/>
      <c r="AD56" s="8"/>
      <c r="AE56" s="8"/>
      <c r="AF56" s="8"/>
      <c r="AG56" s="12"/>
      <c r="AH56" s="12"/>
      <c r="AI56" s="1"/>
      <c r="AJ56" s="1"/>
      <c r="AK56" s="1"/>
      <c r="AL56" s="1"/>
      <c r="AM56" s="1"/>
      <c r="AN56" s="1"/>
      <c r="AO56" s="17"/>
      <c r="AP56" s="17"/>
      <c r="AQ56" s="1"/>
      <c r="AR56" s="1"/>
      <c r="AS56" s="1"/>
      <c r="AT56" s="1"/>
      <c r="AU56" s="1"/>
      <c r="AV56" s="1"/>
      <c r="AW56" s="12"/>
      <c r="AX56" s="12"/>
      <c r="AY56" s="1"/>
      <c r="AZ56" s="1"/>
      <c r="BA56" s="1"/>
      <c r="BB56" s="1"/>
      <c r="BC56" s="1"/>
      <c r="BD56" s="1"/>
      <c r="BE56" s="19"/>
      <c r="BF56" s="19"/>
      <c r="BG56" s="9"/>
      <c r="BH56" s="9"/>
      <c r="BI56" s="9"/>
      <c r="BJ56" s="9"/>
      <c r="BK56" s="9"/>
      <c r="BL56" s="9"/>
      <c r="BM56" s="12"/>
      <c r="BN56" s="13"/>
      <c r="BO56" s="1"/>
      <c r="BP56" s="1"/>
      <c r="BQ56" s="1"/>
      <c r="BR56" s="1"/>
      <c r="BS56" s="1"/>
      <c r="BT56" s="1"/>
      <c r="BU56" s="19"/>
      <c r="BV56" s="17"/>
    </row>
    <row r="57" spans="3:74" x14ac:dyDescent="0.25">
      <c r="C57" s="51"/>
      <c r="D57" s="49"/>
      <c r="AA57" s="8"/>
      <c r="AB57" s="8"/>
      <c r="AC57" s="8"/>
      <c r="AD57" s="8"/>
      <c r="AE57" s="8"/>
      <c r="AF57" s="8"/>
      <c r="AG57" s="12"/>
      <c r="AH57" s="12"/>
      <c r="AI57" s="1"/>
      <c r="AJ57" s="1"/>
      <c r="AK57" s="1"/>
      <c r="AL57" s="1"/>
      <c r="AM57" s="1"/>
      <c r="AN57" s="1"/>
      <c r="AO57" s="17"/>
      <c r="AP57" s="17"/>
      <c r="AQ57" s="1"/>
      <c r="AR57" s="1"/>
      <c r="AS57" s="1"/>
      <c r="AT57" s="1"/>
      <c r="AU57" s="1"/>
      <c r="AV57" s="1"/>
      <c r="AW57" s="12"/>
      <c r="AX57" s="12"/>
      <c r="AY57" s="1"/>
      <c r="AZ57" s="1"/>
      <c r="BA57" s="1"/>
      <c r="BB57" s="1"/>
      <c r="BC57" s="1"/>
      <c r="BD57" s="1"/>
      <c r="BE57" s="19"/>
      <c r="BF57" s="19"/>
      <c r="BG57" s="9"/>
      <c r="BH57" s="9"/>
      <c r="BI57" s="9"/>
      <c r="BJ57" s="9"/>
      <c r="BK57" s="9"/>
      <c r="BL57" s="9"/>
      <c r="BM57" s="12"/>
      <c r="BN57" s="13"/>
      <c r="BO57" s="1"/>
      <c r="BP57" s="1"/>
      <c r="BQ57" s="1"/>
      <c r="BR57" s="1"/>
      <c r="BS57" s="1"/>
      <c r="BT57" s="1"/>
      <c r="BU57" s="19"/>
      <c r="BV57" s="17"/>
    </row>
    <row r="58" spans="3:74" x14ac:dyDescent="0.25">
      <c r="C58" s="50"/>
      <c r="D58" s="49"/>
      <c r="AA58" s="8"/>
      <c r="AB58" s="8"/>
      <c r="AC58" s="8"/>
      <c r="AD58" s="8"/>
      <c r="AE58" s="8"/>
      <c r="AF58" s="8"/>
      <c r="AG58" s="12"/>
      <c r="AH58" s="12"/>
      <c r="AI58" s="1"/>
      <c r="AJ58" s="1"/>
      <c r="AK58" s="1"/>
      <c r="AL58" s="1"/>
      <c r="AM58" s="1"/>
      <c r="AN58" s="1"/>
      <c r="AO58" s="17"/>
      <c r="AP58" s="17"/>
      <c r="AQ58" s="1"/>
      <c r="AR58" s="1"/>
      <c r="AS58" s="1"/>
      <c r="AT58" s="1"/>
      <c r="AU58" s="1"/>
      <c r="AV58" s="1"/>
      <c r="AW58" s="12"/>
      <c r="AX58" s="12"/>
      <c r="AY58" s="1"/>
      <c r="AZ58" s="1"/>
      <c r="BA58" s="1"/>
      <c r="BB58" s="1"/>
      <c r="BC58" s="1"/>
      <c r="BD58" s="1"/>
      <c r="BE58" s="19"/>
      <c r="BF58" s="19"/>
      <c r="BG58" s="9"/>
      <c r="BH58" s="9"/>
      <c r="BI58" s="9"/>
      <c r="BJ58" s="9"/>
      <c r="BK58" s="9"/>
      <c r="BL58" s="9"/>
      <c r="BM58" s="12"/>
      <c r="BN58" s="13"/>
      <c r="BO58" s="1"/>
      <c r="BP58" s="1"/>
      <c r="BQ58" s="1"/>
      <c r="BR58" s="1"/>
      <c r="BS58" s="1"/>
      <c r="BT58" s="1"/>
      <c r="BU58" s="19"/>
      <c r="BV58" s="17"/>
    </row>
    <row r="59" spans="3:74" x14ac:dyDescent="0.25">
      <c r="AA59" s="8"/>
      <c r="AB59" s="8"/>
      <c r="AC59" s="8"/>
      <c r="AD59" s="8"/>
      <c r="AE59" s="8"/>
      <c r="AF59" s="8"/>
      <c r="AG59" s="12"/>
      <c r="AH59" s="12"/>
      <c r="AI59" s="1"/>
      <c r="AJ59" s="1"/>
      <c r="AK59" s="1"/>
      <c r="AL59" s="1"/>
      <c r="AM59" s="1"/>
      <c r="AN59" s="1"/>
      <c r="AO59" s="17"/>
      <c r="AP59" s="17"/>
      <c r="AQ59" s="1"/>
      <c r="AR59" s="1"/>
      <c r="AS59" s="1"/>
      <c r="AT59" s="1"/>
      <c r="AU59" s="1"/>
      <c r="AV59" s="1"/>
      <c r="AW59" s="12"/>
      <c r="AX59" s="12"/>
      <c r="AY59" s="1"/>
      <c r="AZ59" s="1"/>
      <c r="BA59" s="1"/>
      <c r="BB59" s="1"/>
      <c r="BC59" s="1"/>
      <c r="BD59" s="1"/>
      <c r="BE59" s="19"/>
      <c r="BF59" s="19"/>
      <c r="BG59" s="9"/>
      <c r="BH59" s="9"/>
      <c r="BI59" s="9"/>
      <c r="BJ59" s="9"/>
      <c r="BK59" s="9"/>
      <c r="BL59" s="9"/>
      <c r="BM59" s="12"/>
      <c r="BN59" s="13"/>
      <c r="BO59" s="1"/>
      <c r="BP59" s="1"/>
      <c r="BQ59" s="1"/>
      <c r="BR59" s="1"/>
      <c r="BS59" s="1"/>
      <c r="BT59" s="1"/>
      <c r="BU59" s="19"/>
      <c r="BV59" s="17"/>
    </row>
    <row r="60" spans="3:74" x14ac:dyDescent="0.25">
      <c r="AA60" s="8"/>
      <c r="AB60" s="8"/>
      <c r="AC60" s="8"/>
      <c r="AD60" s="8"/>
      <c r="AE60" s="8"/>
      <c r="AF60" s="8"/>
      <c r="AG60" s="12"/>
      <c r="AH60" s="12"/>
      <c r="AI60" s="1"/>
      <c r="AJ60" s="1"/>
      <c r="AK60" s="1"/>
      <c r="AL60" s="1"/>
      <c r="AM60" s="1"/>
      <c r="AN60" s="1"/>
      <c r="AO60" s="17"/>
      <c r="AP60" s="17"/>
      <c r="AQ60" s="1"/>
      <c r="AR60" s="1"/>
      <c r="AS60" s="1"/>
      <c r="AT60" s="1"/>
      <c r="AU60" s="1"/>
      <c r="AV60" s="1"/>
      <c r="AW60" s="12"/>
      <c r="AX60" s="12"/>
      <c r="AY60" s="1"/>
      <c r="AZ60" s="1"/>
      <c r="BA60" s="1"/>
      <c r="BB60" s="1"/>
      <c r="BC60" s="1"/>
      <c r="BD60" s="1"/>
      <c r="BE60" s="19"/>
      <c r="BF60" s="19"/>
      <c r="BG60" s="9"/>
      <c r="BH60" s="9"/>
      <c r="BI60" s="9"/>
      <c r="BJ60" s="9"/>
      <c r="BK60" s="9"/>
      <c r="BL60" s="9"/>
      <c r="BM60" s="12"/>
      <c r="BN60" s="13"/>
      <c r="BO60" s="1"/>
      <c r="BP60" s="1"/>
      <c r="BQ60" s="1"/>
      <c r="BR60" s="1"/>
      <c r="BS60" s="1"/>
      <c r="BT60" s="1"/>
      <c r="BU60" s="19"/>
      <c r="BV60" s="17"/>
    </row>
    <row r="61" spans="3:74" x14ac:dyDescent="0.25">
      <c r="AA61" s="8"/>
      <c r="AB61" s="8"/>
      <c r="AC61" s="8"/>
      <c r="AD61" s="8"/>
      <c r="AE61" s="8"/>
      <c r="AF61" s="8"/>
      <c r="AG61" s="12"/>
      <c r="AH61" s="12"/>
      <c r="AI61" s="1"/>
      <c r="AJ61" s="1"/>
      <c r="AK61" s="1"/>
      <c r="AL61" s="1"/>
      <c r="AM61" s="1"/>
      <c r="AN61" s="1"/>
      <c r="AO61" s="17"/>
      <c r="AP61" s="17"/>
      <c r="AQ61" s="1"/>
      <c r="AR61" s="1"/>
      <c r="AS61" s="1"/>
      <c r="AT61" s="1"/>
      <c r="AU61" s="1"/>
      <c r="AV61" s="1"/>
      <c r="AW61" s="12"/>
      <c r="AX61" s="12"/>
      <c r="AY61" s="1"/>
      <c r="AZ61" s="1"/>
      <c r="BA61" s="1"/>
      <c r="BB61" s="1"/>
      <c r="BC61" s="1"/>
      <c r="BD61" s="1"/>
      <c r="BE61" s="19"/>
      <c r="BF61" s="19"/>
      <c r="BG61" s="9"/>
      <c r="BH61" s="9"/>
      <c r="BI61" s="9"/>
      <c r="BJ61" s="9"/>
      <c r="BK61" s="9"/>
      <c r="BL61" s="9"/>
      <c r="BM61" s="12"/>
      <c r="BN61" s="13"/>
      <c r="BO61" s="1"/>
      <c r="BP61" s="1"/>
      <c r="BQ61" s="1"/>
      <c r="BR61" s="1"/>
      <c r="BS61" s="1"/>
      <c r="BT61" s="1"/>
      <c r="BU61" s="19"/>
      <c r="BV61" s="17"/>
    </row>
    <row r="62" spans="3:74" x14ac:dyDescent="0.25">
      <c r="AA62" s="8"/>
      <c r="AB62" s="8"/>
      <c r="AC62" s="8"/>
      <c r="AD62" s="8"/>
      <c r="AE62" s="8"/>
      <c r="AF62" s="8"/>
      <c r="AG62" s="12"/>
      <c r="AH62" s="12"/>
      <c r="AI62" s="1"/>
      <c r="AJ62" s="1"/>
      <c r="AK62" s="1"/>
      <c r="AL62" s="1"/>
      <c r="AM62" s="1"/>
      <c r="AN62" s="1"/>
      <c r="AO62" s="17"/>
      <c r="AP62" s="17"/>
      <c r="AQ62" s="1"/>
      <c r="AR62" s="1"/>
      <c r="AS62" s="1"/>
      <c r="AT62" s="1"/>
      <c r="AU62" s="1"/>
      <c r="AV62" s="1"/>
      <c r="AW62" s="12"/>
      <c r="AX62" s="12"/>
      <c r="AY62" s="1"/>
      <c r="AZ62" s="1"/>
      <c r="BA62" s="1"/>
      <c r="BB62" s="1"/>
      <c r="BC62" s="1"/>
      <c r="BD62" s="1"/>
      <c r="BE62" s="19"/>
      <c r="BF62" s="19"/>
      <c r="BG62" s="9"/>
      <c r="BH62" s="9"/>
      <c r="BI62" s="9"/>
      <c r="BJ62" s="9"/>
      <c r="BK62" s="9"/>
      <c r="BL62" s="9"/>
      <c r="BM62" s="12"/>
      <c r="BN62" s="13"/>
      <c r="BO62" s="1"/>
      <c r="BP62" s="1"/>
      <c r="BQ62" s="1"/>
      <c r="BR62" s="1"/>
      <c r="BS62" s="1"/>
      <c r="BT62" s="1"/>
      <c r="BU62" s="19"/>
      <c r="BV62" s="17"/>
    </row>
    <row r="63" spans="3:74" x14ac:dyDescent="0.25">
      <c r="AA63" s="8"/>
      <c r="AB63" s="8"/>
      <c r="AC63" s="8"/>
      <c r="AD63" s="8"/>
      <c r="AE63" s="8"/>
      <c r="AF63" s="8"/>
      <c r="AG63" s="12"/>
      <c r="AH63" s="12"/>
      <c r="AI63" s="1"/>
      <c r="AJ63" s="1"/>
      <c r="AK63" s="1"/>
      <c r="AL63" s="1"/>
      <c r="AM63" s="1"/>
      <c r="AN63" s="1"/>
      <c r="AO63" s="17"/>
      <c r="AP63" s="17"/>
      <c r="AQ63" s="1"/>
      <c r="AR63" s="1"/>
      <c r="AS63" s="1"/>
      <c r="AT63" s="1"/>
      <c r="AU63" s="1"/>
      <c r="AV63" s="1"/>
      <c r="AW63" s="12"/>
      <c r="AX63" s="12"/>
      <c r="AY63" s="1"/>
      <c r="AZ63" s="1"/>
      <c r="BA63" s="1"/>
      <c r="BB63" s="1"/>
      <c r="BC63" s="1"/>
      <c r="BD63" s="1"/>
      <c r="BE63" s="19"/>
      <c r="BF63" s="19"/>
      <c r="BG63" s="9"/>
      <c r="BH63" s="9"/>
      <c r="BI63" s="9"/>
      <c r="BJ63" s="9"/>
      <c r="BK63" s="9"/>
      <c r="BL63" s="9"/>
      <c r="BM63" s="12"/>
      <c r="BN63" s="13"/>
      <c r="BO63" s="1"/>
      <c r="BP63" s="1"/>
      <c r="BQ63" s="1"/>
      <c r="BR63" s="1"/>
      <c r="BS63" s="1"/>
      <c r="BT63" s="1"/>
      <c r="BU63" s="19"/>
      <c r="BV63" s="17"/>
    </row>
    <row r="64" spans="3:74" x14ac:dyDescent="0.25">
      <c r="AA64" s="8"/>
      <c r="AB64" s="8"/>
      <c r="AC64" s="8"/>
      <c r="AD64" s="8"/>
      <c r="AE64" s="8"/>
      <c r="AF64" s="8"/>
      <c r="AG64" s="12"/>
      <c r="AH64" s="12"/>
      <c r="AI64" s="1"/>
      <c r="AJ64" s="1"/>
      <c r="AK64" s="1"/>
      <c r="AL64" s="1"/>
      <c r="AM64" s="1"/>
      <c r="AN64" s="1"/>
      <c r="AO64" s="17"/>
      <c r="AP64" s="17"/>
      <c r="AQ64" s="1"/>
      <c r="AR64" s="1"/>
      <c r="AS64" s="1"/>
      <c r="AT64" s="1"/>
      <c r="AU64" s="1"/>
      <c r="AV64" s="1"/>
      <c r="AW64" s="12"/>
      <c r="AX64" s="12"/>
      <c r="AY64" s="1"/>
      <c r="AZ64" s="1"/>
      <c r="BA64" s="1"/>
      <c r="BB64" s="1"/>
      <c r="BC64" s="1"/>
      <c r="BD64" s="1"/>
      <c r="BE64" s="19"/>
      <c r="BF64" s="19"/>
      <c r="BG64" s="9"/>
      <c r="BH64" s="9"/>
      <c r="BI64" s="9"/>
      <c r="BJ64" s="9"/>
      <c r="BK64" s="9"/>
      <c r="BL64" s="9"/>
      <c r="BM64" s="12"/>
      <c r="BN64" s="13"/>
      <c r="BO64" s="1"/>
      <c r="BP64" s="1"/>
      <c r="BQ64" s="1"/>
      <c r="BR64" s="1"/>
      <c r="BS64" s="1"/>
      <c r="BT64" s="1"/>
      <c r="BU64" s="19"/>
      <c r="BV64" s="17"/>
    </row>
    <row r="65" spans="27:74" x14ac:dyDescent="0.25">
      <c r="AA65" s="8"/>
      <c r="AB65" s="8"/>
      <c r="AC65" s="8"/>
      <c r="AD65" s="8"/>
      <c r="AE65" s="8"/>
      <c r="AF65" s="8"/>
      <c r="AG65" s="12"/>
      <c r="AH65" s="12"/>
      <c r="AI65" s="1"/>
      <c r="AJ65" s="1"/>
      <c r="AK65" s="1"/>
      <c r="AL65" s="1"/>
      <c r="AM65" s="1"/>
      <c r="AN65" s="1"/>
      <c r="AO65" s="17"/>
      <c r="AP65" s="17"/>
      <c r="AQ65" s="1"/>
      <c r="AR65" s="1"/>
      <c r="AS65" s="1"/>
      <c r="AT65" s="1"/>
      <c r="AU65" s="1"/>
      <c r="AV65" s="1"/>
      <c r="AW65" s="12"/>
      <c r="AX65" s="12"/>
      <c r="AY65" s="1"/>
      <c r="AZ65" s="1"/>
      <c r="BA65" s="1"/>
      <c r="BB65" s="1"/>
      <c r="BC65" s="1"/>
      <c r="BD65" s="1"/>
      <c r="BE65" s="19"/>
      <c r="BF65" s="19"/>
      <c r="BG65" s="9"/>
      <c r="BH65" s="9"/>
      <c r="BI65" s="9"/>
      <c r="BJ65" s="9"/>
      <c r="BK65" s="9"/>
      <c r="BL65" s="9"/>
      <c r="BM65" s="12"/>
      <c r="BN65" s="13"/>
      <c r="BO65" s="1"/>
      <c r="BP65" s="1"/>
      <c r="BQ65" s="1"/>
      <c r="BR65" s="1"/>
      <c r="BS65" s="1"/>
      <c r="BT65" s="1"/>
      <c r="BU65" s="19"/>
      <c r="BV65" s="17"/>
    </row>
    <row r="66" spans="27:74" x14ac:dyDescent="0.25">
      <c r="AA66" s="8"/>
      <c r="AB66" s="8"/>
      <c r="AC66" s="8"/>
      <c r="AD66" s="8"/>
      <c r="AE66" s="8"/>
      <c r="AF66" s="8"/>
      <c r="AG66" s="12"/>
      <c r="AH66" s="12"/>
      <c r="AI66" s="1"/>
      <c r="AJ66" s="1"/>
      <c r="AK66" s="1"/>
      <c r="AL66" s="1"/>
      <c r="AM66" s="1"/>
      <c r="AN66" s="1"/>
      <c r="AO66" s="17"/>
      <c r="AP66" s="17"/>
      <c r="AQ66" s="1"/>
      <c r="AR66" s="1"/>
      <c r="AS66" s="1"/>
      <c r="AT66" s="1"/>
      <c r="AU66" s="1"/>
      <c r="AV66" s="1"/>
      <c r="AW66" s="12"/>
      <c r="AX66" s="12"/>
      <c r="AY66" s="1"/>
      <c r="AZ66" s="1"/>
      <c r="BA66" s="1"/>
      <c r="BB66" s="1"/>
      <c r="BC66" s="1"/>
      <c r="BD66" s="1"/>
      <c r="BE66" s="19"/>
      <c r="BF66" s="19"/>
      <c r="BG66" s="9"/>
      <c r="BH66" s="9"/>
      <c r="BI66" s="9"/>
      <c r="BJ66" s="9"/>
      <c r="BK66" s="9"/>
      <c r="BL66" s="9"/>
      <c r="BM66" s="12"/>
      <c r="BN66" s="13"/>
      <c r="BO66" s="1"/>
      <c r="BP66" s="1"/>
      <c r="BQ66" s="1"/>
      <c r="BR66" s="1"/>
      <c r="BS66" s="1"/>
      <c r="BT66" s="1"/>
      <c r="BU66" s="19"/>
      <c r="BV66" s="17"/>
    </row>
    <row r="67" spans="27:74" x14ac:dyDescent="0.25">
      <c r="AA67" s="8"/>
      <c r="AB67" s="8"/>
      <c r="AC67" s="8"/>
      <c r="AD67" s="8"/>
      <c r="AE67" s="8"/>
      <c r="AF67" s="8"/>
      <c r="AG67" s="12"/>
      <c r="AH67" s="12"/>
      <c r="AI67" s="1"/>
      <c r="AJ67" s="1"/>
      <c r="AK67" s="1"/>
      <c r="AL67" s="1"/>
      <c r="AM67" s="1"/>
      <c r="AN67" s="1"/>
      <c r="AO67" s="17"/>
      <c r="AP67" s="17"/>
      <c r="AQ67" s="1"/>
      <c r="AR67" s="1"/>
      <c r="AS67" s="1"/>
      <c r="AT67" s="1"/>
      <c r="AU67" s="1"/>
      <c r="AV67" s="1"/>
      <c r="AW67" s="12"/>
      <c r="AX67" s="12"/>
      <c r="AY67" s="1"/>
      <c r="AZ67" s="1"/>
      <c r="BA67" s="1"/>
      <c r="BB67" s="1"/>
      <c r="BC67" s="1"/>
      <c r="BD67" s="1"/>
      <c r="BE67" s="19"/>
      <c r="BF67" s="19"/>
      <c r="BG67" s="9"/>
      <c r="BH67" s="9"/>
      <c r="BI67" s="9"/>
      <c r="BJ67" s="9"/>
      <c r="BK67" s="9"/>
      <c r="BL67" s="9"/>
      <c r="BM67" s="12"/>
      <c r="BN67" s="13"/>
      <c r="BO67" s="1"/>
      <c r="BP67" s="1"/>
      <c r="BQ67" s="1"/>
      <c r="BR67" s="1"/>
      <c r="BS67" s="1"/>
      <c r="BT67" s="1"/>
      <c r="BU67" s="19"/>
      <c r="BV67" s="17"/>
    </row>
    <row r="68" spans="27:74" x14ac:dyDescent="0.25">
      <c r="AA68" s="8"/>
      <c r="AB68" s="8"/>
      <c r="AC68" s="8"/>
      <c r="AD68" s="8"/>
      <c r="AE68" s="8"/>
      <c r="AF68" s="8"/>
      <c r="AG68" s="12"/>
      <c r="AH68" s="12"/>
      <c r="AI68" s="1"/>
      <c r="AJ68" s="1"/>
      <c r="AK68" s="1"/>
      <c r="AL68" s="1"/>
      <c r="AM68" s="1"/>
      <c r="AN68" s="1"/>
      <c r="AO68" s="17"/>
      <c r="AP68" s="17"/>
      <c r="AQ68" s="1"/>
      <c r="AR68" s="1"/>
      <c r="AS68" s="1"/>
      <c r="AT68" s="1"/>
      <c r="AU68" s="1"/>
      <c r="AV68" s="1"/>
      <c r="AW68" s="12"/>
      <c r="AX68" s="12"/>
      <c r="AY68" s="1"/>
      <c r="AZ68" s="1"/>
      <c r="BA68" s="1"/>
      <c r="BB68" s="1"/>
      <c r="BC68" s="1"/>
      <c r="BD68" s="1"/>
      <c r="BE68" s="19"/>
      <c r="BF68" s="19"/>
      <c r="BG68" s="9"/>
      <c r="BH68" s="9"/>
      <c r="BI68" s="9"/>
      <c r="BJ68" s="9"/>
      <c r="BK68" s="9"/>
      <c r="BL68" s="9"/>
      <c r="BM68" s="12"/>
      <c r="BN68" s="13"/>
      <c r="BO68" s="1"/>
      <c r="BP68" s="1"/>
      <c r="BQ68" s="1"/>
      <c r="BR68" s="1"/>
      <c r="BS68" s="1"/>
      <c r="BT68" s="1"/>
      <c r="BU68" s="19"/>
      <c r="BV68" s="17"/>
    </row>
    <row r="69" spans="27:74" x14ac:dyDescent="0.25">
      <c r="AA69" s="8"/>
      <c r="AB69" s="8"/>
      <c r="AC69" s="8"/>
      <c r="AD69" s="8"/>
      <c r="AE69" s="8"/>
      <c r="AF69" s="8"/>
      <c r="AG69" s="12"/>
      <c r="AH69" s="12"/>
      <c r="AI69" s="1"/>
      <c r="AJ69" s="1"/>
      <c r="AK69" s="1"/>
      <c r="AL69" s="1"/>
      <c r="AM69" s="1"/>
      <c r="AN69" s="1"/>
      <c r="AO69" s="17"/>
      <c r="AP69" s="17"/>
      <c r="AQ69" s="1"/>
      <c r="AR69" s="1"/>
      <c r="AS69" s="1"/>
      <c r="AT69" s="1"/>
      <c r="AU69" s="1"/>
      <c r="AV69" s="1"/>
      <c r="AW69" s="12"/>
      <c r="AX69" s="12"/>
      <c r="AY69" s="1"/>
      <c r="AZ69" s="1"/>
      <c r="BA69" s="1"/>
      <c r="BB69" s="1"/>
      <c r="BC69" s="1"/>
      <c r="BD69" s="1"/>
      <c r="BE69" s="19"/>
      <c r="BF69" s="19"/>
      <c r="BG69" s="9"/>
      <c r="BH69" s="9"/>
      <c r="BI69" s="9"/>
      <c r="BJ69" s="9"/>
      <c r="BK69" s="9"/>
      <c r="BL69" s="9"/>
      <c r="BM69" s="12"/>
      <c r="BN69" s="13"/>
      <c r="BO69" s="1"/>
      <c r="BP69" s="1"/>
      <c r="BQ69" s="1"/>
      <c r="BR69" s="1"/>
      <c r="BS69" s="1"/>
      <c r="BT69" s="1"/>
      <c r="BU69" s="19"/>
      <c r="BV69" s="17"/>
    </row>
    <row r="70" spans="27:74" x14ac:dyDescent="0.25">
      <c r="AA70" s="8"/>
      <c r="AB70" s="8"/>
      <c r="AC70" s="8"/>
      <c r="AD70" s="8"/>
      <c r="AE70" s="8"/>
      <c r="AF70" s="8"/>
      <c r="AG70" s="12"/>
      <c r="AH70" s="12"/>
      <c r="AI70" s="1"/>
      <c r="AJ70" s="1"/>
      <c r="AK70" s="1"/>
      <c r="AL70" s="1"/>
      <c r="AM70" s="1"/>
      <c r="AN70" s="1"/>
      <c r="AO70" s="17"/>
      <c r="AP70" s="17"/>
      <c r="AQ70" s="1"/>
      <c r="AR70" s="1"/>
      <c r="AS70" s="1"/>
      <c r="AT70" s="1"/>
      <c r="AU70" s="1"/>
      <c r="AV70" s="1"/>
      <c r="AW70" s="12"/>
      <c r="AX70" s="12"/>
      <c r="AY70" s="1"/>
      <c r="AZ70" s="1"/>
      <c r="BA70" s="1"/>
      <c r="BB70" s="1"/>
      <c r="BC70" s="1"/>
      <c r="BD70" s="1"/>
      <c r="BE70" s="19"/>
      <c r="BF70" s="19"/>
      <c r="BG70" s="9"/>
      <c r="BH70" s="9"/>
      <c r="BI70" s="9"/>
      <c r="BJ70" s="9"/>
      <c r="BK70" s="9"/>
      <c r="BL70" s="9"/>
      <c r="BM70" s="12"/>
      <c r="BN70" s="13"/>
      <c r="BO70" s="1"/>
      <c r="BP70" s="1"/>
      <c r="BQ70" s="1"/>
      <c r="BR70" s="1"/>
      <c r="BS70" s="1"/>
      <c r="BT70" s="1"/>
      <c r="BU70" s="19"/>
      <c r="BV70" s="17"/>
    </row>
    <row r="71" spans="27:74" x14ac:dyDescent="0.25">
      <c r="AA71" s="8"/>
      <c r="AB71" s="8"/>
      <c r="AC71" s="8"/>
      <c r="AD71" s="8"/>
      <c r="AE71" s="8"/>
      <c r="AF71" s="8"/>
      <c r="AG71" s="12"/>
      <c r="AH71" s="12"/>
      <c r="AI71" s="1"/>
      <c r="AJ71" s="1"/>
      <c r="AK71" s="1"/>
      <c r="AL71" s="1"/>
      <c r="AM71" s="1"/>
      <c r="AN71" s="1"/>
      <c r="AO71" s="17"/>
      <c r="AP71" s="17"/>
      <c r="AQ71" s="1"/>
      <c r="AR71" s="1"/>
      <c r="AS71" s="1"/>
      <c r="AT71" s="1"/>
      <c r="AU71" s="1"/>
      <c r="AV71" s="1"/>
      <c r="AW71" s="12"/>
      <c r="AX71" s="12"/>
      <c r="AY71" s="1"/>
      <c r="AZ71" s="1"/>
      <c r="BA71" s="1"/>
      <c r="BB71" s="1"/>
      <c r="BC71" s="1"/>
      <c r="BD71" s="1"/>
      <c r="BE71" s="19"/>
      <c r="BF71" s="19"/>
      <c r="BG71" s="9"/>
      <c r="BH71" s="9"/>
      <c r="BI71" s="9"/>
      <c r="BJ71" s="9"/>
      <c r="BK71" s="9"/>
      <c r="BL71" s="9"/>
      <c r="BM71" s="12"/>
      <c r="BN71" s="13"/>
      <c r="BO71" s="1"/>
      <c r="BP71" s="1"/>
      <c r="BQ71" s="1"/>
      <c r="BR71" s="1"/>
      <c r="BS71" s="1"/>
      <c r="BT71" s="1"/>
      <c r="BU71" s="19"/>
      <c r="BV71" s="17"/>
    </row>
    <row r="72" spans="27:74" x14ac:dyDescent="0.25">
      <c r="AA72" s="8"/>
      <c r="AB72" s="8"/>
      <c r="AC72" s="8"/>
      <c r="AD72" s="8"/>
      <c r="AE72" s="8"/>
      <c r="AF72" s="8"/>
      <c r="AG72" s="12"/>
      <c r="AH72" s="12"/>
      <c r="AI72" s="1"/>
      <c r="AJ72" s="1"/>
      <c r="AK72" s="1"/>
      <c r="AL72" s="1"/>
      <c r="AM72" s="1"/>
      <c r="AN72" s="1"/>
      <c r="AO72" s="17"/>
      <c r="AP72" s="17"/>
      <c r="AQ72" s="1"/>
      <c r="AR72" s="1"/>
      <c r="AS72" s="1"/>
      <c r="AT72" s="1"/>
      <c r="AU72" s="1"/>
      <c r="AV72" s="1"/>
      <c r="AW72" s="12"/>
      <c r="AX72" s="12"/>
      <c r="AY72" s="1"/>
      <c r="AZ72" s="1"/>
      <c r="BA72" s="1"/>
      <c r="BB72" s="1"/>
      <c r="BC72" s="1"/>
      <c r="BD72" s="1"/>
      <c r="BE72" s="19"/>
      <c r="BF72" s="19"/>
      <c r="BG72" s="9"/>
      <c r="BH72" s="9"/>
      <c r="BI72" s="9"/>
      <c r="BJ72" s="9"/>
      <c r="BK72" s="9"/>
      <c r="BL72" s="9"/>
      <c r="BM72" s="12"/>
      <c r="BN72" s="13"/>
      <c r="BO72" s="1"/>
      <c r="BP72" s="1"/>
      <c r="BQ72" s="1"/>
      <c r="BR72" s="1"/>
      <c r="BS72" s="1"/>
      <c r="BT72" s="1"/>
      <c r="BU72" s="19"/>
      <c r="BV72" s="17"/>
    </row>
    <row r="73" spans="27:74" x14ac:dyDescent="0.25">
      <c r="AA73" s="8"/>
      <c r="AB73" s="8"/>
      <c r="AC73" s="8"/>
      <c r="AD73" s="8"/>
      <c r="AE73" s="8"/>
      <c r="AF73" s="8"/>
      <c r="AG73" s="12"/>
      <c r="AH73" s="12"/>
      <c r="AI73" s="1"/>
      <c r="AJ73" s="1"/>
      <c r="AK73" s="1"/>
      <c r="AL73" s="1"/>
      <c r="AM73" s="1"/>
      <c r="AN73" s="1"/>
      <c r="AO73" s="17"/>
      <c r="AP73" s="17"/>
      <c r="AQ73" s="1"/>
      <c r="AR73" s="1"/>
      <c r="AS73" s="1"/>
      <c r="AT73" s="1"/>
      <c r="AU73" s="1"/>
      <c r="AV73" s="1"/>
      <c r="AW73" s="12"/>
      <c r="AX73" s="12"/>
      <c r="AY73" s="1"/>
      <c r="AZ73" s="1"/>
      <c r="BA73" s="1"/>
      <c r="BB73" s="1"/>
      <c r="BC73" s="1"/>
      <c r="BD73" s="1"/>
      <c r="BE73" s="19"/>
      <c r="BF73" s="19"/>
      <c r="BG73" s="9"/>
      <c r="BH73" s="9"/>
      <c r="BI73" s="9"/>
      <c r="BJ73" s="9"/>
      <c r="BK73" s="9"/>
      <c r="BL73" s="9"/>
      <c r="BM73" s="12"/>
      <c r="BN73" s="13"/>
      <c r="BO73" s="1"/>
      <c r="BP73" s="1"/>
      <c r="BQ73" s="1"/>
      <c r="BR73" s="1"/>
      <c r="BS73" s="1"/>
      <c r="BT73" s="1"/>
      <c r="BU73" s="19"/>
      <c r="BV73" s="17"/>
    </row>
    <row r="74" spans="27:74" x14ac:dyDescent="0.25">
      <c r="AA74" s="8"/>
      <c r="AB74" s="8"/>
      <c r="AC74" s="8"/>
      <c r="AD74" s="8"/>
      <c r="AE74" s="8"/>
      <c r="AF74" s="8"/>
      <c r="AG74" s="12"/>
      <c r="AH74" s="12"/>
      <c r="AI74" s="1"/>
      <c r="AJ74" s="1"/>
      <c r="AK74" s="1"/>
      <c r="AL74" s="1"/>
      <c r="AM74" s="1"/>
      <c r="AN74" s="1"/>
      <c r="AO74" s="17"/>
      <c r="AP74" s="17"/>
      <c r="AQ74" s="1"/>
      <c r="AR74" s="1"/>
      <c r="AS74" s="1"/>
      <c r="AT74" s="1"/>
      <c r="AU74" s="1"/>
      <c r="AV74" s="1"/>
      <c r="AW74" s="12"/>
      <c r="AX74" s="12"/>
      <c r="AY74" s="1"/>
      <c r="AZ74" s="1"/>
      <c r="BA74" s="1"/>
      <c r="BB74" s="1"/>
      <c r="BC74" s="1"/>
      <c r="BD74" s="1"/>
      <c r="BE74" s="19"/>
      <c r="BF74" s="19"/>
      <c r="BG74" s="9"/>
      <c r="BH74" s="9"/>
      <c r="BI74" s="9"/>
      <c r="BJ74" s="9"/>
      <c r="BK74" s="9"/>
      <c r="BL74" s="9"/>
      <c r="BM74" s="12"/>
      <c r="BN74" s="13"/>
      <c r="BO74" s="1"/>
      <c r="BP74" s="1"/>
      <c r="BQ74" s="1"/>
      <c r="BR74" s="1"/>
      <c r="BS74" s="1"/>
      <c r="BT74" s="1"/>
      <c r="BU74" s="19"/>
      <c r="BV74" s="17"/>
    </row>
    <row r="75" spans="27:74" x14ac:dyDescent="0.25">
      <c r="AA75" s="8"/>
      <c r="AB75" s="8"/>
      <c r="AC75" s="8"/>
      <c r="AD75" s="8"/>
      <c r="AE75" s="8"/>
      <c r="AF75" s="8"/>
      <c r="AG75" s="12"/>
      <c r="AH75" s="12"/>
      <c r="AI75" s="1"/>
      <c r="AJ75" s="1"/>
      <c r="AK75" s="1"/>
      <c r="AL75" s="1"/>
      <c r="AM75" s="1"/>
      <c r="AN75" s="1"/>
      <c r="AO75" s="17"/>
      <c r="AP75" s="17"/>
      <c r="AQ75" s="1"/>
      <c r="AR75" s="1"/>
      <c r="AS75" s="1"/>
      <c r="AT75" s="1"/>
      <c r="AU75" s="1"/>
      <c r="AV75" s="1"/>
      <c r="AW75" s="12"/>
      <c r="AX75" s="12"/>
      <c r="AY75" s="1"/>
      <c r="AZ75" s="1"/>
      <c r="BA75" s="1"/>
      <c r="BB75" s="1"/>
      <c r="BC75" s="1"/>
      <c r="BD75" s="1"/>
      <c r="BE75" s="19"/>
      <c r="BF75" s="19"/>
      <c r="BG75" s="9"/>
      <c r="BH75" s="9"/>
      <c r="BI75" s="9"/>
      <c r="BJ75" s="9"/>
      <c r="BK75" s="9"/>
      <c r="BL75" s="9"/>
      <c r="BM75" s="12"/>
      <c r="BN75" s="13"/>
      <c r="BO75" s="1"/>
      <c r="BP75" s="1"/>
      <c r="BQ75" s="1"/>
      <c r="BR75" s="1"/>
      <c r="BS75" s="1"/>
      <c r="BT75" s="1"/>
      <c r="BU75" s="19"/>
      <c r="BV75" s="17"/>
    </row>
    <row r="76" spans="27:74" x14ac:dyDescent="0.25">
      <c r="AA76" s="8"/>
      <c r="AB76" s="8"/>
      <c r="AC76" s="8"/>
      <c r="AD76" s="8"/>
      <c r="AE76" s="8"/>
      <c r="AF76" s="8"/>
      <c r="AG76" s="12"/>
      <c r="AH76" s="12"/>
      <c r="AI76" s="1"/>
      <c r="AJ76" s="1"/>
      <c r="AK76" s="1"/>
      <c r="AL76" s="1"/>
      <c r="AM76" s="1"/>
      <c r="AN76" s="1"/>
      <c r="AO76" s="17"/>
      <c r="AP76" s="17"/>
      <c r="AQ76" s="1"/>
      <c r="AR76" s="1"/>
      <c r="AS76" s="1"/>
      <c r="AT76" s="1"/>
      <c r="AU76" s="1"/>
      <c r="AV76" s="1"/>
      <c r="AW76" s="12"/>
      <c r="AX76" s="12"/>
      <c r="AY76" s="1"/>
      <c r="AZ76" s="1"/>
      <c r="BA76" s="1"/>
      <c r="BB76" s="1"/>
      <c r="BC76" s="1"/>
      <c r="BD76" s="1"/>
      <c r="BE76" s="19"/>
      <c r="BF76" s="19"/>
      <c r="BG76" s="9"/>
      <c r="BH76" s="9"/>
      <c r="BI76" s="9"/>
      <c r="BJ76" s="9"/>
      <c r="BK76" s="9"/>
      <c r="BL76" s="9"/>
      <c r="BM76" s="12"/>
      <c r="BN76" s="13"/>
      <c r="BO76" s="1"/>
      <c r="BP76" s="1"/>
      <c r="BQ76" s="1"/>
      <c r="BR76" s="1"/>
      <c r="BS76" s="1"/>
      <c r="BT76" s="1"/>
      <c r="BU76" s="19"/>
      <c r="BV76" s="17"/>
    </row>
    <row r="77" spans="27:74" x14ac:dyDescent="0.25">
      <c r="AA77" s="8"/>
      <c r="AB77" s="8"/>
      <c r="AC77" s="8"/>
      <c r="AD77" s="8"/>
      <c r="AE77" s="8"/>
      <c r="AF77" s="8"/>
      <c r="AG77" s="12"/>
      <c r="AH77" s="12"/>
      <c r="AI77" s="1"/>
      <c r="AJ77" s="1"/>
      <c r="AK77" s="1"/>
      <c r="AL77" s="1"/>
      <c r="AM77" s="1"/>
      <c r="AN77" s="1"/>
      <c r="AO77" s="17"/>
      <c r="AP77" s="17"/>
      <c r="AQ77" s="1"/>
      <c r="AR77" s="1"/>
      <c r="AS77" s="1"/>
      <c r="AT77" s="1"/>
      <c r="AU77" s="1"/>
      <c r="AV77" s="1"/>
      <c r="AW77" s="12"/>
      <c r="AX77" s="12"/>
      <c r="AY77" s="1"/>
      <c r="AZ77" s="1"/>
      <c r="BA77" s="1"/>
      <c r="BB77" s="1"/>
      <c r="BC77" s="1"/>
      <c r="BD77" s="1"/>
      <c r="BE77" s="19"/>
      <c r="BF77" s="19"/>
      <c r="BG77" s="9"/>
      <c r="BH77" s="9"/>
      <c r="BI77" s="9"/>
      <c r="BJ77" s="9"/>
      <c r="BK77" s="9"/>
      <c r="BL77" s="9"/>
      <c r="BM77" s="12"/>
      <c r="BN77" s="13"/>
      <c r="BO77" s="1"/>
      <c r="BP77" s="1"/>
      <c r="BQ77" s="1"/>
      <c r="BR77" s="1"/>
      <c r="BS77" s="1"/>
      <c r="BT77" s="1"/>
      <c r="BU77" s="19"/>
      <c r="BV77" s="17"/>
    </row>
    <row r="78" spans="27:74" x14ac:dyDescent="0.25">
      <c r="AA78" s="8"/>
      <c r="AB78" s="8"/>
      <c r="AC78" s="8"/>
      <c r="AD78" s="8"/>
      <c r="AE78" s="8"/>
      <c r="AF78" s="8"/>
      <c r="AG78" s="12"/>
      <c r="AH78" s="12"/>
      <c r="AI78" s="1"/>
      <c r="AJ78" s="1"/>
      <c r="AK78" s="1"/>
      <c r="AL78" s="1"/>
      <c r="AM78" s="1"/>
      <c r="AN78" s="1"/>
      <c r="AO78" s="17"/>
      <c r="AP78" s="17"/>
      <c r="AQ78" s="1"/>
      <c r="AR78" s="1"/>
      <c r="AS78" s="1"/>
      <c r="AT78" s="1"/>
      <c r="AU78" s="1"/>
      <c r="AV78" s="1"/>
      <c r="AW78" s="12"/>
      <c r="AX78" s="12"/>
      <c r="AY78" s="1"/>
      <c r="AZ78" s="1"/>
      <c r="BA78" s="1"/>
      <c r="BB78" s="1"/>
      <c r="BC78" s="1"/>
      <c r="BD78" s="1"/>
      <c r="BE78" s="19"/>
      <c r="BF78" s="19"/>
      <c r="BG78" s="9"/>
      <c r="BH78" s="9"/>
      <c r="BI78" s="9"/>
      <c r="BJ78" s="9"/>
      <c r="BK78" s="9"/>
      <c r="BL78" s="9"/>
      <c r="BM78" s="12"/>
      <c r="BN78" s="13"/>
      <c r="BO78" s="1"/>
      <c r="BP78" s="1"/>
      <c r="BQ78" s="1"/>
      <c r="BR78" s="1"/>
      <c r="BS78" s="1"/>
      <c r="BT78" s="1"/>
      <c r="BU78" s="19"/>
      <c r="BV78" s="17"/>
    </row>
    <row r="79" spans="27:74" x14ac:dyDescent="0.25">
      <c r="AA79" s="8"/>
      <c r="AB79" s="8"/>
      <c r="AC79" s="8"/>
      <c r="AD79" s="8"/>
      <c r="AE79" s="8"/>
      <c r="AF79" s="8"/>
      <c r="AG79" s="12"/>
      <c r="AH79" s="12"/>
      <c r="AI79" s="1"/>
      <c r="AJ79" s="1"/>
      <c r="AK79" s="1"/>
      <c r="AL79" s="1"/>
      <c r="AM79" s="1"/>
      <c r="AN79" s="1"/>
      <c r="AO79" s="17"/>
      <c r="AP79" s="17"/>
      <c r="AQ79" s="1"/>
      <c r="AR79" s="1"/>
      <c r="AS79" s="1"/>
      <c r="AT79" s="1"/>
      <c r="AU79" s="1"/>
      <c r="AV79" s="1"/>
      <c r="AW79" s="12"/>
      <c r="AX79" s="12"/>
      <c r="AY79" s="1"/>
      <c r="AZ79" s="1"/>
      <c r="BA79" s="1"/>
      <c r="BB79" s="1"/>
      <c r="BC79" s="1"/>
      <c r="BD79" s="1"/>
      <c r="BE79" s="19"/>
      <c r="BF79" s="19"/>
      <c r="BG79" s="9"/>
      <c r="BH79" s="9"/>
      <c r="BI79" s="9"/>
      <c r="BJ79" s="9"/>
      <c r="BK79" s="9"/>
      <c r="BL79" s="9"/>
      <c r="BM79" s="12"/>
      <c r="BN79" s="13"/>
      <c r="BO79" s="1"/>
      <c r="BP79" s="1"/>
      <c r="BQ79" s="1"/>
      <c r="BR79" s="1"/>
      <c r="BS79" s="1"/>
      <c r="BT79" s="1"/>
      <c r="BU79" s="19"/>
      <c r="BV79" s="17"/>
    </row>
    <row r="80" spans="27:74" x14ac:dyDescent="0.25">
      <c r="AA80" s="8"/>
      <c r="AB80" s="8"/>
      <c r="AC80" s="8"/>
      <c r="AD80" s="8"/>
      <c r="AE80" s="8"/>
      <c r="AF80" s="8"/>
      <c r="AG80" s="12"/>
      <c r="AH80" s="12"/>
      <c r="AI80" s="1"/>
      <c r="AJ80" s="1"/>
      <c r="AK80" s="1"/>
      <c r="AL80" s="1"/>
      <c r="AM80" s="1"/>
      <c r="AN80" s="1"/>
      <c r="AO80" s="17"/>
      <c r="AP80" s="17"/>
      <c r="AQ80" s="1"/>
      <c r="AR80" s="1"/>
      <c r="AS80" s="1"/>
      <c r="AT80" s="1"/>
      <c r="AU80" s="1"/>
      <c r="AV80" s="1"/>
      <c r="AW80" s="12"/>
      <c r="AX80" s="12"/>
      <c r="AY80" s="1"/>
      <c r="AZ80" s="1"/>
      <c r="BA80" s="1"/>
      <c r="BB80" s="1"/>
      <c r="BC80" s="1"/>
      <c r="BD80" s="1"/>
      <c r="BE80" s="19"/>
      <c r="BF80" s="19"/>
      <c r="BG80" s="9"/>
      <c r="BH80" s="9"/>
      <c r="BI80" s="9"/>
      <c r="BJ80" s="9"/>
      <c r="BK80" s="9"/>
      <c r="BL80" s="9"/>
      <c r="BM80" s="12"/>
      <c r="BN80" s="13"/>
      <c r="BO80" s="1"/>
      <c r="BP80" s="1"/>
      <c r="BQ80" s="1"/>
      <c r="BR80" s="1"/>
      <c r="BS80" s="1"/>
      <c r="BT80" s="1"/>
      <c r="BU80" s="19"/>
      <c r="BV80" s="17"/>
    </row>
    <row r="81" spans="27:74" x14ac:dyDescent="0.25">
      <c r="AA81" s="8"/>
      <c r="AB81" s="8"/>
      <c r="AC81" s="8"/>
      <c r="AD81" s="8"/>
      <c r="AE81" s="8"/>
      <c r="AF81" s="8"/>
      <c r="AG81" s="12"/>
      <c r="AH81" s="12"/>
      <c r="AI81" s="1"/>
      <c r="AJ81" s="1"/>
      <c r="AK81" s="1"/>
      <c r="AL81" s="1"/>
      <c r="AM81" s="1"/>
      <c r="AN81" s="1"/>
      <c r="AO81" s="17"/>
      <c r="AP81" s="17"/>
      <c r="AQ81" s="1"/>
      <c r="AR81" s="1"/>
      <c r="AS81" s="1"/>
      <c r="AT81" s="1"/>
      <c r="AU81" s="1"/>
      <c r="AV81" s="1"/>
      <c r="AW81" s="12"/>
      <c r="AX81" s="12"/>
      <c r="AY81" s="1"/>
      <c r="AZ81" s="1"/>
      <c r="BA81" s="1"/>
      <c r="BB81" s="1"/>
      <c r="BC81" s="1"/>
      <c r="BD81" s="1"/>
      <c r="BE81" s="19"/>
      <c r="BF81" s="19"/>
      <c r="BG81" s="9"/>
      <c r="BH81" s="9"/>
      <c r="BI81" s="9"/>
      <c r="BJ81" s="9"/>
      <c r="BK81" s="9"/>
      <c r="BL81" s="9"/>
      <c r="BM81" s="12"/>
      <c r="BN81" s="13"/>
      <c r="BO81" s="1"/>
      <c r="BP81" s="1"/>
      <c r="BQ81" s="1"/>
      <c r="BR81" s="1"/>
      <c r="BS81" s="1"/>
      <c r="BT81" s="1"/>
      <c r="BU81" s="19"/>
      <c r="BV81" s="17"/>
    </row>
    <row r="82" spans="27:74" x14ac:dyDescent="0.25">
      <c r="AA82" s="8"/>
      <c r="AB82" s="8"/>
      <c r="AC82" s="8"/>
      <c r="AD82" s="8"/>
      <c r="AE82" s="8"/>
      <c r="AF82" s="8"/>
      <c r="AG82" s="12"/>
      <c r="AH82" s="12"/>
      <c r="AI82" s="1"/>
      <c r="AJ82" s="1"/>
      <c r="AK82" s="1"/>
      <c r="AL82" s="1"/>
      <c r="AM82" s="1"/>
      <c r="AN82" s="1"/>
      <c r="AO82" s="17"/>
      <c r="AP82" s="17"/>
      <c r="AQ82" s="1"/>
      <c r="AR82" s="1"/>
      <c r="AS82" s="1"/>
      <c r="AT82" s="1"/>
      <c r="AU82" s="1"/>
      <c r="AV82" s="1"/>
      <c r="AW82" s="12"/>
      <c r="AX82" s="12"/>
      <c r="AY82" s="1"/>
      <c r="AZ82" s="1"/>
      <c r="BA82" s="1"/>
      <c r="BB82" s="1"/>
      <c r="BC82" s="1"/>
      <c r="BD82" s="1"/>
      <c r="BE82" s="19"/>
      <c r="BF82" s="19"/>
      <c r="BG82" s="9"/>
      <c r="BH82" s="9"/>
      <c r="BI82" s="9"/>
      <c r="BJ82" s="9"/>
      <c r="BK82" s="9"/>
      <c r="BL82" s="9"/>
      <c r="BM82" s="12"/>
      <c r="BN82" s="13"/>
      <c r="BO82" s="1"/>
      <c r="BP82" s="1"/>
      <c r="BQ82" s="1"/>
      <c r="BR82" s="1"/>
      <c r="BS82" s="1"/>
      <c r="BT82" s="1"/>
      <c r="BU82" s="19"/>
      <c r="BV82" s="17"/>
    </row>
    <row r="83" spans="27:74" x14ac:dyDescent="0.25">
      <c r="AA83" s="8"/>
      <c r="AB83" s="8"/>
      <c r="AC83" s="8"/>
      <c r="AD83" s="8"/>
      <c r="AE83" s="8"/>
      <c r="AF83" s="8"/>
      <c r="AG83" s="12"/>
      <c r="AH83" s="12"/>
      <c r="AI83" s="1"/>
      <c r="AJ83" s="1"/>
      <c r="AK83" s="1"/>
      <c r="AL83" s="1"/>
      <c r="AM83" s="1"/>
      <c r="AN83" s="1"/>
      <c r="AO83" s="17"/>
      <c r="AP83" s="17"/>
      <c r="AQ83" s="1"/>
      <c r="AR83" s="1"/>
      <c r="AS83" s="1"/>
      <c r="AT83" s="1"/>
      <c r="AU83" s="1"/>
      <c r="AV83" s="1"/>
      <c r="AW83" s="12"/>
      <c r="AX83" s="12"/>
      <c r="AY83" s="1"/>
      <c r="AZ83" s="1"/>
      <c r="BA83" s="1"/>
      <c r="BB83" s="1"/>
      <c r="BC83" s="1"/>
      <c r="BD83" s="1"/>
      <c r="BE83" s="19"/>
      <c r="BF83" s="19"/>
      <c r="BG83" s="9"/>
      <c r="BH83" s="9"/>
      <c r="BI83" s="9"/>
      <c r="BJ83" s="9"/>
      <c r="BK83" s="9"/>
      <c r="BL83" s="9"/>
      <c r="BM83" s="12"/>
      <c r="BN83" s="13"/>
      <c r="BO83" s="1"/>
      <c r="BP83" s="1"/>
      <c r="BQ83" s="1"/>
      <c r="BR83" s="1"/>
      <c r="BS83" s="1"/>
      <c r="BT83" s="1"/>
      <c r="BU83" s="19"/>
      <c r="BV83" s="17"/>
    </row>
    <row r="84" spans="27:74" x14ac:dyDescent="0.25">
      <c r="AA84" s="8"/>
      <c r="AB84" s="8"/>
      <c r="AC84" s="8"/>
      <c r="AD84" s="8"/>
      <c r="AE84" s="8"/>
      <c r="AF84" s="8"/>
      <c r="AG84" s="12"/>
      <c r="AH84" s="12"/>
      <c r="AI84" s="1"/>
      <c r="AJ84" s="1"/>
      <c r="AK84" s="1"/>
      <c r="AL84" s="1"/>
      <c r="AM84" s="1"/>
      <c r="AN84" s="1"/>
      <c r="AO84" s="17"/>
      <c r="AP84" s="17"/>
      <c r="AQ84" s="1"/>
      <c r="AR84" s="1"/>
      <c r="AS84" s="1"/>
      <c r="AT84" s="1"/>
      <c r="AU84" s="1"/>
      <c r="AV84" s="1"/>
      <c r="AW84" s="12"/>
      <c r="AX84" s="12"/>
      <c r="AY84" s="1"/>
      <c r="AZ84" s="1"/>
      <c r="BA84" s="1"/>
      <c r="BB84" s="1"/>
      <c r="BC84" s="1"/>
      <c r="BD84" s="1"/>
      <c r="BE84" s="19"/>
      <c r="BF84" s="19"/>
      <c r="BG84" s="9"/>
      <c r="BH84" s="9"/>
      <c r="BI84" s="9"/>
      <c r="BJ84" s="9"/>
      <c r="BK84" s="9"/>
      <c r="BL84" s="9"/>
      <c r="BM84" s="12"/>
      <c r="BN84" s="13"/>
      <c r="BO84" s="1"/>
      <c r="BP84" s="1"/>
      <c r="BQ84" s="1"/>
      <c r="BR84" s="1"/>
      <c r="BS84" s="1"/>
      <c r="BT84" s="1"/>
      <c r="BU84" s="19"/>
      <c r="BV84" s="17"/>
    </row>
    <row r="85" spans="27:74" x14ac:dyDescent="0.25">
      <c r="AA85" s="8"/>
      <c r="AB85" s="8"/>
      <c r="AC85" s="8"/>
      <c r="AD85" s="8"/>
      <c r="AE85" s="8"/>
      <c r="AF85" s="8"/>
      <c r="AG85" s="12"/>
      <c r="AH85" s="12"/>
      <c r="AI85" s="1"/>
      <c r="AJ85" s="1"/>
      <c r="AK85" s="1"/>
      <c r="AL85" s="1"/>
      <c r="AM85" s="1"/>
      <c r="AN85" s="1"/>
      <c r="AO85" s="17"/>
      <c r="AP85" s="17"/>
      <c r="AQ85" s="1"/>
      <c r="AR85" s="1"/>
      <c r="AS85" s="1"/>
      <c r="AT85" s="1"/>
      <c r="AU85" s="1"/>
      <c r="AV85" s="1"/>
      <c r="AW85" s="12"/>
      <c r="AX85" s="12"/>
      <c r="AY85" s="1"/>
      <c r="AZ85" s="1"/>
      <c r="BA85" s="1"/>
      <c r="BB85" s="1"/>
      <c r="BC85" s="1"/>
      <c r="BD85" s="1"/>
      <c r="BE85" s="19"/>
      <c r="BF85" s="19"/>
      <c r="BG85" s="9"/>
      <c r="BH85" s="9"/>
      <c r="BI85" s="9"/>
      <c r="BJ85" s="9"/>
      <c r="BK85" s="9"/>
      <c r="BL85" s="9"/>
      <c r="BM85" s="12"/>
      <c r="BN85" s="13"/>
      <c r="BO85" s="1"/>
      <c r="BP85" s="1"/>
      <c r="BQ85" s="1"/>
      <c r="BR85" s="1"/>
      <c r="BS85" s="1"/>
      <c r="BT85" s="1"/>
      <c r="BU85" s="19"/>
      <c r="BV85" s="17"/>
    </row>
    <row r="86" spans="27:74" x14ac:dyDescent="0.25">
      <c r="AA86" s="8"/>
      <c r="AB86" s="8"/>
      <c r="AC86" s="8"/>
      <c r="AD86" s="8"/>
      <c r="AE86" s="8"/>
      <c r="AF86" s="8"/>
      <c r="AG86" s="12"/>
      <c r="AH86" s="12"/>
      <c r="AI86" s="1"/>
      <c r="AJ86" s="1"/>
      <c r="AK86" s="1"/>
      <c r="AL86" s="1"/>
      <c r="AM86" s="1"/>
      <c r="AN86" s="1"/>
      <c r="AO86" s="17"/>
      <c r="AP86" s="17"/>
      <c r="AQ86" s="1"/>
      <c r="AR86" s="1"/>
      <c r="AS86" s="1"/>
      <c r="AT86" s="1"/>
      <c r="AU86" s="1"/>
      <c r="AV86" s="1"/>
      <c r="AW86" s="12"/>
      <c r="AX86" s="12"/>
      <c r="AY86" s="1"/>
      <c r="AZ86" s="1"/>
      <c r="BA86" s="1"/>
      <c r="BB86" s="1"/>
      <c r="BC86" s="1"/>
      <c r="BD86" s="1"/>
      <c r="BE86" s="19"/>
      <c r="BF86" s="19"/>
      <c r="BG86" s="9"/>
      <c r="BH86" s="9"/>
      <c r="BI86" s="9"/>
      <c r="BJ86" s="9"/>
      <c r="BK86" s="9"/>
      <c r="BL86" s="9"/>
      <c r="BM86" s="12"/>
      <c r="BN86" s="13"/>
      <c r="BO86" s="1"/>
      <c r="BP86" s="1"/>
      <c r="BQ86" s="1"/>
      <c r="BR86" s="1"/>
      <c r="BS86" s="1"/>
      <c r="BT86" s="1"/>
      <c r="BU86" s="19"/>
      <c r="BV86" s="17"/>
    </row>
    <row r="87" spans="27:74" x14ac:dyDescent="0.25">
      <c r="AA87" s="8"/>
      <c r="AB87" s="8"/>
      <c r="AC87" s="8"/>
      <c r="AD87" s="8"/>
      <c r="AE87" s="8"/>
      <c r="AF87" s="8"/>
      <c r="AG87" s="12"/>
      <c r="AH87" s="12"/>
      <c r="AI87" s="1"/>
      <c r="AJ87" s="1"/>
      <c r="AK87" s="1"/>
      <c r="AL87" s="1"/>
      <c r="AM87" s="1"/>
      <c r="AN87" s="1"/>
      <c r="AO87" s="17"/>
      <c r="AP87" s="17"/>
      <c r="AQ87" s="1"/>
      <c r="AR87" s="1"/>
      <c r="AS87" s="1"/>
      <c r="AT87" s="1"/>
      <c r="AU87" s="1"/>
      <c r="AV87" s="1"/>
      <c r="AW87" s="12"/>
      <c r="AX87" s="12"/>
      <c r="AY87" s="1"/>
      <c r="AZ87" s="1"/>
      <c r="BA87" s="1"/>
      <c r="BB87" s="1"/>
      <c r="BC87" s="1"/>
      <c r="BD87" s="1"/>
      <c r="BE87" s="19"/>
      <c r="BF87" s="19"/>
      <c r="BG87" s="9"/>
      <c r="BH87" s="9"/>
      <c r="BI87" s="9"/>
      <c r="BJ87" s="9"/>
      <c r="BK87" s="9"/>
      <c r="BL87" s="9"/>
      <c r="BM87" s="12"/>
      <c r="BN87" s="13"/>
      <c r="BO87" s="1"/>
      <c r="BP87" s="1"/>
      <c r="BQ87" s="1"/>
      <c r="BR87" s="1"/>
      <c r="BS87" s="1"/>
      <c r="BT87" s="1"/>
      <c r="BU87" s="19"/>
      <c r="BV87" s="17"/>
    </row>
    <row r="88" spans="27:74" x14ac:dyDescent="0.25">
      <c r="AA88" s="8"/>
      <c r="AB88" s="8"/>
      <c r="AC88" s="8"/>
      <c r="AD88" s="8"/>
      <c r="AE88" s="8"/>
      <c r="AF88" s="8"/>
      <c r="AG88" s="12"/>
      <c r="AH88" s="12"/>
      <c r="AI88" s="1"/>
      <c r="AJ88" s="1"/>
      <c r="AK88" s="1"/>
      <c r="AL88" s="1"/>
      <c r="AM88" s="1"/>
      <c r="AN88" s="1"/>
      <c r="AO88" s="17"/>
      <c r="AP88" s="17"/>
      <c r="AQ88" s="1"/>
      <c r="AR88" s="1"/>
      <c r="AS88" s="1"/>
      <c r="AT88" s="1"/>
      <c r="AU88" s="1"/>
      <c r="AV88" s="1"/>
      <c r="AW88" s="12"/>
      <c r="AX88" s="12"/>
      <c r="AY88" s="1"/>
      <c r="AZ88" s="1"/>
      <c r="BA88" s="1"/>
      <c r="BB88" s="1"/>
      <c r="BC88" s="1"/>
      <c r="BD88" s="1"/>
      <c r="BE88" s="19"/>
      <c r="BF88" s="19"/>
      <c r="BG88" s="9"/>
      <c r="BH88" s="9"/>
      <c r="BI88" s="9"/>
      <c r="BJ88" s="9"/>
      <c r="BK88" s="9"/>
      <c r="BL88" s="9"/>
      <c r="BM88" s="12"/>
      <c r="BN88" s="13"/>
      <c r="BO88" s="1"/>
      <c r="BP88" s="1"/>
      <c r="BQ88" s="1"/>
      <c r="BR88" s="1"/>
      <c r="BS88" s="1"/>
      <c r="BT88" s="1"/>
      <c r="BU88" s="19"/>
      <c r="BV88" s="17"/>
    </row>
    <row r="89" spans="27:74" x14ac:dyDescent="0.25">
      <c r="AA89" s="8"/>
      <c r="AB89" s="8"/>
      <c r="AC89" s="8"/>
      <c r="AD89" s="8"/>
      <c r="AE89" s="8"/>
      <c r="AF89" s="8"/>
      <c r="AG89" s="12"/>
      <c r="AH89" s="12"/>
      <c r="AI89" s="1"/>
      <c r="AJ89" s="1"/>
      <c r="AK89" s="1"/>
      <c r="AL89" s="1"/>
      <c r="AM89" s="1"/>
      <c r="AN89" s="1"/>
      <c r="AO89" s="17"/>
      <c r="AP89" s="17"/>
      <c r="AQ89" s="1"/>
      <c r="AR89" s="1"/>
      <c r="AS89" s="1"/>
      <c r="AT89" s="1"/>
      <c r="AU89" s="1"/>
      <c r="AV89" s="1"/>
      <c r="AW89" s="12"/>
      <c r="AX89" s="12"/>
      <c r="AY89" s="1"/>
      <c r="AZ89" s="1"/>
      <c r="BA89" s="1"/>
      <c r="BB89" s="1"/>
      <c r="BC89" s="1"/>
      <c r="BD89" s="1"/>
      <c r="BE89" s="19"/>
      <c r="BF89" s="19"/>
      <c r="BG89" s="9"/>
      <c r="BH89" s="9"/>
      <c r="BI89" s="9"/>
      <c r="BJ89" s="9"/>
      <c r="BK89" s="9"/>
      <c r="BL89" s="9"/>
      <c r="BM89" s="12"/>
      <c r="BN89" s="13"/>
      <c r="BO89" s="1"/>
      <c r="BP89" s="1"/>
      <c r="BQ89" s="1"/>
      <c r="BR89" s="1"/>
      <c r="BS89" s="1"/>
      <c r="BT89" s="1"/>
      <c r="BU89" s="19"/>
      <c r="BV89" s="17"/>
    </row>
    <row r="90" spans="27:74" x14ac:dyDescent="0.25">
      <c r="AA90" s="8"/>
      <c r="AB90" s="8"/>
      <c r="AC90" s="8"/>
      <c r="AD90" s="8"/>
      <c r="AE90" s="8"/>
      <c r="AF90" s="8"/>
      <c r="AG90" s="12"/>
      <c r="AH90" s="12"/>
      <c r="AI90" s="1"/>
      <c r="AJ90" s="1"/>
      <c r="AK90" s="1"/>
      <c r="AL90" s="1"/>
      <c r="AM90" s="1"/>
      <c r="AN90" s="1"/>
      <c r="AO90" s="17"/>
      <c r="AP90" s="17"/>
      <c r="AQ90" s="1"/>
      <c r="AR90" s="1"/>
      <c r="AS90" s="1"/>
      <c r="AT90" s="1"/>
      <c r="AU90" s="1"/>
      <c r="AV90" s="1"/>
      <c r="AW90" s="12"/>
      <c r="AX90" s="12"/>
      <c r="AY90" s="1"/>
      <c r="AZ90" s="1"/>
      <c r="BA90" s="1"/>
      <c r="BB90" s="1"/>
      <c r="BC90" s="1"/>
      <c r="BD90" s="1"/>
      <c r="BE90" s="19"/>
      <c r="BF90" s="19"/>
      <c r="BG90" s="9"/>
      <c r="BH90" s="9"/>
      <c r="BI90" s="9"/>
      <c r="BJ90" s="9"/>
      <c r="BK90" s="9"/>
      <c r="BL90" s="9"/>
      <c r="BM90" s="12"/>
      <c r="BN90" s="13"/>
      <c r="BO90" s="1"/>
      <c r="BP90" s="1"/>
      <c r="BQ90" s="1"/>
      <c r="BR90" s="1"/>
      <c r="BS90" s="1"/>
      <c r="BT90" s="1"/>
      <c r="BU90" s="19"/>
      <c r="BV90" s="17"/>
    </row>
    <row r="91" spans="27:74" x14ac:dyDescent="0.25">
      <c r="AA91" s="8"/>
      <c r="AB91" s="8"/>
      <c r="AC91" s="8"/>
      <c r="AD91" s="8"/>
      <c r="AE91" s="8"/>
      <c r="AF91" s="8"/>
      <c r="AG91" s="12"/>
      <c r="AH91" s="12"/>
      <c r="AI91" s="1"/>
      <c r="AJ91" s="1"/>
      <c r="AK91" s="1"/>
      <c r="AL91" s="1"/>
      <c r="AM91" s="1"/>
      <c r="AN91" s="1"/>
      <c r="AO91" s="17"/>
      <c r="AP91" s="17"/>
      <c r="AQ91" s="1"/>
      <c r="AR91" s="1"/>
      <c r="AS91" s="1"/>
      <c r="AT91" s="1"/>
      <c r="AU91" s="1"/>
      <c r="AV91" s="1"/>
      <c r="AW91" s="12"/>
      <c r="AX91" s="12"/>
      <c r="AY91" s="1"/>
      <c r="AZ91" s="1"/>
      <c r="BA91" s="1"/>
      <c r="BB91" s="1"/>
      <c r="BC91" s="1"/>
      <c r="BD91" s="1"/>
      <c r="BE91" s="19"/>
      <c r="BF91" s="19"/>
      <c r="BG91" s="9"/>
      <c r="BH91" s="9"/>
      <c r="BI91" s="9"/>
      <c r="BJ91" s="9"/>
      <c r="BK91" s="9"/>
      <c r="BL91" s="9"/>
      <c r="BM91" s="12"/>
      <c r="BN91" s="13"/>
      <c r="BO91" s="1"/>
      <c r="BP91" s="1"/>
      <c r="BQ91" s="1"/>
      <c r="BR91" s="1"/>
      <c r="BS91" s="1"/>
      <c r="BT91" s="1"/>
      <c r="BU91" s="19"/>
      <c r="BV91" s="17"/>
    </row>
    <row r="92" spans="27:74" x14ac:dyDescent="0.25">
      <c r="AA92" s="8"/>
      <c r="AB92" s="8"/>
      <c r="AC92" s="8"/>
      <c r="AD92" s="8"/>
      <c r="AE92" s="8"/>
      <c r="AF92" s="8"/>
      <c r="AG92" s="12"/>
      <c r="AH92" s="12"/>
      <c r="AI92" s="1"/>
      <c r="AJ92" s="1"/>
      <c r="AK92" s="1"/>
      <c r="AL92" s="1"/>
      <c r="AM92" s="1"/>
      <c r="AN92" s="1"/>
      <c r="AO92" s="17"/>
      <c r="AP92" s="17"/>
      <c r="AQ92" s="1"/>
      <c r="AR92" s="1"/>
      <c r="AS92" s="1"/>
      <c r="AT92" s="1"/>
      <c r="AU92" s="1"/>
      <c r="AV92" s="1"/>
      <c r="AW92" s="12"/>
      <c r="AX92" s="12"/>
      <c r="AY92" s="1"/>
      <c r="AZ92" s="1"/>
      <c r="BA92" s="1"/>
      <c r="BB92" s="1"/>
      <c r="BC92" s="1"/>
      <c r="BD92" s="1"/>
      <c r="BE92" s="19"/>
      <c r="BF92" s="19"/>
      <c r="BG92" s="9"/>
      <c r="BH92" s="9"/>
      <c r="BI92" s="9"/>
      <c r="BJ92" s="9"/>
      <c r="BK92" s="9"/>
      <c r="BL92" s="9"/>
      <c r="BM92" s="12"/>
      <c r="BN92" s="13"/>
      <c r="BO92" s="1"/>
      <c r="BP92" s="1"/>
      <c r="BQ92" s="1"/>
      <c r="BR92" s="1"/>
      <c r="BS92" s="1"/>
      <c r="BT92" s="1"/>
      <c r="BU92" s="19"/>
      <c r="BV92" s="17"/>
    </row>
    <row r="93" spans="27:74" x14ac:dyDescent="0.25">
      <c r="AA93" s="8"/>
      <c r="AB93" s="8"/>
      <c r="AC93" s="8"/>
      <c r="AD93" s="8"/>
      <c r="AE93" s="8"/>
      <c r="AF93" s="8"/>
      <c r="AG93" s="12"/>
      <c r="AH93" s="12"/>
      <c r="AI93" s="1"/>
      <c r="AJ93" s="1"/>
      <c r="AK93" s="1"/>
      <c r="AL93" s="1"/>
      <c r="AM93" s="1"/>
      <c r="AN93" s="1"/>
      <c r="AO93" s="17"/>
      <c r="AP93" s="17"/>
      <c r="AQ93" s="1"/>
      <c r="AR93" s="1"/>
      <c r="AS93" s="1"/>
      <c r="AT93" s="1"/>
      <c r="AU93" s="1"/>
      <c r="AV93" s="1"/>
      <c r="AW93" s="12"/>
      <c r="AX93" s="12"/>
      <c r="AY93" s="1"/>
      <c r="AZ93" s="1"/>
      <c r="BA93" s="1"/>
      <c r="BB93" s="1"/>
      <c r="BC93" s="1"/>
      <c r="BD93" s="1"/>
      <c r="BE93" s="19"/>
      <c r="BF93" s="19"/>
      <c r="BG93" s="9"/>
      <c r="BH93" s="9"/>
      <c r="BI93" s="9"/>
      <c r="BJ93" s="9"/>
      <c r="BK93" s="9"/>
      <c r="BL93" s="9"/>
      <c r="BM93" s="12"/>
      <c r="BN93" s="13"/>
      <c r="BO93" s="1"/>
      <c r="BP93" s="1"/>
      <c r="BQ93" s="1"/>
      <c r="BR93" s="1"/>
      <c r="BS93" s="1"/>
      <c r="BT93" s="1"/>
      <c r="BU93" s="19"/>
      <c r="BV93" s="17"/>
    </row>
    <row r="94" spans="27:74" x14ac:dyDescent="0.25">
      <c r="AA94" s="8"/>
      <c r="AB94" s="8"/>
      <c r="AC94" s="8"/>
      <c r="AD94" s="8"/>
      <c r="AE94" s="8"/>
      <c r="AF94" s="8"/>
      <c r="AG94" s="12"/>
      <c r="AH94" s="12"/>
      <c r="AI94" s="1"/>
      <c r="AJ94" s="1"/>
      <c r="AK94" s="1"/>
      <c r="AL94" s="1"/>
      <c r="AM94" s="1"/>
      <c r="AN94" s="1"/>
      <c r="AO94" s="17"/>
      <c r="AP94" s="17"/>
      <c r="AQ94" s="1"/>
      <c r="AR94" s="1"/>
      <c r="AS94" s="1"/>
      <c r="AT94" s="1"/>
      <c r="AU94" s="1"/>
      <c r="AV94" s="1"/>
      <c r="AW94" s="12"/>
      <c r="AX94" s="12"/>
      <c r="AY94" s="1"/>
      <c r="AZ94" s="1"/>
      <c r="BA94" s="1"/>
      <c r="BB94" s="1"/>
      <c r="BC94" s="1"/>
      <c r="BD94" s="1"/>
      <c r="BE94" s="19"/>
      <c r="BF94" s="19"/>
      <c r="BG94" s="9"/>
      <c r="BH94" s="9"/>
      <c r="BI94" s="9"/>
      <c r="BJ94" s="9"/>
      <c r="BK94" s="9"/>
      <c r="BL94" s="9"/>
      <c r="BM94" s="12"/>
      <c r="BN94" s="13"/>
      <c r="BO94" s="1"/>
      <c r="BP94" s="1"/>
      <c r="BQ94" s="1"/>
      <c r="BR94" s="1"/>
      <c r="BS94" s="1"/>
      <c r="BT94" s="1"/>
      <c r="BU94" s="19"/>
      <c r="BV94" s="17"/>
    </row>
    <row r="95" spans="27:74" x14ac:dyDescent="0.25">
      <c r="AA95" s="8"/>
      <c r="AB95" s="8"/>
      <c r="AC95" s="8"/>
      <c r="AD95" s="8"/>
      <c r="AE95" s="8"/>
      <c r="AF95" s="8"/>
      <c r="AG95" s="12"/>
      <c r="AH95" s="12"/>
      <c r="AI95" s="1"/>
      <c r="AJ95" s="1"/>
      <c r="AK95" s="1"/>
      <c r="AL95" s="1"/>
      <c r="AM95" s="1"/>
      <c r="AN95" s="1"/>
      <c r="AO95" s="17"/>
      <c r="AP95" s="17"/>
      <c r="AQ95" s="1"/>
      <c r="AR95" s="1"/>
      <c r="AS95" s="1"/>
      <c r="AT95" s="1"/>
      <c r="AU95" s="1"/>
      <c r="AV95" s="1"/>
      <c r="AW95" s="12"/>
      <c r="AX95" s="12"/>
      <c r="AY95" s="1"/>
      <c r="AZ95" s="1"/>
      <c r="BA95" s="1"/>
      <c r="BB95" s="1"/>
      <c r="BC95" s="1"/>
      <c r="BD95" s="1"/>
      <c r="BE95" s="19"/>
      <c r="BF95" s="19"/>
      <c r="BG95" s="9"/>
      <c r="BH95" s="9"/>
      <c r="BI95" s="9"/>
      <c r="BJ95" s="9"/>
      <c r="BK95" s="9"/>
      <c r="BL95" s="9"/>
      <c r="BM95" s="12"/>
      <c r="BN95" s="13"/>
      <c r="BO95" s="1"/>
      <c r="BP95" s="1"/>
      <c r="BQ95" s="1"/>
      <c r="BR95" s="1"/>
      <c r="BS95" s="1"/>
      <c r="BT95" s="1"/>
      <c r="BU95" s="19"/>
      <c r="BV95" s="17"/>
    </row>
    <row r="96" spans="27:74" x14ac:dyDescent="0.25">
      <c r="AA96" s="8"/>
      <c r="AB96" s="8"/>
      <c r="AC96" s="8"/>
      <c r="AD96" s="8"/>
      <c r="AE96" s="8"/>
      <c r="AF96" s="8"/>
      <c r="AG96" s="12"/>
      <c r="AH96" s="12"/>
      <c r="AI96" s="1"/>
      <c r="AJ96" s="1"/>
      <c r="AK96" s="1"/>
      <c r="AL96" s="1"/>
      <c r="AM96" s="1"/>
      <c r="AN96" s="1"/>
      <c r="AO96" s="17"/>
      <c r="AP96" s="17"/>
      <c r="AQ96" s="1"/>
      <c r="AR96" s="1"/>
      <c r="AS96" s="1"/>
      <c r="AT96" s="1"/>
      <c r="AU96" s="1"/>
      <c r="AV96" s="1"/>
      <c r="AW96" s="12"/>
      <c r="AX96" s="12"/>
      <c r="AY96" s="1"/>
      <c r="AZ96" s="1"/>
      <c r="BA96" s="1"/>
      <c r="BB96" s="1"/>
      <c r="BC96" s="1"/>
      <c r="BD96" s="1"/>
      <c r="BE96" s="19"/>
      <c r="BF96" s="19"/>
      <c r="BG96" s="9"/>
      <c r="BH96" s="9"/>
      <c r="BI96" s="9"/>
      <c r="BJ96" s="9"/>
      <c r="BK96" s="9"/>
      <c r="BL96" s="9"/>
      <c r="BM96" s="12"/>
      <c r="BN96" s="13"/>
      <c r="BO96" s="1"/>
      <c r="BP96" s="1"/>
      <c r="BQ96" s="1"/>
      <c r="BR96" s="1"/>
      <c r="BS96" s="1"/>
      <c r="BT96" s="1"/>
      <c r="BU96" s="19"/>
      <c r="BV96" s="17"/>
    </row>
    <row r="97" spans="27:74" x14ac:dyDescent="0.25">
      <c r="AA97" s="8"/>
      <c r="AB97" s="8"/>
      <c r="AC97" s="8"/>
      <c r="AD97" s="8"/>
      <c r="AE97" s="8"/>
      <c r="AF97" s="8"/>
      <c r="AG97" s="12"/>
      <c r="AH97" s="12"/>
      <c r="AI97" s="1"/>
      <c r="AJ97" s="1"/>
      <c r="AK97" s="1"/>
      <c r="AL97" s="1"/>
      <c r="AM97" s="1"/>
      <c r="AN97" s="1"/>
      <c r="AO97" s="17"/>
      <c r="AP97" s="17"/>
      <c r="AQ97" s="1"/>
      <c r="AR97" s="1"/>
      <c r="AS97" s="1"/>
      <c r="AT97" s="1"/>
      <c r="AU97" s="1"/>
      <c r="AV97" s="1"/>
      <c r="AW97" s="12"/>
      <c r="AX97" s="12"/>
      <c r="AY97" s="1"/>
      <c r="AZ97" s="1"/>
      <c r="BA97" s="1"/>
      <c r="BB97" s="1"/>
      <c r="BC97" s="1"/>
      <c r="BD97" s="1"/>
      <c r="BE97" s="19"/>
      <c r="BF97" s="19"/>
      <c r="BG97" s="9"/>
      <c r="BH97" s="9"/>
      <c r="BI97" s="9"/>
      <c r="BJ97" s="9"/>
      <c r="BK97" s="9"/>
      <c r="BL97" s="9"/>
      <c r="BM97" s="12"/>
      <c r="BN97" s="13"/>
      <c r="BO97" s="1"/>
      <c r="BP97" s="1"/>
      <c r="BQ97" s="1"/>
      <c r="BR97" s="1"/>
      <c r="BS97" s="1"/>
      <c r="BT97" s="1"/>
      <c r="BU97" s="19"/>
      <c r="BV97" s="17"/>
    </row>
    <row r="98" spans="27:74" x14ac:dyDescent="0.25">
      <c r="AA98" s="8"/>
      <c r="AB98" s="8"/>
      <c r="AC98" s="8"/>
      <c r="AD98" s="8"/>
      <c r="AE98" s="8"/>
      <c r="AF98" s="8"/>
      <c r="AG98" s="12"/>
      <c r="AH98" s="12"/>
      <c r="AI98" s="1"/>
      <c r="AJ98" s="1"/>
      <c r="AK98" s="1"/>
      <c r="AL98" s="1"/>
      <c r="AM98" s="1"/>
      <c r="AN98" s="1"/>
      <c r="AO98" s="17"/>
      <c r="AP98" s="17"/>
      <c r="AQ98" s="1"/>
      <c r="AR98" s="1"/>
      <c r="AS98" s="1"/>
      <c r="AT98" s="1"/>
      <c r="AU98" s="1"/>
      <c r="AV98" s="1"/>
      <c r="AW98" s="12"/>
      <c r="AX98" s="12"/>
      <c r="AY98" s="1"/>
      <c r="AZ98" s="1"/>
      <c r="BA98" s="1"/>
      <c r="BB98" s="1"/>
      <c r="BC98" s="1"/>
      <c r="BD98" s="1"/>
      <c r="BE98" s="19"/>
      <c r="BF98" s="19"/>
      <c r="BG98" s="9"/>
      <c r="BH98" s="9"/>
      <c r="BI98" s="9"/>
      <c r="BJ98" s="9"/>
      <c r="BK98" s="9"/>
      <c r="BL98" s="9"/>
      <c r="BM98" s="12"/>
      <c r="BN98" s="13"/>
      <c r="BO98" s="1"/>
      <c r="BP98" s="1"/>
      <c r="BQ98" s="1"/>
      <c r="BR98" s="1"/>
      <c r="BS98" s="1"/>
      <c r="BT98" s="1"/>
      <c r="BU98" s="19"/>
      <c r="BV98" s="17"/>
    </row>
    <row r="99" spans="27:74" x14ac:dyDescent="0.25">
      <c r="AA99" s="8"/>
      <c r="AB99" s="8"/>
      <c r="AC99" s="8"/>
      <c r="AD99" s="8"/>
      <c r="AE99" s="8"/>
      <c r="AF99" s="8"/>
      <c r="AG99" s="12"/>
      <c r="AH99" s="12"/>
      <c r="AI99" s="1"/>
      <c r="AJ99" s="1"/>
      <c r="AK99" s="1"/>
      <c r="AL99" s="1"/>
      <c r="AM99" s="1"/>
      <c r="AN99" s="1"/>
      <c r="AO99" s="17"/>
      <c r="AP99" s="17"/>
      <c r="AQ99" s="1"/>
      <c r="AR99" s="1"/>
      <c r="AS99" s="1"/>
      <c r="AT99" s="1"/>
      <c r="AU99" s="1"/>
      <c r="AV99" s="1"/>
      <c r="AW99" s="12"/>
      <c r="AX99" s="12"/>
      <c r="AY99" s="1"/>
      <c r="AZ99" s="1"/>
      <c r="BA99" s="1"/>
      <c r="BB99" s="1"/>
      <c r="BC99" s="1"/>
      <c r="BD99" s="1"/>
      <c r="BE99" s="19"/>
      <c r="BF99" s="19"/>
      <c r="BG99" s="9"/>
      <c r="BH99" s="9"/>
      <c r="BI99" s="9"/>
      <c r="BJ99" s="9"/>
      <c r="BK99" s="9"/>
      <c r="BL99" s="9"/>
      <c r="BM99" s="12"/>
      <c r="BN99" s="13"/>
      <c r="BO99" s="1"/>
      <c r="BP99" s="1"/>
      <c r="BQ99" s="1"/>
      <c r="BR99" s="1"/>
      <c r="BS99" s="1"/>
      <c r="BT99" s="1"/>
      <c r="BU99" s="19"/>
      <c r="BV99" s="17"/>
    </row>
    <row r="100" spans="27:74" x14ac:dyDescent="0.25">
      <c r="AA100" s="8"/>
      <c r="AB100" s="8"/>
      <c r="AC100" s="8"/>
      <c r="AD100" s="8"/>
      <c r="AE100" s="8"/>
      <c r="AF100" s="8"/>
      <c r="AG100" s="12"/>
      <c r="AH100" s="12"/>
      <c r="AI100" s="1"/>
      <c r="AJ100" s="1"/>
      <c r="AK100" s="1"/>
      <c r="AL100" s="1"/>
      <c r="AM100" s="1"/>
      <c r="AN100" s="1"/>
      <c r="AO100" s="17"/>
      <c r="AP100" s="17"/>
      <c r="AQ100" s="1"/>
      <c r="AR100" s="1"/>
      <c r="AS100" s="1"/>
      <c r="AT100" s="1"/>
      <c r="AU100" s="1"/>
      <c r="AV100" s="1"/>
      <c r="AW100" s="12"/>
      <c r="AX100" s="12"/>
      <c r="AY100" s="1"/>
      <c r="AZ100" s="1"/>
      <c r="BA100" s="1"/>
      <c r="BB100" s="1"/>
      <c r="BC100" s="1"/>
      <c r="BD100" s="1"/>
      <c r="BE100" s="19"/>
      <c r="BF100" s="19"/>
      <c r="BG100" s="9"/>
      <c r="BH100" s="9"/>
      <c r="BI100" s="9"/>
      <c r="BJ100" s="9"/>
      <c r="BK100" s="9"/>
      <c r="BL100" s="9"/>
      <c r="BM100" s="12"/>
      <c r="BN100" s="13"/>
      <c r="BO100" s="1"/>
      <c r="BP100" s="1"/>
      <c r="BQ100" s="1"/>
      <c r="BR100" s="1"/>
      <c r="BS100" s="1"/>
      <c r="BT100" s="1"/>
      <c r="BU100" s="19"/>
      <c r="BV100" s="17"/>
    </row>
    <row r="101" spans="27:74" x14ac:dyDescent="0.25">
      <c r="AA101" s="8"/>
      <c r="AB101" s="8"/>
      <c r="AC101" s="8"/>
      <c r="AD101" s="8"/>
      <c r="AE101" s="8"/>
      <c r="AF101" s="8"/>
      <c r="AG101" s="12"/>
      <c r="AH101" s="12"/>
      <c r="AI101" s="1"/>
      <c r="AJ101" s="1"/>
      <c r="AK101" s="1"/>
      <c r="AL101" s="1"/>
      <c r="AM101" s="1"/>
      <c r="AN101" s="1"/>
      <c r="AO101" s="17"/>
      <c r="AP101" s="17"/>
      <c r="AQ101" s="1"/>
      <c r="AR101" s="1"/>
      <c r="AS101" s="1"/>
      <c r="AT101" s="1"/>
      <c r="AU101" s="1"/>
      <c r="AV101" s="1"/>
      <c r="AW101" s="12"/>
      <c r="AX101" s="12"/>
      <c r="AY101" s="1"/>
      <c r="AZ101" s="1"/>
      <c r="BA101" s="1"/>
      <c r="BB101" s="1"/>
      <c r="BC101" s="1"/>
      <c r="BD101" s="1"/>
      <c r="BE101" s="19"/>
      <c r="BF101" s="19"/>
      <c r="BG101" s="9"/>
      <c r="BH101" s="9"/>
      <c r="BI101" s="9"/>
      <c r="BJ101" s="9"/>
      <c r="BK101" s="9"/>
      <c r="BL101" s="9"/>
      <c r="BM101" s="12"/>
      <c r="BN101" s="13"/>
      <c r="BO101" s="1"/>
      <c r="BP101" s="1"/>
      <c r="BQ101" s="1"/>
      <c r="BR101" s="1"/>
      <c r="BS101" s="1"/>
      <c r="BT101" s="1"/>
      <c r="BU101" s="19"/>
      <c r="BV101" s="17"/>
    </row>
    <row r="102" spans="27:74" x14ac:dyDescent="0.25">
      <c r="AA102" s="8"/>
      <c r="AB102" s="8"/>
      <c r="AC102" s="8"/>
      <c r="AD102" s="8"/>
      <c r="AE102" s="8"/>
      <c r="AF102" s="8"/>
      <c r="AG102" s="12"/>
      <c r="AH102" s="12"/>
      <c r="AI102" s="1"/>
      <c r="AJ102" s="1"/>
      <c r="AK102" s="1"/>
      <c r="AL102" s="1"/>
      <c r="AM102" s="1"/>
      <c r="AN102" s="1"/>
      <c r="AO102" s="17"/>
      <c r="AP102" s="17"/>
      <c r="AQ102" s="1"/>
      <c r="AR102" s="1"/>
      <c r="AS102" s="1"/>
      <c r="AT102" s="1"/>
      <c r="AU102" s="1"/>
      <c r="AV102" s="1"/>
      <c r="AW102" s="12"/>
      <c r="AX102" s="12"/>
      <c r="AY102" s="1"/>
      <c r="AZ102" s="1"/>
      <c r="BA102" s="1"/>
      <c r="BB102" s="1"/>
      <c r="BC102" s="1"/>
      <c r="BD102" s="1"/>
      <c r="BE102" s="19"/>
      <c r="BF102" s="19"/>
      <c r="BG102" s="9"/>
      <c r="BH102" s="9"/>
      <c r="BI102" s="9"/>
      <c r="BJ102" s="9"/>
      <c r="BK102" s="9"/>
      <c r="BL102" s="9"/>
      <c r="BM102" s="12"/>
      <c r="BN102" s="13"/>
      <c r="BO102" s="1"/>
      <c r="BP102" s="1"/>
      <c r="BQ102" s="1"/>
      <c r="BR102" s="1"/>
      <c r="BS102" s="1"/>
      <c r="BT102" s="1"/>
      <c r="BU102" s="19"/>
      <c r="BV102" s="17"/>
    </row>
    <row r="103" spans="27:74" x14ac:dyDescent="0.25">
      <c r="AA103" s="8"/>
      <c r="AB103" s="8"/>
      <c r="AC103" s="8"/>
      <c r="AD103" s="8"/>
      <c r="AE103" s="8"/>
      <c r="AF103" s="8"/>
      <c r="AG103" s="12"/>
      <c r="AH103" s="12"/>
      <c r="AI103" s="1"/>
      <c r="AJ103" s="1"/>
      <c r="AK103" s="1"/>
      <c r="AL103" s="1"/>
      <c r="AM103" s="1"/>
      <c r="AN103" s="1"/>
      <c r="AO103" s="17"/>
      <c r="AP103" s="17"/>
      <c r="AQ103" s="1"/>
      <c r="AR103" s="1"/>
      <c r="AS103" s="1"/>
      <c r="AT103" s="1"/>
      <c r="AU103" s="1"/>
      <c r="AV103" s="1"/>
      <c r="AW103" s="12"/>
      <c r="AX103" s="12"/>
      <c r="AY103" s="1"/>
      <c r="AZ103" s="1"/>
      <c r="BA103" s="1"/>
      <c r="BB103" s="1"/>
      <c r="BC103" s="1"/>
      <c r="BD103" s="1"/>
      <c r="BE103" s="19"/>
      <c r="BF103" s="19"/>
      <c r="BG103" s="9"/>
      <c r="BH103" s="9"/>
      <c r="BI103" s="9"/>
      <c r="BJ103" s="9"/>
      <c r="BK103" s="9"/>
      <c r="BL103" s="9"/>
      <c r="BM103" s="12"/>
      <c r="BN103" s="13"/>
      <c r="BO103" s="1"/>
      <c r="BP103" s="1"/>
      <c r="BQ103" s="1"/>
      <c r="BR103" s="1"/>
      <c r="BS103" s="1"/>
      <c r="BT103" s="1"/>
      <c r="BU103" s="19"/>
      <c r="BV103" s="17"/>
    </row>
    <row r="104" spans="27:74" x14ac:dyDescent="0.25">
      <c r="AA104" s="8"/>
      <c r="AB104" s="8"/>
      <c r="AC104" s="8"/>
      <c r="AD104" s="8"/>
      <c r="AE104" s="8"/>
      <c r="AF104" s="8"/>
      <c r="AG104" s="12"/>
      <c r="AH104" s="12"/>
      <c r="AI104" s="1"/>
      <c r="AJ104" s="1"/>
      <c r="AK104" s="1"/>
      <c r="AL104" s="1"/>
      <c r="AM104" s="1"/>
      <c r="AN104" s="1"/>
      <c r="AO104" s="17"/>
      <c r="AP104" s="17"/>
      <c r="AQ104" s="1"/>
      <c r="AR104" s="1"/>
      <c r="AS104" s="1"/>
      <c r="AT104" s="1"/>
      <c r="AU104" s="1"/>
      <c r="AV104" s="1"/>
      <c r="AW104" s="12"/>
      <c r="AX104" s="12"/>
      <c r="AY104" s="1"/>
      <c r="AZ104" s="1"/>
      <c r="BA104" s="1"/>
      <c r="BB104" s="1"/>
      <c r="BC104" s="1"/>
      <c r="BD104" s="1"/>
      <c r="BE104" s="19"/>
      <c r="BF104" s="19"/>
      <c r="BG104" s="9"/>
      <c r="BH104" s="9"/>
      <c r="BI104" s="9"/>
      <c r="BJ104" s="9"/>
      <c r="BK104" s="9"/>
      <c r="BL104" s="9"/>
      <c r="BM104" s="12"/>
      <c r="BN104" s="13"/>
      <c r="BO104" s="1"/>
      <c r="BP104" s="1"/>
      <c r="BQ104" s="1"/>
      <c r="BR104" s="1"/>
      <c r="BS104" s="1"/>
      <c r="BT104" s="1"/>
      <c r="BU104" s="19"/>
      <c r="BV104" s="17"/>
    </row>
    <row r="105" spans="27:74" x14ac:dyDescent="0.25">
      <c r="AA105" s="8"/>
      <c r="AB105" s="8"/>
      <c r="AC105" s="8"/>
      <c r="AD105" s="8"/>
      <c r="AE105" s="8"/>
      <c r="AF105" s="8"/>
      <c r="AG105" s="12"/>
      <c r="AH105" s="12"/>
      <c r="AI105" s="1"/>
      <c r="AJ105" s="1"/>
      <c r="AK105" s="1"/>
      <c r="AL105" s="1"/>
      <c r="AM105" s="1"/>
      <c r="AN105" s="1"/>
      <c r="AO105" s="17"/>
      <c r="AP105" s="17"/>
      <c r="AQ105" s="1"/>
      <c r="AR105" s="1"/>
      <c r="AS105" s="1"/>
      <c r="AT105" s="1"/>
      <c r="AU105" s="1"/>
      <c r="AV105" s="1"/>
      <c r="AW105" s="12"/>
      <c r="AX105" s="12"/>
      <c r="AY105" s="1"/>
      <c r="AZ105" s="1"/>
      <c r="BA105" s="1"/>
      <c r="BB105" s="1"/>
      <c r="BC105" s="1"/>
      <c r="BD105" s="1"/>
      <c r="BE105" s="19"/>
      <c r="BF105" s="19"/>
      <c r="BG105" s="9"/>
      <c r="BH105" s="9"/>
      <c r="BI105" s="9"/>
      <c r="BJ105" s="9"/>
      <c r="BK105" s="9"/>
      <c r="BL105" s="9"/>
      <c r="BM105" s="12"/>
      <c r="BN105" s="13"/>
      <c r="BO105" s="1"/>
      <c r="BP105" s="1"/>
      <c r="BQ105" s="1"/>
      <c r="BR105" s="1"/>
      <c r="BS105" s="1"/>
      <c r="BT105" s="1"/>
      <c r="BU105" s="19"/>
      <c r="BV105" s="17"/>
    </row>
    <row r="106" spans="27:74" x14ac:dyDescent="0.25">
      <c r="AA106" s="8"/>
      <c r="AB106" s="8"/>
      <c r="AC106" s="8"/>
      <c r="AD106" s="8"/>
      <c r="AE106" s="8"/>
      <c r="AF106" s="8"/>
      <c r="AG106" s="12"/>
      <c r="AH106" s="12"/>
      <c r="AI106" s="1"/>
      <c r="AJ106" s="1"/>
      <c r="AK106" s="1"/>
      <c r="AL106" s="1"/>
      <c r="AM106" s="1"/>
      <c r="AN106" s="1"/>
      <c r="AO106" s="17"/>
      <c r="AP106" s="17"/>
      <c r="AQ106" s="1"/>
      <c r="AR106" s="1"/>
      <c r="AS106" s="1"/>
      <c r="AT106" s="1"/>
      <c r="AU106" s="1"/>
      <c r="AV106" s="1"/>
      <c r="AW106" s="12"/>
      <c r="AX106" s="12"/>
      <c r="AY106" s="1"/>
      <c r="AZ106" s="1"/>
      <c r="BA106" s="1"/>
      <c r="BB106" s="1"/>
      <c r="BC106" s="1"/>
      <c r="BD106" s="1"/>
      <c r="BE106" s="19"/>
      <c r="BF106" s="19"/>
      <c r="BG106" s="9"/>
      <c r="BH106" s="9"/>
      <c r="BI106" s="9"/>
      <c r="BJ106" s="9"/>
      <c r="BK106" s="9"/>
      <c r="BL106" s="9"/>
      <c r="BM106" s="12"/>
      <c r="BN106" s="13"/>
      <c r="BO106" s="1"/>
      <c r="BP106" s="1"/>
      <c r="BQ106" s="1"/>
      <c r="BR106" s="1"/>
      <c r="BS106" s="1"/>
      <c r="BT106" s="1"/>
      <c r="BU106" s="19"/>
      <c r="BV106" s="17"/>
    </row>
    <row r="107" spans="27:74" x14ac:dyDescent="0.25">
      <c r="AA107" s="8"/>
      <c r="AB107" s="8"/>
      <c r="AC107" s="8"/>
      <c r="AD107" s="8"/>
      <c r="AE107" s="8"/>
      <c r="AF107" s="8"/>
      <c r="AG107" s="12"/>
      <c r="AH107" s="12"/>
      <c r="AI107" s="1"/>
      <c r="AJ107" s="1"/>
      <c r="AK107" s="1"/>
      <c r="AL107" s="1"/>
      <c r="AM107" s="1"/>
      <c r="AN107" s="1"/>
      <c r="AO107" s="17"/>
      <c r="AP107" s="17"/>
      <c r="AQ107" s="1"/>
      <c r="AR107" s="1"/>
      <c r="AS107" s="1"/>
      <c r="AT107" s="1"/>
      <c r="AU107" s="1"/>
      <c r="AV107" s="1"/>
      <c r="AW107" s="12"/>
      <c r="AX107" s="12"/>
      <c r="AY107" s="1"/>
      <c r="AZ107" s="1"/>
      <c r="BA107" s="1"/>
      <c r="BB107" s="1"/>
      <c r="BC107" s="1"/>
      <c r="BD107" s="1"/>
      <c r="BE107" s="19"/>
      <c r="BF107" s="19"/>
      <c r="BG107" s="9"/>
      <c r="BH107" s="9"/>
      <c r="BI107" s="9"/>
      <c r="BJ107" s="9"/>
      <c r="BK107" s="9"/>
      <c r="BL107" s="9"/>
      <c r="BM107" s="12"/>
      <c r="BN107" s="13"/>
      <c r="BO107" s="1"/>
      <c r="BP107" s="1"/>
      <c r="BQ107" s="1"/>
      <c r="BR107" s="1"/>
      <c r="BS107" s="1"/>
      <c r="BT107" s="1"/>
      <c r="BU107" s="19"/>
      <c r="BV107" s="17"/>
    </row>
    <row r="108" spans="27:74" x14ac:dyDescent="0.25">
      <c r="AA108" s="8"/>
      <c r="AB108" s="8"/>
      <c r="AC108" s="8"/>
      <c r="AD108" s="8"/>
      <c r="AE108" s="8"/>
      <c r="AF108" s="8"/>
      <c r="AG108" s="12"/>
      <c r="AH108" s="12"/>
      <c r="AI108" s="1"/>
      <c r="AJ108" s="1"/>
      <c r="AK108" s="1"/>
      <c r="AL108" s="1"/>
      <c r="AM108" s="1"/>
      <c r="AN108" s="1"/>
      <c r="AO108" s="17"/>
      <c r="AP108" s="17"/>
      <c r="AQ108" s="1"/>
      <c r="AR108" s="1"/>
      <c r="AS108" s="1"/>
      <c r="AT108" s="1"/>
      <c r="AU108" s="1"/>
      <c r="AV108" s="1"/>
      <c r="AW108" s="12"/>
      <c r="AX108" s="12"/>
      <c r="AY108" s="1"/>
      <c r="AZ108" s="1"/>
      <c r="BA108" s="1"/>
      <c r="BB108" s="1"/>
      <c r="BC108" s="1"/>
      <c r="BD108" s="1"/>
      <c r="BE108" s="19"/>
      <c r="BF108" s="19"/>
      <c r="BG108" s="9"/>
      <c r="BH108" s="9"/>
      <c r="BI108" s="9"/>
      <c r="BJ108" s="9"/>
      <c r="BK108" s="9"/>
      <c r="BL108" s="9"/>
      <c r="BM108" s="12"/>
      <c r="BN108" s="13"/>
      <c r="BO108" s="1"/>
      <c r="BP108" s="1"/>
      <c r="BQ108" s="1"/>
      <c r="BR108" s="1"/>
      <c r="BS108" s="1"/>
      <c r="BT108" s="1"/>
      <c r="BU108" s="19"/>
      <c r="BV108" s="17"/>
    </row>
    <row r="109" spans="27:74" x14ac:dyDescent="0.25">
      <c r="AA109" s="8"/>
      <c r="AB109" s="8"/>
      <c r="AC109" s="8"/>
      <c r="AD109" s="8"/>
      <c r="AE109" s="8"/>
      <c r="AF109" s="8"/>
      <c r="AG109" s="12"/>
      <c r="AH109" s="12"/>
      <c r="AI109" s="1"/>
      <c r="AJ109" s="1"/>
      <c r="AK109" s="1"/>
      <c r="AL109" s="1"/>
      <c r="AM109" s="1"/>
      <c r="AN109" s="1"/>
      <c r="AO109" s="17"/>
      <c r="AP109" s="17"/>
      <c r="AQ109" s="1"/>
      <c r="AR109" s="1"/>
      <c r="AS109" s="1"/>
      <c r="AT109" s="1"/>
      <c r="AU109" s="1"/>
      <c r="AV109" s="1"/>
      <c r="AW109" s="12"/>
      <c r="AX109" s="12"/>
      <c r="AY109" s="1"/>
      <c r="AZ109" s="1"/>
      <c r="BA109" s="1"/>
      <c r="BB109" s="1"/>
      <c r="BC109" s="1"/>
      <c r="BD109" s="1"/>
      <c r="BE109" s="19"/>
      <c r="BF109" s="19"/>
      <c r="BG109" s="9"/>
      <c r="BH109" s="9"/>
      <c r="BI109" s="9"/>
      <c r="BJ109" s="9"/>
      <c r="BK109" s="9"/>
      <c r="BL109" s="9"/>
      <c r="BM109" s="12"/>
      <c r="BN109" s="13"/>
      <c r="BO109" s="1"/>
      <c r="BP109" s="1"/>
      <c r="BQ109" s="1"/>
      <c r="BR109" s="1"/>
      <c r="BS109" s="1"/>
      <c r="BT109" s="1"/>
      <c r="BU109" s="19"/>
      <c r="BV109" s="17"/>
    </row>
    <row r="110" spans="27:74" x14ac:dyDescent="0.25">
      <c r="AA110" s="8"/>
      <c r="AB110" s="8"/>
      <c r="AC110" s="8"/>
      <c r="AD110" s="8"/>
      <c r="AE110" s="8"/>
      <c r="AF110" s="8"/>
      <c r="AG110" s="12"/>
      <c r="AH110" s="12"/>
      <c r="AI110" s="1"/>
      <c r="AJ110" s="1"/>
      <c r="AK110" s="1"/>
      <c r="AL110" s="1"/>
      <c r="AM110" s="1"/>
      <c r="AN110" s="1"/>
      <c r="AO110" s="17"/>
      <c r="AP110" s="17"/>
      <c r="AQ110" s="1"/>
      <c r="AR110" s="1"/>
      <c r="AS110" s="1"/>
      <c r="AT110" s="1"/>
      <c r="AU110" s="1"/>
      <c r="AV110" s="1"/>
      <c r="AW110" s="12"/>
      <c r="AX110" s="12"/>
      <c r="AY110" s="1"/>
      <c r="AZ110" s="1"/>
      <c r="BA110" s="1"/>
      <c r="BB110" s="1"/>
      <c r="BC110" s="1"/>
      <c r="BD110" s="1"/>
      <c r="BE110" s="19"/>
      <c r="BF110" s="19"/>
      <c r="BG110" s="9"/>
      <c r="BH110" s="9"/>
      <c r="BI110" s="9"/>
      <c r="BJ110" s="9"/>
      <c r="BK110" s="9"/>
      <c r="BL110" s="9"/>
      <c r="BM110" s="12"/>
      <c r="BN110" s="13"/>
      <c r="BO110" s="1"/>
      <c r="BP110" s="1"/>
      <c r="BQ110" s="1"/>
      <c r="BR110" s="1"/>
      <c r="BS110" s="1"/>
      <c r="BT110" s="1"/>
      <c r="BU110" s="19"/>
      <c r="BV110" s="17"/>
    </row>
    <row r="111" spans="27:74" x14ac:dyDescent="0.25">
      <c r="AA111" s="8"/>
      <c r="AB111" s="8"/>
      <c r="AC111" s="8"/>
      <c r="AD111" s="8"/>
      <c r="AE111" s="8"/>
      <c r="AF111" s="8"/>
      <c r="AG111" s="12"/>
      <c r="AH111" s="12"/>
      <c r="AI111" s="1"/>
      <c r="AJ111" s="1"/>
      <c r="AK111" s="1"/>
      <c r="AL111" s="1"/>
      <c r="AM111" s="1"/>
      <c r="AN111" s="1"/>
      <c r="AO111" s="17"/>
      <c r="AP111" s="17"/>
      <c r="AQ111" s="1"/>
      <c r="AR111" s="1"/>
      <c r="AS111" s="1"/>
      <c r="AT111" s="1"/>
      <c r="AU111" s="1"/>
      <c r="AV111" s="1"/>
      <c r="AW111" s="12"/>
      <c r="AX111" s="12"/>
      <c r="AY111" s="1"/>
      <c r="AZ111" s="1"/>
      <c r="BA111" s="1"/>
      <c r="BB111" s="1"/>
      <c r="BC111" s="1"/>
      <c r="BD111" s="1"/>
      <c r="BE111" s="19"/>
      <c r="BF111" s="19"/>
      <c r="BG111" s="9"/>
      <c r="BH111" s="9"/>
      <c r="BI111" s="9"/>
      <c r="BJ111" s="9"/>
      <c r="BK111" s="9"/>
      <c r="BL111" s="9"/>
      <c r="BM111" s="12"/>
      <c r="BN111" s="13"/>
      <c r="BO111" s="1"/>
      <c r="BP111" s="1"/>
      <c r="BQ111" s="1"/>
      <c r="BR111" s="1"/>
      <c r="BS111" s="1"/>
      <c r="BT111" s="1"/>
      <c r="BU111" s="19"/>
      <c r="BV111" s="17"/>
    </row>
    <row r="112" spans="27:74" x14ac:dyDescent="0.25">
      <c r="AA112" s="8"/>
      <c r="AB112" s="8"/>
      <c r="AC112" s="8"/>
      <c r="AD112" s="8"/>
      <c r="AE112" s="8"/>
      <c r="AF112" s="8"/>
      <c r="AG112" s="12"/>
      <c r="AH112" s="12"/>
      <c r="AI112" s="1"/>
      <c r="AJ112" s="1"/>
      <c r="AK112" s="1"/>
      <c r="AL112" s="1"/>
      <c r="AM112" s="1"/>
      <c r="AN112" s="1"/>
      <c r="AO112" s="17"/>
      <c r="AP112" s="17"/>
      <c r="AQ112" s="1"/>
      <c r="AR112" s="1"/>
      <c r="AS112" s="1"/>
      <c r="AT112" s="1"/>
      <c r="AU112" s="1"/>
      <c r="AV112" s="1"/>
      <c r="AW112" s="12"/>
      <c r="AX112" s="12"/>
      <c r="AY112" s="1"/>
      <c r="AZ112" s="1"/>
      <c r="BA112" s="1"/>
      <c r="BB112" s="1"/>
      <c r="BC112" s="1"/>
      <c r="BD112" s="1"/>
      <c r="BE112" s="19"/>
      <c r="BF112" s="19"/>
      <c r="BG112" s="9"/>
      <c r="BH112" s="9"/>
      <c r="BI112" s="9"/>
      <c r="BJ112" s="9"/>
      <c r="BK112" s="9"/>
      <c r="BL112" s="9"/>
      <c r="BM112" s="12"/>
      <c r="BN112" s="13"/>
      <c r="BO112" s="1"/>
      <c r="BP112" s="1"/>
      <c r="BQ112" s="1"/>
      <c r="BR112" s="1"/>
      <c r="BS112" s="1"/>
      <c r="BT112" s="1"/>
      <c r="BU112" s="19"/>
      <c r="BV112" s="17"/>
    </row>
    <row r="113" spans="27:74" x14ac:dyDescent="0.25">
      <c r="AA113" s="8"/>
      <c r="AB113" s="8"/>
      <c r="AC113" s="8"/>
      <c r="AD113" s="8"/>
      <c r="AE113" s="8"/>
      <c r="AF113" s="8"/>
      <c r="AG113" s="12"/>
      <c r="AH113" s="12"/>
      <c r="AI113" s="1"/>
      <c r="AJ113" s="1"/>
      <c r="AK113" s="1"/>
      <c r="AL113" s="1"/>
      <c r="AM113" s="1"/>
      <c r="AN113" s="1"/>
      <c r="AO113" s="17"/>
      <c r="AP113" s="17"/>
      <c r="AQ113" s="1"/>
      <c r="AR113" s="1"/>
      <c r="AS113" s="1"/>
      <c r="AT113" s="1"/>
      <c r="AU113" s="1"/>
      <c r="AV113" s="1"/>
      <c r="AW113" s="12"/>
      <c r="AX113" s="12"/>
      <c r="AY113" s="1"/>
      <c r="AZ113" s="1"/>
      <c r="BA113" s="1"/>
      <c r="BB113" s="1"/>
      <c r="BC113" s="1"/>
      <c r="BD113" s="1"/>
      <c r="BE113" s="19"/>
      <c r="BF113" s="19"/>
      <c r="BG113" s="9"/>
      <c r="BH113" s="9"/>
      <c r="BI113" s="9"/>
      <c r="BJ113" s="9"/>
      <c r="BK113" s="9"/>
      <c r="BL113" s="9"/>
      <c r="BM113" s="12"/>
      <c r="BN113" s="13"/>
      <c r="BO113" s="1"/>
      <c r="BP113" s="1"/>
      <c r="BQ113" s="1"/>
      <c r="BR113" s="1"/>
      <c r="BS113" s="1"/>
      <c r="BT113" s="1"/>
      <c r="BU113" s="19"/>
      <c r="BV113" s="17"/>
    </row>
    <row r="114" spans="27:74" x14ac:dyDescent="0.25">
      <c r="AA114" s="8"/>
      <c r="AB114" s="8"/>
      <c r="AC114" s="8"/>
      <c r="AD114" s="8"/>
      <c r="AE114" s="8"/>
      <c r="AF114" s="8"/>
      <c r="AG114" s="12"/>
      <c r="AH114" s="12"/>
      <c r="AI114" s="1"/>
      <c r="AJ114" s="1"/>
      <c r="AK114" s="1"/>
      <c r="AL114" s="1"/>
      <c r="AM114" s="1"/>
      <c r="AN114" s="1"/>
      <c r="AO114" s="17"/>
      <c r="AP114" s="17"/>
      <c r="AQ114" s="1"/>
      <c r="AR114" s="1"/>
      <c r="AS114" s="1"/>
      <c r="AT114" s="1"/>
      <c r="AU114" s="1"/>
      <c r="AV114" s="1"/>
      <c r="AW114" s="12"/>
      <c r="AX114" s="12"/>
      <c r="AY114" s="1"/>
      <c r="AZ114" s="1"/>
      <c r="BA114" s="1"/>
      <c r="BB114" s="1"/>
      <c r="BC114" s="1"/>
      <c r="BD114" s="1"/>
      <c r="BE114" s="19"/>
      <c r="BF114" s="19"/>
      <c r="BG114" s="9"/>
      <c r="BH114" s="9"/>
      <c r="BI114" s="9"/>
      <c r="BJ114" s="9"/>
      <c r="BK114" s="9"/>
      <c r="BL114" s="9"/>
      <c r="BM114" s="12"/>
      <c r="BN114" s="13"/>
      <c r="BO114" s="1"/>
      <c r="BP114" s="1"/>
      <c r="BQ114" s="1"/>
      <c r="BR114" s="1"/>
      <c r="BS114" s="1"/>
      <c r="BT114" s="1"/>
      <c r="BU114" s="19"/>
      <c r="BV114" s="17"/>
    </row>
    <row r="115" spans="27:74" x14ac:dyDescent="0.25">
      <c r="AA115" s="8"/>
      <c r="AB115" s="8"/>
      <c r="AC115" s="8"/>
      <c r="AD115" s="8"/>
      <c r="AE115" s="8"/>
      <c r="AF115" s="8"/>
      <c r="AG115" s="12"/>
      <c r="AH115" s="12"/>
      <c r="AI115" s="1"/>
      <c r="AJ115" s="1"/>
      <c r="AK115" s="1"/>
      <c r="AL115" s="1"/>
      <c r="AM115" s="1"/>
      <c r="AN115" s="1"/>
      <c r="AO115" s="17"/>
      <c r="AP115" s="17"/>
      <c r="AQ115" s="1"/>
      <c r="AR115" s="1"/>
      <c r="AS115" s="1"/>
      <c r="AT115" s="1"/>
      <c r="AU115" s="1"/>
      <c r="AV115" s="1"/>
      <c r="AW115" s="12"/>
      <c r="AX115" s="12"/>
      <c r="AY115" s="1"/>
      <c r="AZ115" s="1"/>
      <c r="BA115" s="1"/>
      <c r="BB115" s="1"/>
      <c r="BC115" s="1"/>
      <c r="BD115" s="1"/>
      <c r="BE115" s="19"/>
      <c r="BF115" s="19"/>
      <c r="BG115" s="9"/>
      <c r="BH115" s="9"/>
      <c r="BI115" s="9"/>
      <c r="BJ115" s="9"/>
      <c r="BK115" s="9"/>
      <c r="BL115" s="9"/>
      <c r="BM115" s="12"/>
      <c r="BN115" s="13"/>
      <c r="BO115" s="1"/>
      <c r="BP115" s="1"/>
      <c r="BQ115" s="1"/>
      <c r="BR115" s="1"/>
      <c r="BS115" s="1"/>
      <c r="BT115" s="1"/>
      <c r="BU115" s="19"/>
      <c r="BV115" s="17"/>
    </row>
    <row r="116" spans="27:74" x14ac:dyDescent="0.25">
      <c r="AA116" s="8"/>
      <c r="AB116" s="8"/>
      <c r="AC116" s="8"/>
      <c r="AD116" s="8"/>
      <c r="AE116" s="8"/>
      <c r="AF116" s="8"/>
      <c r="AG116" s="12"/>
      <c r="AH116" s="12"/>
      <c r="AI116" s="1"/>
      <c r="AJ116" s="1"/>
      <c r="AK116" s="1"/>
      <c r="AL116" s="1"/>
      <c r="AM116" s="1"/>
      <c r="AN116" s="1"/>
      <c r="AO116" s="17"/>
      <c r="AP116" s="17"/>
      <c r="AQ116" s="1"/>
      <c r="AR116" s="1"/>
      <c r="AS116" s="1"/>
      <c r="AT116" s="1"/>
      <c r="AU116" s="1"/>
      <c r="AV116" s="1"/>
      <c r="AW116" s="12"/>
      <c r="AX116" s="12"/>
      <c r="AY116" s="1"/>
      <c r="AZ116" s="1"/>
      <c r="BA116" s="1"/>
      <c r="BB116" s="1"/>
      <c r="BC116" s="1"/>
      <c r="BD116" s="1"/>
      <c r="BE116" s="19"/>
      <c r="BF116" s="19"/>
      <c r="BG116" s="9"/>
      <c r="BH116" s="9"/>
      <c r="BI116" s="9"/>
      <c r="BJ116" s="9"/>
      <c r="BK116" s="9"/>
      <c r="BL116" s="9"/>
      <c r="BM116" s="12"/>
      <c r="BN116" s="13"/>
      <c r="BO116" s="1"/>
      <c r="BP116" s="1"/>
      <c r="BQ116" s="1"/>
      <c r="BR116" s="1"/>
      <c r="BS116" s="1"/>
      <c r="BT116" s="1"/>
      <c r="BU116" s="19"/>
      <c r="BV116" s="17"/>
    </row>
    <row r="117" spans="27:74" x14ac:dyDescent="0.25">
      <c r="AA117" s="8"/>
      <c r="AB117" s="8"/>
      <c r="AC117" s="8"/>
      <c r="AD117" s="8"/>
      <c r="AE117" s="8"/>
      <c r="AF117" s="8"/>
      <c r="AG117" s="12"/>
      <c r="AH117" s="12"/>
      <c r="AI117" s="1"/>
      <c r="AJ117" s="1"/>
      <c r="AK117" s="1"/>
      <c r="AL117" s="1"/>
      <c r="AM117" s="1"/>
      <c r="AN117" s="1"/>
      <c r="AO117" s="17"/>
      <c r="AP117" s="17"/>
      <c r="AQ117" s="1"/>
      <c r="AR117" s="1"/>
      <c r="AS117" s="1"/>
      <c r="AT117" s="1"/>
      <c r="AU117" s="1"/>
      <c r="AV117" s="1"/>
      <c r="AW117" s="12"/>
      <c r="AX117" s="12"/>
      <c r="AY117" s="1"/>
      <c r="AZ117" s="1"/>
      <c r="BA117" s="1"/>
      <c r="BB117" s="1"/>
      <c r="BC117" s="1"/>
      <c r="BD117" s="1"/>
      <c r="BE117" s="19"/>
      <c r="BF117" s="19"/>
      <c r="BG117" s="9"/>
      <c r="BH117" s="9"/>
      <c r="BI117" s="9"/>
      <c r="BJ117" s="9"/>
      <c r="BK117" s="9"/>
      <c r="BL117" s="9"/>
      <c r="BM117" s="12"/>
      <c r="BN117" s="13"/>
      <c r="BO117" s="1"/>
      <c r="BP117" s="1"/>
      <c r="BQ117" s="1"/>
      <c r="BR117" s="1"/>
      <c r="BS117" s="1"/>
      <c r="BT117" s="1"/>
      <c r="BU117" s="19"/>
      <c r="BV117" s="17"/>
    </row>
    <row r="118" spans="27:74" x14ac:dyDescent="0.25">
      <c r="AA118" s="8"/>
      <c r="AB118" s="8"/>
      <c r="AC118" s="8"/>
      <c r="AD118" s="8"/>
      <c r="AE118" s="8"/>
      <c r="AF118" s="8"/>
      <c r="AG118" s="12"/>
      <c r="AH118" s="12"/>
      <c r="AI118" s="1"/>
      <c r="AJ118" s="1"/>
      <c r="AK118" s="1"/>
      <c r="AL118" s="1"/>
      <c r="AM118" s="1"/>
      <c r="AN118" s="1"/>
      <c r="AO118" s="17"/>
      <c r="AP118" s="17"/>
      <c r="AQ118" s="1"/>
      <c r="AR118" s="1"/>
      <c r="AS118" s="1"/>
      <c r="AT118" s="1"/>
      <c r="AU118" s="1"/>
      <c r="AV118" s="1"/>
      <c r="AW118" s="12"/>
      <c r="AX118" s="12"/>
      <c r="AY118" s="1"/>
      <c r="AZ118" s="1"/>
      <c r="BA118" s="1"/>
      <c r="BB118" s="1"/>
      <c r="BC118" s="1"/>
      <c r="BD118" s="1"/>
      <c r="BE118" s="19"/>
      <c r="BF118" s="19"/>
      <c r="BG118" s="9"/>
      <c r="BH118" s="9"/>
      <c r="BI118" s="9"/>
      <c r="BJ118" s="9"/>
      <c r="BK118" s="9"/>
      <c r="BL118" s="9"/>
      <c r="BM118" s="12"/>
      <c r="BN118" s="13"/>
      <c r="BO118" s="1"/>
      <c r="BP118" s="1"/>
      <c r="BQ118" s="1"/>
      <c r="BR118" s="1"/>
      <c r="BS118" s="1"/>
      <c r="BT118" s="1"/>
      <c r="BU118" s="19"/>
      <c r="BV118" s="17"/>
    </row>
    <row r="119" spans="27:74" x14ac:dyDescent="0.25">
      <c r="AA119" s="8"/>
      <c r="AB119" s="8"/>
      <c r="AC119" s="8"/>
      <c r="AD119" s="8"/>
      <c r="AE119" s="8"/>
      <c r="AF119" s="8"/>
      <c r="AG119" s="12"/>
      <c r="AH119" s="12"/>
      <c r="AI119" s="1"/>
      <c r="AJ119" s="1"/>
      <c r="AK119" s="1"/>
      <c r="AL119" s="1"/>
      <c r="AM119" s="1"/>
      <c r="AN119" s="1"/>
      <c r="AO119" s="17"/>
      <c r="AP119" s="17"/>
      <c r="AQ119" s="1"/>
      <c r="AR119" s="1"/>
      <c r="AS119" s="1"/>
      <c r="AT119" s="1"/>
      <c r="AU119" s="1"/>
      <c r="AV119" s="1"/>
      <c r="AW119" s="12"/>
      <c r="AX119" s="12"/>
      <c r="AY119" s="1"/>
      <c r="AZ119" s="1"/>
      <c r="BA119" s="1"/>
      <c r="BB119" s="1"/>
      <c r="BC119" s="1"/>
      <c r="BD119" s="1"/>
      <c r="BE119" s="19"/>
      <c r="BF119" s="19"/>
      <c r="BG119" s="9"/>
      <c r="BH119" s="9"/>
      <c r="BI119" s="9"/>
      <c r="BJ119" s="9"/>
      <c r="BK119" s="9"/>
      <c r="BL119" s="9"/>
      <c r="BM119" s="12"/>
      <c r="BN119" s="13"/>
      <c r="BO119" s="1"/>
      <c r="BP119" s="1"/>
      <c r="BQ119" s="1"/>
      <c r="BR119" s="1"/>
      <c r="BS119" s="1"/>
      <c r="BT119" s="1"/>
      <c r="BU119" s="19"/>
      <c r="BV119" s="17"/>
    </row>
    <row r="120" spans="27:74" x14ac:dyDescent="0.25">
      <c r="AA120" s="8"/>
      <c r="AB120" s="8"/>
      <c r="AC120" s="8"/>
      <c r="AD120" s="8"/>
      <c r="AE120" s="8"/>
      <c r="AF120" s="8"/>
      <c r="AG120" s="12"/>
      <c r="AH120" s="12"/>
      <c r="AI120" s="1"/>
      <c r="AJ120" s="1"/>
      <c r="AK120" s="1"/>
      <c r="AL120" s="1"/>
      <c r="AM120" s="1"/>
      <c r="AN120" s="1"/>
      <c r="AO120" s="17"/>
      <c r="AP120" s="17"/>
      <c r="AQ120" s="1"/>
      <c r="AR120" s="1"/>
      <c r="AS120" s="1"/>
      <c r="AT120" s="1"/>
      <c r="AU120" s="1"/>
      <c r="AV120" s="1"/>
      <c r="AW120" s="12"/>
      <c r="AX120" s="12"/>
      <c r="AY120" s="1"/>
      <c r="AZ120" s="1"/>
      <c r="BA120" s="1"/>
      <c r="BB120" s="1"/>
      <c r="BC120" s="1"/>
      <c r="BD120" s="1"/>
      <c r="BE120" s="19"/>
      <c r="BF120" s="19"/>
      <c r="BG120" s="9"/>
      <c r="BH120" s="9"/>
      <c r="BI120" s="9"/>
      <c r="BJ120" s="9"/>
      <c r="BK120" s="9"/>
      <c r="BL120" s="9"/>
      <c r="BM120" s="12"/>
      <c r="BN120" s="13"/>
      <c r="BO120" s="1"/>
      <c r="BP120" s="1"/>
      <c r="BQ120" s="1"/>
      <c r="BR120" s="1"/>
      <c r="BS120" s="1"/>
      <c r="BT120" s="1"/>
      <c r="BU120" s="19"/>
      <c r="BV120" s="17"/>
    </row>
    <row r="121" spans="27:74" x14ac:dyDescent="0.25">
      <c r="AA121" s="8"/>
      <c r="AB121" s="8"/>
      <c r="AC121" s="8"/>
      <c r="AD121" s="8"/>
      <c r="AE121" s="8"/>
      <c r="AF121" s="8"/>
      <c r="AG121" s="12"/>
      <c r="AH121" s="12"/>
      <c r="AI121" s="1"/>
      <c r="AJ121" s="1"/>
      <c r="AK121" s="1"/>
      <c r="AL121" s="1"/>
      <c r="AM121" s="1"/>
      <c r="AN121" s="1"/>
      <c r="AO121" s="17"/>
      <c r="AP121" s="17"/>
      <c r="AQ121" s="1"/>
      <c r="AR121" s="1"/>
      <c r="AS121" s="1"/>
      <c r="AT121" s="1"/>
      <c r="AU121" s="1"/>
      <c r="AV121" s="1"/>
      <c r="AW121" s="12"/>
      <c r="AX121" s="12"/>
      <c r="AY121" s="1"/>
      <c r="AZ121" s="1"/>
      <c r="BA121" s="1"/>
      <c r="BB121" s="1"/>
      <c r="BC121" s="1"/>
      <c r="BD121" s="1"/>
      <c r="BE121" s="19"/>
      <c r="BF121" s="19"/>
      <c r="BG121" s="9"/>
      <c r="BH121" s="9"/>
      <c r="BI121" s="9"/>
      <c r="BJ121" s="9"/>
      <c r="BK121" s="9"/>
      <c r="BL121" s="9"/>
      <c r="BM121" s="12"/>
      <c r="BN121" s="13"/>
      <c r="BO121" s="1"/>
      <c r="BP121" s="1"/>
      <c r="BQ121" s="1"/>
      <c r="BR121" s="1"/>
      <c r="BS121" s="1"/>
      <c r="BT121" s="1"/>
      <c r="BU121" s="19"/>
      <c r="BV121" s="17"/>
    </row>
    <row r="122" spans="27:74" x14ac:dyDescent="0.25">
      <c r="AA122" s="8"/>
      <c r="AB122" s="8"/>
      <c r="AC122" s="8"/>
      <c r="AD122" s="8"/>
      <c r="AE122" s="8"/>
      <c r="AF122" s="8"/>
      <c r="AG122" s="12"/>
      <c r="AH122" s="12"/>
      <c r="AI122" s="1"/>
      <c r="AJ122" s="1"/>
      <c r="AK122" s="1"/>
      <c r="AL122" s="1"/>
      <c r="AM122" s="1"/>
      <c r="AN122" s="1"/>
      <c r="AO122" s="17"/>
      <c r="AP122" s="17"/>
      <c r="AQ122" s="1"/>
      <c r="AR122" s="1"/>
      <c r="AS122" s="1"/>
      <c r="AT122" s="1"/>
      <c r="AU122" s="1"/>
      <c r="AV122" s="1"/>
      <c r="AW122" s="12"/>
      <c r="AX122" s="12"/>
      <c r="AY122" s="1"/>
      <c r="AZ122" s="1"/>
      <c r="BA122" s="1"/>
      <c r="BB122" s="1"/>
      <c r="BC122" s="1"/>
      <c r="BD122" s="1"/>
      <c r="BE122" s="19"/>
      <c r="BF122" s="19"/>
      <c r="BG122" s="9"/>
      <c r="BH122" s="9"/>
      <c r="BI122" s="9"/>
      <c r="BJ122" s="9"/>
      <c r="BK122" s="9"/>
      <c r="BL122" s="9"/>
      <c r="BM122" s="12"/>
      <c r="BN122" s="13"/>
      <c r="BO122" s="1"/>
      <c r="BP122" s="1"/>
      <c r="BQ122" s="1"/>
      <c r="BR122" s="1"/>
      <c r="BS122" s="1"/>
      <c r="BT122" s="1"/>
      <c r="BU122" s="19"/>
      <c r="BV122" s="17"/>
    </row>
    <row r="123" spans="27:74" x14ac:dyDescent="0.25">
      <c r="AA123" s="8"/>
      <c r="AB123" s="8"/>
      <c r="AC123" s="8"/>
      <c r="AD123" s="8"/>
      <c r="AE123" s="8"/>
      <c r="AF123" s="8"/>
      <c r="AG123" s="12"/>
      <c r="AH123" s="12"/>
      <c r="AI123" s="1"/>
      <c r="AJ123" s="1"/>
      <c r="AK123" s="1"/>
      <c r="AL123" s="1"/>
      <c r="AM123" s="1"/>
      <c r="AN123" s="1"/>
      <c r="AO123" s="17"/>
      <c r="AP123" s="17"/>
      <c r="AQ123" s="1"/>
      <c r="AR123" s="1"/>
      <c r="AS123" s="1"/>
      <c r="AT123" s="1"/>
      <c r="AU123" s="1"/>
      <c r="AV123" s="1"/>
      <c r="AW123" s="12"/>
      <c r="AX123" s="12"/>
      <c r="AY123" s="1"/>
      <c r="AZ123" s="1"/>
      <c r="BA123" s="1"/>
      <c r="BB123" s="1"/>
      <c r="BC123" s="1"/>
      <c r="BD123" s="1"/>
      <c r="BE123" s="19"/>
      <c r="BF123" s="19"/>
      <c r="BG123" s="9"/>
      <c r="BH123" s="9"/>
      <c r="BI123" s="9"/>
      <c r="BJ123" s="9"/>
      <c r="BK123" s="9"/>
      <c r="BL123" s="9"/>
      <c r="BM123" s="12"/>
      <c r="BN123" s="13"/>
      <c r="BO123" s="1"/>
      <c r="BP123" s="1"/>
      <c r="BQ123" s="1"/>
      <c r="BR123" s="1"/>
      <c r="BS123" s="1"/>
      <c r="BT123" s="1"/>
      <c r="BU123" s="19"/>
      <c r="BV123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BDA9-3DB9-4B6E-98B1-B3D961916A52}">
  <dimension ref="A1:V12"/>
  <sheetViews>
    <sheetView workbookViewId="0">
      <selection activeCell="D1" sqref="D1:D1048576"/>
    </sheetView>
  </sheetViews>
  <sheetFormatPr baseColWidth="10" defaultRowHeight="15" x14ac:dyDescent="0.25"/>
  <cols>
    <col min="1" max="1" width="11.42578125" style="1"/>
    <col min="2" max="2" width="9.5703125" style="1" bestFit="1" customWidth="1"/>
    <col min="3" max="3" width="18.5703125" style="1" bestFit="1" customWidth="1"/>
    <col min="4" max="4" width="18" style="1" bestFit="1" customWidth="1"/>
    <col min="5" max="5" width="9.5703125" style="1" bestFit="1" customWidth="1"/>
    <col min="6" max="6" width="18.5703125" style="1" bestFit="1" customWidth="1"/>
    <col min="7" max="7" width="18" style="1" bestFit="1" customWidth="1"/>
    <col min="8" max="8" width="9.5703125" style="1" bestFit="1" customWidth="1"/>
    <col min="9" max="9" width="18.5703125" style="1" bestFit="1" customWidth="1"/>
    <col min="10" max="10" width="18" style="1" bestFit="1" customWidth="1"/>
    <col min="11" max="11" width="9.5703125" style="1" bestFit="1" customWidth="1"/>
    <col min="12" max="12" width="18.5703125" style="1" bestFit="1" customWidth="1"/>
    <col min="13" max="13" width="18" style="1" bestFit="1" customWidth="1"/>
    <col min="14" max="14" width="9.5703125" style="1" bestFit="1" customWidth="1"/>
    <col min="15" max="15" width="18.5703125" style="1" bestFit="1" customWidth="1"/>
    <col min="16" max="16" width="18" style="1" bestFit="1" customWidth="1"/>
    <col min="17" max="17" width="9.5703125" style="1" bestFit="1" customWidth="1"/>
    <col min="18" max="18" width="18.5703125" style="1" bestFit="1" customWidth="1"/>
    <col min="19" max="19" width="18" style="1" bestFit="1" customWidth="1"/>
    <col min="20" max="20" width="9.5703125" style="1" bestFit="1" customWidth="1"/>
    <col min="21" max="21" width="18.5703125" style="1" bestFit="1" customWidth="1"/>
    <col min="22" max="22" width="18" style="1" bestFit="1" customWidth="1"/>
    <col min="23" max="16384" width="11.42578125" style="1"/>
  </cols>
  <sheetData>
    <row r="1" spans="1:22" x14ac:dyDescent="0.25">
      <c r="A1" s="1" t="s">
        <v>54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5">
      <c r="A2" s="1" t="s">
        <v>24</v>
      </c>
      <c r="B2" s="1">
        <v>18413</v>
      </c>
      <c r="C2" s="1">
        <v>9752</v>
      </c>
      <c r="D2" s="1">
        <v>8661</v>
      </c>
      <c r="E2" s="1">
        <v>16150</v>
      </c>
      <c r="F2" s="1">
        <v>8434</v>
      </c>
      <c r="G2" s="1">
        <v>7716</v>
      </c>
      <c r="H2" s="1">
        <v>14788</v>
      </c>
      <c r="I2" s="1">
        <v>7748</v>
      </c>
      <c r="J2" s="1">
        <v>7040</v>
      </c>
      <c r="K2" s="1">
        <v>16355</v>
      </c>
      <c r="L2" s="1">
        <v>8836</v>
      </c>
      <c r="M2" s="1">
        <v>7519</v>
      </c>
      <c r="N2" s="1">
        <v>14368</v>
      </c>
      <c r="O2" s="1">
        <v>7684</v>
      </c>
      <c r="P2" s="1">
        <v>6684</v>
      </c>
      <c r="Q2" s="1">
        <v>15972</v>
      </c>
      <c r="R2" s="1">
        <v>8328</v>
      </c>
      <c r="S2" s="1">
        <v>7644</v>
      </c>
      <c r="T2" s="1">
        <v>12330</v>
      </c>
      <c r="U2" s="1">
        <v>6460</v>
      </c>
      <c r="V2" s="1">
        <v>5870</v>
      </c>
    </row>
    <row r="3" spans="1:22" x14ac:dyDescent="0.25">
      <c r="A3" s="1" t="s">
        <v>55</v>
      </c>
      <c r="B3" s="1">
        <v>9228</v>
      </c>
      <c r="C3" s="1">
        <v>3718</v>
      </c>
      <c r="D3" s="1">
        <v>5510</v>
      </c>
      <c r="E3" s="1">
        <v>9461</v>
      </c>
      <c r="F3" s="1">
        <v>3772</v>
      </c>
      <c r="G3" s="1">
        <v>5689</v>
      </c>
      <c r="H3" s="1">
        <v>9894</v>
      </c>
      <c r="I3" s="1">
        <v>3944</v>
      </c>
      <c r="J3" s="1">
        <v>5950</v>
      </c>
      <c r="K3" s="1">
        <v>12635</v>
      </c>
      <c r="L3" s="1">
        <v>5368</v>
      </c>
      <c r="M3" s="1">
        <v>7267</v>
      </c>
      <c r="N3" s="1">
        <v>13042</v>
      </c>
      <c r="O3" s="1">
        <v>5317</v>
      </c>
      <c r="P3" s="1">
        <v>7725</v>
      </c>
      <c r="Q3" s="1">
        <v>11845</v>
      </c>
      <c r="R3" s="1">
        <v>4751</v>
      </c>
      <c r="S3" s="1">
        <v>7094</v>
      </c>
      <c r="T3" s="1">
        <v>11015</v>
      </c>
      <c r="U3" s="1">
        <v>4447</v>
      </c>
      <c r="V3" s="1">
        <v>6568</v>
      </c>
    </row>
    <row r="4" spans="1:22" x14ac:dyDescent="0.25">
      <c r="A4" s="1" t="s">
        <v>22</v>
      </c>
      <c r="B4" s="1">
        <v>6973</v>
      </c>
      <c r="C4" s="1">
        <v>3829</v>
      </c>
      <c r="D4" s="1">
        <v>3144</v>
      </c>
      <c r="E4" s="1">
        <v>10449</v>
      </c>
      <c r="F4" s="1">
        <v>5732</v>
      </c>
      <c r="G4" s="1">
        <v>4717</v>
      </c>
      <c r="H4" s="1">
        <v>11705</v>
      </c>
      <c r="I4" s="1">
        <v>6412</v>
      </c>
      <c r="J4" s="1">
        <v>5293</v>
      </c>
      <c r="K4" s="1">
        <v>6527</v>
      </c>
      <c r="L4" s="1">
        <v>3562</v>
      </c>
      <c r="M4" s="1">
        <v>2965</v>
      </c>
      <c r="N4" s="1">
        <v>12533</v>
      </c>
      <c r="O4" s="1">
        <v>6770</v>
      </c>
      <c r="P4" s="1">
        <v>5763</v>
      </c>
      <c r="Q4" s="1">
        <v>5388</v>
      </c>
      <c r="R4" s="1">
        <v>2778</v>
      </c>
      <c r="S4" s="1">
        <v>2610</v>
      </c>
      <c r="T4" s="1">
        <v>4335</v>
      </c>
      <c r="U4" s="1">
        <v>2310</v>
      </c>
      <c r="V4" s="1">
        <v>2025</v>
      </c>
    </row>
    <row r="5" spans="1:22" x14ac:dyDescent="0.25">
      <c r="A5" s="1" t="s">
        <v>23</v>
      </c>
      <c r="B5" s="1">
        <v>5170</v>
      </c>
      <c r="C5" s="1">
        <v>2623</v>
      </c>
      <c r="D5" s="1">
        <v>2547</v>
      </c>
      <c r="E5" s="1">
        <v>4581</v>
      </c>
      <c r="F5" s="1">
        <v>2340</v>
      </c>
      <c r="G5" s="1">
        <v>2241</v>
      </c>
      <c r="H5" s="1">
        <v>5189</v>
      </c>
      <c r="I5" s="1">
        <v>2638</v>
      </c>
      <c r="J5" s="1">
        <v>2551</v>
      </c>
      <c r="K5" s="1">
        <v>19337</v>
      </c>
      <c r="L5" s="1">
        <v>11168</v>
      </c>
      <c r="M5" s="1">
        <v>8169</v>
      </c>
      <c r="N5" s="1">
        <v>16971</v>
      </c>
      <c r="O5" s="1">
        <v>9349</v>
      </c>
      <c r="P5" s="1">
        <v>7622</v>
      </c>
      <c r="Q5" s="1">
        <v>16691</v>
      </c>
      <c r="R5" s="1">
        <v>9069</v>
      </c>
      <c r="S5" s="1">
        <v>7622</v>
      </c>
      <c r="T5" s="1">
        <v>18401</v>
      </c>
      <c r="U5" s="1">
        <v>9839</v>
      </c>
      <c r="V5" s="1">
        <v>8562</v>
      </c>
    </row>
    <row r="6" spans="1:22" x14ac:dyDescent="0.25">
      <c r="A6" s="1" t="s">
        <v>26</v>
      </c>
      <c r="B6" s="1">
        <v>3188</v>
      </c>
      <c r="C6" s="1">
        <v>1570</v>
      </c>
      <c r="D6" s="1">
        <v>1618</v>
      </c>
      <c r="E6" s="1">
        <v>2949</v>
      </c>
      <c r="F6" s="1">
        <v>1504</v>
      </c>
      <c r="G6" s="1">
        <v>1445</v>
      </c>
      <c r="H6" s="1">
        <v>3775</v>
      </c>
      <c r="I6" s="1">
        <v>2020</v>
      </c>
      <c r="J6" s="1">
        <v>1755</v>
      </c>
      <c r="K6" s="1">
        <v>4783</v>
      </c>
      <c r="L6" s="1">
        <v>2770</v>
      </c>
      <c r="M6" s="1">
        <v>2013</v>
      </c>
      <c r="N6" s="1">
        <v>2360</v>
      </c>
      <c r="O6" s="1">
        <v>1357</v>
      </c>
      <c r="P6" s="1">
        <v>1003</v>
      </c>
      <c r="Q6" s="1">
        <v>3285</v>
      </c>
      <c r="R6" s="1">
        <v>1794</v>
      </c>
      <c r="S6" s="1">
        <v>1491</v>
      </c>
      <c r="T6" s="1">
        <v>4078</v>
      </c>
      <c r="U6" s="1">
        <v>2242</v>
      </c>
      <c r="V6" s="1">
        <v>1836</v>
      </c>
    </row>
    <row r="7" spans="1:22" x14ac:dyDescent="0.25">
      <c r="A7" s="1" t="s">
        <v>56</v>
      </c>
      <c r="B7" s="1">
        <v>3053</v>
      </c>
      <c r="C7" s="1">
        <v>1691</v>
      </c>
      <c r="D7" s="1">
        <v>1362</v>
      </c>
      <c r="E7" s="1">
        <v>4167</v>
      </c>
      <c r="F7" s="1">
        <v>2274</v>
      </c>
      <c r="G7" s="1">
        <v>1893</v>
      </c>
      <c r="H7" s="1">
        <v>4496</v>
      </c>
      <c r="I7" s="1">
        <v>2472</v>
      </c>
      <c r="J7" s="1">
        <v>2024</v>
      </c>
      <c r="K7" s="1">
        <v>6909</v>
      </c>
      <c r="L7" s="1">
        <v>4074</v>
      </c>
      <c r="M7" s="1">
        <v>2835</v>
      </c>
      <c r="N7" s="1">
        <v>373</v>
      </c>
      <c r="O7" s="1">
        <v>232</v>
      </c>
      <c r="P7" s="1">
        <v>141</v>
      </c>
      <c r="Q7" s="1">
        <v>5912</v>
      </c>
      <c r="R7" s="1">
        <v>3144</v>
      </c>
      <c r="S7" s="1">
        <v>2768</v>
      </c>
      <c r="T7" s="1">
        <v>6794</v>
      </c>
      <c r="U7" s="1">
        <v>3665</v>
      </c>
      <c r="V7" s="1">
        <v>3129</v>
      </c>
    </row>
    <row r="8" spans="1:22" x14ac:dyDescent="0.25">
      <c r="A8" s="1" t="s">
        <v>57</v>
      </c>
      <c r="B8" s="1">
        <v>2778</v>
      </c>
      <c r="C8" s="1">
        <v>1854</v>
      </c>
      <c r="D8" s="1">
        <v>924</v>
      </c>
      <c r="E8" s="1">
        <v>2688</v>
      </c>
      <c r="F8" s="1">
        <v>1745</v>
      </c>
      <c r="G8" s="1">
        <v>943</v>
      </c>
      <c r="H8" s="1">
        <v>2691</v>
      </c>
      <c r="I8" s="1">
        <v>1746</v>
      </c>
      <c r="J8" s="1">
        <v>945</v>
      </c>
      <c r="K8" s="1">
        <v>3666</v>
      </c>
      <c r="L8" s="1">
        <v>2470</v>
      </c>
      <c r="M8" s="1">
        <v>1196</v>
      </c>
      <c r="N8" s="1">
        <v>3464</v>
      </c>
      <c r="O8" s="1">
        <v>2260</v>
      </c>
      <c r="P8" s="1">
        <v>1204</v>
      </c>
      <c r="Q8" s="1">
        <v>3458</v>
      </c>
      <c r="R8" s="1">
        <v>2207</v>
      </c>
      <c r="S8" s="1">
        <v>1251</v>
      </c>
      <c r="T8" s="1">
        <v>3499</v>
      </c>
      <c r="U8" s="1">
        <v>2073</v>
      </c>
      <c r="V8" s="1">
        <v>1426</v>
      </c>
    </row>
    <row r="9" spans="1:22" x14ac:dyDescent="0.25">
      <c r="B9" s="1">
        <v>1653</v>
      </c>
      <c r="C9" s="1">
        <v>893</v>
      </c>
      <c r="D9" s="1">
        <v>760</v>
      </c>
      <c r="E9" s="1">
        <v>1624</v>
      </c>
      <c r="F9" s="1">
        <v>861</v>
      </c>
      <c r="G9" s="1">
        <v>763</v>
      </c>
      <c r="H9" s="1">
        <v>1616</v>
      </c>
      <c r="I9" s="1">
        <v>863</v>
      </c>
      <c r="J9" s="1">
        <v>753</v>
      </c>
      <c r="K9" s="1">
        <v>1139</v>
      </c>
      <c r="L9" s="1">
        <v>605</v>
      </c>
      <c r="M9" s="1">
        <v>534</v>
      </c>
      <c r="N9" s="1">
        <v>531</v>
      </c>
      <c r="O9" s="1">
        <v>294</v>
      </c>
      <c r="P9" s="1">
        <v>237</v>
      </c>
      <c r="Q9" s="1">
        <v>1333</v>
      </c>
      <c r="R9" s="1">
        <v>680</v>
      </c>
      <c r="S9" s="1">
        <v>653</v>
      </c>
      <c r="T9" s="1">
        <v>1304</v>
      </c>
      <c r="U9" s="1">
        <v>700</v>
      </c>
      <c r="V9" s="1">
        <v>604</v>
      </c>
    </row>
    <row r="10" spans="1:22" x14ac:dyDescent="0.25">
      <c r="A10" s="1" t="s">
        <v>25</v>
      </c>
      <c r="B10" s="1">
        <v>927</v>
      </c>
      <c r="C10" s="1">
        <v>499</v>
      </c>
      <c r="D10" s="1">
        <v>428</v>
      </c>
      <c r="E10" s="1">
        <v>539</v>
      </c>
      <c r="F10" s="1">
        <v>267</v>
      </c>
      <c r="G10" s="1">
        <v>272</v>
      </c>
      <c r="H10" s="1">
        <v>696</v>
      </c>
      <c r="I10" s="1">
        <v>352</v>
      </c>
      <c r="J10" s="1">
        <v>344</v>
      </c>
      <c r="K10" s="1">
        <v>1102</v>
      </c>
      <c r="L10" s="1">
        <v>606</v>
      </c>
      <c r="M10" s="1">
        <v>496</v>
      </c>
      <c r="N10" s="1">
        <v>757</v>
      </c>
      <c r="O10" s="1">
        <v>407</v>
      </c>
      <c r="P10" s="1">
        <v>350</v>
      </c>
      <c r="Q10" s="1">
        <v>836</v>
      </c>
      <c r="R10" s="1">
        <v>449</v>
      </c>
      <c r="S10" s="1">
        <v>387</v>
      </c>
      <c r="T10" s="1">
        <v>720</v>
      </c>
      <c r="U10" s="1">
        <v>350</v>
      </c>
      <c r="V10" s="1">
        <v>370</v>
      </c>
    </row>
    <row r="11" spans="1:22" x14ac:dyDescent="0.25">
      <c r="A11" s="1" t="s">
        <v>58</v>
      </c>
      <c r="B11" s="1">
        <v>282</v>
      </c>
      <c r="C11" s="1">
        <v>174</v>
      </c>
      <c r="D11" s="1">
        <v>108</v>
      </c>
      <c r="E11" s="1">
        <v>315</v>
      </c>
      <c r="F11" s="1">
        <v>203</v>
      </c>
      <c r="G11" s="1">
        <v>112</v>
      </c>
      <c r="H11" s="1">
        <v>479</v>
      </c>
      <c r="I11" s="1">
        <v>293</v>
      </c>
      <c r="J11" s="1">
        <v>186</v>
      </c>
      <c r="K11" s="1">
        <v>1155</v>
      </c>
      <c r="L11" s="1">
        <v>723</v>
      </c>
      <c r="M11" s="1">
        <v>432</v>
      </c>
      <c r="N11" s="1">
        <v>462</v>
      </c>
      <c r="O11" s="1">
        <v>287</v>
      </c>
      <c r="P11" s="1">
        <v>175</v>
      </c>
      <c r="Q11" s="1">
        <v>484</v>
      </c>
      <c r="R11" s="1">
        <v>297</v>
      </c>
      <c r="S11" s="1">
        <v>187</v>
      </c>
      <c r="T11" s="1">
        <v>541</v>
      </c>
      <c r="U11" s="1">
        <v>328</v>
      </c>
      <c r="V11" s="1">
        <v>213</v>
      </c>
    </row>
    <row r="12" spans="1:22" x14ac:dyDescent="0.25">
      <c r="A12" s="1" t="s">
        <v>59</v>
      </c>
      <c r="B12" s="1">
        <v>85</v>
      </c>
      <c r="C12" s="1">
        <v>72</v>
      </c>
      <c r="D12" s="1">
        <v>13</v>
      </c>
      <c r="E12" s="1">
        <v>121</v>
      </c>
      <c r="F12" s="1">
        <v>65</v>
      </c>
      <c r="G12" s="1">
        <v>56</v>
      </c>
      <c r="H12" s="1">
        <v>140</v>
      </c>
      <c r="I12" s="1">
        <v>107</v>
      </c>
      <c r="J12" s="1">
        <v>33</v>
      </c>
      <c r="K12" s="1">
        <v>124</v>
      </c>
      <c r="L12" s="1">
        <v>101</v>
      </c>
      <c r="M12" s="1">
        <v>23</v>
      </c>
      <c r="N12" s="1">
        <v>84</v>
      </c>
      <c r="O12" s="1">
        <v>55</v>
      </c>
      <c r="P12" s="1">
        <v>29</v>
      </c>
      <c r="Q12" s="1">
        <v>121</v>
      </c>
      <c r="R12" s="1">
        <v>86</v>
      </c>
      <c r="S12" s="1">
        <v>35</v>
      </c>
      <c r="T12" s="1">
        <v>144</v>
      </c>
      <c r="U12" s="1">
        <v>99</v>
      </c>
      <c r="V12" s="1">
        <v>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C4C4-7161-4B76-88FD-2CB56D4F9483}">
  <dimension ref="A1:BR123"/>
  <sheetViews>
    <sheetView topLeftCell="T1" workbookViewId="0">
      <selection activeCell="AC24" sqref="AC24"/>
    </sheetView>
  </sheetViews>
  <sheetFormatPr baseColWidth="10" defaultRowHeight="15" x14ac:dyDescent="0.25"/>
  <cols>
    <col min="1" max="1" width="11.42578125" style="1"/>
    <col min="2" max="8" width="9.5703125" style="1" bestFit="1" customWidth="1"/>
    <col min="9" max="15" width="18.5703125" style="1" bestFit="1" customWidth="1"/>
    <col min="16" max="22" width="18" style="1" bestFit="1" customWidth="1"/>
    <col min="23" max="27" width="15" style="23" customWidth="1"/>
    <col min="28" max="28" width="11.42578125" style="23"/>
    <col min="29" max="30" width="11.42578125" style="11"/>
    <col min="31" max="36" width="17.28515625" style="23" customWidth="1"/>
    <col min="37" max="38" width="11.42578125" style="18"/>
    <col min="39" max="44" width="16.42578125" style="23" customWidth="1"/>
    <col min="45" max="46" width="14.7109375" style="15" bestFit="1" customWidth="1"/>
    <col min="47" max="52" width="17.5703125" style="23" customWidth="1"/>
    <col min="53" max="54" width="14.7109375" style="18" customWidth="1"/>
    <col min="55" max="60" width="14.7109375" style="23" customWidth="1"/>
    <col min="61" max="61" width="14.7109375" style="11" customWidth="1"/>
    <col min="62" max="62" width="15.7109375" style="11" bestFit="1" customWidth="1"/>
    <col min="63" max="68" width="15.7109375" style="23" customWidth="1"/>
    <col min="69" max="70" width="15.7109375" style="18" bestFit="1" customWidth="1"/>
  </cols>
  <sheetData>
    <row r="1" spans="1:70" x14ac:dyDescent="0.25">
      <c r="A1" s="1" t="s">
        <v>54</v>
      </c>
      <c r="B1" s="2" t="s">
        <v>1</v>
      </c>
      <c r="C1" s="2" t="s">
        <v>4</v>
      </c>
      <c r="D1" s="2" t="s">
        <v>7</v>
      </c>
      <c r="E1" s="2" t="s">
        <v>10</v>
      </c>
      <c r="F1" s="2" t="s">
        <v>13</v>
      </c>
      <c r="G1" s="2" t="s">
        <v>16</v>
      </c>
      <c r="H1" s="2" t="s">
        <v>19</v>
      </c>
      <c r="I1" s="2" t="s">
        <v>2</v>
      </c>
      <c r="J1" s="2" t="s">
        <v>5</v>
      </c>
      <c r="K1" s="2" t="s">
        <v>8</v>
      </c>
      <c r="L1" s="2" t="s">
        <v>11</v>
      </c>
      <c r="M1" s="2" t="s">
        <v>14</v>
      </c>
      <c r="N1" s="2" t="s">
        <v>17</v>
      </c>
      <c r="O1" s="2" t="s">
        <v>20</v>
      </c>
      <c r="P1" s="2" t="s">
        <v>3</v>
      </c>
      <c r="Q1" s="2" t="s">
        <v>6</v>
      </c>
      <c r="R1" s="2" t="s">
        <v>9</v>
      </c>
      <c r="S1" s="2" t="s">
        <v>12</v>
      </c>
      <c r="T1" s="2" t="s">
        <v>15</v>
      </c>
      <c r="U1" s="2" t="s">
        <v>18</v>
      </c>
      <c r="V1" s="3" t="s">
        <v>21</v>
      </c>
      <c r="W1" s="21" t="s">
        <v>777</v>
      </c>
      <c r="X1" s="21" t="s">
        <v>778</v>
      </c>
      <c r="Y1" s="21" t="s">
        <v>779</v>
      </c>
      <c r="Z1" s="21" t="s">
        <v>780</v>
      </c>
      <c r="AA1" s="21" t="s">
        <v>781</v>
      </c>
      <c r="AB1" s="21" t="s">
        <v>782</v>
      </c>
      <c r="AC1" s="10" t="s">
        <v>783</v>
      </c>
      <c r="AD1" s="10" t="s">
        <v>784</v>
      </c>
      <c r="AE1" s="21" t="s">
        <v>785</v>
      </c>
      <c r="AF1" s="21" t="s">
        <v>786</v>
      </c>
      <c r="AG1" s="21" t="s">
        <v>787</v>
      </c>
      <c r="AH1" s="21" t="s">
        <v>788</v>
      </c>
      <c r="AI1" s="21" t="s">
        <v>789</v>
      </c>
      <c r="AJ1" s="21" t="s">
        <v>790</v>
      </c>
      <c r="AK1" s="16" t="s">
        <v>791</v>
      </c>
      <c r="AL1" s="16" t="s">
        <v>792</v>
      </c>
      <c r="AM1" s="21" t="s">
        <v>794</v>
      </c>
      <c r="AN1" s="21" t="s">
        <v>795</v>
      </c>
      <c r="AO1" s="21" t="s">
        <v>796</v>
      </c>
      <c r="AP1" s="21" t="s">
        <v>797</v>
      </c>
      <c r="AQ1" s="21" t="s">
        <v>798</v>
      </c>
      <c r="AR1" s="21" t="s">
        <v>799</v>
      </c>
      <c r="AS1" s="14" t="s">
        <v>800</v>
      </c>
      <c r="AT1" s="14" t="s">
        <v>793</v>
      </c>
      <c r="AU1" s="21" t="s">
        <v>801</v>
      </c>
      <c r="AV1" s="21" t="s">
        <v>802</v>
      </c>
      <c r="AW1" s="21" t="s">
        <v>803</v>
      </c>
      <c r="AX1" s="21" t="s">
        <v>804</v>
      </c>
      <c r="AY1" s="21" t="s">
        <v>805</v>
      </c>
      <c r="AZ1" s="21" t="s">
        <v>806</v>
      </c>
      <c r="BA1" s="16" t="s">
        <v>807</v>
      </c>
      <c r="BB1" s="16" t="s">
        <v>808</v>
      </c>
      <c r="BC1" s="21" t="s">
        <v>809</v>
      </c>
      <c r="BD1" s="21" t="s">
        <v>810</v>
      </c>
      <c r="BE1" s="21" t="s">
        <v>811</v>
      </c>
      <c r="BF1" s="21" t="s">
        <v>812</v>
      </c>
      <c r="BG1" s="21" t="s">
        <v>813</v>
      </c>
      <c r="BH1" s="21" t="s">
        <v>814</v>
      </c>
      <c r="BI1" s="10" t="s">
        <v>815</v>
      </c>
      <c r="BJ1" s="10" t="s">
        <v>816</v>
      </c>
      <c r="BK1" s="21" t="s">
        <v>817</v>
      </c>
      <c r="BL1" s="21" t="s">
        <v>818</v>
      </c>
      <c r="BM1" s="21" t="s">
        <v>819</v>
      </c>
      <c r="BN1" s="21" t="s">
        <v>820</v>
      </c>
      <c r="BO1" s="21" t="s">
        <v>821</v>
      </c>
      <c r="BP1" s="21" t="s">
        <v>822</v>
      </c>
      <c r="BQ1" s="16" t="s">
        <v>823</v>
      </c>
      <c r="BR1" s="16" t="s">
        <v>824</v>
      </c>
    </row>
    <row r="2" spans="1:70" x14ac:dyDescent="0.25">
      <c r="A2" s="1" t="s">
        <v>24</v>
      </c>
      <c r="B2" s="1">
        <v>18413</v>
      </c>
      <c r="C2" s="1">
        <v>16150</v>
      </c>
      <c r="D2" s="1">
        <v>14788</v>
      </c>
      <c r="E2" s="1">
        <v>16355</v>
      </c>
      <c r="F2" s="1">
        <v>14368</v>
      </c>
      <c r="G2" s="1">
        <v>15972</v>
      </c>
      <c r="H2" s="1">
        <v>12330</v>
      </c>
      <c r="I2" s="1">
        <v>9752</v>
      </c>
      <c r="J2" s="1">
        <v>8434</v>
      </c>
      <c r="K2" s="1">
        <v>7748</v>
      </c>
      <c r="L2" s="1">
        <v>8836</v>
      </c>
      <c r="M2" s="1">
        <v>7684</v>
      </c>
      <c r="N2" s="1">
        <v>8328</v>
      </c>
      <c r="O2" s="1">
        <v>6460</v>
      </c>
      <c r="P2" s="1">
        <v>8661</v>
      </c>
      <c r="Q2" s="1">
        <v>7716</v>
      </c>
      <c r="R2" s="1">
        <v>7040</v>
      </c>
      <c r="S2" s="1">
        <v>7519</v>
      </c>
      <c r="T2" s="1">
        <v>6684</v>
      </c>
      <c r="U2" s="1">
        <v>7644</v>
      </c>
      <c r="V2" s="1">
        <v>5870</v>
      </c>
      <c r="W2" s="22">
        <f t="shared" ref="W2:AB2" si="0">+(C2-B2)/B2</f>
        <v>-0.12290229728995818</v>
      </c>
      <c r="X2" s="22">
        <f t="shared" si="0"/>
        <v>-8.4334365325077404E-2</v>
      </c>
      <c r="Y2" s="22">
        <f>+(E2-D2)/D2</f>
        <v>0.10596429537462808</v>
      </c>
      <c r="Z2" s="22">
        <f t="shared" si="0"/>
        <v>-0.12149189850198716</v>
      </c>
      <c r="AA2" s="22">
        <f t="shared" si="0"/>
        <v>0.1116369710467706</v>
      </c>
      <c r="AB2" s="22">
        <f t="shared" si="0"/>
        <v>-0.22802404207362886</v>
      </c>
      <c r="AC2" s="12">
        <f>+AVERAGE(W2:AB2)</f>
        <v>-5.6525222794875485E-2</v>
      </c>
      <c r="AD2" s="12">
        <f>MEDIAN(W2:AB2)</f>
        <v>-0.10291313191353228</v>
      </c>
      <c r="AE2" s="24">
        <f>C2-B2</f>
        <v>-2263</v>
      </c>
      <c r="AF2" s="24">
        <f t="shared" ref="AF2:AJ2" si="1">D2-C2</f>
        <v>-1362</v>
      </c>
      <c r="AG2" s="24">
        <f t="shared" si="1"/>
        <v>1567</v>
      </c>
      <c r="AH2" s="24">
        <f t="shared" si="1"/>
        <v>-1987</v>
      </c>
      <c r="AI2" s="24">
        <f t="shared" si="1"/>
        <v>1604</v>
      </c>
      <c r="AJ2" s="24">
        <f t="shared" si="1"/>
        <v>-3642</v>
      </c>
      <c r="AK2" s="17">
        <f>+AVERAGE(AE2:AJ2)</f>
        <v>-1013.8333333333334</v>
      </c>
      <c r="AL2" s="17">
        <f>+MEDIAN(AE2:AJ2)</f>
        <v>-1674.5</v>
      </c>
      <c r="AM2" s="24">
        <f t="shared" ref="AM2:AR2" si="2">+(J2-I2)/I2</f>
        <v>-0.13515176374077112</v>
      </c>
      <c r="AN2" s="24">
        <f t="shared" si="2"/>
        <v>-8.1337443680341473E-2</v>
      </c>
      <c r="AO2" s="24">
        <f t="shared" si="2"/>
        <v>0.14042333505420754</v>
      </c>
      <c r="AP2" s="24">
        <f t="shared" si="2"/>
        <v>-0.13037573562698054</v>
      </c>
      <c r="AQ2" s="24">
        <f t="shared" si="2"/>
        <v>8.3810515356585111E-2</v>
      </c>
      <c r="AR2" s="24">
        <f t="shared" si="2"/>
        <v>-0.22430355427473583</v>
      </c>
      <c r="AS2" s="12">
        <f>+AVERAGE(AM2:AR2)</f>
        <v>-5.7822441152006056E-2</v>
      </c>
      <c r="AT2" s="12">
        <f>+MEDIAN(AM2:AR2)</f>
        <v>-0.10585658965366102</v>
      </c>
      <c r="AU2" s="24">
        <f>J2-I2</f>
        <v>-1318</v>
      </c>
      <c r="AV2" s="24">
        <f t="shared" ref="AV2:AZ2" si="3">K2-J2</f>
        <v>-686</v>
      </c>
      <c r="AW2" s="24">
        <f t="shared" si="3"/>
        <v>1088</v>
      </c>
      <c r="AX2" s="24">
        <f t="shared" si="3"/>
        <v>-1152</v>
      </c>
      <c r="AY2" s="24">
        <f t="shared" si="3"/>
        <v>644</v>
      </c>
      <c r="AZ2" s="24">
        <f t="shared" si="3"/>
        <v>-1868</v>
      </c>
      <c r="BA2" s="19">
        <f t="shared" ref="BA2" si="4">+AVERAGE(AU2:AZ2)</f>
        <v>-548.66666666666663</v>
      </c>
      <c r="BB2" s="19">
        <f t="shared" ref="BB2" si="5">MEDIAN(AU2:AZ2)</f>
        <v>-919</v>
      </c>
      <c r="BC2" s="25">
        <f t="shared" ref="BC2:BH2" si="6">+(Q2-P2)/P2</f>
        <v>-0.10910980256321441</v>
      </c>
      <c r="BD2" s="25">
        <f t="shared" si="6"/>
        <v>-8.7610160705028514E-2</v>
      </c>
      <c r="BE2" s="25">
        <f t="shared" si="6"/>
        <v>6.8039772727272727E-2</v>
      </c>
      <c r="BF2" s="25">
        <f t="shared" si="6"/>
        <v>-0.11105200159595691</v>
      </c>
      <c r="BG2" s="25">
        <f t="shared" si="6"/>
        <v>0.14362657091561939</v>
      </c>
      <c r="BH2" s="25">
        <f t="shared" si="6"/>
        <v>-0.23207744636316066</v>
      </c>
      <c r="BI2" s="12">
        <f t="shared" ref="BI2" si="7">+AVERAGE(BC2:BH2)</f>
        <v>-5.4697177930744724E-2</v>
      </c>
      <c r="BJ2" s="13">
        <f t="shared" ref="BJ2" si="8">MEDIAN(BC2:BH2)</f>
        <v>-9.8359981634121463E-2</v>
      </c>
      <c r="BK2" s="24">
        <f>+Q2-P2</f>
        <v>-945</v>
      </c>
      <c r="BL2" s="24">
        <f t="shared" ref="BL2:BP2" si="9">+R2-Q2</f>
        <v>-676</v>
      </c>
      <c r="BM2" s="24">
        <f t="shared" si="9"/>
        <v>479</v>
      </c>
      <c r="BN2" s="24">
        <f t="shared" si="9"/>
        <v>-835</v>
      </c>
      <c r="BO2" s="24">
        <f t="shared" si="9"/>
        <v>960</v>
      </c>
      <c r="BP2" s="24">
        <f t="shared" si="9"/>
        <v>-1774</v>
      </c>
      <c r="BQ2" s="19">
        <f t="shared" ref="BQ2" si="10">+AVERAGE(BK2:BP2)</f>
        <v>-465.16666666666669</v>
      </c>
      <c r="BR2" s="17">
        <f t="shared" ref="BR2" si="11">MEDIAN(BK2:BP2)</f>
        <v>-755.5</v>
      </c>
    </row>
    <row r="3" spans="1:70" x14ac:dyDescent="0.25">
      <c r="A3" s="1" t="s">
        <v>55</v>
      </c>
      <c r="B3" s="1">
        <v>9228</v>
      </c>
      <c r="C3" s="1">
        <v>9461</v>
      </c>
      <c r="D3" s="1">
        <v>9894</v>
      </c>
      <c r="E3" s="1">
        <v>12635</v>
      </c>
      <c r="F3" s="1">
        <v>13042</v>
      </c>
      <c r="G3" s="1">
        <v>11845</v>
      </c>
      <c r="H3" s="1">
        <v>11015</v>
      </c>
      <c r="I3" s="1">
        <v>3718</v>
      </c>
      <c r="J3" s="1">
        <v>3772</v>
      </c>
      <c r="K3" s="1">
        <v>3944</v>
      </c>
      <c r="L3" s="1">
        <v>5368</v>
      </c>
      <c r="M3" s="1">
        <v>5317</v>
      </c>
      <c r="N3" s="1">
        <v>4751</v>
      </c>
      <c r="O3" s="1">
        <v>4447</v>
      </c>
      <c r="P3" s="1">
        <v>5510</v>
      </c>
      <c r="Q3" s="1">
        <v>5689</v>
      </c>
      <c r="R3" s="1">
        <v>5950</v>
      </c>
      <c r="S3" s="1">
        <v>7267</v>
      </c>
      <c r="T3" s="1">
        <v>7725</v>
      </c>
      <c r="U3" s="1">
        <v>7094</v>
      </c>
      <c r="V3" s="1">
        <v>6568</v>
      </c>
      <c r="W3" s="22">
        <f t="shared" ref="W3:W12" si="12">+(C3-B3)/B3</f>
        <v>2.5249241439098395E-2</v>
      </c>
      <c r="X3" s="22">
        <f t="shared" ref="X3:X12" si="13">+(D3-C3)/C3</f>
        <v>4.5766832258746434E-2</v>
      </c>
      <c r="Y3" s="22">
        <f t="shared" ref="Y3:Y12" si="14">+(E3-D3)/D3</f>
        <v>0.27703658783100871</v>
      </c>
      <c r="Z3" s="22">
        <f t="shared" ref="Z3:Z12" si="15">+(F3-E3)/E3</f>
        <v>3.221210922041947E-2</v>
      </c>
      <c r="AA3" s="22">
        <f t="shared" ref="AA3:AA12" si="16">+(G3-F3)/F3</f>
        <v>-9.1780401778868273E-2</v>
      </c>
      <c r="AB3" s="22">
        <f t="shared" ref="AB3:AB12" si="17">+(H3-G3)/G3</f>
        <v>-7.0071760236386657E-2</v>
      </c>
      <c r="AC3" s="12">
        <f t="shared" ref="AC3:AC12" si="18">+AVERAGE(W3:AB3)</f>
        <v>3.6402101455669668E-2</v>
      </c>
      <c r="AD3" s="12">
        <f t="shared" ref="AD3:AD12" si="19">MEDIAN(W3:AB3)</f>
        <v>2.8730675329758933E-2</v>
      </c>
      <c r="AE3" s="24">
        <f t="shared" ref="AE3:AE12" si="20">C3-B3</f>
        <v>233</v>
      </c>
      <c r="AF3" s="24">
        <f t="shared" ref="AF3:AF12" si="21">D3-C3</f>
        <v>433</v>
      </c>
      <c r="AG3" s="24">
        <f t="shared" ref="AG3:AG12" si="22">E3-D3</f>
        <v>2741</v>
      </c>
      <c r="AH3" s="24">
        <f t="shared" ref="AH3:AH12" si="23">F3-E3</f>
        <v>407</v>
      </c>
      <c r="AI3" s="24">
        <f t="shared" ref="AI3:AI12" si="24">G3-F3</f>
        <v>-1197</v>
      </c>
      <c r="AJ3" s="24">
        <f t="shared" ref="AJ3:AJ12" si="25">H3-G3</f>
        <v>-830</v>
      </c>
      <c r="AK3" s="17">
        <f t="shared" ref="AK3:AK12" si="26">+AVERAGE(AE3:AJ3)</f>
        <v>297.83333333333331</v>
      </c>
      <c r="AL3" s="17">
        <f t="shared" ref="AL3:AL12" si="27">+MEDIAN(AE3:AJ3)</f>
        <v>320</v>
      </c>
      <c r="AM3" s="24">
        <f t="shared" ref="AM3:AM12" si="28">+(J3-I3)/I3</f>
        <v>1.4523937600860678E-2</v>
      </c>
      <c r="AN3" s="24">
        <f t="shared" ref="AN3:AN12" si="29">+(K3-J3)/J3</f>
        <v>4.5599151643690349E-2</v>
      </c>
      <c r="AO3" s="24">
        <f t="shared" ref="AO3:AO12" si="30">+(L3-K3)/K3</f>
        <v>0.36105476673427994</v>
      </c>
      <c r="AP3" s="24">
        <f t="shared" ref="AP3:AP12" si="31">+(M3-L3)/L3</f>
        <v>-9.5007451564828611E-3</v>
      </c>
      <c r="AQ3" s="24">
        <f t="shared" ref="AQ3:AQ12" si="32">+(N3-M3)/M3</f>
        <v>-0.10645100620650742</v>
      </c>
      <c r="AR3" s="24">
        <f t="shared" ref="AR3:AR12" si="33">+(O3-N3)/N3</f>
        <v>-6.3986529151757524E-2</v>
      </c>
      <c r="AS3" s="12">
        <f t="shared" ref="AS3:AS12" si="34">+AVERAGE(AM3:AR3)</f>
        <v>4.0206595910680522E-2</v>
      </c>
      <c r="AT3" s="12">
        <f t="shared" ref="AT3:AT12" si="35">+MEDIAN(AM3:AR3)</f>
        <v>2.5115962221889093E-3</v>
      </c>
      <c r="AU3" s="24">
        <f t="shared" ref="AU3:AU12" si="36">J3-I3</f>
        <v>54</v>
      </c>
      <c r="AV3" s="24">
        <f t="shared" ref="AV3:AV12" si="37">K3-J3</f>
        <v>172</v>
      </c>
      <c r="AW3" s="24">
        <f t="shared" ref="AW3:AW12" si="38">L3-K3</f>
        <v>1424</v>
      </c>
      <c r="AX3" s="24">
        <f t="shared" ref="AX3:AX12" si="39">M3-L3</f>
        <v>-51</v>
      </c>
      <c r="AY3" s="24">
        <f t="shared" ref="AY3:AY12" si="40">N3-M3</f>
        <v>-566</v>
      </c>
      <c r="AZ3" s="24">
        <f t="shared" ref="AZ3:AZ12" si="41">O3-N3</f>
        <v>-304</v>
      </c>
      <c r="BA3" s="19">
        <f t="shared" ref="BA3:BA12" si="42">+AVERAGE(AU3:AZ3)</f>
        <v>121.5</v>
      </c>
      <c r="BB3" s="19">
        <f t="shared" ref="BB3:BB12" si="43">MEDIAN(AU3:AZ3)</f>
        <v>1.5</v>
      </c>
      <c r="BC3" s="25">
        <f t="shared" ref="BC3:BC12" si="44">+(Q3-P3)/P3</f>
        <v>3.248638838475499E-2</v>
      </c>
      <c r="BD3" s="25">
        <f t="shared" ref="BD3:BD12" si="45">+(R3-Q3)/Q3</f>
        <v>4.5878010195113374E-2</v>
      </c>
      <c r="BE3" s="25">
        <f t="shared" ref="BE3:BE12" si="46">+(S3-R3)/R3</f>
        <v>0.22134453781512606</v>
      </c>
      <c r="BF3" s="25">
        <f t="shared" ref="BF3:BF12" si="47">+(T3-S3)/S3</f>
        <v>6.3024631897619379E-2</v>
      </c>
      <c r="BG3" s="25">
        <f t="shared" ref="BG3:BG12" si="48">+(U3-T3)/T3</f>
        <v>-8.1682847896440133E-2</v>
      </c>
      <c r="BH3" s="25">
        <f t="shared" ref="BH3:BH12" si="49">+(V3-U3)/U3</f>
        <v>-7.4147166619678601E-2</v>
      </c>
      <c r="BI3" s="12">
        <f t="shared" ref="BI3:BI12" si="50">+AVERAGE(BC3:BH3)</f>
        <v>3.4483925629415837E-2</v>
      </c>
      <c r="BJ3" s="13">
        <f t="shared" ref="BJ3:BJ12" si="51">MEDIAN(BC3:BH3)</f>
        <v>3.9182199289934182E-2</v>
      </c>
      <c r="BK3" s="24">
        <f t="shared" ref="BK3:BK12" si="52">+Q3-P3</f>
        <v>179</v>
      </c>
      <c r="BL3" s="24">
        <f t="shared" ref="BL3:BL12" si="53">+R3-Q3</f>
        <v>261</v>
      </c>
      <c r="BM3" s="24">
        <f t="shared" ref="BM3:BM12" si="54">+S3-R3</f>
        <v>1317</v>
      </c>
      <c r="BN3" s="24">
        <f t="shared" ref="BN3:BN12" si="55">+T3-S3</f>
        <v>458</v>
      </c>
      <c r="BO3" s="24">
        <f t="shared" ref="BO3:BO12" si="56">+U3-T3</f>
        <v>-631</v>
      </c>
      <c r="BP3" s="24">
        <f t="shared" ref="BP3:BP12" si="57">+V3-U3</f>
        <v>-526</v>
      </c>
      <c r="BQ3" s="19">
        <f t="shared" ref="BQ3:BQ12" si="58">+AVERAGE(BK3:BP3)</f>
        <v>176.33333333333334</v>
      </c>
      <c r="BR3" s="17">
        <f t="shared" ref="BR3:BR12" si="59">MEDIAN(BK3:BP3)</f>
        <v>220</v>
      </c>
    </row>
    <row r="4" spans="1:70" x14ac:dyDescent="0.25">
      <c r="A4" s="1" t="s">
        <v>22</v>
      </c>
      <c r="B4" s="1">
        <v>6973</v>
      </c>
      <c r="C4" s="1">
        <v>10449</v>
      </c>
      <c r="D4" s="1">
        <v>11705</v>
      </c>
      <c r="E4" s="1">
        <v>6527</v>
      </c>
      <c r="F4" s="1">
        <v>12533</v>
      </c>
      <c r="G4" s="1">
        <v>5388</v>
      </c>
      <c r="H4" s="1">
        <v>4335</v>
      </c>
      <c r="I4" s="1">
        <v>3829</v>
      </c>
      <c r="J4" s="1">
        <v>5732</v>
      </c>
      <c r="K4" s="1">
        <v>6412</v>
      </c>
      <c r="L4" s="1">
        <v>3562</v>
      </c>
      <c r="M4" s="1">
        <v>6770</v>
      </c>
      <c r="N4" s="1">
        <v>2778</v>
      </c>
      <c r="O4" s="1">
        <v>2310</v>
      </c>
      <c r="P4" s="1">
        <v>3144</v>
      </c>
      <c r="Q4" s="1">
        <v>4717</v>
      </c>
      <c r="R4" s="1">
        <v>5293</v>
      </c>
      <c r="S4" s="1">
        <v>2965</v>
      </c>
      <c r="T4" s="1">
        <v>5763</v>
      </c>
      <c r="U4" s="1">
        <v>2610</v>
      </c>
      <c r="V4" s="1">
        <v>2025</v>
      </c>
      <c r="W4" s="22">
        <f t="shared" si="12"/>
        <v>0.49849419188297722</v>
      </c>
      <c r="X4" s="22">
        <f t="shared" si="13"/>
        <v>0.12020289022873003</v>
      </c>
      <c r="Y4" s="22">
        <f t="shared" si="14"/>
        <v>-0.4423750533959846</v>
      </c>
      <c r="Z4" s="22">
        <f t="shared" si="15"/>
        <v>0.92017772330320213</v>
      </c>
      <c r="AA4" s="22">
        <f t="shared" si="16"/>
        <v>-0.57009494933375893</v>
      </c>
      <c r="AB4" s="22">
        <f t="shared" si="17"/>
        <v>-0.19543429844097995</v>
      </c>
      <c r="AC4" s="12">
        <f t="shared" si="18"/>
        <v>5.5161750707364322E-2</v>
      </c>
      <c r="AD4" s="12">
        <f t="shared" si="19"/>
        <v>-3.761570410612497E-2</v>
      </c>
      <c r="AE4" s="24">
        <f t="shared" si="20"/>
        <v>3476</v>
      </c>
      <c r="AF4" s="24">
        <f t="shared" si="21"/>
        <v>1256</v>
      </c>
      <c r="AG4" s="24">
        <f t="shared" si="22"/>
        <v>-5178</v>
      </c>
      <c r="AH4" s="24">
        <f t="shared" si="23"/>
        <v>6006</v>
      </c>
      <c r="AI4" s="24">
        <f t="shared" si="24"/>
        <v>-7145</v>
      </c>
      <c r="AJ4" s="24">
        <f t="shared" si="25"/>
        <v>-1053</v>
      </c>
      <c r="AK4" s="17">
        <f t="shared" si="26"/>
        <v>-439.66666666666669</v>
      </c>
      <c r="AL4" s="17">
        <f t="shared" si="27"/>
        <v>101.5</v>
      </c>
      <c r="AM4" s="24">
        <f t="shared" si="28"/>
        <v>0.49699660485766517</v>
      </c>
      <c r="AN4" s="24">
        <f t="shared" si="29"/>
        <v>0.11863224005582694</v>
      </c>
      <c r="AO4" s="24">
        <f t="shared" si="30"/>
        <v>-0.44447910168434185</v>
      </c>
      <c r="AP4" s="24">
        <f t="shared" si="31"/>
        <v>0.90061763054463784</v>
      </c>
      <c r="AQ4" s="24">
        <f t="shared" si="32"/>
        <v>-0.58966026587887743</v>
      </c>
      <c r="AR4" s="24">
        <f t="shared" si="33"/>
        <v>-0.16846652267818574</v>
      </c>
      <c r="AS4" s="12">
        <f t="shared" si="34"/>
        <v>5.227343086945415E-2</v>
      </c>
      <c r="AT4" s="12">
        <f t="shared" si="35"/>
        <v>-2.4917141311179392E-2</v>
      </c>
      <c r="AU4" s="24">
        <f t="shared" si="36"/>
        <v>1903</v>
      </c>
      <c r="AV4" s="24">
        <f t="shared" si="37"/>
        <v>680</v>
      </c>
      <c r="AW4" s="24">
        <f t="shared" si="38"/>
        <v>-2850</v>
      </c>
      <c r="AX4" s="24">
        <f t="shared" si="39"/>
        <v>3208</v>
      </c>
      <c r="AY4" s="24">
        <f t="shared" si="40"/>
        <v>-3992</v>
      </c>
      <c r="AZ4" s="24">
        <f t="shared" si="41"/>
        <v>-468</v>
      </c>
      <c r="BA4" s="19">
        <f t="shared" si="42"/>
        <v>-253.16666666666666</v>
      </c>
      <c r="BB4" s="19">
        <f t="shared" si="43"/>
        <v>106</v>
      </c>
      <c r="BC4" s="25">
        <f t="shared" si="44"/>
        <v>0.50031806615776087</v>
      </c>
      <c r="BD4" s="25">
        <f t="shared" si="45"/>
        <v>0.12211151155395378</v>
      </c>
      <c r="BE4" s="25">
        <f t="shared" si="46"/>
        <v>-0.43982618552805591</v>
      </c>
      <c r="BF4" s="25">
        <f t="shared" si="47"/>
        <v>0.9436762225969646</v>
      </c>
      <c r="BG4" s="25">
        <f t="shared" si="48"/>
        <v>-0.54711087975013017</v>
      </c>
      <c r="BH4" s="25">
        <f t="shared" si="49"/>
        <v>-0.22413793103448276</v>
      </c>
      <c r="BI4" s="12">
        <f t="shared" si="50"/>
        <v>5.917180066600173E-2</v>
      </c>
      <c r="BJ4" s="13">
        <f t="shared" si="51"/>
        <v>-5.1013209740264492E-2</v>
      </c>
      <c r="BK4" s="24">
        <f t="shared" si="52"/>
        <v>1573</v>
      </c>
      <c r="BL4" s="24">
        <f t="shared" si="53"/>
        <v>576</v>
      </c>
      <c r="BM4" s="24">
        <f t="shared" si="54"/>
        <v>-2328</v>
      </c>
      <c r="BN4" s="24">
        <f t="shared" si="55"/>
        <v>2798</v>
      </c>
      <c r="BO4" s="24">
        <f t="shared" si="56"/>
        <v>-3153</v>
      </c>
      <c r="BP4" s="24">
        <f t="shared" si="57"/>
        <v>-585</v>
      </c>
      <c r="BQ4" s="19">
        <f t="shared" si="58"/>
        <v>-186.5</v>
      </c>
      <c r="BR4" s="17">
        <f t="shared" si="59"/>
        <v>-4.5</v>
      </c>
    </row>
    <row r="5" spans="1:70" x14ac:dyDescent="0.25">
      <c r="A5" s="1" t="s">
        <v>23</v>
      </c>
      <c r="B5" s="1">
        <v>5170</v>
      </c>
      <c r="C5" s="1">
        <v>4581</v>
      </c>
      <c r="D5" s="1">
        <v>5189</v>
      </c>
      <c r="E5" s="1">
        <v>19337</v>
      </c>
      <c r="F5" s="1">
        <v>16971</v>
      </c>
      <c r="G5" s="1">
        <v>16691</v>
      </c>
      <c r="H5" s="1">
        <v>18401</v>
      </c>
      <c r="I5" s="1">
        <v>2623</v>
      </c>
      <c r="J5" s="1">
        <v>2340</v>
      </c>
      <c r="K5" s="1">
        <v>2638</v>
      </c>
      <c r="L5" s="1">
        <v>11168</v>
      </c>
      <c r="M5" s="1">
        <v>9349</v>
      </c>
      <c r="N5" s="1">
        <v>9069</v>
      </c>
      <c r="O5" s="1">
        <v>9839</v>
      </c>
      <c r="P5" s="1">
        <v>2547</v>
      </c>
      <c r="Q5" s="1">
        <v>2241</v>
      </c>
      <c r="R5" s="1">
        <v>2551</v>
      </c>
      <c r="S5" s="1">
        <v>8169</v>
      </c>
      <c r="T5" s="1">
        <v>7622</v>
      </c>
      <c r="U5" s="1">
        <v>7622</v>
      </c>
      <c r="V5" s="1">
        <v>8562</v>
      </c>
      <c r="W5" s="22">
        <f t="shared" si="12"/>
        <v>-0.11392649903288202</v>
      </c>
      <c r="X5" s="22">
        <f t="shared" si="13"/>
        <v>0.13272211307574766</v>
      </c>
      <c r="Y5" s="22">
        <f t="shared" si="14"/>
        <v>2.7265369049913279</v>
      </c>
      <c r="Z5" s="22">
        <f t="shared" si="15"/>
        <v>-0.12235610487666132</v>
      </c>
      <c r="AA5" s="22">
        <f t="shared" si="16"/>
        <v>-1.6498733132991574E-2</v>
      </c>
      <c r="AB5" s="22">
        <f t="shared" si="17"/>
        <v>0.10245042238332035</v>
      </c>
      <c r="AC5" s="12">
        <f t="shared" si="18"/>
        <v>0.45148801723464355</v>
      </c>
      <c r="AD5" s="12">
        <f t="shared" si="19"/>
        <v>4.2975844625164392E-2</v>
      </c>
      <c r="AE5" s="24">
        <f t="shared" si="20"/>
        <v>-589</v>
      </c>
      <c r="AF5" s="24">
        <f t="shared" si="21"/>
        <v>608</v>
      </c>
      <c r="AG5" s="24">
        <f t="shared" si="22"/>
        <v>14148</v>
      </c>
      <c r="AH5" s="24">
        <f t="shared" si="23"/>
        <v>-2366</v>
      </c>
      <c r="AI5" s="24">
        <f t="shared" si="24"/>
        <v>-280</v>
      </c>
      <c r="AJ5" s="24">
        <f t="shared" si="25"/>
        <v>1710</v>
      </c>
      <c r="AK5" s="17">
        <f t="shared" si="26"/>
        <v>2205.1666666666665</v>
      </c>
      <c r="AL5" s="17">
        <f t="shared" si="27"/>
        <v>164</v>
      </c>
      <c r="AM5" s="24">
        <f t="shared" si="28"/>
        <v>-0.10789172703011818</v>
      </c>
      <c r="AN5" s="24">
        <f t="shared" si="29"/>
        <v>0.12735042735042734</v>
      </c>
      <c r="AO5" s="24">
        <f t="shared" si="30"/>
        <v>3.2335102350265355</v>
      </c>
      <c r="AP5" s="24">
        <f t="shared" si="31"/>
        <v>-0.16287607449856734</v>
      </c>
      <c r="AQ5" s="24">
        <f t="shared" si="32"/>
        <v>-2.9949727243555459E-2</v>
      </c>
      <c r="AR5" s="24">
        <f t="shared" si="33"/>
        <v>8.4904620134524197E-2</v>
      </c>
      <c r="AS5" s="12">
        <f t="shared" si="34"/>
        <v>0.52417462562320771</v>
      </c>
      <c r="AT5" s="12">
        <f t="shared" si="35"/>
        <v>2.7477446445484371E-2</v>
      </c>
      <c r="AU5" s="24">
        <f t="shared" si="36"/>
        <v>-283</v>
      </c>
      <c r="AV5" s="24">
        <f t="shared" si="37"/>
        <v>298</v>
      </c>
      <c r="AW5" s="24">
        <f t="shared" si="38"/>
        <v>8530</v>
      </c>
      <c r="AX5" s="24">
        <f t="shared" si="39"/>
        <v>-1819</v>
      </c>
      <c r="AY5" s="24">
        <f t="shared" si="40"/>
        <v>-280</v>
      </c>
      <c r="AZ5" s="24">
        <f t="shared" si="41"/>
        <v>770</v>
      </c>
      <c r="BA5" s="19">
        <f t="shared" si="42"/>
        <v>1202.6666666666667</v>
      </c>
      <c r="BB5" s="19">
        <f t="shared" si="43"/>
        <v>9</v>
      </c>
      <c r="BC5" s="25">
        <f t="shared" si="44"/>
        <v>-0.12014134275618374</v>
      </c>
      <c r="BD5" s="25">
        <f t="shared" si="45"/>
        <v>0.13833110218652386</v>
      </c>
      <c r="BE5" s="25">
        <f t="shared" si="46"/>
        <v>2.2022736181889453</v>
      </c>
      <c r="BF5" s="25">
        <f t="shared" si="47"/>
        <v>-6.6960460276655656E-2</v>
      </c>
      <c r="BG5" s="25">
        <f t="shared" si="48"/>
        <v>0</v>
      </c>
      <c r="BH5" s="25">
        <f t="shared" si="49"/>
        <v>0.12332721070585148</v>
      </c>
      <c r="BI5" s="12">
        <f t="shared" si="50"/>
        <v>0.37947168800808018</v>
      </c>
      <c r="BJ5" s="13">
        <f t="shared" si="51"/>
        <v>6.1663605352925741E-2</v>
      </c>
      <c r="BK5" s="24">
        <f t="shared" si="52"/>
        <v>-306</v>
      </c>
      <c r="BL5" s="24">
        <f t="shared" si="53"/>
        <v>310</v>
      </c>
      <c r="BM5" s="24">
        <f t="shared" si="54"/>
        <v>5618</v>
      </c>
      <c r="BN5" s="24">
        <f t="shared" si="55"/>
        <v>-547</v>
      </c>
      <c r="BO5" s="24">
        <f t="shared" si="56"/>
        <v>0</v>
      </c>
      <c r="BP5" s="24">
        <f t="shared" si="57"/>
        <v>940</v>
      </c>
      <c r="BQ5" s="19">
        <f t="shared" si="58"/>
        <v>1002.5</v>
      </c>
      <c r="BR5" s="17">
        <f t="shared" si="59"/>
        <v>155</v>
      </c>
    </row>
    <row r="6" spans="1:70" x14ac:dyDescent="0.25">
      <c r="A6" s="1" t="s">
        <v>26</v>
      </c>
      <c r="B6" s="1">
        <v>3188</v>
      </c>
      <c r="C6" s="1">
        <v>2949</v>
      </c>
      <c r="D6" s="1">
        <v>3775</v>
      </c>
      <c r="E6" s="1">
        <v>4783</v>
      </c>
      <c r="F6" s="1">
        <v>2360</v>
      </c>
      <c r="G6" s="1">
        <v>3285</v>
      </c>
      <c r="H6" s="1">
        <v>4078</v>
      </c>
      <c r="I6" s="1">
        <v>1570</v>
      </c>
      <c r="J6" s="1">
        <v>1504</v>
      </c>
      <c r="K6" s="1">
        <v>2020</v>
      </c>
      <c r="L6" s="1">
        <v>2770</v>
      </c>
      <c r="M6" s="1">
        <v>1357</v>
      </c>
      <c r="N6" s="1">
        <v>1794</v>
      </c>
      <c r="O6" s="1">
        <v>2242</v>
      </c>
      <c r="P6" s="1">
        <v>1618</v>
      </c>
      <c r="Q6" s="1">
        <v>1445</v>
      </c>
      <c r="R6" s="1">
        <v>1755</v>
      </c>
      <c r="S6" s="1">
        <v>2013</v>
      </c>
      <c r="T6" s="1">
        <v>1003</v>
      </c>
      <c r="U6" s="1">
        <v>1491</v>
      </c>
      <c r="V6" s="1">
        <v>1836</v>
      </c>
      <c r="W6" s="22">
        <f t="shared" si="12"/>
        <v>-7.4968632371392729E-2</v>
      </c>
      <c r="X6" s="22">
        <f t="shared" si="13"/>
        <v>0.28009494743981012</v>
      </c>
      <c r="Y6" s="22">
        <f t="shared" si="14"/>
        <v>0.26701986754966889</v>
      </c>
      <c r="Z6" s="22">
        <f t="shared" si="15"/>
        <v>-0.50658582479615299</v>
      </c>
      <c r="AA6" s="22">
        <f t="shared" si="16"/>
        <v>0.39194915254237289</v>
      </c>
      <c r="AB6" s="22">
        <f t="shared" si="17"/>
        <v>0.24140030441400304</v>
      </c>
      <c r="AC6" s="12">
        <f t="shared" si="18"/>
        <v>9.9818302463051525E-2</v>
      </c>
      <c r="AD6" s="12">
        <f t="shared" si="19"/>
        <v>0.25421008598183598</v>
      </c>
      <c r="AE6" s="24">
        <f t="shared" si="20"/>
        <v>-239</v>
      </c>
      <c r="AF6" s="24">
        <f t="shared" si="21"/>
        <v>826</v>
      </c>
      <c r="AG6" s="24">
        <f t="shared" si="22"/>
        <v>1008</v>
      </c>
      <c r="AH6" s="24">
        <f t="shared" si="23"/>
        <v>-2423</v>
      </c>
      <c r="AI6" s="24">
        <f t="shared" si="24"/>
        <v>925</v>
      </c>
      <c r="AJ6" s="24">
        <f t="shared" si="25"/>
        <v>793</v>
      </c>
      <c r="AK6" s="17">
        <f t="shared" si="26"/>
        <v>148.33333333333334</v>
      </c>
      <c r="AL6" s="17">
        <f t="shared" si="27"/>
        <v>809.5</v>
      </c>
      <c r="AM6" s="24">
        <f t="shared" si="28"/>
        <v>-4.2038216560509552E-2</v>
      </c>
      <c r="AN6" s="24">
        <f t="shared" si="29"/>
        <v>0.34308510638297873</v>
      </c>
      <c r="AO6" s="24">
        <f t="shared" si="30"/>
        <v>0.37128712871287128</v>
      </c>
      <c r="AP6" s="24">
        <f t="shared" si="31"/>
        <v>-0.51010830324909751</v>
      </c>
      <c r="AQ6" s="24">
        <f t="shared" si="32"/>
        <v>0.32203389830508472</v>
      </c>
      <c r="AR6" s="24">
        <f t="shared" si="33"/>
        <v>0.24972129319955408</v>
      </c>
      <c r="AS6" s="12">
        <f t="shared" si="34"/>
        <v>0.12233015113181363</v>
      </c>
      <c r="AT6" s="12">
        <f t="shared" si="35"/>
        <v>0.28587759575231941</v>
      </c>
      <c r="AU6" s="24">
        <f t="shared" si="36"/>
        <v>-66</v>
      </c>
      <c r="AV6" s="24">
        <f t="shared" si="37"/>
        <v>516</v>
      </c>
      <c r="AW6" s="24">
        <f t="shared" si="38"/>
        <v>750</v>
      </c>
      <c r="AX6" s="24">
        <f t="shared" si="39"/>
        <v>-1413</v>
      </c>
      <c r="AY6" s="24">
        <f t="shared" si="40"/>
        <v>437</v>
      </c>
      <c r="AZ6" s="24">
        <f t="shared" si="41"/>
        <v>448</v>
      </c>
      <c r="BA6" s="19">
        <f t="shared" si="42"/>
        <v>112</v>
      </c>
      <c r="BB6" s="19">
        <f t="shared" si="43"/>
        <v>442.5</v>
      </c>
      <c r="BC6" s="25">
        <f t="shared" si="44"/>
        <v>-0.10692212608158221</v>
      </c>
      <c r="BD6" s="25">
        <f t="shared" si="45"/>
        <v>0.21453287197231835</v>
      </c>
      <c r="BE6" s="25">
        <f t="shared" si="46"/>
        <v>0.14700854700854701</v>
      </c>
      <c r="BF6" s="25">
        <f t="shared" si="47"/>
        <v>-0.50173869846000996</v>
      </c>
      <c r="BG6" s="25">
        <f t="shared" si="48"/>
        <v>0.48654037886340978</v>
      </c>
      <c r="BH6" s="25">
        <f t="shared" si="49"/>
        <v>0.23138832997987926</v>
      </c>
      <c r="BI6" s="12">
        <f t="shared" si="50"/>
        <v>7.8468217213760363E-2</v>
      </c>
      <c r="BJ6" s="13">
        <f t="shared" si="51"/>
        <v>0.18077070949043267</v>
      </c>
      <c r="BK6" s="24">
        <f t="shared" si="52"/>
        <v>-173</v>
      </c>
      <c r="BL6" s="24">
        <f t="shared" si="53"/>
        <v>310</v>
      </c>
      <c r="BM6" s="24">
        <f t="shared" si="54"/>
        <v>258</v>
      </c>
      <c r="BN6" s="24">
        <f t="shared" si="55"/>
        <v>-1010</v>
      </c>
      <c r="BO6" s="24">
        <f t="shared" si="56"/>
        <v>488</v>
      </c>
      <c r="BP6" s="24">
        <f t="shared" si="57"/>
        <v>345</v>
      </c>
      <c r="BQ6" s="19">
        <f t="shared" si="58"/>
        <v>36.333333333333336</v>
      </c>
      <c r="BR6" s="17">
        <f t="shared" si="59"/>
        <v>284</v>
      </c>
    </row>
    <row r="7" spans="1:70" x14ac:dyDescent="0.25">
      <c r="A7" s="1" t="s">
        <v>56</v>
      </c>
      <c r="B7" s="1">
        <v>3053</v>
      </c>
      <c r="C7" s="1">
        <v>4167</v>
      </c>
      <c r="D7" s="1">
        <v>4496</v>
      </c>
      <c r="E7" s="1">
        <v>6909</v>
      </c>
      <c r="F7" s="1">
        <v>373</v>
      </c>
      <c r="G7" s="1">
        <v>5912</v>
      </c>
      <c r="H7" s="1">
        <v>6794</v>
      </c>
      <c r="I7" s="1">
        <v>1691</v>
      </c>
      <c r="J7" s="1">
        <v>2274</v>
      </c>
      <c r="K7" s="1">
        <v>2472</v>
      </c>
      <c r="L7" s="1">
        <v>4074</v>
      </c>
      <c r="M7" s="1">
        <v>232</v>
      </c>
      <c r="N7" s="1">
        <v>3144</v>
      </c>
      <c r="O7" s="1">
        <v>3665</v>
      </c>
      <c r="P7" s="1">
        <v>1362</v>
      </c>
      <c r="Q7" s="1">
        <v>1893</v>
      </c>
      <c r="R7" s="1">
        <v>2024</v>
      </c>
      <c r="S7" s="1">
        <v>2835</v>
      </c>
      <c r="T7" s="1">
        <v>141</v>
      </c>
      <c r="U7" s="1">
        <v>2768</v>
      </c>
      <c r="V7" s="1">
        <v>3129</v>
      </c>
      <c r="W7" s="22">
        <f t="shared" si="12"/>
        <v>0.36488699639698657</v>
      </c>
      <c r="X7" s="22">
        <f t="shared" si="13"/>
        <v>7.8953683705303576E-2</v>
      </c>
      <c r="Y7" s="22">
        <f t="shared" si="14"/>
        <v>0.53669928825622781</v>
      </c>
      <c r="Z7" s="22">
        <f t="shared" si="15"/>
        <v>-0.94601244753220437</v>
      </c>
      <c r="AA7" s="22">
        <f>+(G7-F7)/F7</f>
        <v>14.849865951742627</v>
      </c>
      <c r="AB7" s="22">
        <f t="shared" si="17"/>
        <v>0.14918809201623817</v>
      </c>
      <c r="AC7" s="12">
        <f t="shared" si="18"/>
        <v>2.5055969274308634</v>
      </c>
      <c r="AD7" s="12">
        <f t="shared" si="19"/>
        <v>0.2570375442066124</v>
      </c>
      <c r="AE7" s="24">
        <f t="shared" si="20"/>
        <v>1114</v>
      </c>
      <c r="AF7" s="24">
        <f t="shared" si="21"/>
        <v>329</v>
      </c>
      <c r="AG7" s="24">
        <f t="shared" si="22"/>
        <v>2413</v>
      </c>
      <c r="AH7" s="24">
        <f t="shared" si="23"/>
        <v>-6536</v>
      </c>
      <c r="AI7" s="24">
        <f t="shared" si="24"/>
        <v>5539</v>
      </c>
      <c r="AJ7" s="24">
        <f t="shared" si="25"/>
        <v>882</v>
      </c>
      <c r="AK7" s="17">
        <f t="shared" si="26"/>
        <v>623.5</v>
      </c>
      <c r="AL7" s="17">
        <f t="shared" si="27"/>
        <v>998</v>
      </c>
      <c r="AM7" s="24">
        <f t="shared" si="28"/>
        <v>0.34476641040804257</v>
      </c>
      <c r="AN7" s="24">
        <f t="shared" si="29"/>
        <v>8.7071240105540904E-2</v>
      </c>
      <c r="AO7" s="24">
        <f t="shared" si="30"/>
        <v>0.64805825242718451</v>
      </c>
      <c r="AP7" s="24">
        <f t="shared" si="31"/>
        <v>-0.94305351006381932</v>
      </c>
      <c r="AQ7" s="24">
        <f t="shared" si="32"/>
        <v>12.551724137931034</v>
      </c>
      <c r="AR7" s="24">
        <f t="shared" si="33"/>
        <v>0.16571246819338423</v>
      </c>
      <c r="AS7" s="12">
        <f t="shared" si="34"/>
        <v>2.1423798331668942</v>
      </c>
      <c r="AT7" s="12">
        <f t="shared" si="35"/>
        <v>0.25523943930071341</v>
      </c>
      <c r="AU7" s="24">
        <f t="shared" si="36"/>
        <v>583</v>
      </c>
      <c r="AV7" s="24">
        <f t="shared" si="37"/>
        <v>198</v>
      </c>
      <c r="AW7" s="24">
        <f t="shared" si="38"/>
        <v>1602</v>
      </c>
      <c r="AX7" s="24">
        <f t="shared" si="39"/>
        <v>-3842</v>
      </c>
      <c r="AY7" s="24">
        <f t="shared" si="40"/>
        <v>2912</v>
      </c>
      <c r="AZ7" s="24">
        <f t="shared" si="41"/>
        <v>521</v>
      </c>
      <c r="BA7" s="19">
        <f t="shared" si="42"/>
        <v>329</v>
      </c>
      <c r="BB7" s="19">
        <f t="shared" si="43"/>
        <v>552</v>
      </c>
      <c r="BC7" s="25">
        <f t="shared" si="44"/>
        <v>0.38986784140969161</v>
      </c>
      <c r="BD7" s="25">
        <f t="shared" si="45"/>
        <v>6.9202324352879027E-2</v>
      </c>
      <c r="BE7" s="25">
        <f t="shared" si="46"/>
        <v>0.4006916996047431</v>
      </c>
      <c r="BF7" s="25">
        <f t="shared" si="47"/>
        <v>-0.95026455026455026</v>
      </c>
      <c r="BG7" s="25">
        <f t="shared" si="48"/>
        <v>18.631205673758867</v>
      </c>
      <c r="BH7" s="25">
        <f t="shared" si="49"/>
        <v>0.13041907514450868</v>
      </c>
      <c r="BI7" s="12">
        <f t="shared" si="50"/>
        <v>3.111853677334357</v>
      </c>
      <c r="BJ7" s="13">
        <f t="shared" si="51"/>
        <v>0.26014345827710017</v>
      </c>
      <c r="BK7" s="24">
        <f t="shared" si="52"/>
        <v>531</v>
      </c>
      <c r="BL7" s="24">
        <f t="shared" si="53"/>
        <v>131</v>
      </c>
      <c r="BM7" s="24">
        <f t="shared" si="54"/>
        <v>811</v>
      </c>
      <c r="BN7" s="24">
        <f t="shared" si="55"/>
        <v>-2694</v>
      </c>
      <c r="BO7" s="24">
        <f t="shared" si="56"/>
        <v>2627</v>
      </c>
      <c r="BP7" s="24">
        <f t="shared" si="57"/>
        <v>361</v>
      </c>
      <c r="BQ7" s="19">
        <f t="shared" si="58"/>
        <v>294.5</v>
      </c>
      <c r="BR7" s="17">
        <f t="shared" si="59"/>
        <v>446</v>
      </c>
    </row>
    <row r="8" spans="1:70" x14ac:dyDescent="0.25">
      <c r="A8" s="1" t="s">
        <v>57</v>
      </c>
      <c r="B8" s="1">
        <v>2778</v>
      </c>
      <c r="C8" s="1">
        <v>2688</v>
      </c>
      <c r="D8" s="1">
        <v>2691</v>
      </c>
      <c r="E8" s="1">
        <v>3666</v>
      </c>
      <c r="F8" s="1">
        <v>3464</v>
      </c>
      <c r="G8" s="1">
        <v>3458</v>
      </c>
      <c r="H8" s="1">
        <v>3499</v>
      </c>
      <c r="I8" s="1">
        <v>1854</v>
      </c>
      <c r="J8" s="1">
        <v>1745</v>
      </c>
      <c r="K8" s="1">
        <v>1746</v>
      </c>
      <c r="L8" s="1">
        <v>2470</v>
      </c>
      <c r="M8" s="1">
        <v>2260</v>
      </c>
      <c r="N8" s="1">
        <v>2207</v>
      </c>
      <c r="O8" s="1">
        <v>2073</v>
      </c>
      <c r="P8" s="1">
        <v>924</v>
      </c>
      <c r="Q8" s="1">
        <v>943</v>
      </c>
      <c r="R8" s="1">
        <v>945</v>
      </c>
      <c r="S8" s="1">
        <v>1196</v>
      </c>
      <c r="T8" s="1">
        <v>1204</v>
      </c>
      <c r="U8" s="1">
        <v>1251</v>
      </c>
      <c r="V8" s="1">
        <v>1426</v>
      </c>
      <c r="W8" s="22">
        <f t="shared" si="12"/>
        <v>-3.2397408207343416E-2</v>
      </c>
      <c r="X8" s="22">
        <f t="shared" si="13"/>
        <v>1.1160714285714285E-3</v>
      </c>
      <c r="Y8" s="22">
        <f t="shared" si="14"/>
        <v>0.36231884057971014</v>
      </c>
      <c r="Z8" s="22">
        <f t="shared" si="15"/>
        <v>-5.5100927441352976E-2</v>
      </c>
      <c r="AA8" s="22">
        <f t="shared" si="16"/>
        <v>-1.7321016166281756E-3</v>
      </c>
      <c r="AB8" s="22">
        <f t="shared" si="17"/>
        <v>1.1856564488143435E-2</v>
      </c>
      <c r="AC8" s="12">
        <f t="shared" si="18"/>
        <v>4.767683987185007E-2</v>
      </c>
      <c r="AD8" s="12">
        <f t="shared" si="19"/>
        <v>-3.0801509402837344E-4</v>
      </c>
      <c r="AE8" s="24">
        <f t="shared" si="20"/>
        <v>-90</v>
      </c>
      <c r="AF8" s="24">
        <f t="shared" si="21"/>
        <v>3</v>
      </c>
      <c r="AG8" s="24">
        <f t="shared" si="22"/>
        <v>975</v>
      </c>
      <c r="AH8" s="24">
        <f t="shared" si="23"/>
        <v>-202</v>
      </c>
      <c r="AI8" s="24">
        <f t="shared" si="24"/>
        <v>-6</v>
      </c>
      <c r="AJ8" s="24">
        <f t="shared" si="25"/>
        <v>41</v>
      </c>
      <c r="AK8" s="17">
        <f t="shared" si="26"/>
        <v>120.16666666666667</v>
      </c>
      <c r="AL8" s="17">
        <f t="shared" si="27"/>
        <v>-1.5</v>
      </c>
      <c r="AM8" s="24">
        <f t="shared" si="28"/>
        <v>-5.8791801510248112E-2</v>
      </c>
      <c r="AN8" s="24">
        <f t="shared" si="29"/>
        <v>5.7306590257879652E-4</v>
      </c>
      <c r="AO8" s="24">
        <f t="shared" si="30"/>
        <v>0.41466208476517757</v>
      </c>
      <c r="AP8" s="24">
        <f t="shared" si="31"/>
        <v>-8.5020242914979755E-2</v>
      </c>
      <c r="AQ8" s="24">
        <f t="shared" si="32"/>
        <v>-2.3451327433628318E-2</v>
      </c>
      <c r="AR8" s="24">
        <f t="shared" si="33"/>
        <v>-6.0715903942002721E-2</v>
      </c>
      <c r="AS8" s="12">
        <f t="shared" si="34"/>
        <v>3.1209312477816248E-2</v>
      </c>
      <c r="AT8" s="12">
        <f t="shared" si="35"/>
        <v>-4.1121564471938217E-2</v>
      </c>
      <c r="AU8" s="24">
        <f t="shared" si="36"/>
        <v>-109</v>
      </c>
      <c r="AV8" s="24">
        <f t="shared" si="37"/>
        <v>1</v>
      </c>
      <c r="AW8" s="24">
        <f t="shared" si="38"/>
        <v>724</v>
      </c>
      <c r="AX8" s="24">
        <f t="shared" si="39"/>
        <v>-210</v>
      </c>
      <c r="AY8" s="24">
        <f t="shared" si="40"/>
        <v>-53</v>
      </c>
      <c r="AZ8" s="24">
        <f t="shared" si="41"/>
        <v>-134</v>
      </c>
      <c r="BA8" s="19">
        <f t="shared" si="42"/>
        <v>36.5</v>
      </c>
      <c r="BB8" s="19">
        <f t="shared" si="43"/>
        <v>-81</v>
      </c>
      <c r="BC8" s="25">
        <f t="shared" si="44"/>
        <v>2.0562770562770564E-2</v>
      </c>
      <c r="BD8" s="25">
        <f t="shared" si="45"/>
        <v>2.1208907741251328E-3</v>
      </c>
      <c r="BE8" s="25">
        <f t="shared" si="46"/>
        <v>0.26560846560846563</v>
      </c>
      <c r="BF8" s="25">
        <f t="shared" si="47"/>
        <v>6.688963210702341E-3</v>
      </c>
      <c r="BG8" s="25">
        <f t="shared" si="48"/>
        <v>3.9036544850498338E-2</v>
      </c>
      <c r="BH8" s="25">
        <f t="shared" si="49"/>
        <v>0.13988808952837731</v>
      </c>
      <c r="BI8" s="12">
        <f t="shared" si="50"/>
        <v>7.8984287422489877E-2</v>
      </c>
      <c r="BJ8" s="13">
        <f t="shared" si="51"/>
        <v>2.9799657706634453E-2</v>
      </c>
      <c r="BK8" s="24">
        <f t="shared" si="52"/>
        <v>19</v>
      </c>
      <c r="BL8" s="24">
        <f t="shared" si="53"/>
        <v>2</v>
      </c>
      <c r="BM8" s="24">
        <f t="shared" si="54"/>
        <v>251</v>
      </c>
      <c r="BN8" s="24">
        <f t="shared" si="55"/>
        <v>8</v>
      </c>
      <c r="BO8" s="24">
        <f t="shared" si="56"/>
        <v>47</v>
      </c>
      <c r="BP8" s="24">
        <f t="shared" si="57"/>
        <v>175</v>
      </c>
      <c r="BQ8" s="19">
        <f t="shared" si="58"/>
        <v>83.666666666666671</v>
      </c>
      <c r="BR8" s="17">
        <f t="shared" si="59"/>
        <v>33</v>
      </c>
    </row>
    <row r="9" spans="1:70" x14ac:dyDescent="0.25">
      <c r="B9" s="1">
        <v>1653</v>
      </c>
      <c r="C9" s="1">
        <v>1624</v>
      </c>
      <c r="D9" s="1">
        <v>1616</v>
      </c>
      <c r="E9" s="1">
        <v>1139</v>
      </c>
      <c r="F9" s="1">
        <v>531</v>
      </c>
      <c r="G9" s="1">
        <v>1333</v>
      </c>
      <c r="H9" s="1">
        <v>1304</v>
      </c>
      <c r="I9" s="1">
        <v>893</v>
      </c>
      <c r="J9" s="1">
        <v>861</v>
      </c>
      <c r="K9" s="1">
        <v>863</v>
      </c>
      <c r="L9" s="1">
        <v>605</v>
      </c>
      <c r="M9" s="1">
        <v>294</v>
      </c>
      <c r="N9" s="1">
        <v>680</v>
      </c>
      <c r="O9" s="1">
        <v>700</v>
      </c>
      <c r="P9" s="1">
        <v>760</v>
      </c>
      <c r="Q9" s="1">
        <v>763</v>
      </c>
      <c r="R9" s="1">
        <v>753</v>
      </c>
      <c r="S9" s="1">
        <v>534</v>
      </c>
      <c r="T9" s="1">
        <v>237</v>
      </c>
      <c r="U9" s="1">
        <v>653</v>
      </c>
      <c r="V9" s="1">
        <v>604</v>
      </c>
      <c r="W9" s="22">
        <f t="shared" si="12"/>
        <v>-1.7543859649122806E-2</v>
      </c>
      <c r="X9" s="22">
        <f t="shared" si="13"/>
        <v>-4.9261083743842365E-3</v>
      </c>
      <c r="Y9" s="22">
        <f t="shared" si="14"/>
        <v>-0.29517326732673266</v>
      </c>
      <c r="Z9" s="22">
        <f t="shared" si="15"/>
        <v>-0.53380158033362601</v>
      </c>
      <c r="AA9" s="22">
        <f t="shared" si="16"/>
        <v>1.5103578154425612</v>
      </c>
      <c r="AB9" s="22">
        <f t="shared" si="17"/>
        <v>-2.175543885971493E-2</v>
      </c>
      <c r="AC9" s="12">
        <f t="shared" si="18"/>
        <v>0.10619292681649677</v>
      </c>
      <c r="AD9" s="12">
        <f t="shared" si="19"/>
        <v>-1.9649649254418866E-2</v>
      </c>
      <c r="AE9" s="24">
        <f t="shared" si="20"/>
        <v>-29</v>
      </c>
      <c r="AF9" s="24">
        <f t="shared" si="21"/>
        <v>-8</v>
      </c>
      <c r="AG9" s="24">
        <f t="shared" si="22"/>
        <v>-477</v>
      </c>
      <c r="AH9" s="24">
        <f t="shared" si="23"/>
        <v>-608</v>
      </c>
      <c r="AI9" s="24">
        <f t="shared" si="24"/>
        <v>802</v>
      </c>
      <c r="AJ9" s="24">
        <f t="shared" si="25"/>
        <v>-29</v>
      </c>
      <c r="AK9" s="17">
        <f t="shared" si="26"/>
        <v>-58.166666666666664</v>
      </c>
      <c r="AL9" s="17">
        <f t="shared" si="27"/>
        <v>-29</v>
      </c>
      <c r="AM9" s="24">
        <f t="shared" si="28"/>
        <v>-3.5834266517357223E-2</v>
      </c>
      <c r="AN9" s="24">
        <f t="shared" si="29"/>
        <v>2.3228803716608595E-3</v>
      </c>
      <c r="AO9" s="24">
        <f t="shared" si="30"/>
        <v>-0.29895712630359211</v>
      </c>
      <c r="AP9" s="24">
        <f t="shared" si="31"/>
        <v>-0.51404958677685952</v>
      </c>
      <c r="AQ9" s="24">
        <f t="shared" si="32"/>
        <v>1.3129251700680271</v>
      </c>
      <c r="AR9" s="24">
        <f t="shared" si="33"/>
        <v>2.9411764705882353E-2</v>
      </c>
      <c r="AS9" s="12">
        <f t="shared" si="34"/>
        <v>8.2636472591293572E-2</v>
      </c>
      <c r="AT9" s="12">
        <f t="shared" si="35"/>
        <v>-1.6755693072848181E-2</v>
      </c>
      <c r="AU9" s="24">
        <f t="shared" si="36"/>
        <v>-32</v>
      </c>
      <c r="AV9" s="24">
        <f t="shared" si="37"/>
        <v>2</v>
      </c>
      <c r="AW9" s="24">
        <f t="shared" si="38"/>
        <v>-258</v>
      </c>
      <c r="AX9" s="24">
        <f t="shared" si="39"/>
        <v>-311</v>
      </c>
      <c r="AY9" s="24">
        <f t="shared" si="40"/>
        <v>386</v>
      </c>
      <c r="AZ9" s="24">
        <f t="shared" si="41"/>
        <v>20</v>
      </c>
      <c r="BA9" s="19">
        <f t="shared" si="42"/>
        <v>-32.166666666666664</v>
      </c>
      <c r="BB9" s="19">
        <f t="shared" si="43"/>
        <v>-15</v>
      </c>
      <c r="BC9" s="25">
        <f t="shared" si="44"/>
        <v>3.9473684210526317E-3</v>
      </c>
      <c r="BD9" s="25">
        <f t="shared" si="45"/>
        <v>-1.310615989515072E-2</v>
      </c>
      <c r="BE9" s="25">
        <f t="shared" si="46"/>
        <v>-0.2908366533864542</v>
      </c>
      <c r="BF9" s="25">
        <f t="shared" si="47"/>
        <v>-0.5561797752808989</v>
      </c>
      <c r="BG9" s="25">
        <f t="shared" si="48"/>
        <v>1.7552742616033756</v>
      </c>
      <c r="BH9" s="25">
        <f t="shared" si="49"/>
        <v>-7.5038284839203676E-2</v>
      </c>
      <c r="BI9" s="12">
        <f t="shared" si="50"/>
        <v>0.13734345943712012</v>
      </c>
      <c r="BJ9" s="13">
        <f t="shared" si="51"/>
        <v>-4.40722223671772E-2</v>
      </c>
      <c r="BK9" s="24">
        <f t="shared" si="52"/>
        <v>3</v>
      </c>
      <c r="BL9" s="24">
        <f t="shared" si="53"/>
        <v>-10</v>
      </c>
      <c r="BM9" s="24">
        <f t="shared" si="54"/>
        <v>-219</v>
      </c>
      <c r="BN9" s="24">
        <f t="shared" si="55"/>
        <v>-297</v>
      </c>
      <c r="BO9" s="24">
        <f t="shared" si="56"/>
        <v>416</v>
      </c>
      <c r="BP9" s="24">
        <f t="shared" si="57"/>
        <v>-49</v>
      </c>
      <c r="BQ9" s="19">
        <f t="shared" si="58"/>
        <v>-26</v>
      </c>
      <c r="BR9" s="17">
        <f t="shared" si="59"/>
        <v>-29.5</v>
      </c>
    </row>
    <row r="10" spans="1:70" x14ac:dyDescent="0.25">
      <c r="A10" s="1" t="s">
        <v>25</v>
      </c>
      <c r="B10" s="1">
        <v>927</v>
      </c>
      <c r="C10" s="1">
        <v>539</v>
      </c>
      <c r="D10" s="1">
        <v>696</v>
      </c>
      <c r="E10" s="1">
        <v>1102</v>
      </c>
      <c r="F10" s="1">
        <v>757</v>
      </c>
      <c r="G10" s="1">
        <v>836</v>
      </c>
      <c r="H10" s="1">
        <v>720</v>
      </c>
      <c r="I10" s="1">
        <v>499</v>
      </c>
      <c r="J10" s="1">
        <v>267</v>
      </c>
      <c r="K10" s="1">
        <v>352</v>
      </c>
      <c r="L10" s="1">
        <v>606</v>
      </c>
      <c r="M10" s="1">
        <v>407</v>
      </c>
      <c r="N10" s="1">
        <v>449</v>
      </c>
      <c r="O10" s="1">
        <v>350</v>
      </c>
      <c r="P10" s="1">
        <v>428</v>
      </c>
      <c r="Q10" s="1">
        <v>272</v>
      </c>
      <c r="R10" s="1">
        <v>344</v>
      </c>
      <c r="S10" s="1">
        <v>496</v>
      </c>
      <c r="T10" s="1">
        <v>350</v>
      </c>
      <c r="U10" s="1">
        <v>387</v>
      </c>
      <c r="V10" s="1">
        <v>370</v>
      </c>
      <c r="W10" s="22">
        <f t="shared" si="12"/>
        <v>-0.418554476806904</v>
      </c>
      <c r="X10" s="22">
        <f t="shared" si="13"/>
        <v>0.29128014842300559</v>
      </c>
      <c r="Y10" s="22">
        <f t="shared" si="14"/>
        <v>0.58333333333333337</v>
      </c>
      <c r="Z10" s="22">
        <f t="shared" si="15"/>
        <v>-0.31306715063520874</v>
      </c>
      <c r="AA10" s="22">
        <f t="shared" si="16"/>
        <v>0.10435931307793923</v>
      </c>
      <c r="AB10" s="22">
        <f t="shared" si="17"/>
        <v>-0.13875598086124402</v>
      </c>
      <c r="AC10" s="12">
        <f t="shared" si="18"/>
        <v>1.8099197755153573E-2</v>
      </c>
      <c r="AD10" s="12">
        <f t="shared" si="19"/>
        <v>-1.7198333891652401E-2</v>
      </c>
      <c r="AE10" s="24">
        <f t="shared" si="20"/>
        <v>-388</v>
      </c>
      <c r="AF10" s="24">
        <f t="shared" si="21"/>
        <v>157</v>
      </c>
      <c r="AG10" s="24">
        <f t="shared" si="22"/>
        <v>406</v>
      </c>
      <c r="AH10" s="24">
        <f t="shared" si="23"/>
        <v>-345</v>
      </c>
      <c r="AI10" s="24">
        <f t="shared" si="24"/>
        <v>79</v>
      </c>
      <c r="AJ10" s="24">
        <f t="shared" si="25"/>
        <v>-116</v>
      </c>
      <c r="AK10" s="17">
        <f t="shared" si="26"/>
        <v>-34.5</v>
      </c>
      <c r="AL10" s="17">
        <f t="shared" si="27"/>
        <v>-18.5</v>
      </c>
      <c r="AM10" s="24">
        <f t="shared" si="28"/>
        <v>-0.4649298597194389</v>
      </c>
      <c r="AN10" s="24">
        <f t="shared" si="29"/>
        <v>0.31835205992509363</v>
      </c>
      <c r="AO10" s="24">
        <f t="shared" si="30"/>
        <v>0.72159090909090906</v>
      </c>
      <c r="AP10" s="24">
        <f t="shared" si="31"/>
        <v>-0.32838283828382836</v>
      </c>
      <c r="AQ10" s="24">
        <f t="shared" si="32"/>
        <v>0.10319410319410319</v>
      </c>
      <c r="AR10" s="24">
        <f t="shared" si="33"/>
        <v>-0.22048997772828507</v>
      </c>
      <c r="AS10" s="12">
        <f t="shared" si="34"/>
        <v>2.1555732746425596E-2</v>
      </c>
      <c r="AT10" s="12">
        <f t="shared" si="35"/>
        <v>-5.8647937267090944E-2</v>
      </c>
      <c r="AU10" s="24">
        <f t="shared" si="36"/>
        <v>-232</v>
      </c>
      <c r="AV10" s="24">
        <f t="shared" si="37"/>
        <v>85</v>
      </c>
      <c r="AW10" s="24">
        <f t="shared" si="38"/>
        <v>254</v>
      </c>
      <c r="AX10" s="24">
        <f t="shared" si="39"/>
        <v>-199</v>
      </c>
      <c r="AY10" s="24">
        <f t="shared" si="40"/>
        <v>42</v>
      </c>
      <c r="AZ10" s="24">
        <f t="shared" si="41"/>
        <v>-99</v>
      </c>
      <c r="BA10" s="19">
        <f t="shared" si="42"/>
        <v>-24.833333333333332</v>
      </c>
      <c r="BB10" s="19">
        <f t="shared" si="43"/>
        <v>-28.5</v>
      </c>
      <c r="BC10" s="25">
        <f t="shared" si="44"/>
        <v>-0.3644859813084112</v>
      </c>
      <c r="BD10" s="25">
        <f t="shared" si="45"/>
        <v>0.26470588235294118</v>
      </c>
      <c r="BE10" s="25">
        <f t="shared" si="46"/>
        <v>0.44186046511627908</v>
      </c>
      <c r="BF10" s="25">
        <f t="shared" si="47"/>
        <v>-0.29435483870967744</v>
      </c>
      <c r="BG10" s="25">
        <f t="shared" si="48"/>
        <v>0.10571428571428572</v>
      </c>
      <c r="BH10" s="25">
        <f t="shared" si="49"/>
        <v>-4.3927648578811367E-2</v>
      </c>
      <c r="BI10" s="12">
        <f t="shared" si="50"/>
        <v>1.8252027431100992E-2</v>
      </c>
      <c r="BJ10" s="13">
        <f t="shared" si="51"/>
        <v>3.0893318567737173E-2</v>
      </c>
      <c r="BK10" s="24">
        <f t="shared" si="52"/>
        <v>-156</v>
      </c>
      <c r="BL10" s="24">
        <f t="shared" si="53"/>
        <v>72</v>
      </c>
      <c r="BM10" s="24">
        <f t="shared" si="54"/>
        <v>152</v>
      </c>
      <c r="BN10" s="24">
        <f t="shared" si="55"/>
        <v>-146</v>
      </c>
      <c r="BO10" s="24">
        <f t="shared" si="56"/>
        <v>37</v>
      </c>
      <c r="BP10" s="24">
        <f t="shared" si="57"/>
        <v>-17</v>
      </c>
      <c r="BQ10" s="19">
        <f t="shared" si="58"/>
        <v>-9.6666666666666661</v>
      </c>
      <c r="BR10" s="17">
        <f t="shared" si="59"/>
        <v>10</v>
      </c>
    </row>
    <row r="11" spans="1:70" x14ac:dyDescent="0.25">
      <c r="A11" s="1" t="s">
        <v>58</v>
      </c>
      <c r="B11" s="1">
        <v>282</v>
      </c>
      <c r="C11" s="1">
        <v>315</v>
      </c>
      <c r="D11" s="1">
        <v>479</v>
      </c>
      <c r="E11" s="1">
        <v>1155</v>
      </c>
      <c r="F11" s="1">
        <v>462</v>
      </c>
      <c r="G11" s="1">
        <v>484</v>
      </c>
      <c r="H11" s="1">
        <v>541</v>
      </c>
      <c r="I11" s="1">
        <v>174</v>
      </c>
      <c r="J11" s="1">
        <v>203</v>
      </c>
      <c r="K11" s="1">
        <v>293</v>
      </c>
      <c r="L11" s="1">
        <v>723</v>
      </c>
      <c r="M11" s="1">
        <v>287</v>
      </c>
      <c r="N11" s="1">
        <v>297</v>
      </c>
      <c r="O11" s="1">
        <v>328</v>
      </c>
      <c r="P11" s="1">
        <v>108</v>
      </c>
      <c r="Q11" s="1">
        <v>112</v>
      </c>
      <c r="R11" s="1">
        <v>186</v>
      </c>
      <c r="S11" s="1">
        <v>432</v>
      </c>
      <c r="T11" s="1">
        <v>175</v>
      </c>
      <c r="U11" s="1">
        <v>187</v>
      </c>
      <c r="V11" s="1">
        <v>213</v>
      </c>
      <c r="W11" s="22">
        <f t="shared" si="12"/>
        <v>0.11702127659574468</v>
      </c>
      <c r="X11" s="22">
        <f t="shared" si="13"/>
        <v>0.52063492063492067</v>
      </c>
      <c r="Y11" s="22">
        <f t="shared" si="14"/>
        <v>1.4112734864300627</v>
      </c>
      <c r="Z11" s="22">
        <f t="shared" si="15"/>
        <v>-0.6</v>
      </c>
      <c r="AA11" s="22">
        <f t="shared" si="16"/>
        <v>4.7619047619047616E-2</v>
      </c>
      <c r="AB11" s="22">
        <f t="shared" si="17"/>
        <v>0.11776859504132231</v>
      </c>
      <c r="AC11" s="12">
        <f t="shared" si="18"/>
        <v>0.26905288772018304</v>
      </c>
      <c r="AD11" s="12">
        <f t="shared" si="19"/>
        <v>0.1173949358185335</v>
      </c>
      <c r="AE11" s="24">
        <f t="shared" si="20"/>
        <v>33</v>
      </c>
      <c r="AF11" s="24">
        <f t="shared" si="21"/>
        <v>164</v>
      </c>
      <c r="AG11" s="24">
        <f t="shared" si="22"/>
        <v>676</v>
      </c>
      <c r="AH11" s="24">
        <f t="shared" si="23"/>
        <v>-693</v>
      </c>
      <c r="AI11" s="24">
        <f t="shared" si="24"/>
        <v>22</v>
      </c>
      <c r="AJ11" s="24">
        <f t="shared" si="25"/>
        <v>57</v>
      </c>
      <c r="AK11" s="17">
        <f t="shared" si="26"/>
        <v>43.166666666666664</v>
      </c>
      <c r="AL11" s="17">
        <f t="shared" si="27"/>
        <v>45</v>
      </c>
      <c r="AM11" s="24">
        <f t="shared" si="28"/>
        <v>0.16666666666666666</v>
      </c>
      <c r="AN11" s="24">
        <f t="shared" si="29"/>
        <v>0.44334975369458129</v>
      </c>
      <c r="AO11" s="24">
        <f t="shared" si="30"/>
        <v>1.4675767918088738</v>
      </c>
      <c r="AP11" s="24">
        <f t="shared" si="31"/>
        <v>-0.60304287690179803</v>
      </c>
      <c r="AQ11" s="24">
        <f t="shared" si="32"/>
        <v>3.484320557491289E-2</v>
      </c>
      <c r="AR11" s="24">
        <f t="shared" si="33"/>
        <v>0.10437710437710437</v>
      </c>
      <c r="AS11" s="12">
        <f t="shared" si="34"/>
        <v>0.26896177420339012</v>
      </c>
      <c r="AT11" s="12">
        <f t="shared" si="35"/>
        <v>0.13552188552188552</v>
      </c>
      <c r="AU11" s="24">
        <f t="shared" si="36"/>
        <v>29</v>
      </c>
      <c r="AV11" s="24">
        <f t="shared" si="37"/>
        <v>90</v>
      </c>
      <c r="AW11" s="24">
        <f t="shared" si="38"/>
        <v>430</v>
      </c>
      <c r="AX11" s="24">
        <f t="shared" si="39"/>
        <v>-436</v>
      </c>
      <c r="AY11" s="24">
        <f t="shared" si="40"/>
        <v>10</v>
      </c>
      <c r="AZ11" s="24">
        <f t="shared" si="41"/>
        <v>31</v>
      </c>
      <c r="BA11" s="19">
        <f t="shared" si="42"/>
        <v>25.666666666666668</v>
      </c>
      <c r="BB11" s="19">
        <f t="shared" si="43"/>
        <v>30</v>
      </c>
      <c r="BC11" s="25">
        <f t="shared" si="44"/>
        <v>3.7037037037037035E-2</v>
      </c>
      <c r="BD11" s="25">
        <f t="shared" si="45"/>
        <v>0.6607142857142857</v>
      </c>
      <c r="BE11" s="25">
        <f t="shared" si="46"/>
        <v>1.3225806451612903</v>
      </c>
      <c r="BF11" s="25">
        <f t="shared" si="47"/>
        <v>-0.59490740740740744</v>
      </c>
      <c r="BG11" s="25">
        <f t="shared" si="48"/>
        <v>6.8571428571428575E-2</v>
      </c>
      <c r="BH11" s="25">
        <f t="shared" si="49"/>
        <v>0.13903743315508021</v>
      </c>
      <c r="BI11" s="12">
        <f t="shared" si="50"/>
        <v>0.27217223703861904</v>
      </c>
      <c r="BJ11" s="13">
        <f t="shared" si="51"/>
        <v>0.10380443086325439</v>
      </c>
      <c r="BK11" s="24">
        <f t="shared" si="52"/>
        <v>4</v>
      </c>
      <c r="BL11" s="24">
        <f t="shared" si="53"/>
        <v>74</v>
      </c>
      <c r="BM11" s="24">
        <f t="shared" si="54"/>
        <v>246</v>
      </c>
      <c r="BN11" s="24">
        <f t="shared" si="55"/>
        <v>-257</v>
      </c>
      <c r="BO11" s="24">
        <f t="shared" si="56"/>
        <v>12</v>
      </c>
      <c r="BP11" s="24">
        <f t="shared" si="57"/>
        <v>26</v>
      </c>
      <c r="BQ11" s="19">
        <f t="shared" si="58"/>
        <v>17.5</v>
      </c>
      <c r="BR11" s="17">
        <f t="shared" si="59"/>
        <v>19</v>
      </c>
    </row>
    <row r="12" spans="1:70" x14ac:dyDescent="0.25">
      <c r="A12" s="1" t="s">
        <v>59</v>
      </c>
      <c r="B12" s="1">
        <v>85</v>
      </c>
      <c r="C12" s="1">
        <v>121</v>
      </c>
      <c r="D12" s="1">
        <v>140</v>
      </c>
      <c r="E12" s="1">
        <v>124</v>
      </c>
      <c r="F12" s="1">
        <v>84</v>
      </c>
      <c r="G12" s="1">
        <v>121</v>
      </c>
      <c r="H12" s="1">
        <v>144</v>
      </c>
      <c r="I12" s="1">
        <v>72</v>
      </c>
      <c r="J12" s="1">
        <v>65</v>
      </c>
      <c r="K12" s="1">
        <v>107</v>
      </c>
      <c r="L12" s="1">
        <v>101</v>
      </c>
      <c r="M12" s="1">
        <v>55</v>
      </c>
      <c r="N12" s="1">
        <v>86</v>
      </c>
      <c r="O12" s="1">
        <v>99</v>
      </c>
      <c r="P12" s="1">
        <v>13</v>
      </c>
      <c r="Q12" s="1">
        <v>56</v>
      </c>
      <c r="R12" s="1">
        <v>33</v>
      </c>
      <c r="S12" s="1">
        <v>23</v>
      </c>
      <c r="T12" s="1">
        <v>29</v>
      </c>
      <c r="U12" s="1">
        <v>35</v>
      </c>
      <c r="V12" s="1">
        <v>45</v>
      </c>
      <c r="W12" s="22">
        <f t="shared" si="12"/>
        <v>0.42352941176470588</v>
      </c>
      <c r="X12" s="22">
        <f t="shared" si="13"/>
        <v>0.15702479338842976</v>
      </c>
      <c r="Y12" s="22">
        <f t="shared" si="14"/>
        <v>-0.11428571428571428</v>
      </c>
      <c r="Z12" s="22">
        <f t="shared" si="15"/>
        <v>-0.32258064516129031</v>
      </c>
      <c r="AA12" s="22">
        <f t="shared" si="16"/>
        <v>0.44047619047619047</v>
      </c>
      <c r="AB12" s="22">
        <f t="shared" si="17"/>
        <v>0.19008264462809918</v>
      </c>
      <c r="AC12" s="12">
        <f t="shared" si="18"/>
        <v>0.12904111346840344</v>
      </c>
      <c r="AD12" s="12">
        <f t="shared" si="19"/>
        <v>0.17355371900826447</v>
      </c>
      <c r="AE12" s="24">
        <f t="shared" si="20"/>
        <v>36</v>
      </c>
      <c r="AF12" s="24">
        <f t="shared" si="21"/>
        <v>19</v>
      </c>
      <c r="AG12" s="24">
        <f t="shared" si="22"/>
        <v>-16</v>
      </c>
      <c r="AH12" s="24">
        <f t="shared" si="23"/>
        <v>-40</v>
      </c>
      <c r="AI12" s="24">
        <f t="shared" si="24"/>
        <v>37</v>
      </c>
      <c r="AJ12" s="24">
        <f t="shared" si="25"/>
        <v>23</v>
      </c>
      <c r="AK12" s="17">
        <f t="shared" si="26"/>
        <v>9.8333333333333339</v>
      </c>
      <c r="AL12" s="17">
        <f t="shared" si="27"/>
        <v>21</v>
      </c>
      <c r="AM12" s="24">
        <f t="shared" si="28"/>
        <v>-9.7222222222222224E-2</v>
      </c>
      <c r="AN12" s="24">
        <f t="shared" si="29"/>
        <v>0.64615384615384619</v>
      </c>
      <c r="AO12" s="24">
        <f t="shared" si="30"/>
        <v>-5.6074766355140186E-2</v>
      </c>
      <c r="AP12" s="24">
        <f t="shared" si="31"/>
        <v>-0.45544554455445546</v>
      </c>
      <c r="AQ12" s="24">
        <f t="shared" si="32"/>
        <v>0.5636363636363636</v>
      </c>
      <c r="AR12" s="24">
        <f t="shared" si="33"/>
        <v>0.15116279069767441</v>
      </c>
      <c r="AS12" s="12">
        <f t="shared" si="34"/>
        <v>0.12536841122601106</v>
      </c>
      <c r="AT12" s="12">
        <f t="shared" si="35"/>
        <v>4.7544012171267115E-2</v>
      </c>
      <c r="AU12" s="24">
        <f t="shared" si="36"/>
        <v>-7</v>
      </c>
      <c r="AV12" s="24">
        <f t="shared" si="37"/>
        <v>42</v>
      </c>
      <c r="AW12" s="24">
        <f t="shared" si="38"/>
        <v>-6</v>
      </c>
      <c r="AX12" s="24">
        <f t="shared" si="39"/>
        <v>-46</v>
      </c>
      <c r="AY12" s="24">
        <f t="shared" si="40"/>
        <v>31</v>
      </c>
      <c r="AZ12" s="24">
        <f t="shared" si="41"/>
        <v>13</v>
      </c>
      <c r="BA12" s="19">
        <f t="shared" si="42"/>
        <v>4.5</v>
      </c>
      <c r="BB12" s="19">
        <f t="shared" si="43"/>
        <v>3.5</v>
      </c>
      <c r="BC12" s="25">
        <f t="shared" si="44"/>
        <v>3.3076923076923075</v>
      </c>
      <c r="BD12" s="25">
        <f t="shared" si="45"/>
        <v>-0.4107142857142857</v>
      </c>
      <c r="BE12" s="25">
        <f t="shared" si="46"/>
        <v>-0.30303030303030304</v>
      </c>
      <c r="BF12" s="25">
        <f t="shared" si="47"/>
        <v>0.2608695652173913</v>
      </c>
      <c r="BG12" s="25">
        <f t="shared" si="48"/>
        <v>0.20689655172413793</v>
      </c>
      <c r="BH12" s="25">
        <f t="shared" si="49"/>
        <v>0.2857142857142857</v>
      </c>
      <c r="BI12" s="12">
        <f t="shared" si="50"/>
        <v>0.55790468693392226</v>
      </c>
      <c r="BJ12" s="13">
        <f t="shared" si="51"/>
        <v>0.23388305847076463</v>
      </c>
      <c r="BK12" s="24">
        <f t="shared" si="52"/>
        <v>43</v>
      </c>
      <c r="BL12" s="24">
        <f t="shared" si="53"/>
        <v>-23</v>
      </c>
      <c r="BM12" s="24">
        <f t="shared" si="54"/>
        <v>-10</v>
      </c>
      <c r="BN12" s="24">
        <f t="shared" si="55"/>
        <v>6</v>
      </c>
      <c r="BO12" s="24">
        <f t="shared" si="56"/>
        <v>6</v>
      </c>
      <c r="BP12" s="24">
        <f t="shared" si="57"/>
        <v>10</v>
      </c>
      <c r="BQ12" s="19">
        <f t="shared" si="58"/>
        <v>5.333333333333333</v>
      </c>
      <c r="BR12" s="17">
        <f t="shared" si="59"/>
        <v>6</v>
      </c>
    </row>
    <row r="13" spans="1:70" x14ac:dyDescent="0.25">
      <c r="A13" s="26"/>
      <c r="B13" s="26">
        <f>SUBTOTAL(109,Tabla9[2017])</f>
        <v>51750</v>
      </c>
      <c r="C13" s="26">
        <f>SUBTOTAL(109,Tabla9[2018])</f>
        <v>53044</v>
      </c>
      <c r="D13" s="26">
        <f>SUBTOTAL(109,Tabla9[2019])</f>
        <v>55469</v>
      </c>
      <c r="E13" s="26">
        <f>SUBTOTAL(109,Tabla9[2020])</f>
        <v>73732</v>
      </c>
      <c r="F13" s="26">
        <f>SUBTOTAL(109,Tabla9[2021])</f>
        <v>64945</v>
      </c>
      <c r="G13" s="26">
        <f>SUBTOTAL(109,Tabla9[2022])</f>
        <v>65325</v>
      </c>
      <c r="H13" s="26">
        <f>SUBTOTAL(109,Tabla9[2023])</f>
        <v>63161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7"/>
      <c r="X13" s="27"/>
      <c r="Y13" s="27"/>
      <c r="Z13" s="27"/>
      <c r="AA13" s="27"/>
      <c r="AB13" s="27"/>
      <c r="AC13" s="28"/>
      <c r="AD13" s="28"/>
      <c r="AE13" s="29"/>
      <c r="AF13" s="29"/>
      <c r="AG13" s="29"/>
      <c r="AH13" s="29"/>
      <c r="AI13" s="29"/>
      <c r="AJ13" s="29"/>
      <c r="AK13" s="30"/>
      <c r="AL13" s="30"/>
      <c r="AM13" s="29"/>
      <c r="AN13" s="29"/>
      <c r="AO13" s="29"/>
      <c r="AP13" s="29"/>
      <c r="AQ13" s="29"/>
      <c r="AR13" s="29"/>
      <c r="AS13" s="28"/>
      <c r="AT13" s="28"/>
      <c r="AU13" s="29"/>
      <c r="AV13" s="29"/>
      <c r="AW13" s="29"/>
      <c r="AX13" s="29"/>
      <c r="AY13" s="29"/>
      <c r="AZ13" s="29"/>
      <c r="BA13" s="30"/>
      <c r="BB13" s="30"/>
      <c r="BC13" s="31"/>
      <c r="BD13" s="31"/>
      <c r="BE13" s="31"/>
      <c r="BF13" s="31"/>
      <c r="BG13" s="31"/>
      <c r="BH13" s="31"/>
      <c r="BI13" s="28"/>
      <c r="BJ13" s="28"/>
      <c r="BK13" s="29"/>
      <c r="BL13" s="29"/>
      <c r="BM13" s="29"/>
      <c r="BN13" s="29"/>
      <c r="BO13" s="29"/>
      <c r="BP13" s="29"/>
      <c r="BQ13" s="30"/>
      <c r="BR13" s="30"/>
    </row>
    <row r="14" spans="1:70" x14ac:dyDescent="0.25">
      <c r="W14" s="22"/>
      <c r="X14" s="22"/>
      <c r="Y14" s="22"/>
      <c r="Z14" s="22"/>
      <c r="AA14" s="22"/>
      <c r="AB14" s="22"/>
      <c r="AC14" s="12"/>
      <c r="AD14" s="12"/>
      <c r="AE14" s="24"/>
      <c r="AF14" s="24"/>
      <c r="AG14" s="24"/>
      <c r="AH14" s="24"/>
      <c r="AI14" s="24"/>
      <c r="AJ14" s="24"/>
      <c r="AK14" s="17"/>
      <c r="AL14" s="17"/>
      <c r="AM14" s="24"/>
      <c r="AN14" s="24"/>
      <c r="AO14" s="24"/>
      <c r="AP14" s="24"/>
      <c r="AQ14" s="24"/>
      <c r="AR14" s="24"/>
      <c r="AS14" s="12"/>
      <c r="AT14" s="12"/>
      <c r="AU14" s="24"/>
      <c r="AV14" s="24"/>
      <c r="AW14" s="24"/>
      <c r="AX14" s="24"/>
      <c r="AY14" s="24"/>
      <c r="AZ14" s="24"/>
      <c r="BA14" s="19"/>
      <c r="BB14" s="19"/>
      <c r="BC14" s="25"/>
      <c r="BD14" s="25"/>
      <c r="BE14" s="25"/>
      <c r="BF14" s="25"/>
      <c r="BG14" s="25"/>
      <c r="BH14" s="25"/>
      <c r="BI14" s="12"/>
      <c r="BJ14" s="13"/>
      <c r="BK14" s="24"/>
      <c r="BL14" s="24"/>
      <c r="BM14" s="24"/>
      <c r="BN14" s="24"/>
      <c r="BO14" s="24"/>
      <c r="BP14" s="24"/>
      <c r="BQ14" s="19"/>
      <c r="BR14" s="17"/>
    </row>
    <row r="15" spans="1:70" x14ac:dyDescent="0.25">
      <c r="W15" s="22"/>
      <c r="X15" s="22"/>
      <c r="Y15" s="22"/>
      <c r="Z15" s="22"/>
      <c r="AA15" s="22"/>
      <c r="AB15" s="22"/>
      <c r="AC15" s="12"/>
      <c r="AD15" s="12"/>
      <c r="AE15" s="24"/>
      <c r="AF15" s="24"/>
      <c r="AG15" s="24"/>
      <c r="AH15" s="24"/>
      <c r="AI15" s="24"/>
      <c r="AJ15" s="24"/>
      <c r="AK15" s="17"/>
      <c r="AL15" s="17"/>
      <c r="AM15" s="24"/>
      <c r="AN15" s="24"/>
      <c r="AO15" s="24"/>
      <c r="AP15" s="24"/>
      <c r="AQ15" s="24"/>
      <c r="AR15" s="24"/>
      <c r="AS15" s="12"/>
      <c r="AT15" s="12"/>
      <c r="AU15" s="24"/>
      <c r="AV15" s="24"/>
      <c r="AW15" s="24"/>
      <c r="AX15" s="24"/>
      <c r="AY15" s="24"/>
      <c r="AZ15" s="24"/>
      <c r="BA15" s="19"/>
      <c r="BB15" s="19"/>
      <c r="BC15" s="25"/>
      <c r="BD15" s="25"/>
      <c r="BE15" s="25"/>
      <c r="BF15" s="25"/>
      <c r="BG15" s="25"/>
      <c r="BH15" s="25"/>
      <c r="BI15" s="12"/>
      <c r="BJ15" s="13"/>
      <c r="BK15" s="24"/>
      <c r="BL15" s="24"/>
      <c r="BM15" s="24"/>
      <c r="BN15" s="24"/>
      <c r="BO15" s="24"/>
      <c r="BP15" s="24"/>
      <c r="BQ15" s="19"/>
      <c r="BR15" s="17"/>
    </row>
    <row r="16" spans="1:70" x14ac:dyDescent="0.25">
      <c r="W16" s="22"/>
      <c r="X16" s="22"/>
      <c r="Y16" s="22"/>
      <c r="Z16" s="22"/>
      <c r="AA16" s="22"/>
      <c r="AB16" s="22"/>
      <c r="AC16" s="12"/>
      <c r="AD16" s="12"/>
      <c r="AE16" s="24"/>
      <c r="AF16" s="24"/>
      <c r="AG16" s="24"/>
      <c r="AH16" s="24"/>
      <c r="AI16" s="24"/>
      <c r="AJ16" s="24"/>
      <c r="AK16" s="17"/>
      <c r="AL16" s="17"/>
      <c r="AM16" s="24"/>
      <c r="AN16" s="24"/>
      <c r="AO16" s="24"/>
      <c r="AP16" s="24"/>
      <c r="AQ16" s="24"/>
      <c r="AR16" s="24"/>
      <c r="AS16" s="12"/>
      <c r="AT16" s="12"/>
      <c r="AU16" s="24"/>
      <c r="AV16" s="24"/>
      <c r="AW16" s="24"/>
      <c r="AX16" s="24"/>
      <c r="AY16" s="24"/>
      <c r="AZ16" s="24"/>
      <c r="BA16" s="19"/>
      <c r="BB16" s="19"/>
      <c r="BC16" s="25"/>
      <c r="BD16" s="25"/>
      <c r="BE16" s="25"/>
      <c r="BF16" s="25"/>
      <c r="BG16" s="25"/>
      <c r="BH16" s="25"/>
      <c r="BI16" s="12"/>
      <c r="BJ16" s="13"/>
      <c r="BK16" s="24"/>
      <c r="BL16" s="24"/>
      <c r="BM16" s="24"/>
      <c r="BN16" s="24"/>
      <c r="BO16" s="24"/>
      <c r="BP16" s="24"/>
      <c r="BQ16" s="19"/>
      <c r="BR16" s="17"/>
    </row>
    <row r="17" spans="23:70" x14ac:dyDescent="0.25">
      <c r="W17" s="22"/>
      <c r="X17" s="22"/>
      <c r="Y17" s="22"/>
      <c r="Z17" s="22"/>
      <c r="AA17" s="22"/>
      <c r="AB17" s="22"/>
      <c r="AC17" s="12"/>
      <c r="AD17" s="12"/>
      <c r="AE17" s="24"/>
      <c r="AF17" s="24"/>
      <c r="AG17" s="24"/>
      <c r="AH17" s="24"/>
      <c r="AI17" s="24"/>
      <c r="AJ17" s="24"/>
      <c r="AK17" s="17"/>
      <c r="AL17" s="17"/>
      <c r="AM17" s="24"/>
      <c r="AN17" s="24"/>
      <c r="AO17" s="24"/>
      <c r="AP17" s="24"/>
      <c r="AQ17" s="24"/>
      <c r="AR17" s="24"/>
      <c r="AS17" s="12"/>
      <c r="AT17" s="12"/>
      <c r="AU17" s="24"/>
      <c r="AV17" s="24"/>
      <c r="AW17" s="24"/>
      <c r="AX17" s="24"/>
      <c r="AY17" s="24"/>
      <c r="AZ17" s="24"/>
      <c r="BA17" s="19"/>
      <c r="BB17" s="19"/>
      <c r="BC17" s="25"/>
      <c r="BD17" s="25"/>
      <c r="BE17" s="25"/>
      <c r="BF17" s="25"/>
      <c r="BG17" s="25"/>
      <c r="BH17" s="25"/>
      <c r="BI17" s="12"/>
      <c r="BJ17" s="13"/>
      <c r="BK17" s="24"/>
      <c r="BL17" s="24"/>
      <c r="BM17" s="24"/>
      <c r="BN17" s="24"/>
      <c r="BO17" s="24"/>
      <c r="BP17" s="24"/>
      <c r="BQ17" s="19"/>
      <c r="BR17" s="17"/>
    </row>
    <row r="18" spans="23:70" x14ac:dyDescent="0.25">
      <c r="W18" s="22"/>
      <c r="X18" s="22"/>
      <c r="Y18" s="22"/>
      <c r="Z18" s="22"/>
      <c r="AA18" s="22"/>
      <c r="AB18" s="22"/>
      <c r="AC18" s="12"/>
      <c r="AD18" s="12"/>
      <c r="AE18" s="24"/>
      <c r="AF18" s="24"/>
      <c r="AG18" s="24"/>
      <c r="AH18" s="24"/>
      <c r="AI18" s="24"/>
      <c r="AJ18" s="24"/>
      <c r="AK18" s="17"/>
      <c r="AL18" s="17"/>
      <c r="AM18" s="24"/>
      <c r="AN18" s="24"/>
      <c r="AO18" s="24"/>
      <c r="AP18" s="24"/>
      <c r="AQ18" s="24"/>
      <c r="AR18" s="24"/>
      <c r="AS18" s="12"/>
      <c r="AT18" s="12"/>
      <c r="AU18" s="24"/>
      <c r="AV18" s="24"/>
      <c r="AW18" s="24"/>
      <c r="AX18" s="24"/>
      <c r="AY18" s="24"/>
      <c r="AZ18" s="24"/>
      <c r="BA18" s="19"/>
      <c r="BB18" s="19"/>
      <c r="BC18" s="25"/>
      <c r="BD18" s="25"/>
      <c r="BE18" s="25"/>
      <c r="BF18" s="25"/>
      <c r="BG18" s="25"/>
      <c r="BH18" s="25"/>
      <c r="BI18" s="12"/>
      <c r="BJ18" s="13"/>
      <c r="BK18" s="24"/>
      <c r="BL18" s="24"/>
      <c r="BM18" s="24"/>
      <c r="BN18" s="24"/>
      <c r="BO18" s="24"/>
      <c r="BP18" s="24"/>
      <c r="BQ18" s="19"/>
      <c r="BR18" s="17"/>
    </row>
    <row r="19" spans="23:70" x14ac:dyDescent="0.25">
      <c r="W19" s="22"/>
      <c r="X19" s="22"/>
      <c r="Y19" s="22"/>
      <c r="Z19" s="22"/>
      <c r="AA19" s="22"/>
      <c r="AB19" s="22"/>
      <c r="AC19" s="12"/>
      <c r="AD19" s="12"/>
      <c r="AE19" s="24"/>
      <c r="AF19" s="24"/>
      <c r="AG19" s="24"/>
      <c r="AH19" s="24"/>
      <c r="AI19" s="24"/>
      <c r="AJ19" s="24"/>
      <c r="AK19" s="17"/>
      <c r="AL19" s="17"/>
      <c r="AM19" s="24"/>
      <c r="AN19" s="24"/>
      <c r="AO19" s="24"/>
      <c r="AP19" s="24"/>
      <c r="AQ19" s="24"/>
      <c r="AR19" s="24"/>
      <c r="AS19" s="12"/>
      <c r="AT19" s="12"/>
      <c r="AU19" s="24"/>
      <c r="AV19" s="24"/>
      <c r="AW19" s="24"/>
      <c r="AX19" s="24"/>
      <c r="AY19" s="24"/>
      <c r="AZ19" s="24"/>
      <c r="BA19" s="19"/>
      <c r="BB19" s="19"/>
      <c r="BC19" s="25"/>
      <c r="BD19" s="25"/>
      <c r="BE19" s="25"/>
      <c r="BF19" s="25"/>
      <c r="BG19" s="25"/>
      <c r="BH19" s="25"/>
      <c r="BI19" s="12"/>
      <c r="BJ19" s="13"/>
      <c r="BK19" s="24"/>
      <c r="BL19" s="24"/>
      <c r="BM19" s="24"/>
      <c r="BN19" s="24"/>
      <c r="BO19" s="24"/>
      <c r="BP19" s="24"/>
      <c r="BQ19" s="19"/>
      <c r="BR19" s="17"/>
    </row>
    <row r="20" spans="23:70" x14ac:dyDescent="0.25">
      <c r="W20" s="22"/>
      <c r="X20" s="22"/>
      <c r="Y20" s="22"/>
      <c r="Z20" s="22"/>
      <c r="AA20" s="22"/>
      <c r="AB20" s="22"/>
      <c r="AC20" s="12"/>
      <c r="AD20" s="12"/>
      <c r="AE20" s="24"/>
      <c r="AF20" s="24"/>
      <c r="AG20" s="24"/>
      <c r="AH20" s="24"/>
      <c r="AI20" s="24"/>
      <c r="AJ20" s="24"/>
      <c r="AK20" s="17"/>
      <c r="AL20" s="17"/>
      <c r="AM20" s="24"/>
      <c r="AN20" s="24"/>
      <c r="AO20" s="24"/>
      <c r="AP20" s="24"/>
      <c r="AQ20" s="24"/>
      <c r="AR20" s="24"/>
      <c r="AS20" s="12"/>
      <c r="AT20" s="12"/>
      <c r="AU20" s="24"/>
      <c r="AV20" s="24"/>
      <c r="AW20" s="24"/>
      <c r="AX20" s="24"/>
      <c r="AY20" s="24"/>
      <c r="AZ20" s="24"/>
      <c r="BA20" s="19"/>
      <c r="BB20" s="19"/>
      <c r="BC20" s="25"/>
      <c r="BD20" s="25"/>
      <c r="BE20" s="25"/>
      <c r="BF20" s="25"/>
      <c r="BG20" s="25"/>
      <c r="BH20" s="25"/>
      <c r="BI20" s="12"/>
      <c r="BJ20" s="13"/>
      <c r="BK20" s="24"/>
      <c r="BL20" s="24"/>
      <c r="BM20" s="24"/>
      <c r="BN20" s="24"/>
      <c r="BO20" s="24"/>
      <c r="BP20" s="24"/>
      <c r="BQ20" s="19"/>
      <c r="BR20" s="17"/>
    </row>
    <row r="21" spans="23:70" x14ac:dyDescent="0.25">
      <c r="W21" s="22"/>
      <c r="X21" s="22"/>
      <c r="Y21" s="22"/>
      <c r="Z21" s="22"/>
      <c r="AA21" s="22"/>
      <c r="AB21" s="22"/>
      <c r="AC21" s="12"/>
      <c r="AD21" s="12"/>
      <c r="AE21" s="24"/>
      <c r="AF21" s="24"/>
      <c r="AG21" s="24"/>
      <c r="AH21" s="24"/>
      <c r="AI21" s="24"/>
      <c r="AJ21" s="24"/>
      <c r="AK21" s="17"/>
      <c r="AL21" s="17"/>
      <c r="AM21" s="24"/>
      <c r="AN21" s="24"/>
      <c r="AO21" s="24"/>
      <c r="AP21" s="24"/>
      <c r="AQ21" s="24"/>
      <c r="AR21" s="24"/>
      <c r="AS21" s="12"/>
      <c r="AT21" s="12"/>
      <c r="AU21" s="24"/>
      <c r="AV21" s="24"/>
      <c r="AW21" s="24"/>
      <c r="AX21" s="24"/>
      <c r="AY21" s="24"/>
      <c r="AZ21" s="24"/>
      <c r="BA21" s="19"/>
      <c r="BB21" s="19"/>
      <c r="BC21" s="25"/>
      <c r="BD21" s="25"/>
      <c r="BE21" s="25"/>
      <c r="BF21" s="25"/>
      <c r="BG21" s="25"/>
      <c r="BH21" s="25"/>
      <c r="BI21" s="12"/>
      <c r="BJ21" s="13"/>
      <c r="BK21" s="24"/>
      <c r="BL21" s="24"/>
      <c r="BM21" s="24"/>
      <c r="BN21" s="24"/>
      <c r="BO21" s="24"/>
      <c r="BP21" s="24"/>
      <c r="BQ21" s="19"/>
      <c r="BR21" s="17"/>
    </row>
    <row r="22" spans="23:70" x14ac:dyDescent="0.25">
      <c r="W22" s="22"/>
      <c r="X22" s="22"/>
      <c r="Y22" s="22"/>
      <c r="Z22" s="22"/>
      <c r="AA22" s="22"/>
      <c r="AB22" s="22"/>
      <c r="AC22" s="12"/>
      <c r="AD22" s="12"/>
      <c r="AE22" s="24"/>
      <c r="AF22" s="24"/>
      <c r="AG22" s="24"/>
      <c r="AH22" s="24"/>
      <c r="AI22" s="24"/>
      <c r="AJ22" s="24"/>
      <c r="AK22" s="17"/>
      <c r="AL22" s="17"/>
      <c r="AM22" s="24"/>
      <c r="AN22" s="24"/>
      <c r="AO22" s="24"/>
      <c r="AP22" s="24"/>
      <c r="AQ22" s="24"/>
      <c r="AR22" s="24"/>
      <c r="AS22" s="12"/>
      <c r="AT22" s="12"/>
      <c r="AU22" s="24"/>
      <c r="AV22" s="24"/>
      <c r="AW22" s="24"/>
      <c r="AX22" s="24"/>
      <c r="AY22" s="24"/>
      <c r="AZ22" s="24"/>
      <c r="BA22" s="19"/>
      <c r="BB22" s="19"/>
      <c r="BC22" s="25"/>
      <c r="BD22" s="25"/>
      <c r="BE22" s="25"/>
      <c r="BF22" s="25"/>
      <c r="BG22" s="25"/>
      <c r="BH22" s="25"/>
      <c r="BI22" s="12"/>
      <c r="BJ22" s="13"/>
      <c r="BK22" s="24"/>
      <c r="BL22" s="24"/>
      <c r="BM22" s="24"/>
      <c r="BN22" s="24"/>
      <c r="BO22" s="24"/>
      <c r="BP22" s="24"/>
      <c r="BQ22" s="19"/>
      <c r="BR22" s="17"/>
    </row>
    <row r="23" spans="23:70" x14ac:dyDescent="0.25">
      <c r="W23" s="22"/>
      <c r="X23" s="22"/>
      <c r="Y23" s="22"/>
      <c r="Z23" s="22"/>
      <c r="AA23" s="22"/>
      <c r="AB23" s="22"/>
      <c r="AC23" s="12"/>
      <c r="AD23" s="12"/>
      <c r="AE23" s="24"/>
      <c r="AF23" s="24"/>
      <c r="AG23" s="24"/>
      <c r="AH23" s="24"/>
      <c r="AI23" s="24"/>
      <c r="AJ23" s="24"/>
      <c r="AK23" s="17"/>
      <c r="AL23" s="17"/>
      <c r="AM23" s="24"/>
      <c r="AN23" s="24"/>
      <c r="AO23" s="24"/>
      <c r="AP23" s="24"/>
      <c r="AQ23" s="24"/>
      <c r="AR23" s="24"/>
      <c r="AS23" s="12"/>
      <c r="AT23" s="12"/>
      <c r="AU23" s="24"/>
      <c r="AV23" s="24"/>
      <c r="AW23" s="24"/>
      <c r="AX23" s="24"/>
      <c r="AY23" s="24"/>
      <c r="AZ23" s="24"/>
      <c r="BA23" s="19"/>
      <c r="BB23" s="19"/>
      <c r="BC23" s="25"/>
      <c r="BD23" s="25"/>
      <c r="BE23" s="25"/>
      <c r="BF23" s="25"/>
      <c r="BG23" s="25"/>
      <c r="BH23" s="25"/>
      <c r="BI23" s="12"/>
      <c r="BJ23" s="13"/>
      <c r="BK23" s="24"/>
      <c r="BL23" s="24"/>
      <c r="BM23" s="24"/>
      <c r="BN23" s="24"/>
      <c r="BO23" s="24"/>
      <c r="BP23" s="24"/>
      <c r="BQ23" s="19"/>
      <c r="BR23" s="17"/>
    </row>
    <row r="24" spans="23:70" x14ac:dyDescent="0.25">
      <c r="W24" s="22"/>
      <c r="X24" s="22"/>
      <c r="Y24" s="22"/>
      <c r="Z24" s="22"/>
      <c r="AA24" s="22"/>
      <c r="AB24" s="22"/>
      <c r="AC24" s="12"/>
      <c r="AD24" s="12"/>
      <c r="AE24" s="24"/>
      <c r="AF24" s="24"/>
      <c r="AG24" s="24"/>
      <c r="AH24" s="24"/>
      <c r="AI24" s="24"/>
      <c r="AJ24" s="24"/>
      <c r="AK24" s="17"/>
      <c r="AL24" s="17"/>
      <c r="AM24" s="24"/>
      <c r="AN24" s="24"/>
      <c r="AO24" s="24"/>
      <c r="AP24" s="24"/>
      <c r="AQ24" s="24"/>
      <c r="AR24" s="24"/>
      <c r="AS24" s="12"/>
      <c r="AT24" s="12"/>
      <c r="AU24" s="24"/>
      <c r="AV24" s="24"/>
      <c r="AW24" s="24"/>
      <c r="AX24" s="24"/>
      <c r="AY24" s="24"/>
      <c r="AZ24" s="24"/>
      <c r="BA24" s="19"/>
      <c r="BB24" s="19"/>
      <c r="BC24" s="25"/>
      <c r="BD24" s="25"/>
      <c r="BE24" s="25"/>
      <c r="BF24" s="25"/>
      <c r="BG24" s="25"/>
      <c r="BH24" s="25"/>
      <c r="BI24" s="12"/>
      <c r="BJ24" s="13"/>
      <c r="BK24" s="24"/>
      <c r="BL24" s="24"/>
      <c r="BM24" s="24"/>
      <c r="BN24" s="24"/>
      <c r="BO24" s="24"/>
      <c r="BP24" s="24"/>
      <c r="BQ24" s="19"/>
      <c r="BR24" s="17"/>
    </row>
    <row r="25" spans="23:70" x14ac:dyDescent="0.25">
      <c r="W25" s="22"/>
      <c r="X25" s="22"/>
      <c r="Y25" s="22"/>
      <c r="Z25" s="22"/>
      <c r="AA25" s="22"/>
      <c r="AB25" s="22"/>
      <c r="AC25" s="12"/>
      <c r="AD25" s="12"/>
      <c r="AE25" s="24"/>
      <c r="AF25" s="24"/>
      <c r="AG25" s="24"/>
      <c r="AH25" s="24"/>
      <c r="AI25" s="24"/>
      <c r="AJ25" s="24"/>
      <c r="AK25" s="17"/>
      <c r="AL25" s="17"/>
      <c r="AM25" s="24"/>
      <c r="AN25" s="24"/>
      <c r="AO25" s="24"/>
      <c r="AP25" s="24"/>
      <c r="AQ25" s="24"/>
      <c r="AR25" s="24"/>
      <c r="AS25" s="12"/>
      <c r="AT25" s="12"/>
      <c r="AU25" s="24"/>
      <c r="AV25" s="24"/>
      <c r="AW25" s="24"/>
      <c r="AX25" s="24"/>
      <c r="AY25" s="24"/>
      <c r="AZ25" s="24"/>
      <c r="BA25" s="19"/>
      <c r="BB25" s="19"/>
      <c r="BC25" s="25"/>
      <c r="BD25" s="25"/>
      <c r="BE25" s="25"/>
      <c r="BF25" s="25"/>
      <c r="BG25" s="25"/>
      <c r="BH25" s="25"/>
      <c r="BI25" s="12"/>
      <c r="BJ25" s="13"/>
      <c r="BK25" s="24"/>
      <c r="BL25" s="24"/>
      <c r="BM25" s="24"/>
      <c r="BN25" s="24"/>
      <c r="BO25" s="24"/>
      <c r="BP25" s="24"/>
      <c r="BQ25" s="19"/>
      <c r="BR25" s="17"/>
    </row>
    <row r="26" spans="23:70" x14ac:dyDescent="0.25">
      <c r="W26" s="22"/>
      <c r="X26" s="22"/>
      <c r="Y26" s="22"/>
      <c r="Z26" s="22"/>
      <c r="AA26" s="22"/>
      <c r="AB26" s="22"/>
      <c r="AC26" s="12"/>
      <c r="AD26" s="12"/>
      <c r="AE26" s="24"/>
      <c r="AF26" s="24"/>
      <c r="AG26" s="24"/>
      <c r="AH26" s="24"/>
      <c r="AI26" s="24"/>
      <c r="AJ26" s="24"/>
      <c r="AK26" s="17"/>
      <c r="AL26" s="17"/>
      <c r="AM26" s="24"/>
      <c r="AN26" s="24"/>
      <c r="AO26" s="24"/>
      <c r="AP26" s="24"/>
      <c r="AQ26" s="24"/>
      <c r="AR26" s="24"/>
      <c r="AS26" s="12"/>
      <c r="AT26" s="12"/>
      <c r="AU26" s="24"/>
      <c r="AV26" s="24"/>
      <c r="AW26" s="24"/>
      <c r="AX26" s="24"/>
      <c r="AY26" s="24"/>
      <c r="AZ26" s="24"/>
      <c r="BA26" s="19"/>
      <c r="BB26" s="19"/>
      <c r="BC26" s="25"/>
      <c r="BD26" s="25"/>
      <c r="BE26" s="25"/>
      <c r="BF26" s="25"/>
      <c r="BG26" s="25"/>
      <c r="BH26" s="25"/>
      <c r="BI26" s="12"/>
      <c r="BJ26" s="13"/>
      <c r="BK26" s="24"/>
      <c r="BL26" s="24"/>
      <c r="BM26" s="24"/>
      <c r="BN26" s="24"/>
      <c r="BO26" s="24"/>
      <c r="BP26" s="24"/>
      <c r="BQ26" s="19"/>
      <c r="BR26" s="17"/>
    </row>
    <row r="27" spans="23:70" x14ac:dyDescent="0.25">
      <c r="W27" s="22"/>
      <c r="X27" s="22"/>
      <c r="Y27" s="22"/>
      <c r="Z27" s="22"/>
      <c r="AA27" s="22"/>
      <c r="AB27" s="22"/>
      <c r="AC27" s="12"/>
      <c r="AD27" s="12"/>
      <c r="AE27" s="24"/>
      <c r="AF27" s="24"/>
      <c r="AG27" s="24"/>
      <c r="AH27" s="24"/>
      <c r="AI27" s="24"/>
      <c r="AJ27" s="24"/>
      <c r="AK27" s="17"/>
      <c r="AL27" s="17"/>
      <c r="AM27" s="24"/>
      <c r="AN27" s="24"/>
      <c r="AO27" s="24"/>
      <c r="AP27" s="24"/>
      <c r="AQ27" s="24"/>
      <c r="AR27" s="24"/>
      <c r="AS27" s="12"/>
      <c r="AT27" s="12"/>
      <c r="AU27" s="24"/>
      <c r="AV27" s="24"/>
      <c r="AW27" s="24"/>
      <c r="AX27" s="24"/>
      <c r="AY27" s="24"/>
      <c r="AZ27" s="24"/>
      <c r="BA27" s="19"/>
      <c r="BB27" s="19"/>
      <c r="BC27" s="25"/>
      <c r="BD27" s="25"/>
      <c r="BE27" s="25"/>
      <c r="BF27" s="25"/>
      <c r="BG27" s="25"/>
      <c r="BH27" s="25"/>
      <c r="BI27" s="12"/>
      <c r="BJ27" s="13"/>
      <c r="BK27" s="24"/>
      <c r="BL27" s="24"/>
      <c r="BM27" s="24"/>
      <c r="BN27" s="24"/>
      <c r="BO27" s="24"/>
      <c r="BP27" s="24"/>
      <c r="BQ27" s="19"/>
      <c r="BR27" s="17"/>
    </row>
    <row r="28" spans="23:70" x14ac:dyDescent="0.25">
      <c r="W28" s="22"/>
      <c r="X28" s="22"/>
      <c r="Y28" s="22"/>
      <c r="Z28" s="22"/>
      <c r="AA28" s="22"/>
      <c r="AB28" s="22"/>
      <c r="AC28" s="12"/>
      <c r="AD28" s="12"/>
      <c r="AE28" s="24"/>
      <c r="AF28" s="24"/>
      <c r="AG28" s="24"/>
      <c r="AH28" s="24"/>
      <c r="AI28" s="24"/>
      <c r="AJ28" s="24"/>
      <c r="AK28" s="17"/>
      <c r="AL28" s="17"/>
      <c r="AM28" s="24"/>
      <c r="AN28" s="24"/>
      <c r="AO28" s="24"/>
      <c r="AP28" s="24"/>
      <c r="AQ28" s="24"/>
      <c r="AR28" s="24"/>
      <c r="AS28" s="12"/>
      <c r="AT28" s="12"/>
      <c r="AU28" s="24"/>
      <c r="AV28" s="24"/>
      <c r="AW28" s="24"/>
      <c r="AX28" s="24"/>
      <c r="AY28" s="24"/>
      <c r="AZ28" s="24"/>
      <c r="BA28" s="19"/>
      <c r="BB28" s="19"/>
      <c r="BC28" s="25"/>
      <c r="BD28" s="25"/>
      <c r="BE28" s="25"/>
      <c r="BF28" s="25"/>
      <c r="BG28" s="25"/>
      <c r="BH28" s="25"/>
      <c r="BI28" s="12"/>
      <c r="BJ28" s="13"/>
      <c r="BK28" s="24"/>
      <c r="BL28" s="24"/>
      <c r="BM28" s="24"/>
      <c r="BN28" s="24"/>
      <c r="BO28" s="24"/>
      <c r="BP28" s="24"/>
      <c r="BQ28" s="19"/>
      <c r="BR28" s="17"/>
    </row>
    <row r="29" spans="23:70" x14ac:dyDescent="0.25">
      <c r="W29" s="22"/>
      <c r="X29" s="22"/>
      <c r="Y29" s="22"/>
      <c r="Z29" s="22"/>
      <c r="AA29" s="22"/>
      <c r="AB29" s="22"/>
      <c r="AC29" s="12"/>
      <c r="AD29" s="12"/>
      <c r="AE29" s="24"/>
      <c r="AF29" s="24"/>
      <c r="AG29" s="24"/>
      <c r="AH29" s="24"/>
      <c r="AI29" s="24"/>
      <c r="AJ29" s="24"/>
      <c r="AK29" s="17"/>
      <c r="AL29" s="17"/>
      <c r="AM29" s="24"/>
      <c r="AN29" s="24"/>
      <c r="AO29" s="24"/>
      <c r="AP29" s="24"/>
      <c r="AQ29" s="24"/>
      <c r="AR29" s="24"/>
      <c r="AS29" s="12"/>
      <c r="AT29" s="12"/>
      <c r="AU29" s="24"/>
      <c r="AV29" s="24"/>
      <c r="AW29" s="24"/>
      <c r="AX29" s="24"/>
      <c r="AY29" s="24"/>
      <c r="AZ29" s="24"/>
      <c r="BA29" s="19"/>
      <c r="BB29" s="19"/>
      <c r="BC29" s="25"/>
      <c r="BD29" s="25"/>
      <c r="BE29" s="25"/>
      <c r="BF29" s="25"/>
      <c r="BG29" s="25"/>
      <c r="BH29" s="25"/>
      <c r="BI29" s="12"/>
      <c r="BJ29" s="13"/>
      <c r="BK29" s="24"/>
      <c r="BL29" s="24"/>
      <c r="BM29" s="24"/>
      <c r="BN29" s="24"/>
      <c r="BO29" s="24"/>
      <c r="BP29" s="24"/>
      <c r="BQ29" s="19"/>
      <c r="BR29" s="17"/>
    </row>
    <row r="30" spans="23:70" x14ac:dyDescent="0.25">
      <c r="W30" s="22"/>
      <c r="X30" s="22"/>
      <c r="Y30" s="22"/>
      <c r="Z30" s="22"/>
      <c r="AA30" s="22"/>
      <c r="AB30" s="22"/>
      <c r="AC30" s="12"/>
      <c r="AD30" s="12"/>
      <c r="AE30" s="24"/>
      <c r="AF30" s="24"/>
      <c r="AG30" s="24"/>
      <c r="AH30" s="24"/>
      <c r="AI30" s="24"/>
      <c r="AJ30" s="24"/>
      <c r="AK30" s="17"/>
      <c r="AL30" s="17"/>
      <c r="AM30" s="24"/>
      <c r="AN30" s="24"/>
      <c r="AO30" s="24"/>
      <c r="AP30" s="24"/>
      <c r="AQ30" s="24"/>
      <c r="AR30" s="24"/>
      <c r="AS30" s="12"/>
      <c r="AT30" s="12"/>
      <c r="AU30" s="24"/>
      <c r="AV30" s="24"/>
      <c r="AW30" s="24"/>
      <c r="AX30" s="24"/>
      <c r="AY30" s="24"/>
      <c r="AZ30" s="24"/>
      <c r="BA30" s="19"/>
      <c r="BB30" s="19"/>
      <c r="BC30" s="25"/>
      <c r="BD30" s="25"/>
      <c r="BE30" s="25"/>
      <c r="BF30" s="25"/>
      <c r="BG30" s="25"/>
      <c r="BH30" s="25"/>
      <c r="BI30" s="12"/>
      <c r="BJ30" s="13"/>
      <c r="BK30" s="24"/>
      <c r="BL30" s="24"/>
      <c r="BM30" s="24"/>
      <c r="BN30" s="24"/>
      <c r="BO30" s="24"/>
      <c r="BP30" s="24"/>
      <c r="BQ30" s="19"/>
      <c r="BR30" s="17"/>
    </row>
    <row r="31" spans="23:70" x14ac:dyDescent="0.25">
      <c r="W31" s="22"/>
      <c r="X31" s="22"/>
      <c r="Y31" s="22"/>
      <c r="Z31" s="22"/>
      <c r="AA31" s="22"/>
      <c r="AB31" s="22"/>
      <c r="AC31" s="12"/>
      <c r="AD31" s="12"/>
      <c r="AE31" s="24"/>
      <c r="AF31" s="24"/>
      <c r="AG31" s="24"/>
      <c r="AH31" s="24"/>
      <c r="AI31" s="24"/>
      <c r="AJ31" s="24"/>
      <c r="AK31" s="17"/>
      <c r="AL31" s="17"/>
      <c r="AM31" s="24"/>
      <c r="AN31" s="24"/>
      <c r="AO31" s="24"/>
      <c r="AP31" s="24"/>
      <c r="AQ31" s="24"/>
      <c r="AR31" s="24"/>
      <c r="AS31" s="12"/>
      <c r="AT31" s="12"/>
      <c r="AU31" s="24"/>
      <c r="AV31" s="24"/>
      <c r="AW31" s="24"/>
      <c r="AX31" s="24"/>
      <c r="AY31" s="24"/>
      <c r="AZ31" s="24"/>
      <c r="BA31" s="19"/>
      <c r="BB31" s="19"/>
      <c r="BC31" s="25"/>
      <c r="BD31" s="25"/>
      <c r="BE31" s="25"/>
      <c r="BF31" s="25"/>
      <c r="BG31" s="25"/>
      <c r="BH31" s="25"/>
      <c r="BI31" s="12"/>
      <c r="BJ31" s="13"/>
      <c r="BK31" s="24"/>
      <c r="BL31" s="24"/>
      <c r="BM31" s="24"/>
      <c r="BN31" s="24"/>
      <c r="BO31" s="24"/>
      <c r="BP31" s="24"/>
      <c r="BQ31" s="19"/>
      <c r="BR31" s="17"/>
    </row>
    <row r="32" spans="23:70" x14ac:dyDescent="0.25">
      <c r="W32" s="22"/>
      <c r="X32" s="22"/>
      <c r="Y32" s="22"/>
      <c r="Z32" s="22"/>
      <c r="AA32" s="22"/>
      <c r="AB32" s="22"/>
      <c r="AC32" s="12"/>
      <c r="AD32" s="12"/>
      <c r="AE32" s="24"/>
      <c r="AF32" s="24"/>
      <c r="AG32" s="24"/>
      <c r="AH32" s="24"/>
      <c r="AI32" s="24"/>
      <c r="AJ32" s="24"/>
      <c r="AK32" s="17"/>
      <c r="AL32" s="17"/>
      <c r="AM32" s="24"/>
      <c r="AN32" s="24"/>
      <c r="AO32" s="24"/>
      <c r="AP32" s="24"/>
      <c r="AQ32" s="24"/>
      <c r="AR32" s="24"/>
      <c r="AS32" s="12"/>
      <c r="AT32" s="12"/>
      <c r="AU32" s="24"/>
      <c r="AV32" s="24"/>
      <c r="AW32" s="24"/>
      <c r="AX32" s="24"/>
      <c r="AY32" s="24"/>
      <c r="AZ32" s="24"/>
      <c r="BA32" s="19"/>
      <c r="BB32" s="19"/>
      <c r="BC32" s="25"/>
      <c r="BD32" s="25"/>
      <c r="BE32" s="25"/>
      <c r="BF32" s="25"/>
      <c r="BG32" s="25"/>
      <c r="BH32" s="25"/>
      <c r="BI32" s="12"/>
      <c r="BJ32" s="13"/>
      <c r="BK32" s="24"/>
      <c r="BL32" s="24"/>
      <c r="BM32" s="24"/>
      <c r="BN32" s="24"/>
      <c r="BO32" s="24"/>
      <c r="BP32" s="24"/>
      <c r="BQ32" s="19"/>
      <c r="BR32" s="17"/>
    </row>
    <row r="33" spans="23:70" x14ac:dyDescent="0.25">
      <c r="W33" s="22"/>
      <c r="X33" s="22"/>
      <c r="Y33" s="22"/>
      <c r="Z33" s="22"/>
      <c r="AA33" s="22"/>
      <c r="AB33" s="22"/>
      <c r="AC33" s="12"/>
      <c r="AD33" s="12"/>
      <c r="AE33" s="24"/>
      <c r="AF33" s="24"/>
      <c r="AG33" s="24"/>
      <c r="AH33" s="24"/>
      <c r="AI33" s="24"/>
      <c r="AJ33" s="24"/>
      <c r="AK33" s="17"/>
      <c r="AL33" s="17"/>
      <c r="AM33" s="24"/>
      <c r="AN33" s="24"/>
      <c r="AO33" s="24"/>
      <c r="AP33" s="24"/>
      <c r="AQ33" s="24"/>
      <c r="AR33" s="24"/>
      <c r="AS33" s="12"/>
      <c r="AT33" s="12"/>
      <c r="AU33" s="24"/>
      <c r="AV33" s="24"/>
      <c r="AW33" s="24"/>
      <c r="AX33" s="24"/>
      <c r="AY33" s="24"/>
      <c r="AZ33" s="24"/>
      <c r="BA33" s="19"/>
      <c r="BB33" s="19"/>
      <c r="BC33" s="25"/>
      <c r="BD33" s="25"/>
      <c r="BE33" s="25"/>
      <c r="BF33" s="25"/>
      <c r="BG33" s="25"/>
      <c r="BH33" s="25"/>
      <c r="BI33" s="12"/>
      <c r="BJ33" s="13"/>
      <c r="BK33" s="24"/>
      <c r="BL33" s="24"/>
      <c r="BM33" s="24"/>
      <c r="BN33" s="24"/>
      <c r="BO33" s="24"/>
      <c r="BP33" s="24"/>
      <c r="BQ33" s="19"/>
      <c r="BR33" s="17"/>
    </row>
    <row r="34" spans="23:70" x14ac:dyDescent="0.25">
      <c r="W34" s="22"/>
      <c r="X34" s="22"/>
      <c r="Y34" s="22"/>
      <c r="Z34" s="22"/>
      <c r="AA34" s="22"/>
      <c r="AB34" s="22"/>
      <c r="AC34" s="12"/>
      <c r="AD34" s="12"/>
      <c r="AE34" s="24"/>
      <c r="AF34" s="24"/>
      <c r="AG34" s="24"/>
      <c r="AH34" s="24"/>
      <c r="AI34" s="24"/>
      <c r="AJ34" s="24"/>
      <c r="AK34" s="17"/>
      <c r="AL34" s="17"/>
      <c r="AM34" s="24"/>
      <c r="AN34" s="24"/>
      <c r="AO34" s="24"/>
      <c r="AP34" s="24"/>
      <c r="AQ34" s="24"/>
      <c r="AR34" s="24"/>
      <c r="AS34" s="12"/>
      <c r="AT34" s="12"/>
      <c r="AU34" s="24"/>
      <c r="AV34" s="24"/>
      <c r="AW34" s="24"/>
      <c r="AX34" s="24"/>
      <c r="AY34" s="24"/>
      <c r="AZ34" s="24"/>
      <c r="BA34" s="19"/>
      <c r="BB34" s="19"/>
      <c r="BC34" s="25"/>
      <c r="BD34" s="25"/>
      <c r="BE34" s="25"/>
      <c r="BF34" s="25"/>
      <c r="BG34" s="25"/>
      <c r="BH34" s="25"/>
      <c r="BI34" s="12"/>
      <c r="BJ34" s="13"/>
      <c r="BK34" s="24"/>
      <c r="BL34" s="24"/>
      <c r="BM34" s="24"/>
      <c r="BN34" s="24"/>
      <c r="BO34" s="24"/>
      <c r="BP34" s="24"/>
      <c r="BQ34" s="19"/>
      <c r="BR34" s="17"/>
    </row>
    <row r="35" spans="23:70" x14ac:dyDescent="0.25">
      <c r="W35" s="22"/>
      <c r="X35" s="22"/>
      <c r="Y35" s="22"/>
      <c r="Z35" s="22"/>
      <c r="AA35" s="22"/>
      <c r="AB35" s="22"/>
      <c r="AC35" s="12"/>
      <c r="AD35" s="12"/>
      <c r="AE35" s="24"/>
      <c r="AF35" s="24"/>
      <c r="AG35" s="24"/>
      <c r="AH35" s="24"/>
      <c r="AI35" s="24"/>
      <c r="AJ35" s="24"/>
      <c r="AK35" s="17"/>
      <c r="AL35" s="17"/>
      <c r="AM35" s="24"/>
      <c r="AN35" s="24"/>
      <c r="AO35" s="24"/>
      <c r="AP35" s="24"/>
      <c r="AQ35" s="24"/>
      <c r="AR35" s="24"/>
      <c r="AS35" s="12"/>
      <c r="AT35" s="12"/>
      <c r="AU35" s="24"/>
      <c r="AV35" s="24"/>
      <c r="AW35" s="24"/>
      <c r="AX35" s="24"/>
      <c r="AY35" s="24"/>
      <c r="AZ35" s="24"/>
      <c r="BA35" s="19"/>
      <c r="BB35" s="19"/>
      <c r="BC35" s="25"/>
      <c r="BD35" s="25"/>
      <c r="BE35" s="25"/>
      <c r="BF35" s="25"/>
      <c r="BG35" s="25"/>
      <c r="BH35" s="25"/>
      <c r="BI35" s="12"/>
      <c r="BJ35" s="13"/>
      <c r="BK35" s="24"/>
      <c r="BL35" s="24"/>
      <c r="BM35" s="24"/>
      <c r="BN35" s="24"/>
      <c r="BO35" s="24"/>
      <c r="BP35" s="24"/>
      <c r="BQ35" s="19"/>
      <c r="BR35" s="17"/>
    </row>
    <row r="36" spans="23:70" x14ac:dyDescent="0.25">
      <c r="W36" s="22"/>
      <c r="X36" s="22"/>
      <c r="Y36" s="22"/>
      <c r="Z36" s="22"/>
      <c r="AA36" s="22"/>
      <c r="AB36" s="22"/>
      <c r="AC36" s="12"/>
      <c r="AD36" s="12"/>
      <c r="AE36" s="24"/>
      <c r="AF36" s="24"/>
      <c r="AG36" s="24"/>
      <c r="AH36" s="24"/>
      <c r="AI36" s="24"/>
      <c r="AJ36" s="24"/>
      <c r="AK36" s="17"/>
      <c r="AL36" s="17"/>
      <c r="AM36" s="24"/>
      <c r="AN36" s="24"/>
      <c r="AO36" s="24"/>
      <c r="AP36" s="24"/>
      <c r="AQ36" s="24"/>
      <c r="AR36" s="24"/>
      <c r="AS36" s="12"/>
      <c r="AT36" s="12"/>
      <c r="AU36" s="24"/>
      <c r="AV36" s="24"/>
      <c r="AW36" s="24"/>
      <c r="AX36" s="24"/>
      <c r="AY36" s="24"/>
      <c r="AZ36" s="24"/>
      <c r="BA36" s="19"/>
      <c r="BB36" s="19"/>
      <c r="BC36" s="25"/>
      <c r="BD36" s="25"/>
      <c r="BE36" s="25"/>
      <c r="BF36" s="25"/>
      <c r="BG36" s="25"/>
      <c r="BH36" s="25"/>
      <c r="BI36" s="12"/>
      <c r="BJ36" s="13"/>
      <c r="BK36" s="24"/>
      <c r="BL36" s="24"/>
      <c r="BM36" s="24"/>
      <c r="BN36" s="24"/>
      <c r="BO36" s="24"/>
      <c r="BP36" s="24"/>
      <c r="BQ36" s="19"/>
      <c r="BR36" s="17"/>
    </row>
    <row r="37" spans="23:70" x14ac:dyDescent="0.25">
      <c r="W37" s="22"/>
      <c r="X37" s="22"/>
      <c r="Y37" s="22"/>
      <c r="Z37" s="22"/>
      <c r="AA37" s="22"/>
      <c r="AB37" s="22"/>
      <c r="AC37" s="12"/>
      <c r="AD37" s="12"/>
      <c r="AE37" s="24"/>
      <c r="AF37" s="24"/>
      <c r="AG37" s="24"/>
      <c r="AH37" s="24"/>
      <c r="AI37" s="24"/>
      <c r="AJ37" s="24"/>
      <c r="AK37" s="17"/>
      <c r="AL37" s="17"/>
      <c r="AM37" s="24"/>
      <c r="AN37" s="24"/>
      <c r="AO37" s="24"/>
      <c r="AP37" s="24"/>
      <c r="AQ37" s="24"/>
      <c r="AR37" s="24"/>
      <c r="AS37" s="12"/>
      <c r="AT37" s="12"/>
      <c r="AU37" s="24"/>
      <c r="AV37" s="24"/>
      <c r="AW37" s="24"/>
      <c r="AX37" s="24"/>
      <c r="AY37" s="24"/>
      <c r="AZ37" s="24"/>
      <c r="BA37" s="19"/>
      <c r="BB37" s="19"/>
      <c r="BC37" s="25"/>
      <c r="BD37" s="25"/>
      <c r="BE37" s="25"/>
      <c r="BF37" s="25"/>
      <c r="BG37" s="25"/>
      <c r="BH37" s="25"/>
      <c r="BI37" s="12"/>
      <c r="BJ37" s="13"/>
      <c r="BK37" s="24"/>
      <c r="BL37" s="24"/>
      <c r="BM37" s="24"/>
      <c r="BN37" s="24"/>
      <c r="BO37" s="24"/>
      <c r="BP37" s="24"/>
      <c r="BQ37" s="19"/>
      <c r="BR37" s="17"/>
    </row>
    <row r="38" spans="23:70" x14ac:dyDescent="0.25">
      <c r="W38" s="22"/>
      <c r="X38" s="22"/>
      <c r="Y38" s="22"/>
      <c r="Z38" s="22"/>
      <c r="AA38" s="22"/>
      <c r="AB38" s="22"/>
      <c r="AC38" s="12"/>
      <c r="AD38" s="12"/>
      <c r="AE38" s="24"/>
      <c r="AF38" s="24"/>
      <c r="AG38" s="24"/>
      <c r="AH38" s="24"/>
      <c r="AI38" s="24"/>
      <c r="AJ38" s="24"/>
      <c r="AK38" s="17"/>
      <c r="AL38" s="17"/>
      <c r="AM38" s="24"/>
      <c r="AN38" s="24"/>
      <c r="AO38" s="24"/>
      <c r="AP38" s="24"/>
      <c r="AQ38" s="24"/>
      <c r="AR38" s="24"/>
      <c r="AS38" s="12"/>
      <c r="AT38" s="12"/>
      <c r="AU38" s="24"/>
      <c r="AV38" s="24"/>
      <c r="AW38" s="24"/>
      <c r="AX38" s="24"/>
      <c r="AY38" s="24"/>
      <c r="AZ38" s="24"/>
      <c r="BA38" s="19"/>
      <c r="BB38" s="19"/>
      <c r="BC38" s="25"/>
      <c r="BD38" s="25"/>
      <c r="BE38" s="25"/>
      <c r="BF38" s="25"/>
      <c r="BG38" s="25"/>
      <c r="BH38" s="25"/>
      <c r="BI38" s="12"/>
      <c r="BJ38" s="13"/>
      <c r="BK38" s="24"/>
      <c r="BL38" s="24"/>
      <c r="BM38" s="24"/>
      <c r="BN38" s="24"/>
      <c r="BO38" s="24"/>
      <c r="BP38" s="24"/>
      <c r="BQ38" s="19"/>
      <c r="BR38" s="17"/>
    </row>
    <row r="39" spans="23:70" x14ac:dyDescent="0.25">
      <c r="W39" s="22"/>
      <c r="X39" s="22"/>
      <c r="Y39" s="22"/>
      <c r="Z39" s="22"/>
      <c r="AA39" s="22"/>
      <c r="AB39" s="22"/>
      <c r="AC39" s="12"/>
      <c r="AD39" s="12"/>
      <c r="AE39" s="24"/>
      <c r="AF39" s="24"/>
      <c r="AG39" s="24"/>
      <c r="AH39" s="24"/>
      <c r="AI39" s="24"/>
      <c r="AJ39" s="24"/>
      <c r="AK39" s="17"/>
      <c r="AL39" s="17"/>
      <c r="AM39" s="24"/>
      <c r="AN39" s="24"/>
      <c r="AO39" s="24"/>
      <c r="AP39" s="24"/>
      <c r="AQ39" s="24"/>
      <c r="AR39" s="24"/>
      <c r="AS39" s="12"/>
      <c r="AT39" s="12"/>
      <c r="AU39" s="24"/>
      <c r="AV39" s="24"/>
      <c r="AW39" s="24"/>
      <c r="AX39" s="24"/>
      <c r="AY39" s="24"/>
      <c r="AZ39" s="24"/>
      <c r="BA39" s="19"/>
      <c r="BB39" s="19"/>
      <c r="BC39" s="25"/>
      <c r="BD39" s="25"/>
      <c r="BE39" s="25"/>
      <c r="BF39" s="25"/>
      <c r="BG39" s="25"/>
      <c r="BH39" s="25"/>
      <c r="BI39" s="12"/>
      <c r="BJ39" s="13"/>
      <c r="BK39" s="24"/>
      <c r="BL39" s="24"/>
      <c r="BM39" s="24"/>
      <c r="BN39" s="24"/>
      <c r="BO39" s="24"/>
      <c r="BP39" s="24"/>
      <c r="BQ39" s="19"/>
      <c r="BR39" s="17"/>
    </row>
    <row r="40" spans="23:70" x14ac:dyDescent="0.25">
      <c r="W40" s="22"/>
      <c r="X40" s="22"/>
      <c r="Y40" s="22"/>
      <c r="Z40" s="22"/>
      <c r="AA40" s="22"/>
      <c r="AB40" s="22"/>
      <c r="AC40" s="12"/>
      <c r="AD40" s="12"/>
      <c r="AE40" s="24"/>
      <c r="AF40" s="24"/>
      <c r="AG40" s="24"/>
      <c r="AH40" s="24"/>
      <c r="AI40" s="24"/>
      <c r="AJ40" s="24"/>
      <c r="AK40" s="17"/>
      <c r="AL40" s="17"/>
      <c r="AM40" s="24"/>
      <c r="AN40" s="24"/>
      <c r="AO40" s="24"/>
      <c r="AP40" s="24"/>
      <c r="AQ40" s="24"/>
      <c r="AR40" s="24"/>
      <c r="AS40" s="12"/>
      <c r="AT40" s="12"/>
      <c r="AU40" s="24"/>
      <c r="AV40" s="24"/>
      <c r="AW40" s="24"/>
      <c r="AX40" s="24"/>
      <c r="AY40" s="24"/>
      <c r="AZ40" s="24"/>
      <c r="BA40" s="19"/>
      <c r="BB40" s="19"/>
      <c r="BC40" s="25"/>
      <c r="BD40" s="25"/>
      <c r="BE40" s="25"/>
      <c r="BF40" s="25"/>
      <c r="BG40" s="25"/>
      <c r="BH40" s="25"/>
      <c r="BI40" s="12"/>
      <c r="BJ40" s="13"/>
      <c r="BK40" s="24"/>
      <c r="BL40" s="24"/>
      <c r="BM40" s="24"/>
      <c r="BN40" s="24"/>
      <c r="BO40" s="24"/>
      <c r="BP40" s="24"/>
      <c r="BQ40" s="19"/>
      <c r="BR40" s="17"/>
    </row>
    <row r="41" spans="23:70" x14ac:dyDescent="0.25">
      <c r="W41" s="22"/>
      <c r="X41" s="22"/>
      <c r="Y41" s="22"/>
      <c r="Z41" s="22"/>
      <c r="AA41" s="22"/>
      <c r="AB41" s="22"/>
      <c r="AC41" s="12"/>
      <c r="AD41" s="12"/>
      <c r="AE41" s="24"/>
      <c r="AF41" s="24"/>
      <c r="AG41" s="24"/>
      <c r="AH41" s="24"/>
      <c r="AI41" s="24"/>
      <c r="AJ41" s="24"/>
      <c r="AK41" s="17"/>
      <c r="AL41" s="17"/>
      <c r="AM41" s="24"/>
      <c r="AN41" s="24"/>
      <c r="AO41" s="24"/>
      <c r="AP41" s="24"/>
      <c r="AQ41" s="24"/>
      <c r="AR41" s="24"/>
      <c r="AS41" s="12"/>
      <c r="AT41" s="12"/>
      <c r="AU41" s="24"/>
      <c r="AV41" s="24"/>
      <c r="AW41" s="24"/>
      <c r="AX41" s="24"/>
      <c r="AY41" s="24"/>
      <c r="AZ41" s="24"/>
      <c r="BA41" s="19"/>
      <c r="BB41" s="19"/>
      <c r="BC41" s="25"/>
      <c r="BD41" s="25"/>
      <c r="BE41" s="25"/>
      <c r="BF41" s="25"/>
      <c r="BG41" s="25"/>
      <c r="BH41" s="25"/>
      <c r="BI41" s="12"/>
      <c r="BJ41" s="13"/>
      <c r="BK41" s="24"/>
      <c r="BL41" s="24"/>
      <c r="BM41" s="24"/>
      <c r="BN41" s="24"/>
      <c r="BO41" s="24"/>
      <c r="BP41" s="24"/>
      <c r="BQ41" s="19"/>
      <c r="BR41" s="17"/>
    </row>
    <row r="42" spans="23:70" x14ac:dyDescent="0.25">
      <c r="W42" s="22"/>
      <c r="X42" s="22"/>
      <c r="Y42" s="22"/>
      <c r="Z42" s="22"/>
      <c r="AA42" s="22"/>
      <c r="AB42" s="22"/>
      <c r="AC42" s="12"/>
      <c r="AD42" s="12"/>
      <c r="AE42" s="24"/>
      <c r="AF42" s="24"/>
      <c r="AG42" s="24"/>
      <c r="AH42" s="24"/>
      <c r="AI42" s="24"/>
      <c r="AJ42" s="24"/>
      <c r="AK42" s="17"/>
      <c r="AL42" s="17"/>
      <c r="AM42" s="24"/>
      <c r="AN42" s="24"/>
      <c r="AO42" s="24"/>
      <c r="AP42" s="24"/>
      <c r="AQ42" s="24"/>
      <c r="AR42" s="24"/>
      <c r="AS42" s="12"/>
      <c r="AT42" s="12"/>
      <c r="AU42" s="24"/>
      <c r="AV42" s="24"/>
      <c r="AW42" s="24"/>
      <c r="AX42" s="24"/>
      <c r="AY42" s="24"/>
      <c r="AZ42" s="24"/>
      <c r="BA42" s="19"/>
      <c r="BB42" s="19"/>
      <c r="BC42" s="25"/>
      <c r="BD42" s="25"/>
      <c r="BE42" s="25"/>
      <c r="BF42" s="25"/>
      <c r="BG42" s="25"/>
      <c r="BH42" s="25"/>
      <c r="BI42" s="12"/>
      <c r="BJ42" s="13"/>
      <c r="BK42" s="24"/>
      <c r="BL42" s="24"/>
      <c r="BM42" s="24"/>
      <c r="BN42" s="24"/>
      <c r="BO42" s="24"/>
      <c r="BP42" s="24"/>
      <c r="BQ42" s="19"/>
      <c r="BR42" s="17"/>
    </row>
    <row r="43" spans="23:70" x14ac:dyDescent="0.25">
      <c r="W43" s="22"/>
      <c r="X43" s="22"/>
      <c r="Y43" s="22"/>
      <c r="Z43" s="22"/>
      <c r="AA43" s="22"/>
      <c r="AB43" s="22"/>
      <c r="AC43" s="12"/>
      <c r="AD43" s="12"/>
      <c r="AE43" s="24"/>
      <c r="AF43" s="24"/>
      <c r="AG43" s="24"/>
      <c r="AH43" s="24"/>
      <c r="AI43" s="24"/>
      <c r="AJ43" s="24"/>
      <c r="AK43" s="17"/>
      <c r="AL43" s="17"/>
      <c r="AM43" s="24"/>
      <c r="AN43" s="24"/>
      <c r="AO43" s="24"/>
      <c r="AP43" s="24"/>
      <c r="AQ43" s="24"/>
      <c r="AR43" s="24"/>
      <c r="AS43" s="12"/>
      <c r="AT43" s="12"/>
      <c r="AU43" s="24"/>
      <c r="AV43" s="24"/>
      <c r="AW43" s="24"/>
      <c r="AX43" s="24"/>
      <c r="AY43" s="24"/>
      <c r="AZ43" s="24"/>
      <c r="BA43" s="19"/>
      <c r="BB43" s="19"/>
      <c r="BC43" s="25"/>
      <c r="BD43" s="25"/>
      <c r="BE43" s="25"/>
      <c r="BF43" s="25"/>
      <c r="BG43" s="25"/>
      <c r="BH43" s="25"/>
      <c r="BI43" s="12"/>
      <c r="BJ43" s="13"/>
      <c r="BK43" s="24"/>
      <c r="BL43" s="24"/>
      <c r="BM43" s="24"/>
      <c r="BN43" s="24"/>
      <c r="BO43" s="24"/>
      <c r="BP43" s="24"/>
      <c r="BQ43" s="19"/>
      <c r="BR43" s="17"/>
    </row>
    <row r="44" spans="23:70" x14ac:dyDescent="0.25">
      <c r="W44" s="22"/>
      <c r="X44" s="22"/>
      <c r="Y44" s="22"/>
      <c r="Z44" s="22"/>
      <c r="AA44" s="22"/>
      <c r="AB44" s="22"/>
      <c r="AC44" s="12"/>
      <c r="AD44" s="12"/>
      <c r="AE44" s="24"/>
      <c r="AF44" s="24"/>
      <c r="AG44" s="24"/>
      <c r="AH44" s="24"/>
      <c r="AI44" s="24"/>
      <c r="AJ44" s="24"/>
      <c r="AK44" s="17"/>
      <c r="AL44" s="17"/>
      <c r="AM44" s="24"/>
      <c r="AN44" s="24"/>
      <c r="AO44" s="24"/>
      <c r="AP44" s="24"/>
      <c r="AQ44" s="24"/>
      <c r="AR44" s="24"/>
      <c r="AS44" s="12"/>
      <c r="AT44" s="12"/>
      <c r="AU44" s="24"/>
      <c r="AV44" s="24"/>
      <c r="AW44" s="24"/>
      <c r="AX44" s="24"/>
      <c r="AY44" s="24"/>
      <c r="AZ44" s="24"/>
      <c r="BA44" s="19"/>
      <c r="BB44" s="19"/>
      <c r="BC44" s="25"/>
      <c r="BD44" s="25"/>
      <c r="BE44" s="25"/>
      <c r="BF44" s="25"/>
      <c r="BG44" s="25"/>
      <c r="BH44" s="25"/>
      <c r="BI44" s="12"/>
      <c r="BJ44" s="13"/>
      <c r="BK44" s="24"/>
      <c r="BL44" s="24"/>
      <c r="BM44" s="24"/>
      <c r="BN44" s="24"/>
      <c r="BO44" s="24"/>
      <c r="BP44" s="24"/>
      <c r="BQ44" s="19"/>
      <c r="BR44" s="17"/>
    </row>
    <row r="45" spans="23:70" x14ac:dyDescent="0.25">
      <c r="W45" s="22"/>
      <c r="X45" s="22"/>
      <c r="Y45" s="22"/>
      <c r="Z45" s="22"/>
      <c r="AA45" s="22"/>
      <c r="AB45" s="22"/>
      <c r="AC45" s="12"/>
      <c r="AD45" s="12"/>
      <c r="AE45" s="24"/>
      <c r="AF45" s="24"/>
      <c r="AG45" s="24"/>
      <c r="AH45" s="24"/>
      <c r="AI45" s="24"/>
      <c r="AJ45" s="24"/>
      <c r="AK45" s="17"/>
      <c r="AL45" s="17"/>
      <c r="AM45" s="24"/>
      <c r="AN45" s="24"/>
      <c r="AO45" s="24"/>
      <c r="AP45" s="24"/>
      <c r="AQ45" s="24"/>
      <c r="AR45" s="24"/>
      <c r="AS45" s="12"/>
      <c r="AT45" s="12"/>
      <c r="AU45" s="24"/>
      <c r="AV45" s="24"/>
      <c r="AW45" s="24"/>
      <c r="AX45" s="24"/>
      <c r="AY45" s="24"/>
      <c r="AZ45" s="24"/>
      <c r="BA45" s="19"/>
      <c r="BB45" s="19"/>
      <c r="BC45" s="25"/>
      <c r="BD45" s="25"/>
      <c r="BE45" s="25"/>
      <c r="BF45" s="25"/>
      <c r="BG45" s="25"/>
      <c r="BH45" s="25"/>
      <c r="BI45" s="12"/>
      <c r="BJ45" s="13"/>
      <c r="BK45" s="24"/>
      <c r="BL45" s="24"/>
      <c r="BM45" s="24"/>
      <c r="BN45" s="24"/>
      <c r="BO45" s="24"/>
      <c r="BP45" s="24"/>
      <c r="BQ45" s="19"/>
      <c r="BR45" s="17"/>
    </row>
    <row r="46" spans="23:70" x14ac:dyDescent="0.25">
      <c r="W46" s="22"/>
      <c r="X46" s="22"/>
      <c r="Y46" s="22"/>
      <c r="Z46" s="22"/>
      <c r="AA46" s="22"/>
      <c r="AB46" s="22"/>
      <c r="AC46" s="12"/>
      <c r="AD46" s="12"/>
      <c r="AE46" s="24"/>
      <c r="AF46" s="24"/>
      <c r="AG46" s="24"/>
      <c r="AH46" s="24"/>
      <c r="AI46" s="24"/>
      <c r="AJ46" s="24"/>
      <c r="AK46" s="17"/>
      <c r="AL46" s="17"/>
      <c r="AM46" s="24"/>
      <c r="AN46" s="24"/>
      <c r="AO46" s="24"/>
      <c r="AP46" s="24"/>
      <c r="AQ46" s="24"/>
      <c r="AR46" s="24"/>
      <c r="AS46" s="12"/>
      <c r="AT46" s="12"/>
      <c r="AU46" s="24"/>
      <c r="AV46" s="24"/>
      <c r="AW46" s="24"/>
      <c r="AX46" s="24"/>
      <c r="AY46" s="24"/>
      <c r="AZ46" s="24"/>
      <c r="BA46" s="19"/>
      <c r="BB46" s="19"/>
      <c r="BC46" s="25"/>
      <c r="BD46" s="25"/>
      <c r="BE46" s="25"/>
      <c r="BF46" s="25"/>
      <c r="BG46" s="25"/>
      <c r="BH46" s="25"/>
      <c r="BI46" s="12"/>
      <c r="BJ46" s="13"/>
      <c r="BK46" s="24"/>
      <c r="BL46" s="24"/>
      <c r="BM46" s="24"/>
      <c r="BN46" s="24"/>
      <c r="BO46" s="24"/>
      <c r="BP46" s="24"/>
      <c r="BQ46" s="19"/>
      <c r="BR46" s="17"/>
    </row>
    <row r="47" spans="23:70" x14ac:dyDescent="0.25">
      <c r="W47" s="22"/>
      <c r="X47" s="22"/>
      <c r="Y47" s="22"/>
      <c r="Z47" s="22"/>
      <c r="AA47" s="22"/>
      <c r="AB47" s="22"/>
      <c r="AC47" s="12"/>
      <c r="AD47" s="12"/>
      <c r="AE47" s="24"/>
      <c r="AF47" s="24"/>
      <c r="AG47" s="24"/>
      <c r="AH47" s="24"/>
      <c r="AI47" s="24"/>
      <c r="AJ47" s="24"/>
      <c r="AK47" s="17"/>
      <c r="AL47" s="17"/>
      <c r="AM47" s="24"/>
      <c r="AN47" s="24"/>
      <c r="AO47" s="24"/>
      <c r="AP47" s="24"/>
      <c r="AQ47" s="24"/>
      <c r="AR47" s="24"/>
      <c r="AS47" s="12"/>
      <c r="AT47" s="12"/>
      <c r="AU47" s="24"/>
      <c r="AV47" s="24"/>
      <c r="AW47" s="24"/>
      <c r="AX47" s="24"/>
      <c r="AY47" s="24"/>
      <c r="AZ47" s="24"/>
      <c r="BA47" s="19"/>
      <c r="BB47" s="19"/>
      <c r="BC47" s="25"/>
      <c r="BD47" s="25"/>
      <c r="BE47" s="25"/>
      <c r="BF47" s="25"/>
      <c r="BG47" s="25"/>
      <c r="BH47" s="25"/>
      <c r="BI47" s="12"/>
      <c r="BJ47" s="13"/>
      <c r="BK47" s="24"/>
      <c r="BL47" s="24"/>
      <c r="BM47" s="24"/>
      <c r="BN47" s="24"/>
      <c r="BO47" s="24"/>
      <c r="BP47" s="24"/>
      <c r="BQ47" s="19"/>
      <c r="BR47" s="17"/>
    </row>
    <row r="48" spans="23:70" x14ac:dyDescent="0.25">
      <c r="W48" s="22"/>
      <c r="X48" s="22"/>
      <c r="Y48" s="22"/>
      <c r="Z48" s="22"/>
      <c r="AA48" s="22"/>
      <c r="AB48" s="22"/>
      <c r="AC48" s="12"/>
      <c r="AD48" s="12"/>
      <c r="AE48" s="24"/>
      <c r="AF48" s="24"/>
      <c r="AG48" s="24"/>
      <c r="AH48" s="24"/>
      <c r="AI48" s="24"/>
      <c r="AJ48" s="24"/>
      <c r="AK48" s="17"/>
      <c r="AL48" s="17"/>
      <c r="AM48" s="24"/>
      <c r="AN48" s="24"/>
      <c r="AO48" s="24"/>
      <c r="AP48" s="24"/>
      <c r="AQ48" s="24"/>
      <c r="AR48" s="24"/>
      <c r="AS48" s="12"/>
      <c r="AT48" s="12"/>
      <c r="AU48" s="24"/>
      <c r="AV48" s="24"/>
      <c r="AW48" s="24"/>
      <c r="AX48" s="24"/>
      <c r="AY48" s="24"/>
      <c r="AZ48" s="24"/>
      <c r="BA48" s="19"/>
      <c r="BB48" s="19"/>
      <c r="BC48" s="25"/>
      <c r="BD48" s="25"/>
      <c r="BE48" s="25"/>
      <c r="BF48" s="25"/>
      <c r="BG48" s="25"/>
      <c r="BH48" s="25"/>
      <c r="BI48" s="12"/>
      <c r="BJ48" s="13"/>
      <c r="BK48" s="24"/>
      <c r="BL48" s="24"/>
      <c r="BM48" s="24"/>
      <c r="BN48" s="24"/>
      <c r="BO48" s="24"/>
      <c r="BP48" s="24"/>
      <c r="BQ48" s="19"/>
      <c r="BR48" s="17"/>
    </row>
    <row r="49" spans="23:70" x14ac:dyDescent="0.25">
      <c r="W49" s="22"/>
      <c r="X49" s="22"/>
      <c r="Y49" s="22"/>
      <c r="Z49" s="22"/>
      <c r="AA49" s="22"/>
      <c r="AB49" s="22"/>
      <c r="AC49" s="12"/>
      <c r="AD49" s="12"/>
      <c r="AE49" s="24"/>
      <c r="AF49" s="24"/>
      <c r="AG49" s="24"/>
      <c r="AH49" s="24"/>
      <c r="AI49" s="24"/>
      <c r="AJ49" s="24"/>
      <c r="AK49" s="17"/>
      <c r="AL49" s="17"/>
      <c r="AM49" s="24"/>
      <c r="AN49" s="24"/>
      <c r="AO49" s="24"/>
      <c r="AP49" s="24"/>
      <c r="AQ49" s="24"/>
      <c r="AR49" s="24"/>
      <c r="AS49" s="12"/>
      <c r="AT49" s="12"/>
      <c r="AU49" s="24"/>
      <c r="AV49" s="24"/>
      <c r="AW49" s="24"/>
      <c r="AX49" s="24"/>
      <c r="AY49" s="24"/>
      <c r="AZ49" s="24"/>
      <c r="BA49" s="19"/>
      <c r="BB49" s="19"/>
      <c r="BC49" s="25"/>
      <c r="BD49" s="25"/>
      <c r="BE49" s="25"/>
      <c r="BF49" s="25"/>
      <c r="BG49" s="25"/>
      <c r="BH49" s="25"/>
      <c r="BI49" s="12"/>
      <c r="BJ49" s="13"/>
      <c r="BK49" s="24"/>
      <c r="BL49" s="24"/>
      <c r="BM49" s="24"/>
      <c r="BN49" s="24"/>
      <c r="BO49" s="24"/>
      <c r="BP49" s="24"/>
      <c r="BQ49" s="19"/>
      <c r="BR49" s="17"/>
    </row>
    <row r="50" spans="23:70" x14ac:dyDescent="0.25">
      <c r="W50" s="22"/>
      <c r="X50" s="22"/>
      <c r="Y50" s="22"/>
      <c r="Z50" s="22"/>
      <c r="AA50" s="22"/>
      <c r="AB50" s="22"/>
      <c r="AC50" s="12"/>
      <c r="AD50" s="12"/>
      <c r="AE50" s="24"/>
      <c r="AF50" s="24"/>
      <c r="AG50" s="24"/>
      <c r="AH50" s="24"/>
      <c r="AI50" s="24"/>
      <c r="AJ50" s="24"/>
      <c r="AK50" s="17"/>
      <c r="AL50" s="17"/>
      <c r="AM50" s="24"/>
      <c r="AN50" s="24"/>
      <c r="AO50" s="24"/>
      <c r="AP50" s="24"/>
      <c r="AQ50" s="24"/>
      <c r="AR50" s="24"/>
      <c r="AS50" s="12"/>
      <c r="AT50" s="12"/>
      <c r="AU50" s="24"/>
      <c r="AV50" s="24"/>
      <c r="AW50" s="24"/>
      <c r="AX50" s="24"/>
      <c r="AY50" s="24"/>
      <c r="AZ50" s="24"/>
      <c r="BA50" s="19"/>
      <c r="BB50" s="19"/>
      <c r="BC50" s="25"/>
      <c r="BD50" s="25"/>
      <c r="BE50" s="25"/>
      <c r="BF50" s="25"/>
      <c r="BG50" s="25"/>
      <c r="BH50" s="25"/>
      <c r="BI50" s="12"/>
      <c r="BJ50" s="13"/>
      <c r="BK50" s="24"/>
      <c r="BL50" s="24"/>
      <c r="BM50" s="24"/>
      <c r="BN50" s="24"/>
      <c r="BO50" s="24"/>
      <c r="BP50" s="24"/>
      <c r="BQ50" s="19"/>
      <c r="BR50" s="17"/>
    </row>
    <row r="51" spans="23:70" x14ac:dyDescent="0.25">
      <c r="W51" s="22"/>
      <c r="X51" s="22"/>
      <c r="Y51" s="22"/>
      <c r="Z51" s="22"/>
      <c r="AA51" s="22"/>
      <c r="AB51" s="22"/>
      <c r="AC51" s="12"/>
      <c r="AD51" s="12"/>
      <c r="AE51" s="24"/>
      <c r="AF51" s="24"/>
      <c r="AG51" s="24"/>
      <c r="AH51" s="24"/>
      <c r="AI51" s="24"/>
      <c r="AJ51" s="24"/>
      <c r="AK51" s="17"/>
      <c r="AL51" s="17"/>
      <c r="AM51" s="24"/>
      <c r="AN51" s="24"/>
      <c r="AO51" s="24"/>
      <c r="AP51" s="24"/>
      <c r="AQ51" s="24"/>
      <c r="AR51" s="24"/>
      <c r="AS51" s="12"/>
      <c r="AT51" s="12"/>
      <c r="AU51" s="24"/>
      <c r="AV51" s="24"/>
      <c r="AW51" s="24"/>
      <c r="AX51" s="24"/>
      <c r="AY51" s="24"/>
      <c r="AZ51" s="24"/>
      <c r="BA51" s="19"/>
      <c r="BB51" s="19"/>
      <c r="BC51" s="25"/>
      <c r="BD51" s="25"/>
      <c r="BE51" s="25"/>
      <c r="BF51" s="25"/>
      <c r="BG51" s="25"/>
      <c r="BH51" s="25"/>
      <c r="BI51" s="12"/>
      <c r="BJ51" s="13"/>
      <c r="BK51" s="24"/>
      <c r="BL51" s="24"/>
      <c r="BM51" s="24"/>
      <c r="BN51" s="24"/>
      <c r="BO51" s="24"/>
      <c r="BP51" s="24"/>
      <c r="BQ51" s="19"/>
      <c r="BR51" s="17"/>
    </row>
    <row r="52" spans="23:70" x14ac:dyDescent="0.25">
      <c r="W52" s="22"/>
      <c r="X52" s="22"/>
      <c r="Y52" s="22"/>
      <c r="Z52" s="22"/>
      <c r="AA52" s="22"/>
      <c r="AB52" s="22"/>
      <c r="AC52" s="12"/>
      <c r="AD52" s="12"/>
      <c r="AE52" s="24"/>
      <c r="AF52" s="24"/>
      <c r="AG52" s="24"/>
      <c r="AH52" s="24"/>
      <c r="AI52" s="24"/>
      <c r="AJ52" s="24"/>
      <c r="AK52" s="17"/>
      <c r="AL52" s="17"/>
      <c r="AM52" s="24"/>
      <c r="AN52" s="24"/>
      <c r="AO52" s="24"/>
      <c r="AP52" s="24"/>
      <c r="AQ52" s="24"/>
      <c r="AR52" s="24"/>
      <c r="AS52" s="12"/>
      <c r="AT52" s="12"/>
      <c r="AU52" s="24"/>
      <c r="AV52" s="24"/>
      <c r="AW52" s="24"/>
      <c r="AX52" s="24"/>
      <c r="AY52" s="24"/>
      <c r="AZ52" s="24"/>
      <c r="BA52" s="19"/>
      <c r="BB52" s="19"/>
      <c r="BC52" s="25"/>
      <c r="BD52" s="25"/>
      <c r="BE52" s="25"/>
      <c r="BF52" s="25"/>
      <c r="BG52" s="25"/>
      <c r="BH52" s="25"/>
      <c r="BI52" s="12"/>
      <c r="BJ52" s="13"/>
      <c r="BK52" s="24"/>
      <c r="BL52" s="24"/>
      <c r="BM52" s="24"/>
      <c r="BN52" s="24"/>
      <c r="BO52" s="24"/>
      <c r="BP52" s="24"/>
      <c r="BQ52" s="19"/>
      <c r="BR52" s="17"/>
    </row>
    <row r="53" spans="23:70" x14ac:dyDescent="0.25">
      <c r="W53" s="22"/>
      <c r="X53" s="22"/>
      <c r="Y53" s="22"/>
      <c r="Z53" s="22"/>
      <c r="AA53" s="22"/>
      <c r="AB53" s="22"/>
      <c r="AC53" s="12"/>
      <c r="AD53" s="12"/>
      <c r="AE53" s="24"/>
      <c r="AF53" s="24"/>
      <c r="AG53" s="24"/>
      <c r="AH53" s="24"/>
      <c r="AI53" s="24"/>
      <c r="AJ53" s="24"/>
      <c r="AK53" s="17"/>
      <c r="AL53" s="17"/>
      <c r="AM53" s="24"/>
      <c r="AN53" s="24"/>
      <c r="AO53" s="24"/>
      <c r="AP53" s="24"/>
      <c r="AQ53" s="24"/>
      <c r="AR53" s="24"/>
      <c r="AS53" s="12"/>
      <c r="AT53" s="12"/>
      <c r="AU53" s="24"/>
      <c r="AV53" s="24"/>
      <c r="AW53" s="24"/>
      <c r="AX53" s="24"/>
      <c r="AY53" s="24"/>
      <c r="AZ53" s="24"/>
      <c r="BA53" s="19"/>
      <c r="BB53" s="19"/>
      <c r="BC53" s="25"/>
      <c r="BD53" s="25"/>
      <c r="BE53" s="25"/>
      <c r="BF53" s="25"/>
      <c r="BG53" s="25"/>
      <c r="BH53" s="25"/>
      <c r="BI53" s="12"/>
      <c r="BJ53" s="13"/>
      <c r="BK53" s="24"/>
      <c r="BL53" s="24"/>
      <c r="BM53" s="24"/>
      <c r="BN53" s="24"/>
      <c r="BO53" s="24"/>
      <c r="BP53" s="24"/>
      <c r="BQ53" s="19"/>
      <c r="BR53" s="17"/>
    </row>
    <row r="54" spans="23:70" x14ac:dyDescent="0.25">
      <c r="W54" s="22"/>
      <c r="X54" s="22"/>
      <c r="Y54" s="22"/>
      <c r="Z54" s="22"/>
      <c r="AA54" s="22"/>
      <c r="AB54" s="22"/>
      <c r="AC54" s="12"/>
      <c r="AD54" s="12"/>
      <c r="AE54" s="24"/>
      <c r="AF54" s="24"/>
      <c r="AG54" s="24"/>
      <c r="AH54" s="24"/>
      <c r="AI54" s="24"/>
      <c r="AJ54" s="24"/>
      <c r="AK54" s="17"/>
      <c r="AL54" s="17"/>
      <c r="AM54" s="24"/>
      <c r="AN54" s="24"/>
      <c r="AO54" s="24"/>
      <c r="AP54" s="24"/>
      <c r="AQ54" s="24"/>
      <c r="AR54" s="24"/>
      <c r="AS54" s="12"/>
      <c r="AT54" s="12"/>
      <c r="AU54" s="24"/>
      <c r="AV54" s="24"/>
      <c r="AW54" s="24"/>
      <c r="AX54" s="24"/>
      <c r="AY54" s="24"/>
      <c r="AZ54" s="24"/>
      <c r="BA54" s="19"/>
      <c r="BB54" s="19"/>
      <c r="BC54" s="25"/>
      <c r="BD54" s="25"/>
      <c r="BE54" s="25"/>
      <c r="BF54" s="25"/>
      <c r="BG54" s="25"/>
      <c r="BH54" s="25"/>
      <c r="BI54" s="12"/>
      <c r="BJ54" s="13"/>
      <c r="BK54" s="24"/>
      <c r="BL54" s="24"/>
      <c r="BM54" s="24"/>
      <c r="BN54" s="24"/>
      <c r="BO54" s="24"/>
      <c r="BP54" s="24"/>
      <c r="BQ54" s="19"/>
      <c r="BR54" s="17"/>
    </row>
    <row r="55" spans="23:70" x14ac:dyDescent="0.25">
      <c r="W55" s="22"/>
      <c r="X55" s="22"/>
      <c r="Y55" s="22"/>
      <c r="Z55" s="22"/>
      <c r="AA55" s="22"/>
      <c r="AB55" s="22"/>
      <c r="AC55" s="12"/>
      <c r="AD55" s="12"/>
      <c r="AE55" s="24"/>
      <c r="AF55" s="24"/>
      <c r="AG55" s="24"/>
      <c r="AH55" s="24"/>
      <c r="AI55" s="24"/>
      <c r="AJ55" s="24"/>
      <c r="AK55" s="17"/>
      <c r="AL55" s="17"/>
      <c r="AM55" s="24"/>
      <c r="AN55" s="24"/>
      <c r="AO55" s="24"/>
      <c r="AP55" s="24"/>
      <c r="AQ55" s="24"/>
      <c r="AR55" s="24"/>
      <c r="AS55" s="12"/>
      <c r="AT55" s="12"/>
      <c r="AU55" s="24"/>
      <c r="AV55" s="24"/>
      <c r="AW55" s="24"/>
      <c r="AX55" s="24"/>
      <c r="AY55" s="24"/>
      <c r="AZ55" s="24"/>
      <c r="BA55" s="19"/>
      <c r="BB55" s="19"/>
      <c r="BC55" s="25"/>
      <c r="BD55" s="25"/>
      <c r="BE55" s="25"/>
      <c r="BF55" s="25"/>
      <c r="BG55" s="25"/>
      <c r="BH55" s="25"/>
      <c r="BI55" s="12"/>
      <c r="BJ55" s="13"/>
      <c r="BK55" s="24"/>
      <c r="BL55" s="24"/>
      <c r="BM55" s="24"/>
      <c r="BN55" s="24"/>
      <c r="BO55" s="24"/>
      <c r="BP55" s="24"/>
      <c r="BQ55" s="19"/>
      <c r="BR55" s="17"/>
    </row>
    <row r="56" spans="23:70" x14ac:dyDescent="0.25">
      <c r="W56" s="22"/>
      <c r="X56" s="22"/>
      <c r="Y56" s="22"/>
      <c r="Z56" s="22"/>
      <c r="AA56" s="22"/>
      <c r="AB56" s="22"/>
      <c r="AC56" s="12"/>
      <c r="AD56" s="12"/>
      <c r="AE56" s="24"/>
      <c r="AF56" s="24"/>
      <c r="AG56" s="24"/>
      <c r="AH56" s="24"/>
      <c r="AI56" s="24"/>
      <c r="AJ56" s="24"/>
      <c r="AK56" s="17"/>
      <c r="AL56" s="17"/>
      <c r="AM56" s="24"/>
      <c r="AN56" s="24"/>
      <c r="AO56" s="24"/>
      <c r="AP56" s="24"/>
      <c r="AQ56" s="24"/>
      <c r="AR56" s="24"/>
      <c r="AS56" s="12"/>
      <c r="AT56" s="12"/>
      <c r="AU56" s="24"/>
      <c r="AV56" s="24"/>
      <c r="AW56" s="24"/>
      <c r="AX56" s="24"/>
      <c r="AY56" s="24"/>
      <c r="AZ56" s="24"/>
      <c r="BA56" s="19"/>
      <c r="BB56" s="19"/>
      <c r="BC56" s="25"/>
      <c r="BD56" s="25"/>
      <c r="BE56" s="25"/>
      <c r="BF56" s="25"/>
      <c r="BG56" s="25"/>
      <c r="BH56" s="25"/>
      <c r="BI56" s="12"/>
      <c r="BJ56" s="13"/>
      <c r="BK56" s="24"/>
      <c r="BL56" s="24"/>
      <c r="BM56" s="24"/>
      <c r="BN56" s="24"/>
      <c r="BO56" s="24"/>
      <c r="BP56" s="24"/>
      <c r="BQ56" s="19"/>
      <c r="BR56" s="17"/>
    </row>
    <row r="57" spans="23:70" x14ac:dyDescent="0.25">
      <c r="W57" s="22"/>
      <c r="X57" s="22"/>
      <c r="Y57" s="22"/>
      <c r="Z57" s="22"/>
      <c r="AA57" s="22"/>
      <c r="AB57" s="22"/>
      <c r="AC57" s="12"/>
      <c r="AD57" s="12"/>
      <c r="AE57" s="24"/>
      <c r="AF57" s="24"/>
      <c r="AG57" s="24"/>
      <c r="AH57" s="24"/>
      <c r="AI57" s="24"/>
      <c r="AJ57" s="24"/>
      <c r="AK57" s="17"/>
      <c r="AL57" s="17"/>
      <c r="AM57" s="24"/>
      <c r="AN57" s="24"/>
      <c r="AO57" s="24"/>
      <c r="AP57" s="24"/>
      <c r="AQ57" s="24"/>
      <c r="AR57" s="24"/>
      <c r="AS57" s="12"/>
      <c r="AT57" s="12"/>
      <c r="AU57" s="24"/>
      <c r="AV57" s="24"/>
      <c r="AW57" s="24"/>
      <c r="AX57" s="24"/>
      <c r="AY57" s="24"/>
      <c r="AZ57" s="24"/>
      <c r="BA57" s="19"/>
      <c r="BB57" s="19"/>
      <c r="BC57" s="25"/>
      <c r="BD57" s="25"/>
      <c r="BE57" s="25"/>
      <c r="BF57" s="25"/>
      <c r="BG57" s="25"/>
      <c r="BH57" s="25"/>
      <c r="BI57" s="12"/>
      <c r="BJ57" s="13"/>
      <c r="BK57" s="24"/>
      <c r="BL57" s="24"/>
      <c r="BM57" s="24"/>
      <c r="BN57" s="24"/>
      <c r="BO57" s="24"/>
      <c r="BP57" s="24"/>
      <c r="BQ57" s="19"/>
      <c r="BR57" s="17"/>
    </row>
    <row r="58" spans="23:70" x14ac:dyDescent="0.25">
      <c r="W58" s="22"/>
      <c r="X58" s="22"/>
      <c r="Y58" s="22"/>
      <c r="Z58" s="22"/>
      <c r="AA58" s="22"/>
      <c r="AB58" s="22"/>
      <c r="AC58" s="12"/>
      <c r="AD58" s="12"/>
      <c r="AE58" s="24"/>
      <c r="AF58" s="24"/>
      <c r="AG58" s="24"/>
      <c r="AH58" s="24"/>
      <c r="AI58" s="24"/>
      <c r="AJ58" s="24"/>
      <c r="AK58" s="17"/>
      <c r="AL58" s="17"/>
      <c r="AM58" s="24"/>
      <c r="AN58" s="24"/>
      <c r="AO58" s="24"/>
      <c r="AP58" s="24"/>
      <c r="AQ58" s="24"/>
      <c r="AR58" s="24"/>
      <c r="AS58" s="12"/>
      <c r="AT58" s="12"/>
      <c r="AU58" s="24"/>
      <c r="AV58" s="24"/>
      <c r="AW58" s="24"/>
      <c r="AX58" s="24"/>
      <c r="AY58" s="24"/>
      <c r="AZ58" s="24"/>
      <c r="BA58" s="19"/>
      <c r="BB58" s="19"/>
      <c r="BC58" s="25"/>
      <c r="BD58" s="25"/>
      <c r="BE58" s="25"/>
      <c r="BF58" s="25"/>
      <c r="BG58" s="25"/>
      <c r="BH58" s="25"/>
      <c r="BI58" s="12"/>
      <c r="BJ58" s="13"/>
      <c r="BK58" s="24"/>
      <c r="BL58" s="24"/>
      <c r="BM58" s="24"/>
      <c r="BN58" s="24"/>
      <c r="BO58" s="24"/>
      <c r="BP58" s="24"/>
      <c r="BQ58" s="19"/>
      <c r="BR58" s="17"/>
    </row>
    <row r="59" spans="23:70" x14ac:dyDescent="0.25">
      <c r="W59" s="22"/>
      <c r="X59" s="22"/>
      <c r="Y59" s="22"/>
      <c r="Z59" s="22"/>
      <c r="AA59" s="22"/>
      <c r="AB59" s="22"/>
      <c r="AC59" s="12"/>
      <c r="AD59" s="12"/>
      <c r="AE59" s="24"/>
      <c r="AF59" s="24"/>
      <c r="AG59" s="24"/>
      <c r="AH59" s="24"/>
      <c r="AI59" s="24"/>
      <c r="AJ59" s="24"/>
      <c r="AK59" s="17"/>
      <c r="AL59" s="17"/>
      <c r="AM59" s="24"/>
      <c r="AN59" s="24"/>
      <c r="AO59" s="24"/>
      <c r="AP59" s="24"/>
      <c r="AQ59" s="24"/>
      <c r="AR59" s="24"/>
      <c r="AS59" s="12"/>
      <c r="AT59" s="12"/>
      <c r="AU59" s="24"/>
      <c r="AV59" s="24"/>
      <c r="AW59" s="24"/>
      <c r="AX59" s="24"/>
      <c r="AY59" s="24"/>
      <c r="AZ59" s="24"/>
      <c r="BA59" s="19"/>
      <c r="BB59" s="19"/>
      <c r="BC59" s="25"/>
      <c r="BD59" s="25"/>
      <c r="BE59" s="25"/>
      <c r="BF59" s="25"/>
      <c r="BG59" s="25"/>
      <c r="BH59" s="25"/>
      <c r="BI59" s="12"/>
      <c r="BJ59" s="13"/>
      <c r="BK59" s="24"/>
      <c r="BL59" s="24"/>
      <c r="BM59" s="24"/>
      <c r="BN59" s="24"/>
      <c r="BO59" s="24"/>
      <c r="BP59" s="24"/>
      <c r="BQ59" s="19"/>
      <c r="BR59" s="17"/>
    </row>
    <row r="60" spans="23:70" x14ac:dyDescent="0.25">
      <c r="W60" s="22"/>
      <c r="X60" s="22"/>
      <c r="Y60" s="22"/>
      <c r="Z60" s="22"/>
      <c r="AA60" s="22"/>
      <c r="AB60" s="22"/>
      <c r="AC60" s="12"/>
      <c r="AD60" s="12"/>
      <c r="AE60" s="24"/>
      <c r="AF60" s="24"/>
      <c r="AG60" s="24"/>
      <c r="AH60" s="24"/>
      <c r="AI60" s="24"/>
      <c r="AJ60" s="24"/>
      <c r="AK60" s="17"/>
      <c r="AL60" s="17"/>
      <c r="AM60" s="24"/>
      <c r="AN60" s="24"/>
      <c r="AO60" s="24"/>
      <c r="AP60" s="24"/>
      <c r="AQ60" s="24"/>
      <c r="AR60" s="24"/>
      <c r="AS60" s="12"/>
      <c r="AT60" s="12"/>
      <c r="AU60" s="24"/>
      <c r="AV60" s="24"/>
      <c r="AW60" s="24"/>
      <c r="AX60" s="24"/>
      <c r="AY60" s="24"/>
      <c r="AZ60" s="24"/>
      <c r="BA60" s="19"/>
      <c r="BB60" s="19"/>
      <c r="BC60" s="25"/>
      <c r="BD60" s="25"/>
      <c r="BE60" s="25"/>
      <c r="BF60" s="25"/>
      <c r="BG60" s="25"/>
      <c r="BH60" s="25"/>
      <c r="BI60" s="12"/>
      <c r="BJ60" s="13"/>
      <c r="BK60" s="24"/>
      <c r="BL60" s="24"/>
      <c r="BM60" s="24"/>
      <c r="BN60" s="24"/>
      <c r="BO60" s="24"/>
      <c r="BP60" s="24"/>
      <c r="BQ60" s="19"/>
      <c r="BR60" s="17"/>
    </row>
    <row r="61" spans="23:70" x14ac:dyDescent="0.25">
      <c r="W61" s="22"/>
      <c r="X61" s="22"/>
      <c r="Y61" s="22"/>
      <c r="Z61" s="22"/>
      <c r="AA61" s="22"/>
      <c r="AB61" s="22"/>
      <c r="AC61" s="12"/>
      <c r="AD61" s="12"/>
      <c r="AE61" s="24"/>
      <c r="AF61" s="24"/>
      <c r="AG61" s="24"/>
      <c r="AH61" s="24"/>
      <c r="AI61" s="24"/>
      <c r="AJ61" s="24"/>
      <c r="AK61" s="17"/>
      <c r="AL61" s="17"/>
      <c r="AM61" s="24"/>
      <c r="AN61" s="24"/>
      <c r="AO61" s="24"/>
      <c r="AP61" s="24"/>
      <c r="AQ61" s="24"/>
      <c r="AR61" s="24"/>
      <c r="AS61" s="12"/>
      <c r="AT61" s="12"/>
      <c r="AU61" s="24"/>
      <c r="AV61" s="24"/>
      <c r="AW61" s="24"/>
      <c r="AX61" s="24"/>
      <c r="AY61" s="24"/>
      <c r="AZ61" s="24"/>
      <c r="BA61" s="19"/>
      <c r="BB61" s="19"/>
      <c r="BC61" s="25"/>
      <c r="BD61" s="25"/>
      <c r="BE61" s="25"/>
      <c r="BF61" s="25"/>
      <c r="BG61" s="25"/>
      <c r="BH61" s="25"/>
      <c r="BI61" s="12"/>
      <c r="BJ61" s="13"/>
      <c r="BK61" s="24"/>
      <c r="BL61" s="24"/>
      <c r="BM61" s="24"/>
      <c r="BN61" s="24"/>
      <c r="BO61" s="24"/>
      <c r="BP61" s="24"/>
      <c r="BQ61" s="19"/>
      <c r="BR61" s="17"/>
    </row>
    <row r="62" spans="23:70" x14ac:dyDescent="0.25">
      <c r="W62" s="22"/>
      <c r="X62" s="22"/>
      <c r="Y62" s="22"/>
      <c r="Z62" s="22"/>
      <c r="AA62" s="22"/>
      <c r="AB62" s="22"/>
      <c r="AC62" s="12"/>
      <c r="AD62" s="12"/>
      <c r="AE62" s="24"/>
      <c r="AF62" s="24"/>
      <c r="AG62" s="24"/>
      <c r="AH62" s="24"/>
      <c r="AI62" s="24"/>
      <c r="AJ62" s="24"/>
      <c r="AK62" s="17"/>
      <c r="AL62" s="17"/>
      <c r="AM62" s="24"/>
      <c r="AN62" s="24"/>
      <c r="AO62" s="24"/>
      <c r="AP62" s="24"/>
      <c r="AQ62" s="24"/>
      <c r="AR62" s="24"/>
      <c r="AS62" s="12"/>
      <c r="AT62" s="12"/>
      <c r="AU62" s="24"/>
      <c r="AV62" s="24"/>
      <c r="AW62" s="24"/>
      <c r="AX62" s="24"/>
      <c r="AY62" s="24"/>
      <c r="AZ62" s="24"/>
      <c r="BA62" s="19"/>
      <c r="BB62" s="19"/>
      <c r="BC62" s="25"/>
      <c r="BD62" s="25"/>
      <c r="BE62" s="25"/>
      <c r="BF62" s="25"/>
      <c r="BG62" s="25"/>
      <c r="BH62" s="25"/>
      <c r="BI62" s="12"/>
      <c r="BJ62" s="13"/>
      <c r="BK62" s="24"/>
      <c r="BL62" s="24"/>
      <c r="BM62" s="24"/>
      <c r="BN62" s="24"/>
      <c r="BO62" s="24"/>
      <c r="BP62" s="24"/>
      <c r="BQ62" s="19"/>
      <c r="BR62" s="17"/>
    </row>
    <row r="63" spans="23:70" x14ac:dyDescent="0.25">
      <c r="W63" s="22"/>
      <c r="X63" s="22"/>
      <c r="Y63" s="22"/>
      <c r="Z63" s="22"/>
      <c r="AA63" s="22"/>
      <c r="AB63" s="22"/>
      <c r="AC63" s="12"/>
      <c r="AD63" s="12"/>
      <c r="AE63" s="24"/>
      <c r="AF63" s="24"/>
      <c r="AG63" s="24"/>
      <c r="AH63" s="24"/>
      <c r="AI63" s="24"/>
      <c r="AJ63" s="24"/>
      <c r="AK63" s="17"/>
      <c r="AL63" s="17"/>
      <c r="AM63" s="24"/>
      <c r="AN63" s="24"/>
      <c r="AO63" s="24"/>
      <c r="AP63" s="24"/>
      <c r="AQ63" s="24"/>
      <c r="AR63" s="24"/>
      <c r="AS63" s="12"/>
      <c r="AT63" s="12"/>
      <c r="AU63" s="24"/>
      <c r="AV63" s="24"/>
      <c r="AW63" s="24"/>
      <c r="AX63" s="24"/>
      <c r="AY63" s="24"/>
      <c r="AZ63" s="24"/>
      <c r="BA63" s="19"/>
      <c r="BB63" s="19"/>
      <c r="BC63" s="25"/>
      <c r="BD63" s="25"/>
      <c r="BE63" s="25"/>
      <c r="BF63" s="25"/>
      <c r="BG63" s="25"/>
      <c r="BH63" s="25"/>
      <c r="BI63" s="12"/>
      <c r="BJ63" s="13"/>
      <c r="BK63" s="24"/>
      <c r="BL63" s="24"/>
      <c r="BM63" s="24"/>
      <c r="BN63" s="24"/>
      <c r="BO63" s="24"/>
      <c r="BP63" s="24"/>
      <c r="BQ63" s="19"/>
      <c r="BR63" s="17"/>
    </row>
    <row r="64" spans="23:70" x14ac:dyDescent="0.25">
      <c r="W64" s="22"/>
      <c r="X64" s="22"/>
      <c r="Y64" s="22"/>
      <c r="Z64" s="22"/>
      <c r="AA64" s="22"/>
      <c r="AB64" s="22"/>
      <c r="AC64" s="12"/>
      <c r="AD64" s="12"/>
      <c r="AE64" s="24"/>
      <c r="AF64" s="24"/>
      <c r="AG64" s="24"/>
      <c r="AH64" s="24"/>
      <c r="AI64" s="24"/>
      <c r="AJ64" s="24"/>
      <c r="AK64" s="17"/>
      <c r="AL64" s="17"/>
      <c r="AM64" s="24"/>
      <c r="AN64" s="24"/>
      <c r="AO64" s="24"/>
      <c r="AP64" s="24"/>
      <c r="AQ64" s="24"/>
      <c r="AR64" s="24"/>
      <c r="AS64" s="12"/>
      <c r="AT64" s="12"/>
      <c r="AU64" s="24"/>
      <c r="AV64" s="24"/>
      <c r="AW64" s="24"/>
      <c r="AX64" s="24"/>
      <c r="AY64" s="24"/>
      <c r="AZ64" s="24"/>
      <c r="BA64" s="19"/>
      <c r="BB64" s="19"/>
      <c r="BC64" s="25"/>
      <c r="BD64" s="25"/>
      <c r="BE64" s="25"/>
      <c r="BF64" s="25"/>
      <c r="BG64" s="25"/>
      <c r="BH64" s="25"/>
      <c r="BI64" s="12"/>
      <c r="BJ64" s="13"/>
      <c r="BK64" s="24"/>
      <c r="BL64" s="24"/>
      <c r="BM64" s="24"/>
      <c r="BN64" s="24"/>
      <c r="BO64" s="24"/>
      <c r="BP64" s="24"/>
      <c r="BQ64" s="19"/>
      <c r="BR64" s="17"/>
    </row>
    <row r="65" spans="23:70" x14ac:dyDescent="0.25">
      <c r="W65" s="22"/>
      <c r="X65" s="22"/>
      <c r="Y65" s="22"/>
      <c r="Z65" s="22"/>
      <c r="AA65" s="22"/>
      <c r="AB65" s="22"/>
      <c r="AC65" s="12"/>
      <c r="AD65" s="12"/>
      <c r="AE65" s="24"/>
      <c r="AF65" s="24"/>
      <c r="AG65" s="24"/>
      <c r="AH65" s="24"/>
      <c r="AI65" s="24"/>
      <c r="AJ65" s="24"/>
      <c r="AK65" s="17"/>
      <c r="AL65" s="17"/>
      <c r="AM65" s="24"/>
      <c r="AN65" s="24"/>
      <c r="AO65" s="24"/>
      <c r="AP65" s="24"/>
      <c r="AQ65" s="24"/>
      <c r="AR65" s="24"/>
      <c r="AS65" s="12"/>
      <c r="AT65" s="12"/>
      <c r="AU65" s="24"/>
      <c r="AV65" s="24"/>
      <c r="AW65" s="24"/>
      <c r="AX65" s="24"/>
      <c r="AY65" s="24"/>
      <c r="AZ65" s="24"/>
      <c r="BA65" s="19"/>
      <c r="BB65" s="19"/>
      <c r="BC65" s="25"/>
      <c r="BD65" s="25"/>
      <c r="BE65" s="25"/>
      <c r="BF65" s="25"/>
      <c r="BG65" s="25"/>
      <c r="BH65" s="25"/>
      <c r="BI65" s="12"/>
      <c r="BJ65" s="13"/>
      <c r="BK65" s="24"/>
      <c r="BL65" s="24"/>
      <c r="BM65" s="24"/>
      <c r="BN65" s="24"/>
      <c r="BO65" s="24"/>
      <c r="BP65" s="24"/>
      <c r="BQ65" s="19"/>
      <c r="BR65" s="17"/>
    </row>
    <row r="66" spans="23:70" x14ac:dyDescent="0.25">
      <c r="W66" s="22"/>
      <c r="X66" s="22"/>
      <c r="Y66" s="22"/>
      <c r="Z66" s="22"/>
      <c r="AA66" s="22"/>
      <c r="AB66" s="22"/>
      <c r="AC66" s="12"/>
      <c r="AD66" s="12"/>
      <c r="AE66" s="24"/>
      <c r="AF66" s="24"/>
      <c r="AG66" s="24"/>
      <c r="AH66" s="24"/>
      <c r="AI66" s="24"/>
      <c r="AJ66" s="24"/>
      <c r="AK66" s="17"/>
      <c r="AL66" s="17"/>
      <c r="AM66" s="24"/>
      <c r="AN66" s="24"/>
      <c r="AO66" s="24"/>
      <c r="AP66" s="24"/>
      <c r="AQ66" s="24"/>
      <c r="AR66" s="24"/>
      <c r="AS66" s="12"/>
      <c r="AT66" s="12"/>
      <c r="AU66" s="24"/>
      <c r="AV66" s="24"/>
      <c r="AW66" s="24"/>
      <c r="AX66" s="24"/>
      <c r="AY66" s="24"/>
      <c r="AZ66" s="24"/>
      <c r="BA66" s="19"/>
      <c r="BB66" s="19"/>
      <c r="BC66" s="25"/>
      <c r="BD66" s="25"/>
      <c r="BE66" s="25"/>
      <c r="BF66" s="25"/>
      <c r="BG66" s="25"/>
      <c r="BH66" s="25"/>
      <c r="BI66" s="12"/>
      <c r="BJ66" s="13"/>
      <c r="BK66" s="24"/>
      <c r="BL66" s="24"/>
      <c r="BM66" s="24"/>
      <c r="BN66" s="24"/>
      <c r="BO66" s="24"/>
      <c r="BP66" s="24"/>
      <c r="BQ66" s="19"/>
      <c r="BR66" s="17"/>
    </row>
    <row r="67" spans="23:70" x14ac:dyDescent="0.25">
      <c r="W67" s="22"/>
      <c r="X67" s="22"/>
      <c r="Y67" s="22"/>
      <c r="Z67" s="22"/>
      <c r="AA67" s="22"/>
      <c r="AB67" s="22"/>
      <c r="AC67" s="12"/>
      <c r="AD67" s="12"/>
      <c r="AE67" s="24"/>
      <c r="AF67" s="24"/>
      <c r="AG67" s="24"/>
      <c r="AH67" s="24"/>
      <c r="AI67" s="24"/>
      <c r="AJ67" s="24"/>
      <c r="AK67" s="17"/>
      <c r="AL67" s="17"/>
      <c r="AM67" s="24"/>
      <c r="AN67" s="24"/>
      <c r="AO67" s="24"/>
      <c r="AP67" s="24"/>
      <c r="AQ67" s="24"/>
      <c r="AR67" s="24"/>
      <c r="AS67" s="12"/>
      <c r="AT67" s="12"/>
      <c r="AU67" s="24"/>
      <c r="AV67" s="24"/>
      <c r="AW67" s="24"/>
      <c r="AX67" s="24"/>
      <c r="AY67" s="24"/>
      <c r="AZ67" s="24"/>
      <c r="BA67" s="19"/>
      <c r="BB67" s="19"/>
      <c r="BC67" s="25"/>
      <c r="BD67" s="25"/>
      <c r="BE67" s="25"/>
      <c r="BF67" s="25"/>
      <c r="BG67" s="25"/>
      <c r="BH67" s="25"/>
      <c r="BI67" s="12"/>
      <c r="BJ67" s="13"/>
      <c r="BK67" s="24"/>
      <c r="BL67" s="24"/>
      <c r="BM67" s="24"/>
      <c r="BN67" s="24"/>
      <c r="BO67" s="24"/>
      <c r="BP67" s="24"/>
      <c r="BQ67" s="19"/>
      <c r="BR67" s="17"/>
    </row>
    <row r="68" spans="23:70" x14ac:dyDescent="0.25">
      <c r="W68" s="22"/>
      <c r="X68" s="22"/>
      <c r="Y68" s="22"/>
      <c r="Z68" s="22"/>
      <c r="AA68" s="22"/>
      <c r="AB68" s="22"/>
      <c r="AC68" s="12"/>
      <c r="AD68" s="12"/>
      <c r="AE68" s="24"/>
      <c r="AF68" s="24"/>
      <c r="AG68" s="24"/>
      <c r="AH68" s="24"/>
      <c r="AI68" s="24"/>
      <c r="AJ68" s="24"/>
      <c r="AK68" s="17"/>
      <c r="AL68" s="17"/>
      <c r="AM68" s="24"/>
      <c r="AN68" s="24"/>
      <c r="AO68" s="24"/>
      <c r="AP68" s="24"/>
      <c r="AQ68" s="24"/>
      <c r="AR68" s="24"/>
      <c r="AS68" s="12"/>
      <c r="AT68" s="12"/>
      <c r="AU68" s="24"/>
      <c r="AV68" s="24"/>
      <c r="AW68" s="24"/>
      <c r="AX68" s="24"/>
      <c r="AY68" s="24"/>
      <c r="AZ68" s="24"/>
      <c r="BA68" s="19"/>
      <c r="BB68" s="19"/>
      <c r="BC68" s="25"/>
      <c r="BD68" s="25"/>
      <c r="BE68" s="25"/>
      <c r="BF68" s="25"/>
      <c r="BG68" s="25"/>
      <c r="BH68" s="25"/>
      <c r="BI68" s="12"/>
      <c r="BJ68" s="13"/>
      <c r="BK68" s="24"/>
      <c r="BL68" s="24"/>
      <c r="BM68" s="24"/>
      <c r="BN68" s="24"/>
      <c r="BO68" s="24"/>
      <c r="BP68" s="24"/>
      <c r="BQ68" s="19"/>
      <c r="BR68" s="17"/>
    </row>
    <row r="69" spans="23:70" x14ac:dyDescent="0.25">
      <c r="W69" s="22"/>
      <c r="X69" s="22"/>
      <c r="Y69" s="22"/>
      <c r="Z69" s="22"/>
      <c r="AA69" s="22"/>
      <c r="AB69" s="22"/>
      <c r="AC69" s="12"/>
      <c r="AD69" s="12"/>
      <c r="AE69" s="24"/>
      <c r="AF69" s="24"/>
      <c r="AG69" s="24"/>
      <c r="AH69" s="24"/>
      <c r="AI69" s="24"/>
      <c r="AJ69" s="24"/>
      <c r="AK69" s="17"/>
      <c r="AL69" s="17"/>
      <c r="AM69" s="24"/>
      <c r="AN69" s="24"/>
      <c r="AO69" s="24"/>
      <c r="AP69" s="24"/>
      <c r="AQ69" s="24"/>
      <c r="AR69" s="24"/>
      <c r="AS69" s="12"/>
      <c r="AT69" s="12"/>
      <c r="AU69" s="24"/>
      <c r="AV69" s="24"/>
      <c r="AW69" s="24"/>
      <c r="AX69" s="24"/>
      <c r="AY69" s="24"/>
      <c r="AZ69" s="24"/>
      <c r="BA69" s="19"/>
      <c r="BB69" s="19"/>
      <c r="BC69" s="25"/>
      <c r="BD69" s="25"/>
      <c r="BE69" s="25"/>
      <c r="BF69" s="25"/>
      <c r="BG69" s="25"/>
      <c r="BH69" s="25"/>
      <c r="BI69" s="12"/>
      <c r="BJ69" s="13"/>
      <c r="BK69" s="24"/>
      <c r="BL69" s="24"/>
      <c r="BM69" s="24"/>
      <c r="BN69" s="24"/>
      <c r="BO69" s="24"/>
      <c r="BP69" s="24"/>
      <c r="BQ69" s="19"/>
      <c r="BR69" s="17"/>
    </row>
    <row r="70" spans="23:70" x14ac:dyDescent="0.25">
      <c r="W70" s="22"/>
      <c r="X70" s="22"/>
      <c r="Y70" s="22"/>
      <c r="Z70" s="22"/>
      <c r="AA70" s="22"/>
      <c r="AB70" s="22"/>
      <c r="AC70" s="12"/>
      <c r="AD70" s="12"/>
      <c r="AE70" s="24"/>
      <c r="AF70" s="24"/>
      <c r="AG70" s="24"/>
      <c r="AH70" s="24"/>
      <c r="AI70" s="24"/>
      <c r="AJ70" s="24"/>
      <c r="AK70" s="17"/>
      <c r="AL70" s="17"/>
      <c r="AM70" s="24"/>
      <c r="AN70" s="24"/>
      <c r="AO70" s="24"/>
      <c r="AP70" s="24"/>
      <c r="AQ70" s="24"/>
      <c r="AR70" s="24"/>
      <c r="AS70" s="12"/>
      <c r="AT70" s="12"/>
      <c r="AU70" s="24"/>
      <c r="AV70" s="24"/>
      <c r="AW70" s="24"/>
      <c r="AX70" s="24"/>
      <c r="AY70" s="24"/>
      <c r="AZ70" s="24"/>
      <c r="BA70" s="19"/>
      <c r="BB70" s="19"/>
      <c r="BC70" s="25"/>
      <c r="BD70" s="25"/>
      <c r="BE70" s="25"/>
      <c r="BF70" s="25"/>
      <c r="BG70" s="25"/>
      <c r="BH70" s="25"/>
      <c r="BI70" s="12"/>
      <c r="BJ70" s="13"/>
      <c r="BK70" s="24"/>
      <c r="BL70" s="24"/>
      <c r="BM70" s="24"/>
      <c r="BN70" s="24"/>
      <c r="BO70" s="24"/>
      <c r="BP70" s="24"/>
      <c r="BQ70" s="19"/>
      <c r="BR70" s="17"/>
    </row>
    <row r="71" spans="23:70" x14ac:dyDescent="0.25">
      <c r="W71" s="22"/>
      <c r="X71" s="22"/>
      <c r="Y71" s="22"/>
      <c r="Z71" s="22"/>
      <c r="AA71" s="22"/>
      <c r="AB71" s="22"/>
      <c r="AC71" s="12"/>
      <c r="AD71" s="12"/>
      <c r="AE71" s="24"/>
      <c r="AF71" s="24"/>
      <c r="AG71" s="24"/>
      <c r="AH71" s="24"/>
      <c r="AI71" s="24"/>
      <c r="AJ71" s="24"/>
      <c r="AK71" s="17"/>
      <c r="AL71" s="17"/>
      <c r="AM71" s="24"/>
      <c r="AN71" s="24"/>
      <c r="AO71" s="24"/>
      <c r="AP71" s="24"/>
      <c r="AQ71" s="24"/>
      <c r="AR71" s="24"/>
      <c r="AS71" s="12"/>
      <c r="AT71" s="12"/>
      <c r="AU71" s="24"/>
      <c r="AV71" s="24"/>
      <c r="AW71" s="24"/>
      <c r="AX71" s="24"/>
      <c r="AY71" s="24"/>
      <c r="AZ71" s="24"/>
      <c r="BA71" s="19"/>
      <c r="BB71" s="19"/>
      <c r="BC71" s="25"/>
      <c r="BD71" s="25"/>
      <c r="BE71" s="25"/>
      <c r="BF71" s="25"/>
      <c r="BG71" s="25"/>
      <c r="BH71" s="25"/>
      <c r="BI71" s="12"/>
      <c r="BJ71" s="13"/>
      <c r="BK71" s="24"/>
      <c r="BL71" s="24"/>
      <c r="BM71" s="24"/>
      <c r="BN71" s="24"/>
      <c r="BO71" s="24"/>
      <c r="BP71" s="24"/>
      <c r="BQ71" s="19"/>
      <c r="BR71" s="17"/>
    </row>
    <row r="72" spans="23:70" x14ac:dyDescent="0.25">
      <c r="W72" s="22"/>
      <c r="X72" s="22"/>
      <c r="Y72" s="22"/>
      <c r="Z72" s="22"/>
      <c r="AA72" s="22"/>
      <c r="AB72" s="22"/>
      <c r="AC72" s="12"/>
      <c r="AD72" s="12"/>
      <c r="AE72" s="24"/>
      <c r="AF72" s="24"/>
      <c r="AG72" s="24"/>
      <c r="AH72" s="24"/>
      <c r="AI72" s="24"/>
      <c r="AJ72" s="24"/>
      <c r="AK72" s="17"/>
      <c r="AL72" s="17"/>
      <c r="AM72" s="24"/>
      <c r="AN72" s="24"/>
      <c r="AO72" s="24"/>
      <c r="AP72" s="24"/>
      <c r="AQ72" s="24"/>
      <c r="AR72" s="24"/>
      <c r="AS72" s="12"/>
      <c r="AT72" s="12"/>
      <c r="AU72" s="24"/>
      <c r="AV72" s="24"/>
      <c r="AW72" s="24"/>
      <c r="AX72" s="24"/>
      <c r="AY72" s="24"/>
      <c r="AZ72" s="24"/>
      <c r="BA72" s="19"/>
      <c r="BB72" s="19"/>
      <c r="BC72" s="25"/>
      <c r="BD72" s="25"/>
      <c r="BE72" s="25"/>
      <c r="BF72" s="25"/>
      <c r="BG72" s="25"/>
      <c r="BH72" s="25"/>
      <c r="BI72" s="12"/>
      <c r="BJ72" s="13"/>
      <c r="BK72" s="24"/>
      <c r="BL72" s="24"/>
      <c r="BM72" s="24"/>
      <c r="BN72" s="24"/>
      <c r="BO72" s="24"/>
      <c r="BP72" s="24"/>
      <c r="BQ72" s="19"/>
      <c r="BR72" s="17"/>
    </row>
    <row r="73" spans="23:70" x14ac:dyDescent="0.25">
      <c r="W73" s="22"/>
      <c r="X73" s="22"/>
      <c r="Y73" s="22"/>
      <c r="Z73" s="22"/>
      <c r="AA73" s="22"/>
      <c r="AB73" s="22"/>
      <c r="AC73" s="12"/>
      <c r="AD73" s="12"/>
      <c r="AE73" s="24"/>
      <c r="AF73" s="24"/>
      <c r="AG73" s="24"/>
      <c r="AH73" s="24"/>
      <c r="AI73" s="24"/>
      <c r="AJ73" s="24"/>
      <c r="AK73" s="17"/>
      <c r="AL73" s="17"/>
      <c r="AM73" s="24"/>
      <c r="AN73" s="24"/>
      <c r="AO73" s="24"/>
      <c r="AP73" s="24"/>
      <c r="AQ73" s="24"/>
      <c r="AR73" s="24"/>
      <c r="AS73" s="12"/>
      <c r="AT73" s="12"/>
      <c r="AU73" s="24"/>
      <c r="AV73" s="24"/>
      <c r="AW73" s="24"/>
      <c r="AX73" s="24"/>
      <c r="AY73" s="24"/>
      <c r="AZ73" s="24"/>
      <c r="BA73" s="19"/>
      <c r="BB73" s="19"/>
      <c r="BC73" s="25"/>
      <c r="BD73" s="25"/>
      <c r="BE73" s="25"/>
      <c r="BF73" s="25"/>
      <c r="BG73" s="25"/>
      <c r="BH73" s="25"/>
      <c r="BI73" s="12"/>
      <c r="BJ73" s="13"/>
      <c r="BK73" s="24"/>
      <c r="BL73" s="24"/>
      <c r="BM73" s="24"/>
      <c r="BN73" s="24"/>
      <c r="BO73" s="24"/>
      <c r="BP73" s="24"/>
      <c r="BQ73" s="19"/>
      <c r="BR73" s="17"/>
    </row>
    <row r="74" spans="23:70" x14ac:dyDescent="0.25">
      <c r="W74" s="22"/>
      <c r="X74" s="22"/>
      <c r="Y74" s="22"/>
      <c r="Z74" s="22"/>
      <c r="AA74" s="22"/>
      <c r="AB74" s="22"/>
      <c r="AC74" s="12"/>
      <c r="AD74" s="12"/>
      <c r="AE74" s="24"/>
      <c r="AF74" s="24"/>
      <c r="AG74" s="24"/>
      <c r="AH74" s="24"/>
      <c r="AI74" s="24"/>
      <c r="AJ74" s="24"/>
      <c r="AK74" s="17"/>
      <c r="AL74" s="17"/>
      <c r="AM74" s="24"/>
      <c r="AN74" s="24"/>
      <c r="AO74" s="24"/>
      <c r="AP74" s="24"/>
      <c r="AQ74" s="24"/>
      <c r="AR74" s="24"/>
      <c r="AS74" s="12"/>
      <c r="AT74" s="12"/>
      <c r="AU74" s="24"/>
      <c r="AV74" s="24"/>
      <c r="AW74" s="24"/>
      <c r="AX74" s="24"/>
      <c r="AY74" s="24"/>
      <c r="AZ74" s="24"/>
      <c r="BA74" s="19"/>
      <c r="BB74" s="19"/>
      <c r="BC74" s="25"/>
      <c r="BD74" s="25"/>
      <c r="BE74" s="25"/>
      <c r="BF74" s="25"/>
      <c r="BG74" s="25"/>
      <c r="BH74" s="25"/>
      <c r="BI74" s="12"/>
      <c r="BJ74" s="13"/>
      <c r="BK74" s="24"/>
      <c r="BL74" s="24"/>
      <c r="BM74" s="24"/>
      <c r="BN74" s="24"/>
      <c r="BO74" s="24"/>
      <c r="BP74" s="24"/>
      <c r="BQ74" s="19"/>
      <c r="BR74" s="17"/>
    </row>
    <row r="75" spans="23:70" x14ac:dyDescent="0.25">
      <c r="W75" s="22"/>
      <c r="X75" s="22"/>
      <c r="Y75" s="22"/>
      <c r="Z75" s="22"/>
      <c r="AA75" s="22"/>
      <c r="AB75" s="22"/>
      <c r="AC75" s="12"/>
      <c r="AD75" s="12"/>
      <c r="AE75" s="24"/>
      <c r="AF75" s="24"/>
      <c r="AG75" s="24"/>
      <c r="AH75" s="24"/>
      <c r="AI75" s="24"/>
      <c r="AJ75" s="24"/>
      <c r="AK75" s="17"/>
      <c r="AL75" s="17"/>
      <c r="AM75" s="24"/>
      <c r="AN75" s="24"/>
      <c r="AO75" s="24"/>
      <c r="AP75" s="24"/>
      <c r="AQ75" s="24"/>
      <c r="AR75" s="24"/>
      <c r="AS75" s="12"/>
      <c r="AT75" s="12"/>
      <c r="AU75" s="24"/>
      <c r="AV75" s="24"/>
      <c r="AW75" s="24"/>
      <c r="AX75" s="24"/>
      <c r="AY75" s="24"/>
      <c r="AZ75" s="24"/>
      <c r="BA75" s="19"/>
      <c r="BB75" s="19"/>
      <c r="BC75" s="25"/>
      <c r="BD75" s="25"/>
      <c r="BE75" s="25"/>
      <c r="BF75" s="25"/>
      <c r="BG75" s="25"/>
      <c r="BH75" s="25"/>
      <c r="BI75" s="12"/>
      <c r="BJ75" s="13"/>
      <c r="BK75" s="24"/>
      <c r="BL75" s="24"/>
      <c r="BM75" s="24"/>
      <c r="BN75" s="24"/>
      <c r="BO75" s="24"/>
      <c r="BP75" s="24"/>
      <c r="BQ75" s="19"/>
      <c r="BR75" s="17"/>
    </row>
    <row r="76" spans="23:70" x14ac:dyDescent="0.25">
      <c r="W76" s="22"/>
      <c r="X76" s="22"/>
      <c r="Y76" s="22"/>
      <c r="Z76" s="22"/>
      <c r="AA76" s="22"/>
      <c r="AB76" s="22"/>
      <c r="AC76" s="12"/>
      <c r="AD76" s="12"/>
      <c r="AE76" s="24"/>
      <c r="AF76" s="24"/>
      <c r="AG76" s="24"/>
      <c r="AH76" s="24"/>
      <c r="AI76" s="24"/>
      <c r="AJ76" s="24"/>
      <c r="AK76" s="17"/>
      <c r="AL76" s="17"/>
      <c r="AM76" s="24"/>
      <c r="AN76" s="24"/>
      <c r="AO76" s="24"/>
      <c r="AP76" s="24"/>
      <c r="AQ76" s="24"/>
      <c r="AR76" s="24"/>
      <c r="AS76" s="12"/>
      <c r="AT76" s="12"/>
      <c r="AU76" s="24"/>
      <c r="AV76" s="24"/>
      <c r="AW76" s="24"/>
      <c r="AX76" s="24"/>
      <c r="AY76" s="24"/>
      <c r="AZ76" s="24"/>
      <c r="BA76" s="19"/>
      <c r="BB76" s="19"/>
      <c r="BC76" s="25"/>
      <c r="BD76" s="25"/>
      <c r="BE76" s="25"/>
      <c r="BF76" s="25"/>
      <c r="BG76" s="25"/>
      <c r="BH76" s="25"/>
      <c r="BI76" s="12"/>
      <c r="BJ76" s="13"/>
      <c r="BK76" s="24"/>
      <c r="BL76" s="24"/>
      <c r="BM76" s="24"/>
      <c r="BN76" s="24"/>
      <c r="BO76" s="24"/>
      <c r="BP76" s="24"/>
      <c r="BQ76" s="19"/>
      <c r="BR76" s="17"/>
    </row>
    <row r="77" spans="23:70" x14ac:dyDescent="0.25">
      <c r="W77" s="22"/>
      <c r="X77" s="22"/>
      <c r="Y77" s="22"/>
      <c r="Z77" s="22"/>
      <c r="AA77" s="22"/>
      <c r="AB77" s="22"/>
      <c r="AC77" s="12"/>
      <c r="AD77" s="12"/>
      <c r="AE77" s="24"/>
      <c r="AF77" s="24"/>
      <c r="AG77" s="24"/>
      <c r="AH77" s="24"/>
      <c r="AI77" s="24"/>
      <c r="AJ77" s="24"/>
      <c r="AK77" s="17"/>
      <c r="AL77" s="17"/>
      <c r="AM77" s="24"/>
      <c r="AN77" s="24"/>
      <c r="AO77" s="24"/>
      <c r="AP77" s="24"/>
      <c r="AQ77" s="24"/>
      <c r="AR77" s="24"/>
      <c r="AS77" s="12"/>
      <c r="AT77" s="12"/>
      <c r="AU77" s="24"/>
      <c r="AV77" s="24"/>
      <c r="AW77" s="24"/>
      <c r="AX77" s="24"/>
      <c r="AY77" s="24"/>
      <c r="AZ77" s="24"/>
      <c r="BA77" s="19"/>
      <c r="BB77" s="19"/>
      <c r="BC77" s="25"/>
      <c r="BD77" s="25"/>
      <c r="BE77" s="25"/>
      <c r="BF77" s="25"/>
      <c r="BG77" s="25"/>
      <c r="BH77" s="25"/>
      <c r="BI77" s="12"/>
      <c r="BJ77" s="13"/>
      <c r="BK77" s="24"/>
      <c r="BL77" s="24"/>
      <c r="BM77" s="24"/>
      <c r="BN77" s="24"/>
      <c r="BO77" s="24"/>
      <c r="BP77" s="24"/>
      <c r="BQ77" s="19"/>
      <c r="BR77" s="17"/>
    </row>
    <row r="78" spans="23:70" x14ac:dyDescent="0.25">
      <c r="W78" s="22"/>
      <c r="X78" s="22"/>
      <c r="Y78" s="22"/>
      <c r="Z78" s="22"/>
      <c r="AA78" s="22"/>
      <c r="AB78" s="22"/>
      <c r="AC78" s="12"/>
      <c r="AD78" s="12"/>
      <c r="AE78" s="24"/>
      <c r="AF78" s="24"/>
      <c r="AG78" s="24"/>
      <c r="AH78" s="24"/>
      <c r="AI78" s="24"/>
      <c r="AJ78" s="24"/>
      <c r="AK78" s="17"/>
      <c r="AL78" s="17"/>
      <c r="AM78" s="24"/>
      <c r="AN78" s="24"/>
      <c r="AO78" s="24"/>
      <c r="AP78" s="24"/>
      <c r="AQ78" s="24"/>
      <c r="AR78" s="24"/>
      <c r="AS78" s="12"/>
      <c r="AT78" s="12"/>
      <c r="AU78" s="24"/>
      <c r="AV78" s="24"/>
      <c r="AW78" s="24"/>
      <c r="AX78" s="24"/>
      <c r="AY78" s="24"/>
      <c r="AZ78" s="24"/>
      <c r="BA78" s="19"/>
      <c r="BB78" s="19"/>
      <c r="BC78" s="25"/>
      <c r="BD78" s="25"/>
      <c r="BE78" s="25"/>
      <c r="BF78" s="25"/>
      <c r="BG78" s="25"/>
      <c r="BH78" s="25"/>
      <c r="BI78" s="12"/>
      <c r="BJ78" s="13"/>
      <c r="BK78" s="24"/>
      <c r="BL78" s="24"/>
      <c r="BM78" s="24"/>
      <c r="BN78" s="24"/>
      <c r="BO78" s="24"/>
      <c r="BP78" s="24"/>
      <c r="BQ78" s="19"/>
      <c r="BR78" s="17"/>
    </row>
    <row r="79" spans="23:70" x14ac:dyDescent="0.25">
      <c r="W79" s="22"/>
      <c r="X79" s="22"/>
      <c r="Y79" s="22"/>
      <c r="Z79" s="22"/>
      <c r="AA79" s="22"/>
      <c r="AB79" s="22"/>
      <c r="AC79" s="12"/>
      <c r="AD79" s="12"/>
      <c r="AE79" s="24"/>
      <c r="AF79" s="24"/>
      <c r="AG79" s="24"/>
      <c r="AH79" s="24"/>
      <c r="AI79" s="24"/>
      <c r="AJ79" s="24"/>
      <c r="AK79" s="17"/>
      <c r="AL79" s="17"/>
      <c r="AM79" s="24"/>
      <c r="AN79" s="24"/>
      <c r="AO79" s="24"/>
      <c r="AP79" s="24"/>
      <c r="AQ79" s="24"/>
      <c r="AR79" s="24"/>
      <c r="AS79" s="12"/>
      <c r="AT79" s="12"/>
      <c r="AU79" s="24"/>
      <c r="AV79" s="24"/>
      <c r="AW79" s="24"/>
      <c r="AX79" s="24"/>
      <c r="AY79" s="24"/>
      <c r="AZ79" s="24"/>
      <c r="BA79" s="19"/>
      <c r="BB79" s="19"/>
      <c r="BC79" s="25"/>
      <c r="BD79" s="25"/>
      <c r="BE79" s="25"/>
      <c r="BF79" s="25"/>
      <c r="BG79" s="25"/>
      <c r="BH79" s="25"/>
      <c r="BI79" s="12"/>
      <c r="BJ79" s="13"/>
      <c r="BK79" s="24"/>
      <c r="BL79" s="24"/>
      <c r="BM79" s="24"/>
      <c r="BN79" s="24"/>
      <c r="BO79" s="24"/>
      <c r="BP79" s="24"/>
      <c r="BQ79" s="19"/>
      <c r="BR79" s="17"/>
    </row>
    <row r="80" spans="23:70" x14ac:dyDescent="0.25">
      <c r="W80" s="22"/>
      <c r="X80" s="22"/>
      <c r="Y80" s="22"/>
      <c r="Z80" s="22"/>
      <c r="AA80" s="22"/>
      <c r="AB80" s="22"/>
      <c r="AC80" s="12"/>
      <c r="AD80" s="12"/>
      <c r="AE80" s="24"/>
      <c r="AF80" s="24"/>
      <c r="AG80" s="24"/>
      <c r="AH80" s="24"/>
      <c r="AI80" s="24"/>
      <c r="AJ80" s="24"/>
      <c r="AK80" s="17"/>
      <c r="AL80" s="17"/>
      <c r="AM80" s="24"/>
      <c r="AN80" s="24"/>
      <c r="AO80" s="24"/>
      <c r="AP80" s="24"/>
      <c r="AQ80" s="24"/>
      <c r="AR80" s="24"/>
      <c r="AS80" s="12"/>
      <c r="AT80" s="12"/>
      <c r="AU80" s="24"/>
      <c r="AV80" s="24"/>
      <c r="AW80" s="24"/>
      <c r="AX80" s="24"/>
      <c r="AY80" s="24"/>
      <c r="AZ80" s="24"/>
      <c r="BA80" s="19"/>
      <c r="BB80" s="19"/>
      <c r="BC80" s="25"/>
      <c r="BD80" s="25"/>
      <c r="BE80" s="25"/>
      <c r="BF80" s="25"/>
      <c r="BG80" s="25"/>
      <c r="BH80" s="25"/>
      <c r="BI80" s="12"/>
      <c r="BJ80" s="13"/>
      <c r="BK80" s="24"/>
      <c r="BL80" s="24"/>
      <c r="BM80" s="24"/>
      <c r="BN80" s="24"/>
      <c r="BO80" s="24"/>
      <c r="BP80" s="24"/>
      <c r="BQ80" s="19"/>
      <c r="BR80" s="17"/>
    </row>
    <row r="81" spans="23:70" x14ac:dyDescent="0.25">
      <c r="W81" s="22"/>
      <c r="X81" s="22"/>
      <c r="Y81" s="22"/>
      <c r="Z81" s="22"/>
      <c r="AA81" s="22"/>
      <c r="AB81" s="22"/>
      <c r="AC81" s="12"/>
      <c r="AD81" s="12"/>
      <c r="AE81" s="24"/>
      <c r="AF81" s="24"/>
      <c r="AG81" s="24"/>
      <c r="AH81" s="24"/>
      <c r="AI81" s="24"/>
      <c r="AJ81" s="24"/>
      <c r="AK81" s="17"/>
      <c r="AL81" s="17"/>
      <c r="AM81" s="24"/>
      <c r="AN81" s="24"/>
      <c r="AO81" s="24"/>
      <c r="AP81" s="24"/>
      <c r="AQ81" s="24"/>
      <c r="AR81" s="24"/>
      <c r="AS81" s="12"/>
      <c r="AT81" s="12"/>
      <c r="AU81" s="24"/>
      <c r="AV81" s="24"/>
      <c r="AW81" s="24"/>
      <c r="AX81" s="24"/>
      <c r="AY81" s="24"/>
      <c r="AZ81" s="24"/>
      <c r="BA81" s="19"/>
      <c r="BB81" s="19"/>
      <c r="BC81" s="25"/>
      <c r="BD81" s="25"/>
      <c r="BE81" s="25"/>
      <c r="BF81" s="25"/>
      <c r="BG81" s="25"/>
      <c r="BH81" s="25"/>
      <c r="BI81" s="12"/>
      <c r="BJ81" s="13"/>
      <c r="BK81" s="24"/>
      <c r="BL81" s="24"/>
      <c r="BM81" s="24"/>
      <c r="BN81" s="24"/>
      <c r="BO81" s="24"/>
      <c r="BP81" s="24"/>
      <c r="BQ81" s="19"/>
      <c r="BR81" s="17"/>
    </row>
    <row r="82" spans="23:70" x14ac:dyDescent="0.25">
      <c r="W82" s="22"/>
      <c r="X82" s="22"/>
      <c r="Y82" s="22"/>
      <c r="Z82" s="22"/>
      <c r="AA82" s="22"/>
      <c r="AB82" s="22"/>
      <c r="AC82" s="12"/>
      <c r="AD82" s="12"/>
      <c r="AE82" s="24"/>
      <c r="AF82" s="24"/>
      <c r="AG82" s="24"/>
      <c r="AH82" s="24"/>
      <c r="AI82" s="24"/>
      <c r="AJ82" s="24"/>
      <c r="AK82" s="17"/>
      <c r="AL82" s="17"/>
      <c r="AM82" s="24"/>
      <c r="AN82" s="24"/>
      <c r="AO82" s="24"/>
      <c r="AP82" s="24"/>
      <c r="AQ82" s="24"/>
      <c r="AR82" s="24"/>
      <c r="AS82" s="12"/>
      <c r="AT82" s="12"/>
      <c r="AU82" s="24"/>
      <c r="AV82" s="24"/>
      <c r="AW82" s="24"/>
      <c r="AX82" s="24"/>
      <c r="AY82" s="24"/>
      <c r="AZ82" s="24"/>
      <c r="BA82" s="19"/>
      <c r="BB82" s="19"/>
      <c r="BC82" s="25"/>
      <c r="BD82" s="25"/>
      <c r="BE82" s="25"/>
      <c r="BF82" s="25"/>
      <c r="BG82" s="25"/>
      <c r="BH82" s="25"/>
      <c r="BI82" s="12"/>
      <c r="BJ82" s="13"/>
      <c r="BK82" s="24"/>
      <c r="BL82" s="24"/>
      <c r="BM82" s="24"/>
      <c r="BN82" s="24"/>
      <c r="BO82" s="24"/>
      <c r="BP82" s="24"/>
      <c r="BQ82" s="19"/>
      <c r="BR82" s="17"/>
    </row>
    <row r="83" spans="23:70" x14ac:dyDescent="0.25">
      <c r="W83" s="22"/>
      <c r="X83" s="22"/>
      <c r="Y83" s="22"/>
      <c r="Z83" s="22"/>
      <c r="AA83" s="22"/>
      <c r="AB83" s="22"/>
      <c r="AC83" s="12"/>
      <c r="AD83" s="12"/>
      <c r="AE83" s="24"/>
      <c r="AF83" s="24"/>
      <c r="AG83" s="24"/>
      <c r="AH83" s="24"/>
      <c r="AI83" s="24"/>
      <c r="AJ83" s="24"/>
      <c r="AK83" s="17"/>
      <c r="AL83" s="17"/>
      <c r="AM83" s="24"/>
      <c r="AN83" s="24"/>
      <c r="AO83" s="24"/>
      <c r="AP83" s="24"/>
      <c r="AQ83" s="24"/>
      <c r="AR83" s="24"/>
      <c r="AS83" s="12"/>
      <c r="AT83" s="12"/>
      <c r="AU83" s="24"/>
      <c r="AV83" s="24"/>
      <c r="AW83" s="24"/>
      <c r="AX83" s="24"/>
      <c r="AY83" s="24"/>
      <c r="AZ83" s="24"/>
      <c r="BA83" s="19"/>
      <c r="BB83" s="19"/>
      <c r="BC83" s="25"/>
      <c r="BD83" s="25"/>
      <c r="BE83" s="25"/>
      <c r="BF83" s="25"/>
      <c r="BG83" s="25"/>
      <c r="BH83" s="25"/>
      <c r="BI83" s="12"/>
      <c r="BJ83" s="13"/>
      <c r="BK83" s="24"/>
      <c r="BL83" s="24"/>
      <c r="BM83" s="24"/>
      <c r="BN83" s="24"/>
      <c r="BO83" s="24"/>
      <c r="BP83" s="24"/>
      <c r="BQ83" s="19"/>
      <c r="BR83" s="17"/>
    </row>
    <row r="84" spans="23:70" x14ac:dyDescent="0.25">
      <c r="W84" s="22"/>
      <c r="X84" s="22"/>
      <c r="Y84" s="22"/>
      <c r="Z84" s="22"/>
      <c r="AA84" s="22"/>
      <c r="AB84" s="22"/>
      <c r="AC84" s="12"/>
      <c r="AD84" s="12"/>
      <c r="AE84" s="24"/>
      <c r="AF84" s="24"/>
      <c r="AG84" s="24"/>
      <c r="AH84" s="24"/>
      <c r="AI84" s="24"/>
      <c r="AJ84" s="24"/>
      <c r="AK84" s="17"/>
      <c r="AL84" s="17"/>
      <c r="AM84" s="24"/>
      <c r="AN84" s="24"/>
      <c r="AO84" s="24"/>
      <c r="AP84" s="24"/>
      <c r="AQ84" s="24"/>
      <c r="AR84" s="24"/>
      <c r="AS84" s="12"/>
      <c r="AT84" s="12"/>
      <c r="AU84" s="24"/>
      <c r="AV84" s="24"/>
      <c r="AW84" s="24"/>
      <c r="AX84" s="24"/>
      <c r="AY84" s="24"/>
      <c r="AZ84" s="24"/>
      <c r="BA84" s="19"/>
      <c r="BB84" s="19"/>
      <c r="BC84" s="25"/>
      <c r="BD84" s="25"/>
      <c r="BE84" s="25"/>
      <c r="BF84" s="25"/>
      <c r="BG84" s="25"/>
      <c r="BH84" s="25"/>
      <c r="BI84" s="12"/>
      <c r="BJ84" s="13"/>
      <c r="BK84" s="24"/>
      <c r="BL84" s="24"/>
      <c r="BM84" s="24"/>
      <c r="BN84" s="24"/>
      <c r="BO84" s="24"/>
      <c r="BP84" s="24"/>
      <c r="BQ84" s="19"/>
      <c r="BR84" s="17"/>
    </row>
    <row r="85" spans="23:70" x14ac:dyDescent="0.25">
      <c r="W85" s="22"/>
      <c r="X85" s="22"/>
      <c r="Y85" s="22"/>
      <c r="Z85" s="22"/>
      <c r="AA85" s="22"/>
      <c r="AB85" s="22"/>
      <c r="AC85" s="12"/>
      <c r="AD85" s="12"/>
      <c r="AE85" s="24"/>
      <c r="AF85" s="24"/>
      <c r="AG85" s="24"/>
      <c r="AH85" s="24"/>
      <c r="AI85" s="24"/>
      <c r="AJ85" s="24"/>
      <c r="AK85" s="17"/>
      <c r="AL85" s="17"/>
      <c r="AM85" s="24"/>
      <c r="AN85" s="24"/>
      <c r="AO85" s="24"/>
      <c r="AP85" s="24"/>
      <c r="AQ85" s="24"/>
      <c r="AR85" s="24"/>
      <c r="AS85" s="12"/>
      <c r="AT85" s="12"/>
      <c r="AU85" s="24"/>
      <c r="AV85" s="24"/>
      <c r="AW85" s="24"/>
      <c r="AX85" s="24"/>
      <c r="AY85" s="24"/>
      <c r="AZ85" s="24"/>
      <c r="BA85" s="19"/>
      <c r="BB85" s="19"/>
      <c r="BC85" s="25"/>
      <c r="BD85" s="25"/>
      <c r="BE85" s="25"/>
      <c r="BF85" s="25"/>
      <c r="BG85" s="25"/>
      <c r="BH85" s="25"/>
      <c r="BI85" s="12"/>
      <c r="BJ85" s="13"/>
      <c r="BK85" s="24"/>
      <c r="BL85" s="24"/>
      <c r="BM85" s="24"/>
      <c r="BN85" s="24"/>
      <c r="BO85" s="24"/>
      <c r="BP85" s="24"/>
      <c r="BQ85" s="19"/>
      <c r="BR85" s="17"/>
    </row>
    <row r="86" spans="23:70" x14ac:dyDescent="0.25">
      <c r="W86" s="22"/>
      <c r="X86" s="22"/>
      <c r="Y86" s="22"/>
      <c r="Z86" s="22"/>
      <c r="AA86" s="22"/>
      <c r="AB86" s="22"/>
      <c r="AC86" s="12"/>
      <c r="AD86" s="12"/>
      <c r="AE86" s="24"/>
      <c r="AF86" s="24"/>
      <c r="AG86" s="24"/>
      <c r="AH86" s="24"/>
      <c r="AI86" s="24"/>
      <c r="AJ86" s="24"/>
      <c r="AK86" s="17"/>
      <c r="AL86" s="17"/>
      <c r="AM86" s="24"/>
      <c r="AN86" s="24"/>
      <c r="AO86" s="24"/>
      <c r="AP86" s="24"/>
      <c r="AQ86" s="24"/>
      <c r="AR86" s="24"/>
      <c r="AS86" s="12"/>
      <c r="AT86" s="12"/>
      <c r="AU86" s="24"/>
      <c r="AV86" s="24"/>
      <c r="AW86" s="24"/>
      <c r="AX86" s="24"/>
      <c r="AY86" s="24"/>
      <c r="AZ86" s="24"/>
      <c r="BA86" s="19"/>
      <c r="BB86" s="19"/>
      <c r="BC86" s="25"/>
      <c r="BD86" s="25"/>
      <c r="BE86" s="25"/>
      <c r="BF86" s="25"/>
      <c r="BG86" s="25"/>
      <c r="BH86" s="25"/>
      <c r="BI86" s="12"/>
      <c r="BJ86" s="13"/>
      <c r="BK86" s="24"/>
      <c r="BL86" s="24"/>
      <c r="BM86" s="24"/>
      <c r="BN86" s="24"/>
      <c r="BO86" s="24"/>
      <c r="BP86" s="24"/>
      <c r="BQ86" s="19"/>
      <c r="BR86" s="17"/>
    </row>
    <row r="87" spans="23:70" x14ac:dyDescent="0.25">
      <c r="W87" s="22"/>
      <c r="X87" s="22"/>
      <c r="Y87" s="22"/>
      <c r="Z87" s="22"/>
      <c r="AA87" s="22"/>
      <c r="AB87" s="22"/>
      <c r="AC87" s="12"/>
      <c r="AD87" s="12"/>
      <c r="AE87" s="24"/>
      <c r="AF87" s="24"/>
      <c r="AG87" s="24"/>
      <c r="AH87" s="24"/>
      <c r="AI87" s="24"/>
      <c r="AJ87" s="24"/>
      <c r="AK87" s="17"/>
      <c r="AL87" s="17"/>
      <c r="AM87" s="24"/>
      <c r="AN87" s="24"/>
      <c r="AO87" s="24"/>
      <c r="AP87" s="24"/>
      <c r="AQ87" s="24"/>
      <c r="AR87" s="24"/>
      <c r="AS87" s="12"/>
      <c r="AT87" s="12"/>
      <c r="AU87" s="24"/>
      <c r="AV87" s="24"/>
      <c r="AW87" s="24"/>
      <c r="AX87" s="24"/>
      <c r="AY87" s="24"/>
      <c r="AZ87" s="24"/>
      <c r="BA87" s="19"/>
      <c r="BB87" s="19"/>
      <c r="BC87" s="25"/>
      <c r="BD87" s="25"/>
      <c r="BE87" s="25"/>
      <c r="BF87" s="25"/>
      <c r="BG87" s="25"/>
      <c r="BH87" s="25"/>
      <c r="BI87" s="12"/>
      <c r="BJ87" s="13"/>
      <c r="BK87" s="24"/>
      <c r="BL87" s="24"/>
      <c r="BM87" s="24"/>
      <c r="BN87" s="24"/>
      <c r="BO87" s="24"/>
      <c r="BP87" s="24"/>
      <c r="BQ87" s="19"/>
      <c r="BR87" s="17"/>
    </row>
    <row r="88" spans="23:70" x14ac:dyDescent="0.25">
      <c r="W88" s="22"/>
      <c r="X88" s="22"/>
      <c r="Y88" s="22"/>
      <c r="Z88" s="22"/>
      <c r="AA88" s="22"/>
      <c r="AB88" s="22"/>
      <c r="AC88" s="12"/>
      <c r="AD88" s="12"/>
      <c r="AE88" s="24"/>
      <c r="AF88" s="24"/>
      <c r="AG88" s="24"/>
      <c r="AH88" s="24"/>
      <c r="AI88" s="24"/>
      <c r="AJ88" s="24"/>
      <c r="AK88" s="17"/>
      <c r="AL88" s="17"/>
      <c r="AM88" s="24"/>
      <c r="AN88" s="24"/>
      <c r="AO88" s="24"/>
      <c r="AP88" s="24"/>
      <c r="AQ88" s="24"/>
      <c r="AR88" s="24"/>
      <c r="AS88" s="12"/>
      <c r="AT88" s="12"/>
      <c r="AU88" s="24"/>
      <c r="AV88" s="24"/>
      <c r="AW88" s="24"/>
      <c r="AX88" s="24"/>
      <c r="AY88" s="24"/>
      <c r="AZ88" s="24"/>
      <c r="BA88" s="19"/>
      <c r="BB88" s="19"/>
      <c r="BC88" s="25"/>
      <c r="BD88" s="25"/>
      <c r="BE88" s="25"/>
      <c r="BF88" s="25"/>
      <c r="BG88" s="25"/>
      <c r="BH88" s="25"/>
      <c r="BI88" s="12"/>
      <c r="BJ88" s="13"/>
      <c r="BK88" s="24"/>
      <c r="BL88" s="24"/>
      <c r="BM88" s="24"/>
      <c r="BN88" s="24"/>
      <c r="BO88" s="24"/>
      <c r="BP88" s="24"/>
      <c r="BQ88" s="19"/>
      <c r="BR88" s="17"/>
    </row>
    <row r="89" spans="23:70" x14ac:dyDescent="0.25">
      <c r="W89" s="22"/>
      <c r="X89" s="22"/>
      <c r="Y89" s="22"/>
      <c r="Z89" s="22"/>
      <c r="AA89" s="22"/>
      <c r="AB89" s="22"/>
      <c r="AC89" s="12"/>
      <c r="AD89" s="12"/>
      <c r="AE89" s="24"/>
      <c r="AF89" s="24"/>
      <c r="AG89" s="24"/>
      <c r="AH89" s="24"/>
      <c r="AI89" s="24"/>
      <c r="AJ89" s="24"/>
      <c r="AK89" s="17"/>
      <c r="AL89" s="17"/>
      <c r="AM89" s="24"/>
      <c r="AN89" s="24"/>
      <c r="AO89" s="24"/>
      <c r="AP89" s="24"/>
      <c r="AQ89" s="24"/>
      <c r="AR89" s="24"/>
      <c r="AS89" s="12"/>
      <c r="AT89" s="12"/>
      <c r="AU89" s="24"/>
      <c r="AV89" s="24"/>
      <c r="AW89" s="24"/>
      <c r="AX89" s="24"/>
      <c r="AY89" s="24"/>
      <c r="AZ89" s="24"/>
      <c r="BA89" s="19"/>
      <c r="BB89" s="19"/>
      <c r="BC89" s="25"/>
      <c r="BD89" s="25"/>
      <c r="BE89" s="25"/>
      <c r="BF89" s="25"/>
      <c r="BG89" s="25"/>
      <c r="BH89" s="25"/>
      <c r="BI89" s="12"/>
      <c r="BJ89" s="13"/>
      <c r="BK89" s="24"/>
      <c r="BL89" s="24"/>
      <c r="BM89" s="24"/>
      <c r="BN89" s="24"/>
      <c r="BO89" s="24"/>
      <c r="BP89" s="24"/>
      <c r="BQ89" s="19"/>
      <c r="BR89" s="17"/>
    </row>
    <row r="90" spans="23:70" x14ac:dyDescent="0.25">
      <c r="W90" s="22"/>
      <c r="X90" s="22"/>
      <c r="Y90" s="22"/>
      <c r="Z90" s="22"/>
      <c r="AA90" s="22"/>
      <c r="AB90" s="22"/>
      <c r="AC90" s="12"/>
      <c r="AD90" s="12"/>
      <c r="AE90" s="24"/>
      <c r="AF90" s="24"/>
      <c r="AG90" s="24"/>
      <c r="AH90" s="24"/>
      <c r="AI90" s="24"/>
      <c r="AJ90" s="24"/>
      <c r="AK90" s="17"/>
      <c r="AL90" s="17"/>
      <c r="AM90" s="24"/>
      <c r="AN90" s="24"/>
      <c r="AO90" s="24"/>
      <c r="AP90" s="24"/>
      <c r="AQ90" s="24"/>
      <c r="AR90" s="24"/>
      <c r="AS90" s="12"/>
      <c r="AT90" s="12"/>
      <c r="AU90" s="24"/>
      <c r="AV90" s="24"/>
      <c r="AW90" s="24"/>
      <c r="AX90" s="24"/>
      <c r="AY90" s="24"/>
      <c r="AZ90" s="24"/>
      <c r="BA90" s="19"/>
      <c r="BB90" s="19"/>
      <c r="BC90" s="25"/>
      <c r="BD90" s="25"/>
      <c r="BE90" s="25"/>
      <c r="BF90" s="25"/>
      <c r="BG90" s="25"/>
      <c r="BH90" s="25"/>
      <c r="BI90" s="12"/>
      <c r="BJ90" s="13"/>
      <c r="BK90" s="24"/>
      <c r="BL90" s="24"/>
      <c r="BM90" s="24"/>
      <c r="BN90" s="24"/>
      <c r="BO90" s="24"/>
      <c r="BP90" s="24"/>
      <c r="BQ90" s="19"/>
      <c r="BR90" s="17"/>
    </row>
    <row r="91" spans="23:70" x14ac:dyDescent="0.25">
      <c r="W91" s="22"/>
      <c r="X91" s="22"/>
      <c r="Y91" s="22"/>
      <c r="Z91" s="22"/>
      <c r="AA91" s="22"/>
      <c r="AB91" s="22"/>
      <c r="AC91" s="12"/>
      <c r="AD91" s="12"/>
      <c r="AE91" s="24"/>
      <c r="AF91" s="24"/>
      <c r="AG91" s="24"/>
      <c r="AH91" s="24"/>
      <c r="AI91" s="24"/>
      <c r="AJ91" s="24"/>
      <c r="AK91" s="17"/>
      <c r="AL91" s="17"/>
      <c r="AM91" s="24"/>
      <c r="AN91" s="24"/>
      <c r="AO91" s="24"/>
      <c r="AP91" s="24"/>
      <c r="AQ91" s="24"/>
      <c r="AR91" s="24"/>
      <c r="AS91" s="12"/>
      <c r="AT91" s="12"/>
      <c r="AU91" s="24"/>
      <c r="AV91" s="24"/>
      <c r="AW91" s="24"/>
      <c r="AX91" s="24"/>
      <c r="AY91" s="24"/>
      <c r="AZ91" s="24"/>
      <c r="BA91" s="19"/>
      <c r="BB91" s="19"/>
      <c r="BC91" s="25"/>
      <c r="BD91" s="25"/>
      <c r="BE91" s="25"/>
      <c r="BF91" s="25"/>
      <c r="BG91" s="25"/>
      <c r="BH91" s="25"/>
      <c r="BI91" s="12"/>
      <c r="BJ91" s="13"/>
      <c r="BK91" s="24"/>
      <c r="BL91" s="24"/>
      <c r="BM91" s="24"/>
      <c r="BN91" s="24"/>
      <c r="BO91" s="24"/>
      <c r="BP91" s="24"/>
      <c r="BQ91" s="19"/>
      <c r="BR91" s="17"/>
    </row>
    <row r="92" spans="23:70" x14ac:dyDescent="0.25">
      <c r="W92" s="22"/>
      <c r="X92" s="22"/>
      <c r="Y92" s="22"/>
      <c r="Z92" s="22"/>
      <c r="AA92" s="22"/>
      <c r="AB92" s="22"/>
      <c r="AC92" s="12"/>
      <c r="AD92" s="12"/>
      <c r="AE92" s="24"/>
      <c r="AF92" s="24"/>
      <c r="AG92" s="24"/>
      <c r="AH92" s="24"/>
      <c r="AI92" s="24"/>
      <c r="AJ92" s="24"/>
      <c r="AK92" s="17"/>
      <c r="AL92" s="17"/>
      <c r="AM92" s="24"/>
      <c r="AN92" s="24"/>
      <c r="AO92" s="24"/>
      <c r="AP92" s="24"/>
      <c r="AQ92" s="24"/>
      <c r="AR92" s="24"/>
      <c r="AS92" s="12"/>
      <c r="AT92" s="12"/>
      <c r="AU92" s="24"/>
      <c r="AV92" s="24"/>
      <c r="AW92" s="24"/>
      <c r="AX92" s="24"/>
      <c r="AY92" s="24"/>
      <c r="AZ92" s="24"/>
      <c r="BA92" s="19"/>
      <c r="BB92" s="19"/>
      <c r="BC92" s="25"/>
      <c r="BD92" s="25"/>
      <c r="BE92" s="25"/>
      <c r="BF92" s="25"/>
      <c r="BG92" s="25"/>
      <c r="BH92" s="25"/>
      <c r="BI92" s="12"/>
      <c r="BJ92" s="13"/>
      <c r="BK92" s="24"/>
      <c r="BL92" s="24"/>
      <c r="BM92" s="24"/>
      <c r="BN92" s="24"/>
      <c r="BO92" s="24"/>
      <c r="BP92" s="24"/>
      <c r="BQ92" s="19"/>
      <c r="BR92" s="17"/>
    </row>
    <row r="93" spans="23:70" x14ac:dyDescent="0.25">
      <c r="W93" s="22"/>
      <c r="X93" s="22"/>
      <c r="Y93" s="22"/>
      <c r="Z93" s="22"/>
      <c r="AA93" s="22"/>
      <c r="AB93" s="22"/>
      <c r="AC93" s="12"/>
      <c r="AD93" s="12"/>
      <c r="AE93" s="24"/>
      <c r="AF93" s="24"/>
      <c r="AG93" s="24"/>
      <c r="AH93" s="24"/>
      <c r="AI93" s="24"/>
      <c r="AJ93" s="24"/>
      <c r="AK93" s="17"/>
      <c r="AL93" s="17"/>
      <c r="AM93" s="24"/>
      <c r="AN93" s="24"/>
      <c r="AO93" s="24"/>
      <c r="AP93" s="24"/>
      <c r="AQ93" s="24"/>
      <c r="AR93" s="24"/>
      <c r="AS93" s="12"/>
      <c r="AT93" s="12"/>
      <c r="AU93" s="24"/>
      <c r="AV93" s="24"/>
      <c r="AW93" s="24"/>
      <c r="AX93" s="24"/>
      <c r="AY93" s="24"/>
      <c r="AZ93" s="24"/>
      <c r="BA93" s="19"/>
      <c r="BB93" s="19"/>
      <c r="BC93" s="25"/>
      <c r="BD93" s="25"/>
      <c r="BE93" s="25"/>
      <c r="BF93" s="25"/>
      <c r="BG93" s="25"/>
      <c r="BH93" s="25"/>
      <c r="BI93" s="12"/>
      <c r="BJ93" s="13"/>
      <c r="BK93" s="24"/>
      <c r="BL93" s="24"/>
      <c r="BM93" s="24"/>
      <c r="BN93" s="24"/>
      <c r="BO93" s="24"/>
      <c r="BP93" s="24"/>
      <c r="BQ93" s="19"/>
      <c r="BR93" s="17"/>
    </row>
    <row r="94" spans="23:70" x14ac:dyDescent="0.25">
      <c r="W94" s="22"/>
      <c r="X94" s="22"/>
      <c r="Y94" s="22"/>
      <c r="Z94" s="22"/>
      <c r="AA94" s="22"/>
      <c r="AB94" s="22"/>
      <c r="AC94" s="12"/>
      <c r="AD94" s="12"/>
      <c r="AE94" s="24"/>
      <c r="AF94" s="24"/>
      <c r="AG94" s="24"/>
      <c r="AH94" s="24"/>
      <c r="AI94" s="24"/>
      <c r="AJ94" s="24"/>
      <c r="AK94" s="17"/>
      <c r="AL94" s="17"/>
      <c r="AM94" s="24"/>
      <c r="AN94" s="24"/>
      <c r="AO94" s="24"/>
      <c r="AP94" s="24"/>
      <c r="AQ94" s="24"/>
      <c r="AR94" s="24"/>
      <c r="AS94" s="12"/>
      <c r="AT94" s="12"/>
      <c r="AU94" s="24"/>
      <c r="AV94" s="24"/>
      <c r="AW94" s="24"/>
      <c r="AX94" s="24"/>
      <c r="AY94" s="24"/>
      <c r="AZ94" s="24"/>
      <c r="BA94" s="19"/>
      <c r="BB94" s="19"/>
      <c r="BC94" s="25"/>
      <c r="BD94" s="25"/>
      <c r="BE94" s="25"/>
      <c r="BF94" s="25"/>
      <c r="BG94" s="25"/>
      <c r="BH94" s="25"/>
      <c r="BI94" s="12"/>
      <c r="BJ94" s="13"/>
      <c r="BK94" s="24"/>
      <c r="BL94" s="24"/>
      <c r="BM94" s="24"/>
      <c r="BN94" s="24"/>
      <c r="BO94" s="24"/>
      <c r="BP94" s="24"/>
      <c r="BQ94" s="19"/>
      <c r="BR94" s="17"/>
    </row>
    <row r="95" spans="23:70" x14ac:dyDescent="0.25">
      <c r="W95" s="22"/>
      <c r="X95" s="22"/>
      <c r="Y95" s="22"/>
      <c r="Z95" s="22"/>
      <c r="AA95" s="22"/>
      <c r="AB95" s="22"/>
      <c r="AC95" s="12"/>
      <c r="AD95" s="12"/>
      <c r="AE95" s="24"/>
      <c r="AF95" s="24"/>
      <c r="AG95" s="24"/>
      <c r="AH95" s="24"/>
      <c r="AI95" s="24"/>
      <c r="AJ95" s="24"/>
      <c r="AK95" s="17"/>
      <c r="AL95" s="17"/>
      <c r="AM95" s="24"/>
      <c r="AN95" s="24"/>
      <c r="AO95" s="24"/>
      <c r="AP95" s="24"/>
      <c r="AQ95" s="24"/>
      <c r="AR95" s="24"/>
      <c r="AS95" s="12"/>
      <c r="AT95" s="12"/>
      <c r="AU95" s="24"/>
      <c r="AV95" s="24"/>
      <c r="AW95" s="24"/>
      <c r="AX95" s="24"/>
      <c r="AY95" s="24"/>
      <c r="AZ95" s="24"/>
      <c r="BA95" s="19"/>
      <c r="BB95" s="19"/>
      <c r="BC95" s="25"/>
      <c r="BD95" s="25"/>
      <c r="BE95" s="25"/>
      <c r="BF95" s="25"/>
      <c r="BG95" s="25"/>
      <c r="BH95" s="25"/>
      <c r="BI95" s="12"/>
      <c r="BJ95" s="13"/>
      <c r="BK95" s="24"/>
      <c r="BL95" s="24"/>
      <c r="BM95" s="24"/>
      <c r="BN95" s="24"/>
      <c r="BO95" s="24"/>
      <c r="BP95" s="24"/>
      <c r="BQ95" s="19"/>
      <c r="BR95" s="17"/>
    </row>
    <row r="96" spans="23:70" x14ac:dyDescent="0.25">
      <c r="W96" s="22"/>
      <c r="X96" s="22"/>
      <c r="Y96" s="22"/>
      <c r="Z96" s="22"/>
      <c r="AA96" s="22"/>
      <c r="AB96" s="22"/>
      <c r="AC96" s="12"/>
      <c r="AD96" s="12"/>
      <c r="AE96" s="24"/>
      <c r="AF96" s="24"/>
      <c r="AG96" s="24"/>
      <c r="AH96" s="24"/>
      <c r="AI96" s="24"/>
      <c r="AJ96" s="24"/>
      <c r="AK96" s="17"/>
      <c r="AL96" s="17"/>
      <c r="AM96" s="24"/>
      <c r="AN96" s="24"/>
      <c r="AO96" s="24"/>
      <c r="AP96" s="24"/>
      <c r="AQ96" s="24"/>
      <c r="AR96" s="24"/>
      <c r="AS96" s="12"/>
      <c r="AT96" s="12"/>
      <c r="AU96" s="24"/>
      <c r="AV96" s="24"/>
      <c r="AW96" s="24"/>
      <c r="AX96" s="24"/>
      <c r="AY96" s="24"/>
      <c r="AZ96" s="24"/>
      <c r="BA96" s="19"/>
      <c r="BB96" s="19"/>
      <c r="BC96" s="25"/>
      <c r="BD96" s="25"/>
      <c r="BE96" s="25"/>
      <c r="BF96" s="25"/>
      <c r="BG96" s="25"/>
      <c r="BH96" s="25"/>
      <c r="BI96" s="12"/>
      <c r="BJ96" s="13"/>
      <c r="BK96" s="24"/>
      <c r="BL96" s="24"/>
      <c r="BM96" s="24"/>
      <c r="BN96" s="24"/>
      <c r="BO96" s="24"/>
      <c r="BP96" s="24"/>
      <c r="BQ96" s="19"/>
      <c r="BR96" s="17"/>
    </row>
    <row r="97" spans="23:70" x14ac:dyDescent="0.25">
      <c r="W97" s="22"/>
      <c r="X97" s="22"/>
      <c r="Y97" s="22"/>
      <c r="Z97" s="22"/>
      <c r="AA97" s="22"/>
      <c r="AB97" s="22"/>
      <c r="AC97" s="12"/>
      <c r="AD97" s="12"/>
      <c r="AE97" s="24"/>
      <c r="AF97" s="24"/>
      <c r="AG97" s="24"/>
      <c r="AH97" s="24"/>
      <c r="AI97" s="24"/>
      <c r="AJ97" s="24"/>
      <c r="AK97" s="17"/>
      <c r="AL97" s="17"/>
      <c r="AM97" s="24"/>
      <c r="AN97" s="24"/>
      <c r="AO97" s="24"/>
      <c r="AP97" s="24"/>
      <c r="AQ97" s="24"/>
      <c r="AR97" s="24"/>
      <c r="AS97" s="12"/>
      <c r="AT97" s="12"/>
      <c r="AU97" s="24"/>
      <c r="AV97" s="24"/>
      <c r="AW97" s="24"/>
      <c r="AX97" s="24"/>
      <c r="AY97" s="24"/>
      <c r="AZ97" s="24"/>
      <c r="BA97" s="19"/>
      <c r="BB97" s="19"/>
      <c r="BC97" s="25"/>
      <c r="BD97" s="25"/>
      <c r="BE97" s="25"/>
      <c r="BF97" s="25"/>
      <c r="BG97" s="25"/>
      <c r="BH97" s="25"/>
      <c r="BI97" s="12"/>
      <c r="BJ97" s="13"/>
      <c r="BK97" s="24"/>
      <c r="BL97" s="24"/>
      <c r="BM97" s="24"/>
      <c r="BN97" s="24"/>
      <c r="BO97" s="24"/>
      <c r="BP97" s="24"/>
      <c r="BQ97" s="19"/>
      <c r="BR97" s="17"/>
    </row>
    <row r="98" spans="23:70" x14ac:dyDescent="0.25">
      <c r="W98" s="22"/>
      <c r="X98" s="22"/>
      <c r="Y98" s="22"/>
      <c r="Z98" s="22"/>
      <c r="AA98" s="22"/>
      <c r="AB98" s="22"/>
      <c r="AC98" s="12"/>
      <c r="AD98" s="12"/>
      <c r="AE98" s="24"/>
      <c r="AF98" s="24"/>
      <c r="AG98" s="24"/>
      <c r="AH98" s="24"/>
      <c r="AI98" s="24"/>
      <c r="AJ98" s="24"/>
      <c r="AK98" s="17"/>
      <c r="AL98" s="17"/>
      <c r="AM98" s="24"/>
      <c r="AN98" s="24"/>
      <c r="AO98" s="24"/>
      <c r="AP98" s="24"/>
      <c r="AQ98" s="24"/>
      <c r="AR98" s="24"/>
      <c r="AS98" s="12"/>
      <c r="AT98" s="12"/>
      <c r="AU98" s="24"/>
      <c r="AV98" s="24"/>
      <c r="AW98" s="24"/>
      <c r="AX98" s="24"/>
      <c r="AY98" s="24"/>
      <c r="AZ98" s="24"/>
      <c r="BA98" s="19"/>
      <c r="BB98" s="19"/>
      <c r="BC98" s="25"/>
      <c r="BD98" s="25"/>
      <c r="BE98" s="25"/>
      <c r="BF98" s="25"/>
      <c r="BG98" s="25"/>
      <c r="BH98" s="25"/>
      <c r="BI98" s="12"/>
      <c r="BJ98" s="13"/>
      <c r="BK98" s="24"/>
      <c r="BL98" s="24"/>
      <c r="BM98" s="24"/>
      <c r="BN98" s="24"/>
      <c r="BO98" s="24"/>
      <c r="BP98" s="24"/>
      <c r="BQ98" s="19"/>
      <c r="BR98" s="17"/>
    </row>
    <row r="99" spans="23:70" x14ac:dyDescent="0.25">
      <c r="W99" s="22"/>
      <c r="X99" s="22"/>
      <c r="Y99" s="22"/>
      <c r="Z99" s="22"/>
      <c r="AA99" s="22"/>
      <c r="AB99" s="22"/>
      <c r="AC99" s="12"/>
      <c r="AD99" s="12"/>
      <c r="AE99" s="24"/>
      <c r="AF99" s="24"/>
      <c r="AG99" s="24"/>
      <c r="AH99" s="24"/>
      <c r="AI99" s="24"/>
      <c r="AJ99" s="24"/>
      <c r="AK99" s="17"/>
      <c r="AL99" s="17"/>
      <c r="AM99" s="24"/>
      <c r="AN99" s="24"/>
      <c r="AO99" s="24"/>
      <c r="AP99" s="24"/>
      <c r="AQ99" s="24"/>
      <c r="AR99" s="24"/>
      <c r="AS99" s="12"/>
      <c r="AT99" s="12"/>
      <c r="AU99" s="24"/>
      <c r="AV99" s="24"/>
      <c r="AW99" s="24"/>
      <c r="AX99" s="24"/>
      <c r="AY99" s="24"/>
      <c r="AZ99" s="24"/>
      <c r="BA99" s="19"/>
      <c r="BB99" s="19"/>
      <c r="BC99" s="25"/>
      <c r="BD99" s="25"/>
      <c r="BE99" s="25"/>
      <c r="BF99" s="25"/>
      <c r="BG99" s="25"/>
      <c r="BH99" s="25"/>
      <c r="BI99" s="12"/>
      <c r="BJ99" s="13"/>
      <c r="BK99" s="24"/>
      <c r="BL99" s="24"/>
      <c r="BM99" s="24"/>
      <c r="BN99" s="24"/>
      <c r="BO99" s="24"/>
      <c r="BP99" s="24"/>
      <c r="BQ99" s="19"/>
      <c r="BR99" s="17"/>
    </row>
    <row r="100" spans="23:70" x14ac:dyDescent="0.25">
      <c r="W100" s="22"/>
      <c r="X100" s="22"/>
      <c r="Y100" s="22"/>
      <c r="Z100" s="22"/>
      <c r="AA100" s="22"/>
      <c r="AB100" s="22"/>
      <c r="AC100" s="12"/>
      <c r="AD100" s="12"/>
      <c r="AE100" s="24"/>
      <c r="AF100" s="24"/>
      <c r="AG100" s="24"/>
      <c r="AH100" s="24"/>
      <c r="AI100" s="24"/>
      <c r="AJ100" s="24"/>
      <c r="AK100" s="17"/>
      <c r="AL100" s="17"/>
      <c r="AM100" s="24"/>
      <c r="AN100" s="24"/>
      <c r="AO100" s="24"/>
      <c r="AP100" s="24"/>
      <c r="AQ100" s="24"/>
      <c r="AR100" s="24"/>
      <c r="AS100" s="12"/>
      <c r="AT100" s="12"/>
      <c r="AU100" s="24"/>
      <c r="AV100" s="24"/>
      <c r="AW100" s="24"/>
      <c r="AX100" s="24"/>
      <c r="AY100" s="24"/>
      <c r="AZ100" s="24"/>
      <c r="BA100" s="19"/>
      <c r="BB100" s="19"/>
      <c r="BC100" s="25"/>
      <c r="BD100" s="25"/>
      <c r="BE100" s="25"/>
      <c r="BF100" s="25"/>
      <c r="BG100" s="25"/>
      <c r="BH100" s="25"/>
      <c r="BI100" s="12"/>
      <c r="BJ100" s="13"/>
      <c r="BK100" s="24"/>
      <c r="BL100" s="24"/>
      <c r="BM100" s="24"/>
      <c r="BN100" s="24"/>
      <c r="BO100" s="24"/>
      <c r="BP100" s="24"/>
      <c r="BQ100" s="19"/>
      <c r="BR100" s="17"/>
    </row>
    <row r="101" spans="23:70" x14ac:dyDescent="0.25">
      <c r="W101" s="22"/>
      <c r="X101" s="22"/>
      <c r="Y101" s="22"/>
      <c r="Z101" s="22"/>
      <c r="AA101" s="22"/>
      <c r="AB101" s="22"/>
      <c r="AC101" s="12"/>
      <c r="AD101" s="12"/>
      <c r="AE101" s="24"/>
      <c r="AF101" s="24"/>
      <c r="AG101" s="24"/>
      <c r="AH101" s="24"/>
      <c r="AI101" s="24"/>
      <c r="AJ101" s="24"/>
      <c r="AK101" s="17"/>
      <c r="AL101" s="17"/>
      <c r="AM101" s="24"/>
      <c r="AN101" s="24"/>
      <c r="AO101" s="24"/>
      <c r="AP101" s="24"/>
      <c r="AQ101" s="24"/>
      <c r="AR101" s="24"/>
      <c r="AS101" s="12"/>
      <c r="AT101" s="12"/>
      <c r="AU101" s="24"/>
      <c r="AV101" s="24"/>
      <c r="AW101" s="24"/>
      <c r="AX101" s="24"/>
      <c r="AY101" s="24"/>
      <c r="AZ101" s="24"/>
      <c r="BA101" s="19"/>
      <c r="BB101" s="19"/>
      <c r="BC101" s="25"/>
      <c r="BD101" s="25"/>
      <c r="BE101" s="25"/>
      <c r="BF101" s="25"/>
      <c r="BG101" s="25"/>
      <c r="BH101" s="25"/>
      <c r="BI101" s="12"/>
      <c r="BJ101" s="13"/>
      <c r="BK101" s="24"/>
      <c r="BL101" s="24"/>
      <c r="BM101" s="24"/>
      <c r="BN101" s="24"/>
      <c r="BO101" s="24"/>
      <c r="BP101" s="24"/>
      <c r="BQ101" s="19"/>
      <c r="BR101" s="17"/>
    </row>
    <row r="102" spans="23:70" x14ac:dyDescent="0.25">
      <c r="W102" s="22"/>
      <c r="X102" s="22"/>
      <c r="Y102" s="22"/>
      <c r="Z102" s="22"/>
      <c r="AA102" s="22"/>
      <c r="AB102" s="22"/>
      <c r="AC102" s="12"/>
      <c r="AD102" s="12"/>
      <c r="AE102" s="24"/>
      <c r="AF102" s="24"/>
      <c r="AG102" s="24"/>
      <c r="AH102" s="24"/>
      <c r="AI102" s="24"/>
      <c r="AJ102" s="24"/>
      <c r="AK102" s="17"/>
      <c r="AL102" s="17"/>
      <c r="AM102" s="24"/>
      <c r="AN102" s="24"/>
      <c r="AO102" s="24"/>
      <c r="AP102" s="24"/>
      <c r="AQ102" s="24"/>
      <c r="AR102" s="24"/>
      <c r="AS102" s="12"/>
      <c r="AT102" s="12"/>
      <c r="AU102" s="24"/>
      <c r="AV102" s="24"/>
      <c r="AW102" s="24"/>
      <c r="AX102" s="24"/>
      <c r="AY102" s="24"/>
      <c r="AZ102" s="24"/>
      <c r="BA102" s="19"/>
      <c r="BB102" s="19"/>
      <c r="BC102" s="25"/>
      <c r="BD102" s="25"/>
      <c r="BE102" s="25"/>
      <c r="BF102" s="25"/>
      <c r="BG102" s="25"/>
      <c r="BH102" s="25"/>
      <c r="BI102" s="12"/>
      <c r="BJ102" s="13"/>
      <c r="BK102" s="24"/>
      <c r="BL102" s="24"/>
      <c r="BM102" s="24"/>
      <c r="BN102" s="24"/>
      <c r="BO102" s="24"/>
      <c r="BP102" s="24"/>
      <c r="BQ102" s="19"/>
      <c r="BR102" s="17"/>
    </row>
    <row r="103" spans="23:70" x14ac:dyDescent="0.25">
      <c r="W103" s="22"/>
      <c r="X103" s="22"/>
      <c r="Y103" s="22"/>
      <c r="Z103" s="22"/>
      <c r="AA103" s="22"/>
      <c r="AB103" s="22"/>
      <c r="AC103" s="12"/>
      <c r="AD103" s="12"/>
      <c r="AE103" s="24"/>
      <c r="AF103" s="24"/>
      <c r="AG103" s="24"/>
      <c r="AH103" s="24"/>
      <c r="AI103" s="24"/>
      <c r="AJ103" s="24"/>
      <c r="AK103" s="17"/>
      <c r="AL103" s="17"/>
      <c r="AM103" s="24"/>
      <c r="AN103" s="24"/>
      <c r="AO103" s="24"/>
      <c r="AP103" s="24"/>
      <c r="AQ103" s="24"/>
      <c r="AR103" s="24"/>
      <c r="AS103" s="12"/>
      <c r="AT103" s="12"/>
      <c r="AU103" s="24"/>
      <c r="AV103" s="24"/>
      <c r="AW103" s="24"/>
      <c r="AX103" s="24"/>
      <c r="AY103" s="24"/>
      <c r="AZ103" s="24"/>
      <c r="BA103" s="19"/>
      <c r="BB103" s="19"/>
      <c r="BC103" s="25"/>
      <c r="BD103" s="25"/>
      <c r="BE103" s="25"/>
      <c r="BF103" s="25"/>
      <c r="BG103" s="25"/>
      <c r="BH103" s="25"/>
      <c r="BI103" s="12"/>
      <c r="BJ103" s="13"/>
      <c r="BK103" s="24"/>
      <c r="BL103" s="24"/>
      <c r="BM103" s="24"/>
      <c r="BN103" s="24"/>
      <c r="BO103" s="24"/>
      <c r="BP103" s="24"/>
      <c r="BQ103" s="19"/>
      <c r="BR103" s="17"/>
    </row>
    <row r="104" spans="23:70" x14ac:dyDescent="0.25">
      <c r="W104" s="22"/>
      <c r="X104" s="22"/>
      <c r="Y104" s="22"/>
      <c r="Z104" s="22"/>
      <c r="AA104" s="22"/>
      <c r="AB104" s="22"/>
      <c r="AC104" s="12"/>
      <c r="AD104" s="12"/>
      <c r="AE104" s="24"/>
      <c r="AF104" s="24"/>
      <c r="AG104" s="24"/>
      <c r="AH104" s="24"/>
      <c r="AI104" s="24"/>
      <c r="AJ104" s="24"/>
      <c r="AK104" s="17"/>
      <c r="AL104" s="17"/>
      <c r="AM104" s="24"/>
      <c r="AN104" s="24"/>
      <c r="AO104" s="24"/>
      <c r="AP104" s="24"/>
      <c r="AQ104" s="24"/>
      <c r="AR104" s="24"/>
      <c r="AS104" s="12"/>
      <c r="AT104" s="12"/>
      <c r="AU104" s="24"/>
      <c r="AV104" s="24"/>
      <c r="AW104" s="24"/>
      <c r="AX104" s="24"/>
      <c r="AY104" s="24"/>
      <c r="AZ104" s="24"/>
      <c r="BA104" s="19"/>
      <c r="BB104" s="19"/>
      <c r="BC104" s="25"/>
      <c r="BD104" s="25"/>
      <c r="BE104" s="25"/>
      <c r="BF104" s="25"/>
      <c r="BG104" s="25"/>
      <c r="BH104" s="25"/>
      <c r="BI104" s="12"/>
      <c r="BJ104" s="13"/>
      <c r="BK104" s="24"/>
      <c r="BL104" s="24"/>
      <c r="BM104" s="24"/>
      <c r="BN104" s="24"/>
      <c r="BO104" s="24"/>
      <c r="BP104" s="24"/>
      <c r="BQ104" s="19"/>
      <c r="BR104" s="17"/>
    </row>
    <row r="105" spans="23:70" x14ac:dyDescent="0.25">
      <c r="W105" s="22"/>
      <c r="X105" s="22"/>
      <c r="Y105" s="22"/>
      <c r="Z105" s="22"/>
      <c r="AA105" s="22"/>
      <c r="AB105" s="22"/>
      <c r="AC105" s="12"/>
      <c r="AD105" s="12"/>
      <c r="AE105" s="24"/>
      <c r="AF105" s="24"/>
      <c r="AG105" s="24"/>
      <c r="AH105" s="24"/>
      <c r="AI105" s="24"/>
      <c r="AJ105" s="24"/>
      <c r="AK105" s="17"/>
      <c r="AL105" s="17"/>
      <c r="AM105" s="24"/>
      <c r="AN105" s="24"/>
      <c r="AO105" s="24"/>
      <c r="AP105" s="24"/>
      <c r="AQ105" s="24"/>
      <c r="AR105" s="24"/>
      <c r="AS105" s="12"/>
      <c r="AT105" s="12"/>
      <c r="AU105" s="24"/>
      <c r="AV105" s="24"/>
      <c r="AW105" s="24"/>
      <c r="AX105" s="24"/>
      <c r="AY105" s="24"/>
      <c r="AZ105" s="24"/>
      <c r="BA105" s="19"/>
      <c r="BB105" s="19"/>
      <c r="BC105" s="25"/>
      <c r="BD105" s="25"/>
      <c r="BE105" s="25"/>
      <c r="BF105" s="25"/>
      <c r="BG105" s="25"/>
      <c r="BH105" s="25"/>
      <c r="BI105" s="12"/>
      <c r="BJ105" s="13"/>
      <c r="BK105" s="24"/>
      <c r="BL105" s="24"/>
      <c r="BM105" s="24"/>
      <c r="BN105" s="24"/>
      <c r="BO105" s="24"/>
      <c r="BP105" s="24"/>
      <c r="BQ105" s="19"/>
      <c r="BR105" s="17"/>
    </row>
    <row r="106" spans="23:70" x14ac:dyDescent="0.25">
      <c r="W106" s="22"/>
      <c r="X106" s="22"/>
      <c r="Y106" s="22"/>
      <c r="Z106" s="22"/>
      <c r="AA106" s="22"/>
      <c r="AB106" s="22"/>
      <c r="AC106" s="12"/>
      <c r="AD106" s="12"/>
      <c r="AE106" s="24"/>
      <c r="AF106" s="24"/>
      <c r="AG106" s="24"/>
      <c r="AH106" s="24"/>
      <c r="AI106" s="24"/>
      <c r="AJ106" s="24"/>
      <c r="AK106" s="17"/>
      <c r="AL106" s="17"/>
      <c r="AM106" s="24"/>
      <c r="AN106" s="24"/>
      <c r="AO106" s="24"/>
      <c r="AP106" s="24"/>
      <c r="AQ106" s="24"/>
      <c r="AR106" s="24"/>
      <c r="AS106" s="12"/>
      <c r="AT106" s="12"/>
      <c r="AU106" s="24"/>
      <c r="AV106" s="24"/>
      <c r="AW106" s="24"/>
      <c r="AX106" s="24"/>
      <c r="AY106" s="24"/>
      <c r="AZ106" s="24"/>
      <c r="BA106" s="19"/>
      <c r="BB106" s="19"/>
      <c r="BC106" s="25"/>
      <c r="BD106" s="25"/>
      <c r="BE106" s="25"/>
      <c r="BF106" s="25"/>
      <c r="BG106" s="25"/>
      <c r="BH106" s="25"/>
      <c r="BI106" s="12"/>
      <c r="BJ106" s="13"/>
      <c r="BK106" s="24"/>
      <c r="BL106" s="24"/>
      <c r="BM106" s="24"/>
      <c r="BN106" s="24"/>
      <c r="BO106" s="24"/>
      <c r="BP106" s="24"/>
      <c r="BQ106" s="19"/>
      <c r="BR106" s="17"/>
    </row>
    <row r="107" spans="23:70" x14ac:dyDescent="0.25">
      <c r="W107" s="22"/>
      <c r="X107" s="22"/>
      <c r="Y107" s="22"/>
      <c r="Z107" s="22"/>
      <c r="AA107" s="22"/>
      <c r="AB107" s="22"/>
      <c r="AC107" s="12"/>
      <c r="AD107" s="12"/>
      <c r="AE107" s="24"/>
      <c r="AF107" s="24"/>
      <c r="AG107" s="24"/>
      <c r="AH107" s="24"/>
      <c r="AI107" s="24"/>
      <c r="AJ107" s="24"/>
      <c r="AK107" s="17"/>
      <c r="AL107" s="17"/>
      <c r="AM107" s="24"/>
      <c r="AN107" s="24"/>
      <c r="AO107" s="24"/>
      <c r="AP107" s="24"/>
      <c r="AQ107" s="24"/>
      <c r="AR107" s="24"/>
      <c r="AS107" s="12"/>
      <c r="AT107" s="12"/>
      <c r="AU107" s="24"/>
      <c r="AV107" s="24"/>
      <c r="AW107" s="24"/>
      <c r="AX107" s="24"/>
      <c r="AY107" s="24"/>
      <c r="AZ107" s="24"/>
      <c r="BA107" s="19"/>
      <c r="BB107" s="19"/>
      <c r="BC107" s="25"/>
      <c r="BD107" s="25"/>
      <c r="BE107" s="25"/>
      <c r="BF107" s="25"/>
      <c r="BG107" s="25"/>
      <c r="BH107" s="25"/>
      <c r="BI107" s="12"/>
      <c r="BJ107" s="13"/>
      <c r="BK107" s="24"/>
      <c r="BL107" s="24"/>
      <c r="BM107" s="24"/>
      <c r="BN107" s="24"/>
      <c r="BO107" s="24"/>
      <c r="BP107" s="24"/>
      <c r="BQ107" s="19"/>
      <c r="BR107" s="17"/>
    </row>
    <row r="108" spans="23:70" x14ac:dyDescent="0.25">
      <c r="W108" s="22"/>
      <c r="X108" s="22"/>
      <c r="Y108" s="22"/>
      <c r="Z108" s="22"/>
      <c r="AA108" s="22"/>
      <c r="AB108" s="22"/>
      <c r="AC108" s="12"/>
      <c r="AD108" s="12"/>
      <c r="AE108" s="24"/>
      <c r="AF108" s="24"/>
      <c r="AG108" s="24"/>
      <c r="AH108" s="24"/>
      <c r="AI108" s="24"/>
      <c r="AJ108" s="24"/>
      <c r="AK108" s="17"/>
      <c r="AL108" s="17"/>
      <c r="AM108" s="24"/>
      <c r="AN108" s="24"/>
      <c r="AO108" s="24"/>
      <c r="AP108" s="24"/>
      <c r="AQ108" s="24"/>
      <c r="AR108" s="24"/>
      <c r="AS108" s="12"/>
      <c r="AT108" s="12"/>
      <c r="AU108" s="24"/>
      <c r="AV108" s="24"/>
      <c r="AW108" s="24"/>
      <c r="AX108" s="24"/>
      <c r="AY108" s="24"/>
      <c r="AZ108" s="24"/>
      <c r="BA108" s="19"/>
      <c r="BB108" s="19"/>
      <c r="BC108" s="25"/>
      <c r="BD108" s="25"/>
      <c r="BE108" s="25"/>
      <c r="BF108" s="25"/>
      <c r="BG108" s="25"/>
      <c r="BH108" s="25"/>
      <c r="BI108" s="12"/>
      <c r="BJ108" s="13"/>
      <c r="BK108" s="24"/>
      <c r="BL108" s="24"/>
      <c r="BM108" s="24"/>
      <c r="BN108" s="24"/>
      <c r="BO108" s="24"/>
      <c r="BP108" s="24"/>
      <c r="BQ108" s="19"/>
      <c r="BR108" s="17"/>
    </row>
    <row r="109" spans="23:70" x14ac:dyDescent="0.25">
      <c r="W109" s="22"/>
      <c r="X109" s="22"/>
      <c r="Y109" s="22"/>
      <c r="Z109" s="22"/>
      <c r="AA109" s="22"/>
      <c r="AB109" s="22"/>
      <c r="AC109" s="12"/>
      <c r="AD109" s="12"/>
      <c r="AE109" s="24"/>
      <c r="AF109" s="24"/>
      <c r="AG109" s="24"/>
      <c r="AH109" s="24"/>
      <c r="AI109" s="24"/>
      <c r="AJ109" s="24"/>
      <c r="AK109" s="17"/>
      <c r="AL109" s="17"/>
      <c r="AM109" s="24"/>
      <c r="AN109" s="24"/>
      <c r="AO109" s="24"/>
      <c r="AP109" s="24"/>
      <c r="AQ109" s="24"/>
      <c r="AR109" s="24"/>
      <c r="AS109" s="12"/>
      <c r="AT109" s="12"/>
      <c r="AU109" s="24"/>
      <c r="AV109" s="24"/>
      <c r="AW109" s="24"/>
      <c r="AX109" s="24"/>
      <c r="AY109" s="24"/>
      <c r="AZ109" s="24"/>
      <c r="BA109" s="19"/>
      <c r="BB109" s="19"/>
      <c r="BC109" s="25"/>
      <c r="BD109" s="25"/>
      <c r="BE109" s="25"/>
      <c r="BF109" s="25"/>
      <c r="BG109" s="25"/>
      <c r="BH109" s="25"/>
      <c r="BI109" s="12"/>
      <c r="BJ109" s="13"/>
      <c r="BK109" s="24"/>
      <c r="BL109" s="24"/>
      <c r="BM109" s="24"/>
      <c r="BN109" s="24"/>
      <c r="BO109" s="24"/>
      <c r="BP109" s="24"/>
      <c r="BQ109" s="19"/>
      <c r="BR109" s="17"/>
    </row>
    <row r="110" spans="23:70" x14ac:dyDescent="0.25">
      <c r="W110" s="22"/>
      <c r="X110" s="22"/>
      <c r="Y110" s="22"/>
      <c r="Z110" s="22"/>
      <c r="AA110" s="22"/>
      <c r="AB110" s="22"/>
      <c r="AC110" s="12"/>
      <c r="AD110" s="12"/>
      <c r="AE110" s="24"/>
      <c r="AF110" s="24"/>
      <c r="AG110" s="24"/>
      <c r="AH110" s="24"/>
      <c r="AI110" s="24"/>
      <c r="AJ110" s="24"/>
      <c r="AK110" s="17"/>
      <c r="AL110" s="17"/>
      <c r="AM110" s="24"/>
      <c r="AN110" s="24"/>
      <c r="AO110" s="24"/>
      <c r="AP110" s="24"/>
      <c r="AQ110" s="24"/>
      <c r="AR110" s="24"/>
      <c r="AS110" s="12"/>
      <c r="AT110" s="12"/>
      <c r="AU110" s="24"/>
      <c r="AV110" s="24"/>
      <c r="AW110" s="24"/>
      <c r="AX110" s="24"/>
      <c r="AY110" s="24"/>
      <c r="AZ110" s="24"/>
      <c r="BA110" s="19"/>
      <c r="BB110" s="19"/>
      <c r="BC110" s="25"/>
      <c r="BD110" s="25"/>
      <c r="BE110" s="25"/>
      <c r="BF110" s="25"/>
      <c r="BG110" s="25"/>
      <c r="BH110" s="25"/>
      <c r="BI110" s="12"/>
      <c r="BJ110" s="13"/>
      <c r="BK110" s="24"/>
      <c r="BL110" s="24"/>
      <c r="BM110" s="24"/>
      <c r="BN110" s="24"/>
      <c r="BO110" s="24"/>
      <c r="BP110" s="24"/>
      <c r="BQ110" s="19"/>
      <c r="BR110" s="17"/>
    </row>
    <row r="111" spans="23:70" x14ac:dyDescent="0.25">
      <c r="W111" s="22"/>
      <c r="X111" s="22"/>
      <c r="Y111" s="22"/>
      <c r="Z111" s="22"/>
      <c r="AA111" s="22"/>
      <c r="AB111" s="22"/>
      <c r="AC111" s="12"/>
      <c r="AD111" s="12"/>
      <c r="AE111" s="24"/>
      <c r="AF111" s="24"/>
      <c r="AG111" s="24"/>
      <c r="AH111" s="24"/>
      <c r="AI111" s="24"/>
      <c r="AJ111" s="24"/>
      <c r="AK111" s="17"/>
      <c r="AL111" s="17"/>
      <c r="AM111" s="24"/>
      <c r="AN111" s="24"/>
      <c r="AO111" s="24"/>
      <c r="AP111" s="24"/>
      <c r="AQ111" s="24"/>
      <c r="AR111" s="24"/>
      <c r="AS111" s="12"/>
      <c r="AT111" s="12"/>
      <c r="AU111" s="24"/>
      <c r="AV111" s="24"/>
      <c r="AW111" s="24"/>
      <c r="AX111" s="24"/>
      <c r="AY111" s="24"/>
      <c r="AZ111" s="24"/>
      <c r="BA111" s="19"/>
      <c r="BB111" s="19"/>
      <c r="BC111" s="25"/>
      <c r="BD111" s="25"/>
      <c r="BE111" s="25"/>
      <c r="BF111" s="25"/>
      <c r="BG111" s="25"/>
      <c r="BH111" s="25"/>
      <c r="BI111" s="12"/>
      <c r="BJ111" s="13"/>
      <c r="BK111" s="24"/>
      <c r="BL111" s="24"/>
      <c r="BM111" s="24"/>
      <c r="BN111" s="24"/>
      <c r="BO111" s="24"/>
      <c r="BP111" s="24"/>
      <c r="BQ111" s="19"/>
      <c r="BR111" s="17"/>
    </row>
    <row r="112" spans="23:70" x14ac:dyDescent="0.25">
      <c r="W112" s="22"/>
      <c r="X112" s="22"/>
      <c r="Y112" s="22"/>
      <c r="Z112" s="22"/>
      <c r="AA112" s="22"/>
      <c r="AB112" s="22"/>
      <c r="AC112" s="12"/>
      <c r="AD112" s="12"/>
      <c r="AE112" s="24"/>
      <c r="AF112" s="24"/>
      <c r="AG112" s="24"/>
      <c r="AH112" s="24"/>
      <c r="AI112" s="24"/>
      <c r="AJ112" s="24"/>
      <c r="AK112" s="17"/>
      <c r="AL112" s="17"/>
      <c r="AM112" s="24"/>
      <c r="AN112" s="24"/>
      <c r="AO112" s="24"/>
      <c r="AP112" s="24"/>
      <c r="AQ112" s="24"/>
      <c r="AR112" s="24"/>
      <c r="AS112" s="12"/>
      <c r="AT112" s="12"/>
      <c r="AU112" s="24"/>
      <c r="AV112" s="24"/>
      <c r="AW112" s="24"/>
      <c r="AX112" s="24"/>
      <c r="AY112" s="24"/>
      <c r="AZ112" s="24"/>
      <c r="BA112" s="19"/>
      <c r="BB112" s="19"/>
      <c r="BC112" s="25"/>
      <c r="BD112" s="25"/>
      <c r="BE112" s="25"/>
      <c r="BF112" s="25"/>
      <c r="BG112" s="25"/>
      <c r="BH112" s="25"/>
      <c r="BI112" s="12"/>
      <c r="BJ112" s="13"/>
      <c r="BK112" s="24"/>
      <c r="BL112" s="24"/>
      <c r="BM112" s="24"/>
      <c r="BN112" s="24"/>
      <c r="BO112" s="24"/>
      <c r="BP112" s="24"/>
      <c r="BQ112" s="19"/>
      <c r="BR112" s="17"/>
    </row>
    <row r="113" spans="23:70" x14ac:dyDescent="0.25">
      <c r="W113" s="22"/>
      <c r="X113" s="22"/>
      <c r="Y113" s="22"/>
      <c r="Z113" s="22"/>
      <c r="AA113" s="22"/>
      <c r="AB113" s="22"/>
      <c r="AC113" s="12"/>
      <c r="AD113" s="12"/>
      <c r="AE113" s="24"/>
      <c r="AF113" s="24"/>
      <c r="AG113" s="24"/>
      <c r="AH113" s="24"/>
      <c r="AI113" s="24"/>
      <c r="AJ113" s="24"/>
      <c r="AK113" s="17"/>
      <c r="AL113" s="17"/>
      <c r="AM113" s="24"/>
      <c r="AN113" s="24"/>
      <c r="AO113" s="24"/>
      <c r="AP113" s="24"/>
      <c r="AQ113" s="24"/>
      <c r="AR113" s="24"/>
      <c r="AS113" s="12"/>
      <c r="AT113" s="12"/>
      <c r="AU113" s="24"/>
      <c r="AV113" s="24"/>
      <c r="AW113" s="24"/>
      <c r="AX113" s="24"/>
      <c r="AY113" s="24"/>
      <c r="AZ113" s="24"/>
      <c r="BA113" s="19"/>
      <c r="BB113" s="19"/>
      <c r="BC113" s="25"/>
      <c r="BD113" s="25"/>
      <c r="BE113" s="25"/>
      <c r="BF113" s="25"/>
      <c r="BG113" s="25"/>
      <c r="BH113" s="25"/>
      <c r="BI113" s="12"/>
      <c r="BJ113" s="13"/>
      <c r="BK113" s="24"/>
      <c r="BL113" s="24"/>
      <c r="BM113" s="24"/>
      <c r="BN113" s="24"/>
      <c r="BO113" s="24"/>
      <c r="BP113" s="24"/>
      <c r="BQ113" s="19"/>
      <c r="BR113" s="17"/>
    </row>
    <row r="114" spans="23:70" x14ac:dyDescent="0.25">
      <c r="W114" s="22"/>
      <c r="X114" s="22"/>
      <c r="Y114" s="22"/>
      <c r="Z114" s="22"/>
      <c r="AA114" s="22"/>
      <c r="AB114" s="22"/>
      <c r="AC114" s="12"/>
      <c r="AD114" s="12"/>
      <c r="AE114" s="24"/>
      <c r="AF114" s="24"/>
      <c r="AG114" s="24"/>
      <c r="AH114" s="24"/>
      <c r="AI114" s="24"/>
      <c r="AJ114" s="24"/>
      <c r="AK114" s="17"/>
      <c r="AL114" s="17"/>
      <c r="AM114" s="24"/>
      <c r="AN114" s="24"/>
      <c r="AO114" s="24"/>
      <c r="AP114" s="24"/>
      <c r="AQ114" s="24"/>
      <c r="AR114" s="24"/>
      <c r="AS114" s="12"/>
      <c r="AT114" s="12"/>
      <c r="AU114" s="24"/>
      <c r="AV114" s="24"/>
      <c r="AW114" s="24"/>
      <c r="AX114" s="24"/>
      <c r="AY114" s="24"/>
      <c r="AZ114" s="24"/>
      <c r="BA114" s="19"/>
      <c r="BB114" s="19"/>
      <c r="BC114" s="25"/>
      <c r="BD114" s="25"/>
      <c r="BE114" s="25"/>
      <c r="BF114" s="25"/>
      <c r="BG114" s="25"/>
      <c r="BH114" s="25"/>
      <c r="BI114" s="12"/>
      <c r="BJ114" s="13"/>
      <c r="BK114" s="24"/>
      <c r="BL114" s="24"/>
      <c r="BM114" s="24"/>
      <c r="BN114" s="24"/>
      <c r="BO114" s="24"/>
      <c r="BP114" s="24"/>
      <c r="BQ114" s="19"/>
      <c r="BR114" s="17"/>
    </row>
    <row r="115" spans="23:70" x14ac:dyDescent="0.25">
      <c r="W115" s="22"/>
      <c r="X115" s="22"/>
      <c r="Y115" s="22"/>
      <c r="Z115" s="22"/>
      <c r="AA115" s="22"/>
      <c r="AB115" s="22"/>
      <c r="AC115" s="12"/>
      <c r="AD115" s="12"/>
      <c r="AE115" s="24"/>
      <c r="AF115" s="24"/>
      <c r="AG115" s="24"/>
      <c r="AH115" s="24"/>
      <c r="AI115" s="24"/>
      <c r="AJ115" s="24"/>
      <c r="AK115" s="17"/>
      <c r="AL115" s="17"/>
      <c r="AM115" s="24"/>
      <c r="AN115" s="24"/>
      <c r="AO115" s="24"/>
      <c r="AP115" s="24"/>
      <c r="AQ115" s="24"/>
      <c r="AR115" s="24"/>
      <c r="AS115" s="12"/>
      <c r="AT115" s="12"/>
      <c r="AU115" s="24"/>
      <c r="AV115" s="24"/>
      <c r="AW115" s="24"/>
      <c r="AX115" s="24"/>
      <c r="AY115" s="24"/>
      <c r="AZ115" s="24"/>
      <c r="BA115" s="19"/>
      <c r="BB115" s="19"/>
      <c r="BC115" s="25"/>
      <c r="BD115" s="25"/>
      <c r="BE115" s="25"/>
      <c r="BF115" s="25"/>
      <c r="BG115" s="25"/>
      <c r="BH115" s="25"/>
      <c r="BI115" s="12"/>
      <c r="BJ115" s="13"/>
      <c r="BK115" s="24"/>
      <c r="BL115" s="24"/>
      <c r="BM115" s="24"/>
      <c r="BN115" s="24"/>
      <c r="BO115" s="24"/>
      <c r="BP115" s="24"/>
      <c r="BQ115" s="19"/>
      <c r="BR115" s="17"/>
    </row>
    <row r="116" spans="23:70" x14ac:dyDescent="0.25">
      <c r="W116" s="22"/>
      <c r="X116" s="22"/>
      <c r="Y116" s="22"/>
      <c r="Z116" s="22"/>
      <c r="AA116" s="22"/>
      <c r="AB116" s="22"/>
      <c r="AC116" s="12"/>
      <c r="AD116" s="12"/>
      <c r="AE116" s="24"/>
      <c r="AF116" s="24"/>
      <c r="AG116" s="24"/>
      <c r="AH116" s="24"/>
      <c r="AI116" s="24"/>
      <c r="AJ116" s="24"/>
      <c r="AK116" s="17"/>
      <c r="AL116" s="17"/>
      <c r="AM116" s="24"/>
      <c r="AN116" s="24"/>
      <c r="AO116" s="24"/>
      <c r="AP116" s="24"/>
      <c r="AQ116" s="24"/>
      <c r="AR116" s="24"/>
      <c r="AS116" s="12"/>
      <c r="AT116" s="12"/>
      <c r="AU116" s="24"/>
      <c r="AV116" s="24"/>
      <c r="AW116" s="24"/>
      <c r="AX116" s="24"/>
      <c r="AY116" s="24"/>
      <c r="AZ116" s="24"/>
      <c r="BA116" s="19"/>
      <c r="BB116" s="19"/>
      <c r="BC116" s="25"/>
      <c r="BD116" s="25"/>
      <c r="BE116" s="25"/>
      <c r="BF116" s="25"/>
      <c r="BG116" s="25"/>
      <c r="BH116" s="25"/>
      <c r="BI116" s="12"/>
      <c r="BJ116" s="13"/>
      <c r="BK116" s="24"/>
      <c r="BL116" s="24"/>
      <c r="BM116" s="24"/>
      <c r="BN116" s="24"/>
      <c r="BO116" s="24"/>
      <c r="BP116" s="24"/>
      <c r="BQ116" s="19"/>
      <c r="BR116" s="17"/>
    </row>
    <row r="117" spans="23:70" x14ac:dyDescent="0.25">
      <c r="W117" s="22"/>
      <c r="X117" s="22"/>
      <c r="Y117" s="22"/>
      <c r="Z117" s="22"/>
      <c r="AA117" s="22"/>
      <c r="AB117" s="22"/>
      <c r="AC117" s="12"/>
      <c r="AD117" s="12"/>
      <c r="AE117" s="24"/>
      <c r="AF117" s="24"/>
      <c r="AG117" s="24"/>
      <c r="AH117" s="24"/>
      <c r="AI117" s="24"/>
      <c r="AJ117" s="24"/>
      <c r="AK117" s="17"/>
      <c r="AL117" s="17"/>
      <c r="AM117" s="24"/>
      <c r="AN117" s="24"/>
      <c r="AO117" s="24"/>
      <c r="AP117" s="24"/>
      <c r="AQ117" s="24"/>
      <c r="AR117" s="24"/>
      <c r="AS117" s="12"/>
      <c r="AT117" s="12"/>
      <c r="AU117" s="24"/>
      <c r="AV117" s="24"/>
      <c r="AW117" s="24"/>
      <c r="AX117" s="24"/>
      <c r="AY117" s="24"/>
      <c r="AZ117" s="24"/>
      <c r="BA117" s="19"/>
      <c r="BB117" s="19"/>
      <c r="BC117" s="25"/>
      <c r="BD117" s="25"/>
      <c r="BE117" s="25"/>
      <c r="BF117" s="25"/>
      <c r="BG117" s="25"/>
      <c r="BH117" s="25"/>
      <c r="BI117" s="12"/>
      <c r="BJ117" s="13"/>
      <c r="BK117" s="24"/>
      <c r="BL117" s="24"/>
      <c r="BM117" s="24"/>
      <c r="BN117" s="24"/>
      <c r="BO117" s="24"/>
      <c r="BP117" s="24"/>
      <c r="BQ117" s="19"/>
      <c r="BR117" s="17"/>
    </row>
    <row r="118" spans="23:70" x14ac:dyDescent="0.25">
      <c r="W118" s="22"/>
      <c r="X118" s="22"/>
      <c r="Y118" s="22"/>
      <c r="Z118" s="22"/>
      <c r="AA118" s="22"/>
      <c r="AB118" s="22"/>
      <c r="AC118" s="12"/>
      <c r="AD118" s="12"/>
      <c r="AE118" s="24"/>
      <c r="AF118" s="24"/>
      <c r="AG118" s="24"/>
      <c r="AH118" s="24"/>
      <c r="AI118" s="24"/>
      <c r="AJ118" s="24"/>
      <c r="AK118" s="17"/>
      <c r="AL118" s="17"/>
      <c r="AM118" s="24"/>
      <c r="AN118" s="24"/>
      <c r="AO118" s="24"/>
      <c r="AP118" s="24"/>
      <c r="AQ118" s="24"/>
      <c r="AR118" s="24"/>
      <c r="AS118" s="12"/>
      <c r="AT118" s="12"/>
      <c r="AU118" s="24"/>
      <c r="AV118" s="24"/>
      <c r="AW118" s="24"/>
      <c r="AX118" s="24"/>
      <c r="AY118" s="24"/>
      <c r="AZ118" s="24"/>
      <c r="BA118" s="19"/>
      <c r="BB118" s="19"/>
      <c r="BC118" s="25"/>
      <c r="BD118" s="25"/>
      <c r="BE118" s="25"/>
      <c r="BF118" s="25"/>
      <c r="BG118" s="25"/>
      <c r="BH118" s="25"/>
      <c r="BI118" s="12"/>
      <c r="BJ118" s="13"/>
      <c r="BK118" s="24"/>
      <c r="BL118" s="24"/>
      <c r="BM118" s="24"/>
      <c r="BN118" s="24"/>
      <c r="BO118" s="24"/>
      <c r="BP118" s="24"/>
      <c r="BQ118" s="19"/>
      <c r="BR118" s="17"/>
    </row>
    <row r="119" spans="23:70" x14ac:dyDescent="0.25">
      <c r="W119" s="22"/>
      <c r="X119" s="22"/>
      <c r="Y119" s="22"/>
      <c r="Z119" s="22"/>
      <c r="AA119" s="22"/>
      <c r="AB119" s="22"/>
      <c r="AC119" s="12"/>
      <c r="AD119" s="12"/>
      <c r="AE119" s="24"/>
      <c r="AF119" s="24"/>
      <c r="AG119" s="24"/>
      <c r="AH119" s="24"/>
      <c r="AI119" s="24"/>
      <c r="AJ119" s="24"/>
      <c r="AK119" s="17"/>
      <c r="AL119" s="17"/>
      <c r="AM119" s="24"/>
      <c r="AN119" s="24"/>
      <c r="AO119" s="24"/>
      <c r="AP119" s="24"/>
      <c r="AQ119" s="24"/>
      <c r="AR119" s="24"/>
      <c r="AS119" s="12"/>
      <c r="AT119" s="12"/>
      <c r="AU119" s="24"/>
      <c r="AV119" s="24"/>
      <c r="AW119" s="24"/>
      <c r="AX119" s="24"/>
      <c r="AY119" s="24"/>
      <c r="AZ119" s="24"/>
      <c r="BA119" s="19"/>
      <c r="BB119" s="19"/>
      <c r="BC119" s="25"/>
      <c r="BD119" s="25"/>
      <c r="BE119" s="25"/>
      <c r="BF119" s="25"/>
      <c r="BG119" s="25"/>
      <c r="BH119" s="25"/>
      <c r="BI119" s="12"/>
      <c r="BJ119" s="13"/>
      <c r="BK119" s="24"/>
      <c r="BL119" s="24"/>
      <c r="BM119" s="24"/>
      <c r="BN119" s="24"/>
      <c r="BO119" s="24"/>
      <c r="BP119" s="24"/>
      <c r="BQ119" s="19"/>
      <c r="BR119" s="17"/>
    </row>
    <row r="120" spans="23:70" x14ac:dyDescent="0.25">
      <c r="W120" s="22"/>
      <c r="X120" s="22"/>
      <c r="Y120" s="22"/>
      <c r="Z120" s="22"/>
      <c r="AA120" s="22"/>
      <c r="AB120" s="22"/>
      <c r="AC120" s="12"/>
      <c r="AD120" s="12"/>
      <c r="AE120" s="24"/>
      <c r="AF120" s="24"/>
      <c r="AG120" s="24"/>
      <c r="AH120" s="24"/>
      <c r="AI120" s="24"/>
      <c r="AJ120" s="24"/>
      <c r="AK120" s="17"/>
      <c r="AL120" s="17"/>
      <c r="AM120" s="24"/>
      <c r="AN120" s="24"/>
      <c r="AO120" s="24"/>
      <c r="AP120" s="24"/>
      <c r="AQ120" s="24"/>
      <c r="AR120" s="24"/>
      <c r="AS120" s="12"/>
      <c r="AT120" s="12"/>
      <c r="AU120" s="24"/>
      <c r="AV120" s="24"/>
      <c r="AW120" s="24"/>
      <c r="AX120" s="24"/>
      <c r="AY120" s="24"/>
      <c r="AZ120" s="24"/>
      <c r="BA120" s="19"/>
      <c r="BB120" s="19"/>
      <c r="BC120" s="25"/>
      <c r="BD120" s="25"/>
      <c r="BE120" s="25"/>
      <c r="BF120" s="25"/>
      <c r="BG120" s="25"/>
      <c r="BH120" s="25"/>
      <c r="BI120" s="12"/>
      <c r="BJ120" s="13"/>
      <c r="BK120" s="24"/>
      <c r="BL120" s="24"/>
      <c r="BM120" s="24"/>
      <c r="BN120" s="24"/>
      <c r="BO120" s="24"/>
      <c r="BP120" s="24"/>
      <c r="BQ120" s="19"/>
      <c r="BR120" s="17"/>
    </row>
    <row r="121" spans="23:70" x14ac:dyDescent="0.25">
      <c r="W121" s="22"/>
      <c r="X121" s="22"/>
      <c r="Y121" s="22"/>
      <c r="Z121" s="22"/>
      <c r="AA121" s="22"/>
      <c r="AB121" s="22"/>
      <c r="AC121" s="12"/>
      <c r="AD121" s="12"/>
      <c r="AE121" s="24"/>
      <c r="AF121" s="24"/>
      <c r="AG121" s="24"/>
      <c r="AH121" s="24"/>
      <c r="AI121" s="24"/>
      <c r="AJ121" s="24"/>
      <c r="AK121" s="17"/>
      <c r="AL121" s="17"/>
      <c r="AM121" s="24"/>
      <c r="AN121" s="24"/>
      <c r="AO121" s="24"/>
      <c r="AP121" s="24"/>
      <c r="AQ121" s="24"/>
      <c r="AR121" s="24"/>
      <c r="AS121" s="12"/>
      <c r="AT121" s="12"/>
      <c r="AU121" s="24"/>
      <c r="AV121" s="24"/>
      <c r="AW121" s="24"/>
      <c r="AX121" s="24"/>
      <c r="AY121" s="24"/>
      <c r="AZ121" s="24"/>
      <c r="BA121" s="19"/>
      <c r="BB121" s="19"/>
      <c r="BC121" s="25"/>
      <c r="BD121" s="25"/>
      <c r="BE121" s="25"/>
      <c r="BF121" s="25"/>
      <c r="BG121" s="25"/>
      <c r="BH121" s="25"/>
      <c r="BI121" s="12"/>
      <c r="BJ121" s="13"/>
      <c r="BK121" s="24"/>
      <c r="BL121" s="24"/>
      <c r="BM121" s="24"/>
      <c r="BN121" s="24"/>
      <c r="BO121" s="24"/>
      <c r="BP121" s="24"/>
      <c r="BQ121" s="19"/>
      <c r="BR121" s="17"/>
    </row>
    <row r="122" spans="23:70" x14ac:dyDescent="0.25">
      <c r="W122" s="22"/>
      <c r="X122" s="22"/>
      <c r="Y122" s="22"/>
      <c r="Z122" s="22"/>
      <c r="AA122" s="22"/>
      <c r="AB122" s="22"/>
      <c r="AC122" s="12"/>
      <c r="AD122" s="12"/>
      <c r="AE122" s="24"/>
      <c r="AF122" s="24"/>
      <c r="AG122" s="24"/>
      <c r="AH122" s="24"/>
      <c r="AI122" s="24"/>
      <c r="AJ122" s="24"/>
      <c r="AK122" s="17"/>
      <c r="AL122" s="17"/>
      <c r="AM122" s="24"/>
      <c r="AN122" s="24"/>
      <c r="AO122" s="24"/>
      <c r="AP122" s="24"/>
      <c r="AQ122" s="24"/>
      <c r="AR122" s="24"/>
      <c r="AS122" s="12"/>
      <c r="AT122" s="12"/>
      <c r="AU122" s="24"/>
      <c r="AV122" s="24"/>
      <c r="AW122" s="24"/>
      <c r="AX122" s="24"/>
      <c r="AY122" s="24"/>
      <c r="AZ122" s="24"/>
      <c r="BA122" s="19"/>
      <c r="BB122" s="19"/>
      <c r="BC122" s="25"/>
      <c r="BD122" s="25"/>
      <c r="BE122" s="25"/>
      <c r="BF122" s="25"/>
      <c r="BG122" s="25"/>
      <c r="BH122" s="25"/>
      <c r="BI122" s="12"/>
      <c r="BJ122" s="13"/>
      <c r="BK122" s="24"/>
      <c r="BL122" s="24"/>
      <c r="BM122" s="24"/>
      <c r="BN122" s="24"/>
      <c r="BO122" s="24"/>
      <c r="BP122" s="24"/>
      <c r="BQ122" s="19"/>
      <c r="BR122" s="17"/>
    </row>
    <row r="123" spans="23:70" x14ac:dyDescent="0.25">
      <c r="W123" s="22"/>
      <c r="X123" s="22"/>
      <c r="Y123" s="22"/>
      <c r="Z123" s="22"/>
      <c r="AA123" s="22"/>
      <c r="AB123" s="22"/>
      <c r="AC123" s="12"/>
      <c r="AD123" s="12"/>
      <c r="AE123" s="24"/>
      <c r="AF123" s="24"/>
      <c r="AG123" s="24"/>
      <c r="AH123" s="24"/>
      <c r="AI123" s="24"/>
      <c r="AJ123" s="24"/>
      <c r="AK123" s="17"/>
      <c r="AL123" s="17"/>
      <c r="AM123" s="24"/>
      <c r="AN123" s="24"/>
      <c r="AO123" s="24"/>
      <c r="AP123" s="24"/>
      <c r="AQ123" s="24"/>
      <c r="AR123" s="24"/>
      <c r="AS123" s="12"/>
      <c r="AT123" s="12"/>
      <c r="AU123" s="24"/>
      <c r="AV123" s="24"/>
      <c r="AW123" s="24"/>
      <c r="AX123" s="24"/>
      <c r="AY123" s="24"/>
      <c r="AZ123" s="24"/>
      <c r="BA123" s="19"/>
      <c r="BB123" s="19"/>
      <c r="BC123" s="25"/>
      <c r="BD123" s="25"/>
      <c r="BE123" s="25"/>
      <c r="BF123" s="25"/>
      <c r="BG123" s="25"/>
      <c r="BH123" s="25"/>
      <c r="BI123" s="12"/>
      <c r="BJ123" s="13"/>
      <c r="BK123" s="24"/>
      <c r="BL123" s="24"/>
      <c r="BM123" s="24"/>
      <c r="BN123" s="24"/>
      <c r="BO123" s="24"/>
      <c r="BP123" s="24"/>
      <c r="BQ123" s="19"/>
      <c r="BR123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1148-E12C-47C6-B262-CAECD5E1AE05}">
  <dimension ref="A1:Q60"/>
  <sheetViews>
    <sheetView topLeftCell="D1" workbookViewId="0">
      <selection activeCell="X13" sqref="X13"/>
    </sheetView>
  </sheetViews>
  <sheetFormatPr baseColWidth="10" defaultRowHeight="15" x14ac:dyDescent="0.25"/>
  <cols>
    <col min="1" max="1" width="19.28515625" bestFit="1" customWidth="1"/>
    <col min="5" max="5" width="17.140625" bestFit="1" customWidth="1"/>
  </cols>
  <sheetData>
    <row r="1" spans="1:17" x14ac:dyDescent="0.25">
      <c r="A1" s="54" t="s">
        <v>874</v>
      </c>
      <c r="B1" s="54"/>
      <c r="C1" s="54"/>
      <c r="D1" s="54"/>
      <c r="E1" s="54"/>
    </row>
    <row r="2" spans="1:17" ht="15.75" thickBot="1" x14ac:dyDescent="0.3">
      <c r="A2" s="40" t="s">
        <v>825</v>
      </c>
      <c r="B2" s="40" t="s">
        <v>826</v>
      </c>
      <c r="C2" t="s">
        <v>827</v>
      </c>
      <c r="E2" t="s">
        <v>828</v>
      </c>
    </row>
    <row r="3" spans="1:17" ht="16.5" thickTop="1" thickBot="1" x14ac:dyDescent="0.3">
      <c r="A3" s="40" t="s">
        <v>1</v>
      </c>
      <c r="B3" s="40">
        <v>45973</v>
      </c>
      <c r="Q3" s="53" t="e">
        <f>SUBTOTAL(109,[1]!Tabla1[2017])</f>
        <v>#REF!</v>
      </c>
    </row>
    <row r="4" spans="1:17" ht="16.5" thickTop="1" thickBot="1" x14ac:dyDescent="0.3">
      <c r="A4" s="40" t="s">
        <v>4</v>
      </c>
      <c r="B4" s="40">
        <v>46977</v>
      </c>
      <c r="C4" s="41">
        <f>+(B4-B3)/B3</f>
        <v>2.1838905444500033E-2</v>
      </c>
      <c r="D4" s="41">
        <f>+(B4-B3)/B3</f>
        <v>2.1838905444500033E-2</v>
      </c>
      <c r="E4">
        <f>+B4-B3</f>
        <v>1004</v>
      </c>
      <c r="Q4" s="53" t="e">
        <f>SUBTOTAL(109,[1]!Tabla1[2018])</f>
        <v>#REF!</v>
      </c>
    </row>
    <row r="5" spans="1:17" ht="16.5" thickTop="1" thickBot="1" x14ac:dyDescent="0.3">
      <c r="A5" s="40" t="s">
        <v>7</v>
      </c>
      <c r="B5" s="40">
        <v>49248</v>
      </c>
      <c r="C5" s="41">
        <f t="shared" ref="C5:C9" si="0">+(B5-B4)/B4</f>
        <v>4.8342806054026438E-2</v>
      </c>
      <c r="D5" s="41">
        <f t="shared" ref="D5:D6" si="1">+(B5-B4)/B4</f>
        <v>4.8342806054026438E-2</v>
      </c>
      <c r="E5">
        <f t="shared" ref="E5:E9" si="2">+B5-B4</f>
        <v>2271</v>
      </c>
      <c r="Q5" s="53" t="e">
        <f>SUBTOTAL(109,[1]!Tabla1[2019])</f>
        <v>#REF!</v>
      </c>
    </row>
    <row r="6" spans="1:17" ht="16.5" thickTop="1" thickBot="1" x14ac:dyDescent="0.3">
      <c r="A6" s="40" t="s">
        <v>10</v>
      </c>
      <c r="B6" s="40">
        <v>63347</v>
      </c>
      <c r="C6" s="41">
        <f t="shared" si="0"/>
        <v>0.28628573749187786</v>
      </c>
      <c r="D6" s="41">
        <f t="shared" si="1"/>
        <v>0.28628573749187786</v>
      </c>
      <c r="E6">
        <f t="shared" si="2"/>
        <v>14099</v>
      </c>
      <c r="Q6" s="53" t="e">
        <f>SUBTOTAL(109,[1]!Tabla1[2020])</f>
        <v>#REF!</v>
      </c>
    </row>
    <row r="7" spans="1:17" ht="16.5" thickTop="1" thickBot="1" x14ac:dyDescent="0.3">
      <c r="A7" s="40" t="s">
        <v>13</v>
      </c>
      <c r="B7" s="40">
        <v>57366</v>
      </c>
      <c r="C7" s="41">
        <f t="shared" si="0"/>
        <v>-9.4416468025320846E-2</v>
      </c>
      <c r="D7" s="44">
        <f>+(B7-B5)/B5</f>
        <v>0.1648391812865497</v>
      </c>
      <c r="E7">
        <f t="shared" si="2"/>
        <v>-5981</v>
      </c>
      <c r="Q7" s="53" t="e">
        <f>SUBTOTAL(109,[1]!Tabla1[2021])</f>
        <v>#REF!</v>
      </c>
    </row>
    <row r="8" spans="1:17" ht="16.5" thickTop="1" thickBot="1" x14ac:dyDescent="0.3">
      <c r="A8" s="40" t="s">
        <v>16</v>
      </c>
      <c r="B8" s="40">
        <v>58409</v>
      </c>
      <c r="C8" s="41">
        <f>+(B8-B7)/B7</f>
        <v>1.818150123766691E-2</v>
      </c>
      <c r="D8" s="44">
        <f>+(B8-B5)/B5</f>
        <v>0.18601770630279402</v>
      </c>
      <c r="E8">
        <f t="shared" si="2"/>
        <v>1043</v>
      </c>
      <c r="Q8" s="53" t="e">
        <f>SUBTOTAL(109,[1]!Tabla1[2022])</f>
        <v>#REF!</v>
      </c>
    </row>
    <row r="9" spans="1:17" ht="15.75" thickTop="1" x14ac:dyDescent="0.25">
      <c r="A9" s="40" t="s">
        <v>19</v>
      </c>
      <c r="B9" s="40">
        <v>56540</v>
      </c>
      <c r="C9" s="41">
        <f t="shared" si="0"/>
        <v>-3.199849338286908E-2</v>
      </c>
      <c r="D9" s="44">
        <f>+(B9-B5)/B5</f>
        <v>0.1480669265756985</v>
      </c>
      <c r="E9">
        <f t="shared" si="2"/>
        <v>-1869</v>
      </c>
      <c r="Q9" s="53" t="e">
        <f>SUBTOTAL(109,[1]!Tabla1[2023])</f>
        <v>#REF!</v>
      </c>
    </row>
    <row r="18" spans="1:6" x14ac:dyDescent="0.25">
      <c r="A18" t="s">
        <v>829</v>
      </c>
      <c r="B18">
        <v>2019</v>
      </c>
      <c r="C18">
        <v>2020</v>
      </c>
      <c r="E18" t="s">
        <v>830</v>
      </c>
    </row>
    <row r="19" spans="1:6" x14ac:dyDescent="0.25">
      <c r="A19" t="s">
        <v>831</v>
      </c>
      <c r="B19">
        <v>6732</v>
      </c>
      <c r="C19">
        <v>6768</v>
      </c>
      <c r="E19">
        <f>+C19-B19</f>
        <v>36</v>
      </c>
    </row>
    <row r="20" spans="1:6" x14ac:dyDescent="0.25">
      <c r="A20" t="s">
        <v>832</v>
      </c>
      <c r="B20">
        <v>5940</v>
      </c>
      <c r="C20">
        <v>6127</v>
      </c>
      <c r="E20">
        <f t="shared" ref="E20:E30" si="3">+C20-B20</f>
        <v>187</v>
      </c>
      <c r="F20" s="42">
        <f>+(C20-B20)/B20</f>
        <v>3.1481481481481478E-2</v>
      </c>
    </row>
    <row r="21" spans="1:6" x14ac:dyDescent="0.25">
      <c r="A21" t="s">
        <v>833</v>
      </c>
      <c r="B21">
        <v>6584</v>
      </c>
      <c r="C21">
        <v>10214</v>
      </c>
      <c r="E21">
        <f t="shared" si="3"/>
        <v>3630</v>
      </c>
      <c r="F21" s="42">
        <f t="shared" ref="F21:F31" si="4">+(C21-B21)/B21</f>
        <v>0.55133657351154308</v>
      </c>
    </row>
    <row r="22" spans="1:6" x14ac:dyDescent="0.25">
      <c r="A22" t="s">
        <v>834</v>
      </c>
      <c r="B22">
        <v>6166</v>
      </c>
      <c r="C22">
        <v>21290</v>
      </c>
      <c r="E22">
        <f t="shared" si="3"/>
        <v>15124</v>
      </c>
      <c r="F22" s="42">
        <f t="shared" si="4"/>
        <v>2.4528057087252675</v>
      </c>
    </row>
    <row r="23" spans="1:6" x14ac:dyDescent="0.25">
      <c r="A23" t="s">
        <v>835</v>
      </c>
      <c r="B23">
        <v>5966</v>
      </c>
      <c r="C23">
        <v>10342</v>
      </c>
      <c r="E23">
        <f t="shared" si="3"/>
        <v>4376</v>
      </c>
      <c r="F23" s="42">
        <f t="shared" si="4"/>
        <v>0.73348977539389881</v>
      </c>
    </row>
    <row r="24" spans="1:6" x14ac:dyDescent="0.25">
      <c r="A24" t="s">
        <v>836</v>
      </c>
      <c r="B24">
        <v>5909</v>
      </c>
      <c r="C24">
        <v>9101</v>
      </c>
      <c r="E24">
        <f t="shared" si="3"/>
        <v>3192</v>
      </c>
      <c r="F24" s="42">
        <f t="shared" si="4"/>
        <v>0.54019292604501612</v>
      </c>
    </row>
    <row r="25" spans="1:6" x14ac:dyDescent="0.25">
      <c r="A25" t="s">
        <v>837</v>
      </c>
      <c r="B25">
        <v>6090</v>
      </c>
      <c r="C25">
        <v>10981</v>
      </c>
      <c r="E25">
        <f t="shared" si="3"/>
        <v>4891</v>
      </c>
      <c r="F25" s="42">
        <f t="shared" si="4"/>
        <v>0.80311986863711005</v>
      </c>
    </row>
    <row r="26" spans="1:6" x14ac:dyDescent="0.25">
      <c r="A26" t="s">
        <v>838</v>
      </c>
      <c r="B26">
        <v>6270</v>
      </c>
      <c r="C26">
        <v>10157</v>
      </c>
      <c r="E26">
        <f t="shared" si="3"/>
        <v>3887</v>
      </c>
      <c r="F26" s="42">
        <f t="shared" si="4"/>
        <v>0.61993620414673045</v>
      </c>
    </row>
    <row r="27" spans="1:6" x14ac:dyDescent="0.25">
      <c r="A27" t="s">
        <v>839</v>
      </c>
      <c r="B27">
        <v>6222</v>
      </c>
      <c r="C27">
        <v>8078</v>
      </c>
      <c r="E27">
        <f t="shared" si="3"/>
        <v>1856</v>
      </c>
      <c r="F27" s="42">
        <f t="shared" si="4"/>
        <v>0.29829636772741885</v>
      </c>
    </row>
    <row r="28" spans="1:6" x14ac:dyDescent="0.25">
      <c r="A28" t="s">
        <v>840</v>
      </c>
      <c r="B28">
        <v>6015</v>
      </c>
      <c r="C28">
        <v>7662</v>
      </c>
      <c r="E28">
        <f t="shared" si="3"/>
        <v>1647</v>
      </c>
      <c r="F28" s="42">
        <f t="shared" si="4"/>
        <v>0.27381546134663343</v>
      </c>
    </row>
    <row r="29" spans="1:6" x14ac:dyDescent="0.25">
      <c r="A29" t="s">
        <v>841</v>
      </c>
      <c r="B29">
        <v>6061</v>
      </c>
      <c r="C29">
        <v>7445</v>
      </c>
      <c r="E29">
        <f t="shared" si="3"/>
        <v>1384</v>
      </c>
      <c r="F29" s="42">
        <f t="shared" si="4"/>
        <v>0.22834515756475829</v>
      </c>
    </row>
    <row r="30" spans="1:6" x14ac:dyDescent="0.25">
      <c r="A30" t="s">
        <v>842</v>
      </c>
      <c r="B30">
        <v>6484</v>
      </c>
      <c r="C30">
        <v>7351</v>
      </c>
      <c r="E30">
        <f t="shared" si="3"/>
        <v>867</v>
      </c>
      <c r="F30" s="42">
        <f t="shared" si="4"/>
        <v>0.13371375694016038</v>
      </c>
    </row>
    <row r="31" spans="1:6" x14ac:dyDescent="0.25">
      <c r="A31" t="s">
        <v>843</v>
      </c>
      <c r="B31">
        <v>74439</v>
      </c>
      <c r="C31">
        <v>115516</v>
      </c>
      <c r="E31">
        <v>41077</v>
      </c>
      <c r="F31" s="42">
        <f t="shared" si="4"/>
        <v>0.55182095406977527</v>
      </c>
    </row>
    <row r="34" spans="1:2" x14ac:dyDescent="0.25">
      <c r="A34" t="s">
        <v>27</v>
      </c>
      <c r="B34" t="s">
        <v>845</v>
      </c>
    </row>
    <row r="35" spans="1:2" x14ac:dyDescent="0.25">
      <c r="A35" s="43">
        <v>1</v>
      </c>
      <c r="B35" t="s">
        <v>846</v>
      </c>
    </row>
    <row r="36" spans="1:2" x14ac:dyDescent="0.25">
      <c r="A36" s="43">
        <v>2</v>
      </c>
      <c r="B36" t="s">
        <v>863</v>
      </c>
    </row>
    <row r="37" spans="1:2" x14ac:dyDescent="0.25">
      <c r="A37" s="43">
        <v>3</v>
      </c>
      <c r="B37" t="s">
        <v>864</v>
      </c>
    </row>
    <row r="38" spans="1:2" x14ac:dyDescent="0.25">
      <c r="A38" s="43">
        <v>4</v>
      </c>
      <c r="B38" t="s">
        <v>847</v>
      </c>
    </row>
    <row r="39" spans="1:2" x14ac:dyDescent="0.25">
      <c r="A39" s="43">
        <v>5</v>
      </c>
      <c r="B39" t="s">
        <v>848</v>
      </c>
    </row>
    <row r="40" spans="1:2" x14ac:dyDescent="0.25">
      <c r="A40" s="43">
        <v>6</v>
      </c>
      <c r="B40" t="s">
        <v>849</v>
      </c>
    </row>
    <row r="41" spans="1:2" x14ac:dyDescent="0.25">
      <c r="A41" s="43">
        <v>7</v>
      </c>
      <c r="B41" t="s">
        <v>850</v>
      </c>
    </row>
    <row r="42" spans="1:2" x14ac:dyDescent="0.25">
      <c r="A42" s="43">
        <v>8</v>
      </c>
      <c r="B42" t="s">
        <v>851</v>
      </c>
    </row>
    <row r="43" spans="1:2" x14ac:dyDescent="0.25">
      <c r="A43" s="43">
        <v>9</v>
      </c>
      <c r="B43" t="s">
        <v>852</v>
      </c>
    </row>
    <row r="44" spans="1:2" x14ac:dyDescent="0.25">
      <c r="A44" s="43">
        <v>10</v>
      </c>
      <c r="B44" t="s">
        <v>853</v>
      </c>
    </row>
    <row r="45" spans="1:2" x14ac:dyDescent="0.25">
      <c r="A45" s="43">
        <v>11</v>
      </c>
      <c r="B45" t="s">
        <v>854</v>
      </c>
    </row>
    <row r="46" spans="1:2" x14ac:dyDescent="0.25">
      <c r="A46" s="43">
        <v>12</v>
      </c>
      <c r="B46" t="s">
        <v>865</v>
      </c>
    </row>
    <row r="47" spans="1:2" x14ac:dyDescent="0.25">
      <c r="A47" s="43">
        <v>13</v>
      </c>
      <c r="B47" t="s">
        <v>866</v>
      </c>
    </row>
    <row r="48" spans="1:2" x14ac:dyDescent="0.25">
      <c r="A48" s="43">
        <v>14</v>
      </c>
      <c r="B48" t="s">
        <v>855</v>
      </c>
    </row>
    <row r="49" spans="1:2" x14ac:dyDescent="0.25">
      <c r="A49" s="43">
        <v>15</v>
      </c>
      <c r="B49" t="s">
        <v>856</v>
      </c>
    </row>
    <row r="50" spans="1:2" x14ac:dyDescent="0.25">
      <c r="A50" s="43">
        <v>16</v>
      </c>
      <c r="B50" t="s">
        <v>857</v>
      </c>
    </row>
    <row r="51" spans="1:2" x14ac:dyDescent="0.25">
      <c r="A51" s="43">
        <v>17</v>
      </c>
      <c r="B51" t="s">
        <v>858</v>
      </c>
    </row>
    <row r="52" spans="1:2" x14ac:dyDescent="0.25">
      <c r="A52" s="43">
        <v>18</v>
      </c>
      <c r="B52" t="s">
        <v>859</v>
      </c>
    </row>
    <row r="53" spans="1:2" x14ac:dyDescent="0.25">
      <c r="A53" s="43">
        <v>19</v>
      </c>
      <c r="B53" t="s">
        <v>860</v>
      </c>
    </row>
    <row r="54" spans="1:2" x14ac:dyDescent="0.25">
      <c r="A54" s="43">
        <v>20</v>
      </c>
      <c r="B54" t="s">
        <v>867</v>
      </c>
    </row>
    <row r="55" spans="1:2" x14ac:dyDescent="0.25">
      <c r="A55" s="43">
        <v>21</v>
      </c>
      <c r="B55" t="s">
        <v>868</v>
      </c>
    </row>
    <row r="56" spans="1:2" x14ac:dyDescent="0.25">
      <c r="A56" s="43">
        <v>22</v>
      </c>
      <c r="B56" t="s">
        <v>861</v>
      </c>
    </row>
    <row r="57" spans="1:2" x14ac:dyDescent="0.25">
      <c r="A57" s="43">
        <v>23</v>
      </c>
      <c r="B57" t="s">
        <v>869</v>
      </c>
    </row>
    <row r="58" spans="1:2" x14ac:dyDescent="0.25">
      <c r="A58" s="43">
        <v>24</v>
      </c>
      <c r="B58" t="s">
        <v>862</v>
      </c>
    </row>
    <row r="59" spans="1:2" x14ac:dyDescent="0.25">
      <c r="A59" s="43">
        <v>88</v>
      </c>
      <c r="B59" t="s">
        <v>870</v>
      </c>
    </row>
    <row r="60" spans="1:2" x14ac:dyDescent="0.25">
      <c r="A60" s="43">
        <v>90</v>
      </c>
      <c r="B60" t="s">
        <v>870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4D4B-5158-41DA-B4EA-BD1FAD48E190}">
  <dimension ref="A1:V11"/>
  <sheetViews>
    <sheetView topLeftCell="E1" workbookViewId="0">
      <selection activeCell="V1" activeCellId="6" sqref="D1:D1048576 G1:G1048576 J1:J1048576 M1:M1048576 P1:P1048576 S1:S1048576 V1:V1048576"/>
    </sheetView>
  </sheetViews>
  <sheetFormatPr baseColWidth="10" defaultRowHeight="15" x14ac:dyDescent="0.25"/>
  <cols>
    <col min="1" max="2" width="11.42578125" style="1"/>
    <col min="3" max="3" width="16.140625" style="1" customWidth="1"/>
    <col min="4" max="4" width="15.5703125" style="1" customWidth="1"/>
    <col min="5" max="5" width="11.42578125" style="1"/>
    <col min="6" max="6" width="16.140625" style="1" customWidth="1"/>
    <col min="7" max="7" width="15.5703125" style="1" customWidth="1"/>
    <col min="8" max="8" width="11.42578125" style="1"/>
    <col min="9" max="9" width="16.140625" style="1" customWidth="1"/>
    <col min="10" max="10" width="15.5703125" style="1" customWidth="1"/>
    <col min="11" max="11" width="11.42578125" style="1"/>
    <col min="12" max="12" width="16.140625" style="1" customWidth="1"/>
    <col min="13" max="13" width="15.5703125" style="1" customWidth="1"/>
    <col min="14" max="14" width="11.42578125" style="1"/>
    <col min="15" max="15" width="16.140625" style="1" customWidth="1"/>
    <col min="16" max="16" width="15.5703125" style="1" customWidth="1"/>
    <col min="17" max="17" width="11.42578125" style="1"/>
    <col min="18" max="18" width="16.140625" style="1" customWidth="1"/>
    <col min="19" max="19" width="15.5703125" style="1" customWidth="1"/>
    <col min="20" max="20" width="11.42578125" style="1"/>
    <col min="21" max="21" width="16.140625" style="1" customWidth="1"/>
    <col min="22" max="22" width="15.5703125" style="1" customWidth="1"/>
    <col min="23" max="16384" width="11.42578125" style="1"/>
  </cols>
  <sheetData>
    <row r="1" spans="1:22" x14ac:dyDescent="0.25">
      <c r="A1" s="1" t="s">
        <v>60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</row>
    <row r="2" spans="1:22" x14ac:dyDescent="0.25">
      <c r="A2" s="1" t="s">
        <v>58</v>
      </c>
      <c r="B2" s="1">
        <v>2445</v>
      </c>
      <c r="C2" s="1">
        <v>1376</v>
      </c>
      <c r="D2" s="1">
        <v>1069</v>
      </c>
      <c r="E2" s="1">
        <v>2591</v>
      </c>
      <c r="F2" s="1">
        <v>1461</v>
      </c>
      <c r="G2" s="1">
        <v>1130</v>
      </c>
      <c r="H2" s="1">
        <v>2794</v>
      </c>
      <c r="I2" s="1">
        <v>1607</v>
      </c>
      <c r="J2" s="1">
        <v>1187</v>
      </c>
      <c r="K2" s="1">
        <v>3014</v>
      </c>
      <c r="L2" s="1">
        <v>1692</v>
      </c>
      <c r="M2" s="1">
        <v>1322</v>
      </c>
      <c r="N2" s="1">
        <v>3190</v>
      </c>
      <c r="O2" s="1">
        <v>1764</v>
      </c>
      <c r="P2" s="1">
        <v>1426</v>
      </c>
      <c r="Q2" s="1">
        <v>3410</v>
      </c>
      <c r="R2" s="1">
        <v>1817</v>
      </c>
      <c r="S2" s="1">
        <v>1593</v>
      </c>
      <c r="T2" s="1">
        <v>3056</v>
      </c>
      <c r="U2" s="1">
        <v>1649</v>
      </c>
      <c r="V2" s="1">
        <v>1407</v>
      </c>
    </row>
    <row r="3" spans="1:22" x14ac:dyDescent="0.25">
      <c r="A3" s="1" t="s">
        <v>26</v>
      </c>
      <c r="B3" s="1">
        <v>421</v>
      </c>
      <c r="C3" s="1">
        <v>226</v>
      </c>
      <c r="D3" s="1">
        <v>195</v>
      </c>
      <c r="E3" s="1">
        <v>356</v>
      </c>
      <c r="F3" s="1">
        <v>207</v>
      </c>
      <c r="G3" s="1">
        <v>149</v>
      </c>
      <c r="H3" s="1">
        <v>296</v>
      </c>
      <c r="I3" s="1">
        <v>171</v>
      </c>
      <c r="J3" s="1">
        <v>125</v>
      </c>
      <c r="K3" s="1">
        <v>308</v>
      </c>
      <c r="L3" s="1">
        <v>163</v>
      </c>
      <c r="M3" s="1">
        <v>145</v>
      </c>
      <c r="N3" s="1">
        <v>199</v>
      </c>
      <c r="O3" s="1">
        <v>112</v>
      </c>
      <c r="P3" s="1">
        <v>87</v>
      </c>
      <c r="Q3" s="1">
        <v>236</v>
      </c>
      <c r="R3" s="1">
        <v>135</v>
      </c>
      <c r="S3" s="1">
        <v>101</v>
      </c>
      <c r="T3" s="1">
        <v>337</v>
      </c>
      <c r="U3" s="1">
        <v>171</v>
      </c>
      <c r="V3" s="1">
        <v>166</v>
      </c>
    </row>
    <row r="4" spans="1:22" x14ac:dyDescent="0.25">
      <c r="A4" s="1" t="s">
        <v>25</v>
      </c>
      <c r="B4" s="1">
        <v>131</v>
      </c>
      <c r="C4" s="1">
        <v>68</v>
      </c>
      <c r="D4" s="1">
        <v>63</v>
      </c>
      <c r="E4" s="1">
        <v>137</v>
      </c>
      <c r="F4" s="1">
        <v>75</v>
      </c>
      <c r="G4" s="1">
        <v>62</v>
      </c>
      <c r="H4" s="1">
        <v>127</v>
      </c>
      <c r="I4" s="1">
        <v>67</v>
      </c>
      <c r="J4" s="1">
        <v>60</v>
      </c>
      <c r="K4" s="1">
        <v>131</v>
      </c>
      <c r="L4" s="1">
        <v>68</v>
      </c>
      <c r="M4" s="1">
        <v>63</v>
      </c>
      <c r="N4" s="1">
        <v>149</v>
      </c>
      <c r="O4" s="1">
        <v>89</v>
      </c>
      <c r="P4" s="1">
        <v>60</v>
      </c>
      <c r="Q4" s="1">
        <v>162</v>
      </c>
      <c r="R4" s="1">
        <v>95</v>
      </c>
      <c r="S4" s="1">
        <v>67</v>
      </c>
      <c r="T4" s="1">
        <v>157</v>
      </c>
      <c r="U4" s="1">
        <v>101</v>
      </c>
      <c r="V4" s="1">
        <v>56</v>
      </c>
    </row>
    <row r="5" spans="1:22" x14ac:dyDescent="0.25">
      <c r="A5" s="1" t="s">
        <v>56</v>
      </c>
      <c r="B5" s="1">
        <v>65</v>
      </c>
      <c r="C5" s="1">
        <v>44</v>
      </c>
      <c r="D5" s="1">
        <v>21</v>
      </c>
      <c r="E5" s="1">
        <v>48</v>
      </c>
      <c r="F5" s="1">
        <v>32</v>
      </c>
      <c r="G5" s="1">
        <v>16</v>
      </c>
      <c r="H5" s="1">
        <v>61</v>
      </c>
      <c r="I5" s="1">
        <v>40</v>
      </c>
      <c r="J5" s="1">
        <v>21</v>
      </c>
      <c r="K5" s="1">
        <v>112</v>
      </c>
      <c r="L5" s="1">
        <v>76</v>
      </c>
      <c r="M5" s="1">
        <v>36</v>
      </c>
      <c r="N5" s="1">
        <v>74</v>
      </c>
      <c r="O5" s="1">
        <v>50</v>
      </c>
      <c r="P5" s="1">
        <v>24</v>
      </c>
      <c r="Q5" s="1">
        <v>86</v>
      </c>
      <c r="R5" s="1">
        <v>62</v>
      </c>
      <c r="S5" s="1">
        <v>24</v>
      </c>
      <c r="T5" s="1">
        <v>95</v>
      </c>
      <c r="U5" s="1">
        <v>59</v>
      </c>
      <c r="V5" s="1">
        <v>36</v>
      </c>
    </row>
    <row r="6" spans="1:22" x14ac:dyDescent="0.25">
      <c r="A6" s="1" t="s">
        <v>57</v>
      </c>
      <c r="B6" s="1">
        <v>54</v>
      </c>
      <c r="C6" s="1">
        <v>32</v>
      </c>
      <c r="D6" s="1">
        <v>22</v>
      </c>
      <c r="E6" s="1">
        <v>56</v>
      </c>
      <c r="F6" s="1">
        <v>30</v>
      </c>
      <c r="G6" s="1">
        <v>26</v>
      </c>
      <c r="H6" s="1">
        <v>43</v>
      </c>
      <c r="I6" s="1">
        <v>24</v>
      </c>
      <c r="J6" s="1">
        <v>19</v>
      </c>
      <c r="K6" s="1">
        <v>55</v>
      </c>
      <c r="L6" s="1">
        <v>28</v>
      </c>
      <c r="M6" s="1">
        <v>27</v>
      </c>
      <c r="N6" s="1">
        <v>36</v>
      </c>
      <c r="O6" s="1">
        <v>21</v>
      </c>
      <c r="P6" s="1">
        <v>15</v>
      </c>
      <c r="Q6" s="1">
        <v>32</v>
      </c>
      <c r="R6" s="1">
        <v>17</v>
      </c>
      <c r="S6" s="1">
        <v>15</v>
      </c>
      <c r="T6" s="1">
        <v>42</v>
      </c>
      <c r="U6" s="1">
        <v>19</v>
      </c>
      <c r="V6" s="1">
        <v>23</v>
      </c>
    </row>
    <row r="7" spans="1:22" x14ac:dyDescent="0.25">
      <c r="A7" s="1" t="s">
        <v>24</v>
      </c>
      <c r="B7" s="1">
        <v>27</v>
      </c>
      <c r="C7" s="1">
        <v>12</v>
      </c>
      <c r="D7" s="1">
        <v>15</v>
      </c>
      <c r="E7" s="1">
        <v>21</v>
      </c>
      <c r="F7" s="1">
        <v>11</v>
      </c>
      <c r="G7" s="1">
        <v>10</v>
      </c>
      <c r="H7" s="1">
        <v>29</v>
      </c>
      <c r="I7" s="1">
        <v>14</v>
      </c>
      <c r="J7" s="1">
        <v>15</v>
      </c>
      <c r="K7" s="1">
        <v>33</v>
      </c>
      <c r="L7" s="1">
        <v>20</v>
      </c>
      <c r="M7" s="1">
        <v>13</v>
      </c>
      <c r="N7" s="1">
        <v>20</v>
      </c>
      <c r="O7" s="1">
        <v>12</v>
      </c>
      <c r="P7" s="1">
        <v>8</v>
      </c>
      <c r="Q7" s="1">
        <v>30</v>
      </c>
      <c r="R7" s="1">
        <v>17</v>
      </c>
      <c r="S7" s="1">
        <v>13</v>
      </c>
      <c r="T7" s="1">
        <v>39</v>
      </c>
      <c r="U7" s="1">
        <v>23</v>
      </c>
      <c r="V7" s="1">
        <v>16</v>
      </c>
    </row>
    <row r="8" spans="1:22" x14ac:dyDescent="0.25">
      <c r="A8" s="1" t="s">
        <v>23</v>
      </c>
      <c r="B8" s="1">
        <v>17</v>
      </c>
      <c r="C8" s="1">
        <v>13</v>
      </c>
      <c r="D8" s="1">
        <v>4</v>
      </c>
      <c r="E8" s="1">
        <v>19</v>
      </c>
      <c r="F8" s="1">
        <v>11</v>
      </c>
      <c r="G8" s="1">
        <v>8</v>
      </c>
      <c r="H8" s="1">
        <v>28</v>
      </c>
      <c r="I8" s="1">
        <v>19</v>
      </c>
      <c r="J8" s="1">
        <v>9</v>
      </c>
      <c r="K8" s="1">
        <v>24</v>
      </c>
      <c r="L8" s="1">
        <v>12</v>
      </c>
      <c r="M8" s="1">
        <v>12</v>
      </c>
      <c r="N8" s="1">
        <v>25</v>
      </c>
      <c r="O8" s="1">
        <v>16</v>
      </c>
      <c r="P8" s="1">
        <v>9</v>
      </c>
      <c r="Q8" s="1">
        <v>17</v>
      </c>
      <c r="R8" s="1">
        <v>11</v>
      </c>
      <c r="S8" s="1">
        <v>6</v>
      </c>
      <c r="T8" s="1">
        <v>15</v>
      </c>
      <c r="U8" s="1">
        <v>10</v>
      </c>
      <c r="V8" s="1">
        <v>5</v>
      </c>
    </row>
    <row r="9" spans="1:22" x14ac:dyDescent="0.25">
      <c r="A9" s="1" t="s">
        <v>22</v>
      </c>
      <c r="B9" s="1">
        <v>16</v>
      </c>
      <c r="C9" s="1">
        <v>9</v>
      </c>
      <c r="D9" s="1">
        <v>7</v>
      </c>
      <c r="E9" s="1">
        <v>12</v>
      </c>
      <c r="F9" s="1">
        <v>6</v>
      </c>
      <c r="G9" s="1">
        <v>6</v>
      </c>
      <c r="H9" s="1">
        <v>13</v>
      </c>
      <c r="I9" s="1">
        <v>9</v>
      </c>
      <c r="J9" s="1">
        <v>4</v>
      </c>
      <c r="K9" s="1">
        <v>21</v>
      </c>
      <c r="L9" s="1">
        <v>13</v>
      </c>
      <c r="M9" s="1">
        <v>8</v>
      </c>
      <c r="N9" s="1">
        <v>11</v>
      </c>
      <c r="O9" s="1">
        <v>7</v>
      </c>
      <c r="P9" s="1">
        <v>4</v>
      </c>
      <c r="Q9" s="1">
        <v>11</v>
      </c>
      <c r="R9" s="1">
        <v>7</v>
      </c>
      <c r="S9" s="1">
        <v>4</v>
      </c>
      <c r="T9" s="1">
        <v>15</v>
      </c>
      <c r="U9" s="1">
        <v>6</v>
      </c>
      <c r="V9" s="1">
        <v>9</v>
      </c>
    </row>
    <row r="10" spans="1:22" x14ac:dyDescent="0.25">
      <c r="A10" s="1" t="s">
        <v>59</v>
      </c>
      <c r="B10" s="1">
        <v>8</v>
      </c>
      <c r="C10" s="1">
        <v>3</v>
      </c>
      <c r="D10" s="1">
        <v>5</v>
      </c>
      <c r="E10" s="1">
        <v>10</v>
      </c>
      <c r="F10" s="1">
        <v>5</v>
      </c>
      <c r="G10" s="1">
        <v>5</v>
      </c>
      <c r="H10" s="1">
        <v>6</v>
      </c>
      <c r="I10" s="1">
        <v>4</v>
      </c>
      <c r="J10" s="1">
        <v>2</v>
      </c>
      <c r="K10" s="1">
        <v>8</v>
      </c>
      <c r="L10" s="1">
        <v>6</v>
      </c>
      <c r="M10" s="1">
        <v>2</v>
      </c>
      <c r="N10" s="1">
        <v>7</v>
      </c>
      <c r="O10" s="1">
        <v>5</v>
      </c>
      <c r="P10" s="1">
        <v>2</v>
      </c>
      <c r="Q10" s="1">
        <v>9</v>
      </c>
      <c r="R10" s="1">
        <v>6</v>
      </c>
      <c r="S10" s="1">
        <v>3</v>
      </c>
      <c r="T10" s="1">
        <v>6</v>
      </c>
      <c r="U10" s="1">
        <v>4</v>
      </c>
      <c r="V10" s="1">
        <v>2</v>
      </c>
    </row>
    <row r="11" spans="1:22" x14ac:dyDescent="0.25">
      <c r="K11" s="1">
        <v>48</v>
      </c>
      <c r="L11" s="1">
        <v>27</v>
      </c>
      <c r="M11" s="1">
        <v>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324B-CB00-494E-84E8-45CB28742AA4}">
  <dimension ref="A1:BR123"/>
  <sheetViews>
    <sheetView workbookViewId="0">
      <selection activeCell="I3" sqref="I3"/>
    </sheetView>
  </sheetViews>
  <sheetFormatPr baseColWidth="10" defaultRowHeight="15" x14ac:dyDescent="0.25"/>
  <cols>
    <col min="1" max="8" width="11.42578125" style="1"/>
    <col min="9" max="15" width="16.28515625" style="1" customWidth="1"/>
    <col min="16" max="22" width="15.5703125" style="1" customWidth="1"/>
    <col min="23" max="27" width="15" customWidth="1"/>
    <col min="29" max="30" width="11.42578125" style="11"/>
    <col min="31" max="36" width="17.28515625" customWidth="1"/>
    <col min="37" max="38" width="11.42578125" style="18"/>
    <col min="39" max="44" width="16.42578125" customWidth="1"/>
    <col min="45" max="46" width="14.7109375" style="15" bestFit="1" customWidth="1"/>
    <col min="47" max="52" width="17.5703125" customWidth="1"/>
    <col min="53" max="54" width="14.7109375" style="18" customWidth="1"/>
    <col min="55" max="60" width="14.7109375" customWidth="1"/>
    <col min="61" max="61" width="14.7109375" style="11" customWidth="1"/>
    <col min="62" max="62" width="15.7109375" style="11" bestFit="1" customWidth="1"/>
    <col min="63" max="68" width="15.7109375" customWidth="1"/>
    <col min="69" max="70" width="15.7109375" style="18" bestFit="1" customWidth="1"/>
  </cols>
  <sheetData>
    <row r="1" spans="1:70" x14ac:dyDescent="0.25">
      <c r="A1" s="1" t="s">
        <v>60</v>
      </c>
      <c r="B1" s="4" t="s">
        <v>1</v>
      </c>
      <c r="C1" s="4" t="s">
        <v>4</v>
      </c>
      <c r="D1" s="4" t="s">
        <v>7</v>
      </c>
      <c r="E1" s="4" t="s">
        <v>10</v>
      </c>
      <c r="F1" s="4" t="s">
        <v>13</v>
      </c>
      <c r="G1" s="4" t="s">
        <v>16</v>
      </c>
      <c r="H1" s="4" t="s">
        <v>19</v>
      </c>
      <c r="I1" s="4" t="s">
        <v>2</v>
      </c>
      <c r="J1" s="4" t="s">
        <v>5</v>
      </c>
      <c r="K1" s="4" t="s">
        <v>8</v>
      </c>
      <c r="L1" s="4" t="s">
        <v>11</v>
      </c>
      <c r="M1" s="4" t="s">
        <v>14</v>
      </c>
      <c r="N1" s="4" t="s">
        <v>17</v>
      </c>
      <c r="O1" s="4" t="s">
        <v>20</v>
      </c>
      <c r="P1" s="4" t="s">
        <v>3</v>
      </c>
      <c r="Q1" s="4" t="s">
        <v>6</v>
      </c>
      <c r="R1" s="4" t="s">
        <v>9</v>
      </c>
      <c r="S1" s="4" t="s">
        <v>12</v>
      </c>
      <c r="T1" s="4" t="s">
        <v>15</v>
      </c>
      <c r="U1" s="4" t="s">
        <v>18</v>
      </c>
      <c r="V1" s="5" t="s">
        <v>21</v>
      </c>
      <c r="W1" s="7" t="s">
        <v>777</v>
      </c>
      <c r="X1" s="7" t="s">
        <v>778</v>
      </c>
      <c r="Y1" s="7" t="s">
        <v>779</v>
      </c>
      <c r="Z1" s="7" t="s">
        <v>780</v>
      </c>
      <c r="AA1" s="7" t="s">
        <v>781</v>
      </c>
      <c r="AB1" s="7" t="s">
        <v>782</v>
      </c>
      <c r="AC1" s="10" t="s">
        <v>783</v>
      </c>
      <c r="AD1" s="10" t="s">
        <v>784</v>
      </c>
      <c r="AE1" s="7" t="s">
        <v>785</v>
      </c>
      <c r="AF1" s="7" t="s">
        <v>786</v>
      </c>
      <c r="AG1" s="7" t="s">
        <v>787</v>
      </c>
      <c r="AH1" s="7" t="s">
        <v>788</v>
      </c>
      <c r="AI1" s="7" t="s">
        <v>789</v>
      </c>
      <c r="AJ1" s="7" t="s">
        <v>790</v>
      </c>
      <c r="AK1" s="16" t="s">
        <v>791</v>
      </c>
      <c r="AL1" s="16" t="s">
        <v>792</v>
      </c>
      <c r="AM1" s="7" t="s">
        <v>794</v>
      </c>
      <c r="AN1" s="7" t="s">
        <v>795</v>
      </c>
      <c r="AO1" s="7" t="s">
        <v>796</v>
      </c>
      <c r="AP1" s="7" t="s">
        <v>797</v>
      </c>
      <c r="AQ1" s="7" t="s">
        <v>798</v>
      </c>
      <c r="AR1" s="7" t="s">
        <v>799</v>
      </c>
      <c r="AS1" s="14" t="s">
        <v>800</v>
      </c>
      <c r="AT1" s="14" t="s">
        <v>793</v>
      </c>
      <c r="AU1" s="7" t="s">
        <v>801</v>
      </c>
      <c r="AV1" s="7" t="s">
        <v>802</v>
      </c>
      <c r="AW1" s="7" t="s">
        <v>803</v>
      </c>
      <c r="AX1" s="7" t="s">
        <v>804</v>
      </c>
      <c r="AY1" s="7" t="s">
        <v>805</v>
      </c>
      <c r="AZ1" s="7" t="s">
        <v>806</v>
      </c>
      <c r="BA1" s="16" t="s">
        <v>807</v>
      </c>
      <c r="BB1" s="16" t="s">
        <v>808</v>
      </c>
      <c r="BC1" s="7" t="s">
        <v>809</v>
      </c>
      <c r="BD1" s="7" t="s">
        <v>810</v>
      </c>
      <c r="BE1" s="7" t="s">
        <v>811</v>
      </c>
      <c r="BF1" s="7" t="s">
        <v>812</v>
      </c>
      <c r="BG1" s="7" t="s">
        <v>813</v>
      </c>
      <c r="BH1" s="7" t="s">
        <v>814</v>
      </c>
      <c r="BI1" s="10" t="s">
        <v>815</v>
      </c>
      <c r="BJ1" s="10" t="s">
        <v>816</v>
      </c>
      <c r="BK1" s="7" t="s">
        <v>817</v>
      </c>
      <c r="BL1" s="7" t="s">
        <v>818</v>
      </c>
      <c r="BM1" s="7" t="s">
        <v>819</v>
      </c>
      <c r="BN1" s="7" t="s">
        <v>820</v>
      </c>
      <c r="BO1" s="7" t="s">
        <v>821</v>
      </c>
      <c r="BP1" s="7" t="s">
        <v>822</v>
      </c>
      <c r="BQ1" s="16" t="s">
        <v>823</v>
      </c>
      <c r="BR1" s="16" t="s">
        <v>824</v>
      </c>
    </row>
    <row r="2" spans="1:70" x14ac:dyDescent="0.25">
      <c r="A2" s="1" t="s">
        <v>58</v>
      </c>
      <c r="B2" s="1">
        <v>2445</v>
      </c>
      <c r="C2" s="1">
        <v>2591</v>
      </c>
      <c r="D2" s="1">
        <v>2794</v>
      </c>
      <c r="E2" s="1">
        <v>3014</v>
      </c>
      <c r="F2" s="1">
        <v>3190</v>
      </c>
      <c r="G2" s="1">
        <v>3410</v>
      </c>
      <c r="H2" s="1">
        <v>3056</v>
      </c>
      <c r="I2" s="1">
        <v>1376</v>
      </c>
      <c r="J2" s="1">
        <v>1461</v>
      </c>
      <c r="K2" s="1">
        <v>1607</v>
      </c>
      <c r="L2" s="1">
        <v>1692</v>
      </c>
      <c r="M2" s="1">
        <v>1764</v>
      </c>
      <c r="N2" s="1">
        <v>1817</v>
      </c>
      <c r="O2" s="1">
        <v>1649</v>
      </c>
      <c r="P2" s="1">
        <v>1069</v>
      </c>
      <c r="Q2" s="1">
        <v>1130</v>
      </c>
      <c r="R2" s="1">
        <v>1187</v>
      </c>
      <c r="S2" s="1">
        <v>1322</v>
      </c>
      <c r="T2" s="1">
        <v>1426</v>
      </c>
      <c r="U2" s="1">
        <v>1593</v>
      </c>
      <c r="V2" s="1">
        <v>1407</v>
      </c>
      <c r="W2" s="8">
        <f t="shared" ref="W2:AB2" si="0">+(C2-B2)/B2</f>
        <v>5.9713701431492842E-2</v>
      </c>
      <c r="X2" s="8">
        <f t="shared" si="0"/>
        <v>7.8348128135854886E-2</v>
      </c>
      <c r="Y2" s="8">
        <f>+(E2-D2)/D2</f>
        <v>7.874015748031496E-2</v>
      </c>
      <c r="Z2" s="8">
        <f t="shared" si="0"/>
        <v>5.8394160583941604E-2</v>
      </c>
      <c r="AA2" s="8">
        <f t="shared" si="0"/>
        <v>6.8965517241379309E-2</v>
      </c>
      <c r="AB2" s="8">
        <f t="shared" si="0"/>
        <v>-0.10381231671554252</v>
      </c>
      <c r="AC2" s="12">
        <f>+AVERAGE(W2:AB2)</f>
        <v>4.0058224692906846E-2</v>
      </c>
      <c r="AD2" s="12">
        <f>MEDIAN(W2:AB2)</f>
        <v>6.4339609336436079E-2</v>
      </c>
      <c r="AE2" s="1">
        <f>C2-B2</f>
        <v>146</v>
      </c>
      <c r="AF2" s="1">
        <f t="shared" ref="AF2:AJ2" si="1">D2-C2</f>
        <v>203</v>
      </c>
      <c r="AG2" s="1">
        <f t="shared" si="1"/>
        <v>220</v>
      </c>
      <c r="AH2" s="1">
        <f t="shared" si="1"/>
        <v>176</v>
      </c>
      <c r="AI2" s="1">
        <f t="shared" si="1"/>
        <v>220</v>
      </c>
      <c r="AJ2" s="1">
        <f t="shared" si="1"/>
        <v>-354</v>
      </c>
      <c r="AK2" s="17">
        <f>+AVERAGE(AE2:AJ2)</f>
        <v>101.83333333333333</v>
      </c>
      <c r="AL2" s="17">
        <f>+MEDIAN(AE2:AJ2)</f>
        <v>189.5</v>
      </c>
      <c r="AM2" s="1">
        <f t="shared" ref="AM2:AR2" si="2">+(J2-I2)/I2</f>
        <v>6.1773255813953487E-2</v>
      </c>
      <c r="AN2" s="1">
        <f t="shared" si="2"/>
        <v>9.9931553730321698E-2</v>
      </c>
      <c r="AO2" s="1">
        <f t="shared" si="2"/>
        <v>5.2893590541381458E-2</v>
      </c>
      <c r="AP2" s="1">
        <f t="shared" si="2"/>
        <v>4.2553191489361701E-2</v>
      </c>
      <c r="AQ2" s="1">
        <f t="shared" si="2"/>
        <v>3.0045351473922902E-2</v>
      </c>
      <c r="AR2" s="1">
        <f t="shared" si="2"/>
        <v>-9.2460099064391857E-2</v>
      </c>
      <c r="AS2" s="12">
        <f>+AVERAGE(AM2:AR2)</f>
        <v>3.2456140664091561E-2</v>
      </c>
      <c r="AT2" s="12">
        <f>+MEDIAN(AM2:AR2)</f>
        <v>4.7723391015371583E-2</v>
      </c>
      <c r="AU2" s="1">
        <f>J2-I2</f>
        <v>85</v>
      </c>
      <c r="AV2" s="1">
        <f t="shared" ref="AV2:AZ2" si="3">K2-J2</f>
        <v>146</v>
      </c>
      <c r="AW2" s="1">
        <f t="shared" si="3"/>
        <v>85</v>
      </c>
      <c r="AX2" s="1">
        <f t="shared" si="3"/>
        <v>72</v>
      </c>
      <c r="AY2" s="1">
        <f t="shared" si="3"/>
        <v>53</v>
      </c>
      <c r="AZ2" s="1">
        <f t="shared" si="3"/>
        <v>-168</v>
      </c>
      <c r="BA2" s="19">
        <f t="shared" ref="BA2" si="4">+AVERAGE(AU2:AZ2)</f>
        <v>45.5</v>
      </c>
      <c r="BB2" s="19">
        <f t="shared" ref="BB2" si="5">MEDIAN(AU2:AZ2)</f>
        <v>78.5</v>
      </c>
      <c r="BC2" s="9">
        <f t="shared" ref="BC2:BH2" si="6">+(Q2-P2)/P2</f>
        <v>5.7062675397567819E-2</v>
      </c>
      <c r="BD2" s="9">
        <f t="shared" si="6"/>
        <v>5.0442477876106194E-2</v>
      </c>
      <c r="BE2" s="9">
        <f t="shared" si="6"/>
        <v>0.11373209772535804</v>
      </c>
      <c r="BF2" s="9">
        <f t="shared" si="6"/>
        <v>7.8668683812405452E-2</v>
      </c>
      <c r="BG2" s="9">
        <f t="shared" si="6"/>
        <v>0.11711079943899018</v>
      </c>
      <c r="BH2" s="9">
        <f t="shared" si="6"/>
        <v>-0.1167608286252354</v>
      </c>
      <c r="BI2" s="12">
        <f t="shared" ref="BI2" si="7">+AVERAGE(BC2:BH2)</f>
        <v>5.0042650937532046E-2</v>
      </c>
      <c r="BJ2" s="13">
        <f t="shared" ref="BJ2" si="8">MEDIAN(BC2:BH2)</f>
        <v>6.7865679604986628E-2</v>
      </c>
      <c r="BK2" s="1">
        <f>+Q2-P2</f>
        <v>61</v>
      </c>
      <c r="BL2" s="1">
        <f t="shared" ref="BL2:BP2" si="9">+R2-Q2</f>
        <v>57</v>
      </c>
      <c r="BM2" s="1">
        <f t="shared" si="9"/>
        <v>135</v>
      </c>
      <c r="BN2" s="1">
        <f t="shared" si="9"/>
        <v>104</v>
      </c>
      <c r="BO2" s="1">
        <f t="shared" si="9"/>
        <v>167</v>
      </c>
      <c r="BP2" s="1">
        <f t="shared" si="9"/>
        <v>-186</v>
      </c>
      <c r="BQ2" s="19">
        <f t="shared" ref="BQ2" si="10">+AVERAGE(BK2:BP2)</f>
        <v>56.333333333333336</v>
      </c>
      <c r="BR2" s="17">
        <f t="shared" ref="BR2" si="11">MEDIAN(BK2:BP2)</f>
        <v>82.5</v>
      </c>
    </row>
    <row r="3" spans="1:70" x14ac:dyDescent="0.25">
      <c r="A3" s="1" t="s">
        <v>26</v>
      </c>
      <c r="B3" s="1">
        <v>421</v>
      </c>
      <c r="C3" s="1">
        <v>356</v>
      </c>
      <c r="D3" s="1">
        <v>296</v>
      </c>
      <c r="E3" s="1">
        <v>308</v>
      </c>
      <c r="F3" s="1">
        <v>199</v>
      </c>
      <c r="G3" s="1">
        <v>236</v>
      </c>
      <c r="H3" s="1">
        <v>337</v>
      </c>
      <c r="I3" s="1">
        <v>226</v>
      </c>
      <c r="J3" s="1">
        <v>207</v>
      </c>
      <c r="K3" s="1">
        <v>171</v>
      </c>
      <c r="L3" s="1">
        <v>163</v>
      </c>
      <c r="M3" s="1">
        <v>112</v>
      </c>
      <c r="N3" s="1">
        <v>135</v>
      </c>
      <c r="O3" s="1">
        <v>171</v>
      </c>
      <c r="P3" s="1">
        <v>195</v>
      </c>
      <c r="Q3" s="1">
        <v>149</v>
      </c>
      <c r="R3" s="1">
        <v>125</v>
      </c>
      <c r="S3" s="1">
        <v>145</v>
      </c>
      <c r="T3" s="1">
        <v>87</v>
      </c>
      <c r="U3" s="1">
        <v>101</v>
      </c>
      <c r="V3" s="1">
        <v>166</v>
      </c>
      <c r="W3" s="8">
        <f t="shared" ref="W3:W11" si="12">+(C3-B3)/B3</f>
        <v>-0.15439429928741091</v>
      </c>
      <c r="X3" s="8">
        <f t="shared" ref="X3:X11" si="13">+(D3-C3)/C3</f>
        <v>-0.16853932584269662</v>
      </c>
      <c r="Y3" s="8">
        <f t="shared" ref="Y3:Y11" si="14">+(E3-D3)/D3</f>
        <v>4.0540540540540543E-2</v>
      </c>
      <c r="Z3" s="8">
        <f t="shared" ref="Z3:Z11" si="15">+(F3-E3)/E3</f>
        <v>-0.35389610389610388</v>
      </c>
      <c r="AA3" s="8">
        <f t="shared" ref="AA3:AA11" si="16">+(G3-F3)/F3</f>
        <v>0.18592964824120603</v>
      </c>
      <c r="AB3" s="8">
        <f t="shared" ref="AB3:AB11" si="17">+(H3-G3)/G3</f>
        <v>0.42796610169491528</v>
      </c>
      <c r="AC3" s="12">
        <f t="shared" ref="AC3:AC11" si="18">+AVERAGE(W3:AB3)</f>
        <v>-3.7322397582582692E-3</v>
      </c>
      <c r="AD3" s="12">
        <f t="shared" ref="AD3:AD11" si="19">MEDIAN(W3:AB3)</f>
        <v>-5.6926879373435185E-2</v>
      </c>
      <c r="AE3" s="1">
        <f t="shared" ref="AE3:AE11" si="20">C3-B3</f>
        <v>-65</v>
      </c>
      <c r="AF3" s="1">
        <f t="shared" ref="AF3:AF11" si="21">D3-C3</f>
        <v>-60</v>
      </c>
      <c r="AG3" s="1">
        <f t="shared" ref="AG3:AG11" si="22">E3-D3</f>
        <v>12</v>
      </c>
      <c r="AH3" s="1">
        <f t="shared" ref="AH3:AH11" si="23">F3-E3</f>
        <v>-109</v>
      </c>
      <c r="AI3" s="1">
        <f t="shared" ref="AI3:AI11" si="24">G3-F3</f>
        <v>37</v>
      </c>
      <c r="AJ3" s="1">
        <f t="shared" ref="AJ3:AJ11" si="25">H3-G3</f>
        <v>101</v>
      </c>
      <c r="AK3" s="17">
        <f t="shared" ref="AK3:AK11" si="26">+AVERAGE(AE3:AJ3)</f>
        <v>-14</v>
      </c>
      <c r="AL3" s="17">
        <f t="shared" ref="AL3:AL11" si="27">+MEDIAN(AE3:AJ3)</f>
        <v>-24</v>
      </c>
      <c r="AM3" s="1">
        <f t="shared" ref="AM3:AM11" si="28">+(J3-I3)/I3</f>
        <v>-8.4070796460176997E-2</v>
      </c>
      <c r="AN3" s="1">
        <f t="shared" ref="AN3:AN11" si="29">+(K3-J3)/J3</f>
        <v>-0.17391304347826086</v>
      </c>
      <c r="AO3" s="1">
        <f t="shared" ref="AO3:AO11" si="30">+(L3-K3)/K3</f>
        <v>-4.6783625730994149E-2</v>
      </c>
      <c r="AP3" s="1">
        <f t="shared" ref="AP3:AP11" si="31">+(M3-L3)/L3</f>
        <v>-0.31288343558282211</v>
      </c>
      <c r="AQ3" s="1">
        <f t="shared" ref="AQ3:AQ11" si="32">+(N3-M3)/M3</f>
        <v>0.20535714285714285</v>
      </c>
      <c r="AR3" s="1">
        <f t="shared" ref="AR3:AR11" si="33">+(O3-N3)/N3</f>
        <v>0.26666666666666666</v>
      </c>
      <c r="AS3" s="12">
        <f t="shared" ref="AS3:AS11" si="34">+AVERAGE(AM3:AR3)</f>
        <v>-2.4271181954740779E-2</v>
      </c>
      <c r="AT3" s="12">
        <f t="shared" ref="AT3:AT11" si="35">+MEDIAN(AM3:AR3)</f>
        <v>-6.542721109558558E-2</v>
      </c>
      <c r="AU3" s="1">
        <f t="shared" ref="AU3:AU11" si="36">J3-I3</f>
        <v>-19</v>
      </c>
      <c r="AV3" s="1">
        <f t="shared" ref="AV3:AV11" si="37">K3-J3</f>
        <v>-36</v>
      </c>
      <c r="AW3" s="1">
        <f t="shared" ref="AW3:AW11" si="38">L3-K3</f>
        <v>-8</v>
      </c>
      <c r="AX3" s="1">
        <f t="shared" ref="AX3:AX11" si="39">M3-L3</f>
        <v>-51</v>
      </c>
      <c r="AY3" s="1">
        <f t="shared" ref="AY3:AY11" si="40">N3-M3</f>
        <v>23</v>
      </c>
      <c r="AZ3" s="1">
        <f t="shared" ref="AZ3:AZ11" si="41">O3-N3</f>
        <v>36</v>
      </c>
      <c r="BA3" s="19">
        <f t="shared" ref="BA3:BA11" si="42">+AVERAGE(AU3:AZ3)</f>
        <v>-9.1666666666666661</v>
      </c>
      <c r="BB3" s="19">
        <f t="shared" ref="BB3:BB11" si="43">MEDIAN(AU3:AZ3)</f>
        <v>-13.5</v>
      </c>
      <c r="BC3" s="9">
        <f t="shared" ref="BC3:BC11" si="44">+(Q3-P3)/P3</f>
        <v>-0.23589743589743589</v>
      </c>
      <c r="BD3" s="9">
        <f t="shared" ref="BD3:BD11" si="45">+(R3-Q3)/Q3</f>
        <v>-0.16107382550335569</v>
      </c>
      <c r="BE3" s="9">
        <f t="shared" ref="BE3:BE11" si="46">+(S3-R3)/R3</f>
        <v>0.16</v>
      </c>
      <c r="BF3" s="9">
        <f t="shared" ref="BF3:BF11" si="47">+(T3-S3)/S3</f>
        <v>-0.4</v>
      </c>
      <c r="BG3" s="9">
        <f t="shared" ref="BG3:BG11" si="48">+(U3-T3)/T3</f>
        <v>0.16091954022988506</v>
      </c>
      <c r="BH3" s="9">
        <f t="shared" ref="BH3:BH11" si="49">+(V3-U3)/U3</f>
        <v>0.64356435643564358</v>
      </c>
      <c r="BI3" s="12">
        <f t="shared" ref="BI3:BI11" si="50">+AVERAGE(BC3:BH3)</f>
        <v>2.7918772544122838E-2</v>
      </c>
      <c r="BJ3" s="13">
        <f t="shared" ref="BJ3:BJ11" si="51">MEDIAN(BC3:BH3)</f>
        <v>-5.3691275167783159E-4</v>
      </c>
      <c r="BK3" s="1">
        <f t="shared" ref="BK3:BK11" si="52">+Q3-P3</f>
        <v>-46</v>
      </c>
      <c r="BL3" s="1">
        <f t="shared" ref="BL3:BL11" si="53">+R3-Q3</f>
        <v>-24</v>
      </c>
      <c r="BM3" s="1">
        <f t="shared" ref="BM3:BM11" si="54">+S3-R3</f>
        <v>20</v>
      </c>
      <c r="BN3" s="1">
        <f t="shared" ref="BN3:BN11" si="55">+T3-S3</f>
        <v>-58</v>
      </c>
      <c r="BO3" s="1">
        <f t="shared" ref="BO3:BO11" si="56">+U3-T3</f>
        <v>14</v>
      </c>
      <c r="BP3" s="1">
        <f t="shared" ref="BP3:BP11" si="57">+V3-U3</f>
        <v>65</v>
      </c>
      <c r="BQ3" s="19">
        <f t="shared" ref="BQ3:BQ11" si="58">+AVERAGE(BK3:BP3)</f>
        <v>-4.833333333333333</v>
      </c>
      <c r="BR3" s="17">
        <f t="shared" ref="BR3:BR11" si="59">MEDIAN(BK3:BP3)</f>
        <v>-5</v>
      </c>
    </row>
    <row r="4" spans="1:70" x14ac:dyDescent="0.25">
      <c r="A4" s="1" t="s">
        <v>25</v>
      </c>
      <c r="B4" s="1">
        <v>131</v>
      </c>
      <c r="C4" s="1">
        <v>137</v>
      </c>
      <c r="D4" s="1">
        <v>127</v>
      </c>
      <c r="E4" s="1">
        <v>131</v>
      </c>
      <c r="F4" s="1">
        <v>149</v>
      </c>
      <c r="G4" s="1">
        <v>162</v>
      </c>
      <c r="H4" s="1">
        <v>157</v>
      </c>
      <c r="I4" s="1">
        <v>68</v>
      </c>
      <c r="J4" s="1">
        <v>75</v>
      </c>
      <c r="K4" s="1">
        <v>67</v>
      </c>
      <c r="L4" s="1">
        <v>68</v>
      </c>
      <c r="M4" s="1">
        <v>89</v>
      </c>
      <c r="N4" s="1">
        <v>95</v>
      </c>
      <c r="O4" s="1">
        <v>101</v>
      </c>
      <c r="P4" s="1">
        <v>63</v>
      </c>
      <c r="Q4" s="1">
        <v>62</v>
      </c>
      <c r="R4" s="1">
        <v>60</v>
      </c>
      <c r="S4" s="1">
        <v>63</v>
      </c>
      <c r="T4" s="1">
        <v>60</v>
      </c>
      <c r="U4" s="1">
        <v>67</v>
      </c>
      <c r="V4" s="1">
        <v>56</v>
      </c>
      <c r="W4" s="8">
        <f t="shared" si="12"/>
        <v>4.5801526717557252E-2</v>
      </c>
      <c r="X4" s="8">
        <f t="shared" si="13"/>
        <v>-7.2992700729927001E-2</v>
      </c>
      <c r="Y4" s="8">
        <f t="shared" si="14"/>
        <v>3.1496062992125984E-2</v>
      </c>
      <c r="Z4" s="8">
        <f t="shared" si="15"/>
        <v>0.13740458015267176</v>
      </c>
      <c r="AA4" s="8">
        <f t="shared" si="16"/>
        <v>8.7248322147651006E-2</v>
      </c>
      <c r="AB4" s="8">
        <f t="shared" si="17"/>
        <v>-3.0864197530864196E-2</v>
      </c>
      <c r="AC4" s="12">
        <f t="shared" si="18"/>
        <v>3.3015598958202462E-2</v>
      </c>
      <c r="AD4" s="12">
        <f t="shared" si="19"/>
        <v>3.8648794854841614E-2</v>
      </c>
      <c r="AE4" s="1">
        <f t="shared" si="20"/>
        <v>6</v>
      </c>
      <c r="AF4" s="1">
        <f t="shared" si="21"/>
        <v>-10</v>
      </c>
      <c r="AG4" s="1">
        <f t="shared" si="22"/>
        <v>4</v>
      </c>
      <c r="AH4" s="1">
        <f t="shared" si="23"/>
        <v>18</v>
      </c>
      <c r="AI4" s="1">
        <f t="shared" si="24"/>
        <v>13</v>
      </c>
      <c r="AJ4" s="1">
        <f t="shared" si="25"/>
        <v>-5</v>
      </c>
      <c r="AK4" s="17">
        <f t="shared" si="26"/>
        <v>4.333333333333333</v>
      </c>
      <c r="AL4" s="17">
        <f t="shared" si="27"/>
        <v>5</v>
      </c>
      <c r="AM4" s="1">
        <f t="shared" si="28"/>
        <v>0.10294117647058823</v>
      </c>
      <c r="AN4" s="1">
        <f t="shared" si="29"/>
        <v>-0.10666666666666667</v>
      </c>
      <c r="AO4" s="1">
        <f t="shared" si="30"/>
        <v>1.4925373134328358E-2</v>
      </c>
      <c r="AP4" s="1">
        <f t="shared" si="31"/>
        <v>0.30882352941176472</v>
      </c>
      <c r="AQ4" s="1">
        <f t="shared" si="32"/>
        <v>6.741573033707865E-2</v>
      </c>
      <c r="AR4" s="1">
        <f t="shared" si="33"/>
        <v>6.3157894736842107E-2</v>
      </c>
      <c r="AS4" s="12">
        <f t="shared" si="34"/>
        <v>7.5099506237322575E-2</v>
      </c>
      <c r="AT4" s="12">
        <f t="shared" si="35"/>
        <v>6.5286812536960379E-2</v>
      </c>
      <c r="AU4" s="1">
        <f t="shared" si="36"/>
        <v>7</v>
      </c>
      <c r="AV4" s="1">
        <f t="shared" si="37"/>
        <v>-8</v>
      </c>
      <c r="AW4" s="1">
        <f t="shared" si="38"/>
        <v>1</v>
      </c>
      <c r="AX4" s="1">
        <f t="shared" si="39"/>
        <v>21</v>
      </c>
      <c r="AY4" s="1">
        <f t="shared" si="40"/>
        <v>6</v>
      </c>
      <c r="AZ4" s="1">
        <f t="shared" si="41"/>
        <v>6</v>
      </c>
      <c r="BA4" s="19">
        <f t="shared" si="42"/>
        <v>5.5</v>
      </c>
      <c r="BB4" s="19">
        <f t="shared" si="43"/>
        <v>6</v>
      </c>
      <c r="BC4" s="9">
        <f t="shared" si="44"/>
        <v>-1.5873015873015872E-2</v>
      </c>
      <c r="BD4" s="9">
        <f t="shared" si="45"/>
        <v>-3.2258064516129031E-2</v>
      </c>
      <c r="BE4" s="9">
        <f t="shared" si="46"/>
        <v>0.05</v>
      </c>
      <c r="BF4" s="9">
        <f t="shared" si="47"/>
        <v>-4.7619047619047616E-2</v>
      </c>
      <c r="BG4" s="9">
        <f t="shared" si="48"/>
        <v>0.11666666666666667</v>
      </c>
      <c r="BH4" s="9">
        <f t="shared" si="49"/>
        <v>-0.16417910447761194</v>
      </c>
      <c r="BI4" s="12">
        <f t="shared" si="50"/>
        <v>-1.5543760969856298E-2</v>
      </c>
      <c r="BJ4" s="13">
        <f t="shared" si="51"/>
        <v>-2.4065540194572452E-2</v>
      </c>
      <c r="BK4" s="1">
        <f t="shared" si="52"/>
        <v>-1</v>
      </c>
      <c r="BL4" s="1">
        <f t="shared" si="53"/>
        <v>-2</v>
      </c>
      <c r="BM4" s="1">
        <f t="shared" si="54"/>
        <v>3</v>
      </c>
      <c r="BN4" s="1">
        <f t="shared" si="55"/>
        <v>-3</v>
      </c>
      <c r="BO4" s="1">
        <f t="shared" si="56"/>
        <v>7</v>
      </c>
      <c r="BP4" s="1">
        <f t="shared" si="57"/>
        <v>-11</v>
      </c>
      <c r="BQ4" s="19">
        <f t="shared" si="58"/>
        <v>-1.1666666666666667</v>
      </c>
      <c r="BR4" s="17">
        <f t="shared" si="59"/>
        <v>-1.5</v>
      </c>
    </row>
    <row r="5" spans="1:70" x14ac:dyDescent="0.25">
      <c r="A5" s="1" t="s">
        <v>56</v>
      </c>
      <c r="B5" s="1">
        <v>65</v>
      </c>
      <c r="C5" s="1">
        <v>48</v>
      </c>
      <c r="D5" s="1">
        <v>61</v>
      </c>
      <c r="E5" s="1">
        <v>112</v>
      </c>
      <c r="F5" s="1">
        <v>74</v>
      </c>
      <c r="G5" s="1">
        <v>86</v>
      </c>
      <c r="H5" s="1">
        <v>95</v>
      </c>
      <c r="I5" s="1">
        <v>44</v>
      </c>
      <c r="J5" s="1">
        <v>32</v>
      </c>
      <c r="K5" s="1">
        <v>40</v>
      </c>
      <c r="L5" s="1">
        <v>76</v>
      </c>
      <c r="M5" s="1">
        <v>50</v>
      </c>
      <c r="N5" s="1">
        <v>62</v>
      </c>
      <c r="O5" s="1">
        <v>59</v>
      </c>
      <c r="P5" s="1">
        <v>21</v>
      </c>
      <c r="Q5" s="1">
        <v>16</v>
      </c>
      <c r="R5" s="1">
        <v>21</v>
      </c>
      <c r="S5" s="1">
        <v>36</v>
      </c>
      <c r="T5" s="1">
        <v>24</v>
      </c>
      <c r="U5" s="1">
        <v>24</v>
      </c>
      <c r="V5" s="1">
        <v>36</v>
      </c>
      <c r="W5" s="8">
        <f t="shared" si="12"/>
        <v>-0.26153846153846155</v>
      </c>
      <c r="X5" s="8">
        <f t="shared" si="13"/>
        <v>0.27083333333333331</v>
      </c>
      <c r="Y5" s="8">
        <f t="shared" si="14"/>
        <v>0.83606557377049184</v>
      </c>
      <c r="Z5" s="8">
        <f t="shared" si="15"/>
        <v>-0.3392857142857143</v>
      </c>
      <c r="AA5" s="8">
        <f t="shared" si="16"/>
        <v>0.16216216216216217</v>
      </c>
      <c r="AB5" s="8">
        <f t="shared" si="17"/>
        <v>0.10465116279069768</v>
      </c>
      <c r="AC5" s="12">
        <f t="shared" si="18"/>
        <v>0.12881467603875152</v>
      </c>
      <c r="AD5" s="12">
        <f t="shared" si="19"/>
        <v>0.13340666247642993</v>
      </c>
      <c r="AE5" s="1">
        <f t="shared" si="20"/>
        <v>-17</v>
      </c>
      <c r="AF5" s="1">
        <f t="shared" si="21"/>
        <v>13</v>
      </c>
      <c r="AG5" s="1">
        <f t="shared" si="22"/>
        <v>51</v>
      </c>
      <c r="AH5" s="1">
        <f t="shared" si="23"/>
        <v>-38</v>
      </c>
      <c r="AI5" s="1">
        <f t="shared" si="24"/>
        <v>12</v>
      </c>
      <c r="AJ5" s="1">
        <f t="shared" si="25"/>
        <v>9</v>
      </c>
      <c r="AK5" s="17">
        <f t="shared" si="26"/>
        <v>5</v>
      </c>
      <c r="AL5" s="17">
        <f t="shared" si="27"/>
        <v>10.5</v>
      </c>
      <c r="AM5" s="1">
        <f t="shared" si="28"/>
        <v>-0.27272727272727271</v>
      </c>
      <c r="AN5" s="1">
        <f t="shared" si="29"/>
        <v>0.25</v>
      </c>
      <c r="AO5" s="1">
        <f t="shared" si="30"/>
        <v>0.9</v>
      </c>
      <c r="AP5" s="1">
        <f t="shared" si="31"/>
        <v>-0.34210526315789475</v>
      </c>
      <c r="AQ5" s="1">
        <f t="shared" si="32"/>
        <v>0.24</v>
      </c>
      <c r="AR5" s="1">
        <f t="shared" si="33"/>
        <v>-4.8387096774193547E-2</v>
      </c>
      <c r="AS5" s="12">
        <f t="shared" si="34"/>
        <v>0.12113006122343983</v>
      </c>
      <c r="AT5" s="12">
        <f t="shared" si="35"/>
        <v>9.5806451612903229E-2</v>
      </c>
      <c r="AU5" s="1">
        <f t="shared" si="36"/>
        <v>-12</v>
      </c>
      <c r="AV5" s="1">
        <f t="shared" si="37"/>
        <v>8</v>
      </c>
      <c r="AW5" s="1">
        <f t="shared" si="38"/>
        <v>36</v>
      </c>
      <c r="AX5" s="1">
        <f t="shared" si="39"/>
        <v>-26</v>
      </c>
      <c r="AY5" s="1">
        <f t="shared" si="40"/>
        <v>12</v>
      </c>
      <c r="AZ5" s="1">
        <f t="shared" si="41"/>
        <v>-3</v>
      </c>
      <c r="BA5" s="19">
        <f t="shared" si="42"/>
        <v>2.5</v>
      </c>
      <c r="BB5" s="19">
        <f t="shared" si="43"/>
        <v>2.5</v>
      </c>
      <c r="BC5" s="9">
        <f t="shared" si="44"/>
        <v>-0.23809523809523808</v>
      </c>
      <c r="BD5" s="9">
        <f t="shared" si="45"/>
        <v>0.3125</v>
      </c>
      <c r="BE5" s="9">
        <f t="shared" si="46"/>
        <v>0.7142857142857143</v>
      </c>
      <c r="BF5" s="9">
        <f t="shared" si="47"/>
        <v>-0.33333333333333331</v>
      </c>
      <c r="BG5" s="9">
        <f t="shared" si="48"/>
        <v>0</v>
      </c>
      <c r="BH5" s="9">
        <f t="shared" si="49"/>
        <v>0.5</v>
      </c>
      <c r="BI5" s="12">
        <f t="shared" si="50"/>
        <v>0.15922619047619049</v>
      </c>
      <c r="BJ5" s="13">
        <f t="shared" si="51"/>
        <v>0.15625</v>
      </c>
      <c r="BK5" s="1">
        <f t="shared" si="52"/>
        <v>-5</v>
      </c>
      <c r="BL5" s="1">
        <f t="shared" si="53"/>
        <v>5</v>
      </c>
      <c r="BM5" s="1">
        <f t="shared" si="54"/>
        <v>15</v>
      </c>
      <c r="BN5" s="1">
        <f t="shared" si="55"/>
        <v>-12</v>
      </c>
      <c r="BO5" s="1">
        <f t="shared" si="56"/>
        <v>0</v>
      </c>
      <c r="BP5" s="1">
        <f t="shared" si="57"/>
        <v>12</v>
      </c>
      <c r="BQ5" s="19">
        <f t="shared" si="58"/>
        <v>2.5</v>
      </c>
      <c r="BR5" s="17">
        <f t="shared" si="59"/>
        <v>2.5</v>
      </c>
    </row>
    <row r="6" spans="1:70" x14ac:dyDescent="0.25">
      <c r="A6" s="1" t="s">
        <v>57</v>
      </c>
      <c r="B6" s="1">
        <v>54</v>
      </c>
      <c r="C6" s="1">
        <v>56</v>
      </c>
      <c r="D6" s="1">
        <v>43</v>
      </c>
      <c r="E6" s="1">
        <v>55</v>
      </c>
      <c r="F6" s="1">
        <v>36</v>
      </c>
      <c r="G6" s="1">
        <v>32</v>
      </c>
      <c r="H6" s="1">
        <v>42</v>
      </c>
      <c r="I6" s="1">
        <v>32</v>
      </c>
      <c r="J6" s="1">
        <v>30</v>
      </c>
      <c r="K6" s="1">
        <v>24</v>
      </c>
      <c r="L6" s="1">
        <v>28</v>
      </c>
      <c r="M6" s="1">
        <v>21</v>
      </c>
      <c r="N6" s="1">
        <v>17</v>
      </c>
      <c r="O6" s="1">
        <v>19</v>
      </c>
      <c r="P6" s="1">
        <v>22</v>
      </c>
      <c r="Q6" s="1">
        <v>26</v>
      </c>
      <c r="R6" s="1">
        <v>19</v>
      </c>
      <c r="S6" s="1">
        <v>27</v>
      </c>
      <c r="T6" s="1">
        <v>15</v>
      </c>
      <c r="U6" s="1">
        <v>15</v>
      </c>
      <c r="V6" s="1">
        <v>23</v>
      </c>
      <c r="W6" s="8">
        <f t="shared" si="12"/>
        <v>3.7037037037037035E-2</v>
      </c>
      <c r="X6" s="8">
        <f t="shared" si="13"/>
        <v>-0.23214285714285715</v>
      </c>
      <c r="Y6" s="8">
        <f t="shared" si="14"/>
        <v>0.27906976744186046</v>
      </c>
      <c r="Z6" s="8">
        <f t="shared" si="15"/>
        <v>-0.34545454545454546</v>
      </c>
      <c r="AA6" s="8">
        <f t="shared" si="16"/>
        <v>-0.1111111111111111</v>
      </c>
      <c r="AB6" s="8">
        <f t="shared" si="17"/>
        <v>0.3125</v>
      </c>
      <c r="AC6" s="12">
        <f t="shared" si="18"/>
        <v>-1.001695153826937E-2</v>
      </c>
      <c r="AD6" s="12">
        <f t="shared" si="19"/>
        <v>-3.7037037037037035E-2</v>
      </c>
      <c r="AE6" s="1">
        <f t="shared" si="20"/>
        <v>2</v>
      </c>
      <c r="AF6" s="1">
        <f t="shared" si="21"/>
        <v>-13</v>
      </c>
      <c r="AG6" s="1">
        <f t="shared" si="22"/>
        <v>12</v>
      </c>
      <c r="AH6" s="1">
        <f t="shared" si="23"/>
        <v>-19</v>
      </c>
      <c r="AI6" s="1">
        <f t="shared" si="24"/>
        <v>-4</v>
      </c>
      <c r="AJ6" s="1">
        <f t="shared" si="25"/>
        <v>10</v>
      </c>
      <c r="AK6" s="17">
        <f t="shared" si="26"/>
        <v>-2</v>
      </c>
      <c r="AL6" s="17">
        <f t="shared" si="27"/>
        <v>-1</v>
      </c>
      <c r="AM6" s="1">
        <f t="shared" si="28"/>
        <v>-6.25E-2</v>
      </c>
      <c r="AN6" s="1">
        <f t="shared" si="29"/>
        <v>-0.2</v>
      </c>
      <c r="AO6" s="1">
        <f t="shared" si="30"/>
        <v>0.16666666666666666</v>
      </c>
      <c r="AP6" s="1">
        <f t="shared" si="31"/>
        <v>-0.25</v>
      </c>
      <c r="AQ6" s="1">
        <f t="shared" si="32"/>
        <v>-0.19047619047619047</v>
      </c>
      <c r="AR6" s="1">
        <f t="shared" si="33"/>
        <v>0.11764705882352941</v>
      </c>
      <c r="AS6" s="12">
        <f t="shared" si="34"/>
        <v>-6.9777077497665721E-2</v>
      </c>
      <c r="AT6" s="12">
        <f t="shared" si="35"/>
        <v>-0.12648809523809523</v>
      </c>
      <c r="AU6" s="1">
        <f t="shared" si="36"/>
        <v>-2</v>
      </c>
      <c r="AV6" s="1">
        <f t="shared" si="37"/>
        <v>-6</v>
      </c>
      <c r="AW6" s="1">
        <f t="shared" si="38"/>
        <v>4</v>
      </c>
      <c r="AX6" s="1">
        <f t="shared" si="39"/>
        <v>-7</v>
      </c>
      <c r="AY6" s="1">
        <f t="shared" si="40"/>
        <v>-4</v>
      </c>
      <c r="AZ6" s="1">
        <f t="shared" si="41"/>
        <v>2</v>
      </c>
      <c r="BA6" s="19">
        <f t="shared" si="42"/>
        <v>-2.1666666666666665</v>
      </c>
      <c r="BB6" s="19">
        <f t="shared" si="43"/>
        <v>-3</v>
      </c>
      <c r="BC6" s="9">
        <f t="shared" si="44"/>
        <v>0.18181818181818182</v>
      </c>
      <c r="BD6" s="9">
        <f t="shared" si="45"/>
        <v>-0.26923076923076922</v>
      </c>
      <c r="BE6" s="9">
        <f t="shared" si="46"/>
        <v>0.42105263157894735</v>
      </c>
      <c r="BF6" s="9">
        <f t="shared" si="47"/>
        <v>-0.44444444444444442</v>
      </c>
      <c r="BG6" s="9">
        <f t="shared" si="48"/>
        <v>0</v>
      </c>
      <c r="BH6" s="9">
        <f t="shared" si="49"/>
        <v>0.53333333333333333</v>
      </c>
      <c r="BI6" s="12">
        <f t="shared" si="50"/>
        <v>7.0421488842541471E-2</v>
      </c>
      <c r="BJ6" s="13">
        <f t="shared" si="51"/>
        <v>9.0909090909090912E-2</v>
      </c>
      <c r="BK6" s="1">
        <f t="shared" si="52"/>
        <v>4</v>
      </c>
      <c r="BL6" s="1">
        <f t="shared" si="53"/>
        <v>-7</v>
      </c>
      <c r="BM6" s="1">
        <f t="shared" si="54"/>
        <v>8</v>
      </c>
      <c r="BN6" s="1">
        <f t="shared" si="55"/>
        <v>-12</v>
      </c>
      <c r="BO6" s="1">
        <f t="shared" si="56"/>
        <v>0</v>
      </c>
      <c r="BP6" s="1">
        <f t="shared" si="57"/>
        <v>8</v>
      </c>
      <c r="BQ6" s="19">
        <f t="shared" si="58"/>
        <v>0.16666666666666666</v>
      </c>
      <c r="BR6" s="17">
        <f t="shared" si="59"/>
        <v>2</v>
      </c>
    </row>
    <row r="7" spans="1:70" x14ac:dyDescent="0.25">
      <c r="A7" s="1" t="s">
        <v>24</v>
      </c>
      <c r="B7" s="1">
        <v>27</v>
      </c>
      <c r="C7" s="1">
        <v>21</v>
      </c>
      <c r="D7" s="1">
        <v>29</v>
      </c>
      <c r="E7" s="1">
        <v>33</v>
      </c>
      <c r="F7" s="1">
        <v>20</v>
      </c>
      <c r="G7" s="1">
        <v>30</v>
      </c>
      <c r="H7" s="1">
        <v>39</v>
      </c>
      <c r="I7" s="1">
        <v>12</v>
      </c>
      <c r="J7" s="1">
        <v>11</v>
      </c>
      <c r="K7" s="1">
        <v>14</v>
      </c>
      <c r="L7" s="1">
        <v>20</v>
      </c>
      <c r="M7" s="1">
        <v>12</v>
      </c>
      <c r="N7" s="1">
        <v>17</v>
      </c>
      <c r="O7" s="1">
        <v>23</v>
      </c>
      <c r="P7" s="1">
        <v>15</v>
      </c>
      <c r="Q7" s="1">
        <v>10</v>
      </c>
      <c r="R7" s="1">
        <v>15</v>
      </c>
      <c r="S7" s="1">
        <v>13</v>
      </c>
      <c r="T7" s="1">
        <v>8</v>
      </c>
      <c r="U7" s="1">
        <v>13</v>
      </c>
      <c r="V7" s="1">
        <v>16</v>
      </c>
      <c r="W7" s="8">
        <f t="shared" si="12"/>
        <v>-0.22222222222222221</v>
      </c>
      <c r="X7" s="8">
        <f t="shared" si="13"/>
        <v>0.38095238095238093</v>
      </c>
      <c r="Y7" s="8">
        <f t="shared" si="14"/>
        <v>0.13793103448275862</v>
      </c>
      <c r="Z7" s="8">
        <f t="shared" si="15"/>
        <v>-0.39393939393939392</v>
      </c>
      <c r="AA7" s="8">
        <f t="shared" si="16"/>
        <v>0.5</v>
      </c>
      <c r="AB7" s="8">
        <f t="shared" si="17"/>
        <v>0.3</v>
      </c>
      <c r="AC7" s="12">
        <f t="shared" si="18"/>
        <v>0.11712029987892057</v>
      </c>
      <c r="AD7" s="12">
        <f t="shared" si="19"/>
        <v>0.2189655172413793</v>
      </c>
      <c r="AE7" s="1">
        <f t="shared" si="20"/>
        <v>-6</v>
      </c>
      <c r="AF7" s="1">
        <f t="shared" si="21"/>
        <v>8</v>
      </c>
      <c r="AG7" s="1">
        <f t="shared" si="22"/>
        <v>4</v>
      </c>
      <c r="AH7" s="1">
        <f t="shared" si="23"/>
        <v>-13</v>
      </c>
      <c r="AI7" s="1">
        <f t="shared" si="24"/>
        <v>10</v>
      </c>
      <c r="AJ7" s="1">
        <f t="shared" si="25"/>
        <v>9</v>
      </c>
      <c r="AK7" s="17">
        <f t="shared" si="26"/>
        <v>2</v>
      </c>
      <c r="AL7" s="17">
        <f t="shared" si="27"/>
        <v>6</v>
      </c>
      <c r="AM7" s="1">
        <f t="shared" si="28"/>
        <v>-8.3333333333333329E-2</v>
      </c>
      <c r="AN7" s="1">
        <f t="shared" si="29"/>
        <v>0.27272727272727271</v>
      </c>
      <c r="AO7" s="1">
        <f t="shared" si="30"/>
        <v>0.42857142857142855</v>
      </c>
      <c r="AP7" s="1">
        <f t="shared" si="31"/>
        <v>-0.4</v>
      </c>
      <c r="AQ7" s="1">
        <f t="shared" si="32"/>
        <v>0.41666666666666669</v>
      </c>
      <c r="AR7" s="1">
        <f t="shared" si="33"/>
        <v>0.35294117647058826</v>
      </c>
      <c r="AS7" s="12">
        <f t="shared" si="34"/>
        <v>0.16459553518377049</v>
      </c>
      <c r="AT7" s="12">
        <f t="shared" si="35"/>
        <v>0.31283422459893051</v>
      </c>
      <c r="AU7" s="1">
        <f t="shared" si="36"/>
        <v>-1</v>
      </c>
      <c r="AV7" s="1">
        <f t="shared" si="37"/>
        <v>3</v>
      </c>
      <c r="AW7" s="1">
        <f t="shared" si="38"/>
        <v>6</v>
      </c>
      <c r="AX7" s="1">
        <f t="shared" si="39"/>
        <v>-8</v>
      </c>
      <c r="AY7" s="1">
        <f t="shared" si="40"/>
        <v>5</v>
      </c>
      <c r="AZ7" s="1">
        <f t="shared" si="41"/>
        <v>6</v>
      </c>
      <c r="BA7" s="19">
        <f t="shared" si="42"/>
        <v>1.8333333333333333</v>
      </c>
      <c r="BB7" s="19">
        <f t="shared" si="43"/>
        <v>4</v>
      </c>
      <c r="BC7" s="9">
        <f t="shared" si="44"/>
        <v>-0.33333333333333331</v>
      </c>
      <c r="BD7" s="9">
        <f t="shared" si="45"/>
        <v>0.5</v>
      </c>
      <c r="BE7" s="9">
        <f t="shared" si="46"/>
        <v>-0.13333333333333333</v>
      </c>
      <c r="BF7" s="9">
        <f t="shared" si="47"/>
        <v>-0.38461538461538464</v>
      </c>
      <c r="BG7" s="9">
        <f t="shared" si="48"/>
        <v>0.625</v>
      </c>
      <c r="BH7" s="9">
        <f t="shared" si="49"/>
        <v>0.23076923076923078</v>
      </c>
      <c r="BI7" s="12">
        <f t="shared" si="50"/>
        <v>8.4081196581196574E-2</v>
      </c>
      <c r="BJ7" s="13">
        <f t="shared" si="51"/>
        <v>4.8717948717948739E-2</v>
      </c>
      <c r="BK7" s="1">
        <f t="shared" si="52"/>
        <v>-5</v>
      </c>
      <c r="BL7" s="1">
        <f t="shared" si="53"/>
        <v>5</v>
      </c>
      <c r="BM7" s="1">
        <f t="shared" si="54"/>
        <v>-2</v>
      </c>
      <c r="BN7" s="1">
        <f t="shared" si="55"/>
        <v>-5</v>
      </c>
      <c r="BO7" s="1">
        <f t="shared" si="56"/>
        <v>5</v>
      </c>
      <c r="BP7" s="1">
        <f t="shared" si="57"/>
        <v>3</v>
      </c>
      <c r="BQ7" s="19">
        <f t="shared" si="58"/>
        <v>0.16666666666666666</v>
      </c>
      <c r="BR7" s="17">
        <f t="shared" si="59"/>
        <v>0.5</v>
      </c>
    </row>
    <row r="8" spans="1:70" x14ac:dyDescent="0.25">
      <c r="A8" s="1" t="s">
        <v>23</v>
      </c>
      <c r="B8" s="1">
        <v>17</v>
      </c>
      <c r="C8" s="1">
        <v>19</v>
      </c>
      <c r="D8" s="1">
        <v>28</v>
      </c>
      <c r="E8" s="1">
        <v>24</v>
      </c>
      <c r="F8" s="1">
        <v>25</v>
      </c>
      <c r="G8" s="1">
        <v>17</v>
      </c>
      <c r="H8" s="1">
        <v>15</v>
      </c>
      <c r="I8" s="1">
        <v>13</v>
      </c>
      <c r="J8" s="1">
        <v>11</v>
      </c>
      <c r="K8" s="1">
        <v>19</v>
      </c>
      <c r="L8" s="1">
        <v>12</v>
      </c>
      <c r="M8" s="1">
        <v>16</v>
      </c>
      <c r="N8" s="1">
        <v>11</v>
      </c>
      <c r="O8" s="1">
        <v>10</v>
      </c>
      <c r="P8" s="1">
        <v>4</v>
      </c>
      <c r="Q8" s="1">
        <v>8</v>
      </c>
      <c r="R8" s="1">
        <v>9</v>
      </c>
      <c r="S8" s="1">
        <v>12</v>
      </c>
      <c r="T8" s="1">
        <v>9</v>
      </c>
      <c r="U8" s="1">
        <v>6</v>
      </c>
      <c r="V8" s="1">
        <v>5</v>
      </c>
      <c r="W8" s="8">
        <f t="shared" si="12"/>
        <v>0.11764705882352941</v>
      </c>
      <c r="X8" s="8">
        <f t="shared" si="13"/>
        <v>0.47368421052631576</v>
      </c>
      <c r="Y8" s="8">
        <f t="shared" si="14"/>
        <v>-0.14285714285714285</v>
      </c>
      <c r="Z8" s="8">
        <f t="shared" si="15"/>
        <v>4.1666666666666664E-2</v>
      </c>
      <c r="AA8" s="8">
        <f t="shared" si="16"/>
        <v>-0.32</v>
      </c>
      <c r="AB8" s="8">
        <f t="shared" si="17"/>
        <v>-0.11764705882352941</v>
      </c>
      <c r="AC8" s="12">
        <f t="shared" si="18"/>
        <v>8.748955722639928E-3</v>
      </c>
      <c r="AD8" s="12">
        <f t="shared" si="19"/>
        <v>-3.7990196078431376E-2</v>
      </c>
      <c r="AE8" s="1">
        <f t="shared" si="20"/>
        <v>2</v>
      </c>
      <c r="AF8" s="1">
        <f t="shared" si="21"/>
        <v>9</v>
      </c>
      <c r="AG8" s="1">
        <f t="shared" si="22"/>
        <v>-4</v>
      </c>
      <c r="AH8" s="1">
        <f t="shared" si="23"/>
        <v>1</v>
      </c>
      <c r="AI8" s="1">
        <f t="shared" si="24"/>
        <v>-8</v>
      </c>
      <c r="AJ8" s="1">
        <f t="shared" si="25"/>
        <v>-2</v>
      </c>
      <c r="AK8" s="17">
        <f t="shared" si="26"/>
        <v>-0.33333333333333331</v>
      </c>
      <c r="AL8" s="17">
        <f t="shared" si="27"/>
        <v>-0.5</v>
      </c>
      <c r="AM8" s="1">
        <f t="shared" si="28"/>
        <v>-0.15384615384615385</v>
      </c>
      <c r="AN8" s="1">
        <f t="shared" si="29"/>
        <v>0.72727272727272729</v>
      </c>
      <c r="AO8" s="1">
        <f t="shared" si="30"/>
        <v>-0.36842105263157893</v>
      </c>
      <c r="AP8" s="1">
        <f t="shared" si="31"/>
        <v>0.33333333333333331</v>
      </c>
      <c r="AQ8" s="1">
        <f t="shared" si="32"/>
        <v>-0.3125</v>
      </c>
      <c r="AR8" s="1">
        <f t="shared" si="33"/>
        <v>-9.0909090909090912E-2</v>
      </c>
      <c r="AS8" s="12">
        <f t="shared" si="34"/>
        <v>2.2488293869872819E-2</v>
      </c>
      <c r="AT8" s="12">
        <f t="shared" si="35"/>
        <v>-0.12237762237762238</v>
      </c>
      <c r="AU8" s="1">
        <f t="shared" si="36"/>
        <v>-2</v>
      </c>
      <c r="AV8" s="1">
        <f t="shared" si="37"/>
        <v>8</v>
      </c>
      <c r="AW8" s="1">
        <f t="shared" si="38"/>
        <v>-7</v>
      </c>
      <c r="AX8" s="1">
        <f t="shared" si="39"/>
        <v>4</v>
      </c>
      <c r="AY8" s="1">
        <f t="shared" si="40"/>
        <v>-5</v>
      </c>
      <c r="AZ8" s="1">
        <f t="shared" si="41"/>
        <v>-1</v>
      </c>
      <c r="BA8" s="19">
        <f t="shared" si="42"/>
        <v>-0.5</v>
      </c>
      <c r="BB8" s="19">
        <f t="shared" si="43"/>
        <v>-1.5</v>
      </c>
      <c r="BC8" s="9">
        <f t="shared" si="44"/>
        <v>1</v>
      </c>
      <c r="BD8" s="9">
        <f t="shared" si="45"/>
        <v>0.125</v>
      </c>
      <c r="BE8" s="9">
        <f t="shared" si="46"/>
        <v>0.33333333333333331</v>
      </c>
      <c r="BF8" s="9">
        <f t="shared" si="47"/>
        <v>-0.25</v>
      </c>
      <c r="BG8" s="9">
        <f t="shared" si="48"/>
        <v>-0.33333333333333331</v>
      </c>
      <c r="BH8" s="9">
        <f t="shared" si="49"/>
        <v>-0.16666666666666666</v>
      </c>
      <c r="BI8" s="12">
        <f t="shared" si="50"/>
        <v>0.11805555555555557</v>
      </c>
      <c r="BJ8" s="13">
        <f t="shared" si="51"/>
        <v>-2.0833333333333343E-2</v>
      </c>
      <c r="BK8" s="1">
        <f t="shared" si="52"/>
        <v>4</v>
      </c>
      <c r="BL8" s="1">
        <f t="shared" si="53"/>
        <v>1</v>
      </c>
      <c r="BM8" s="1">
        <f t="shared" si="54"/>
        <v>3</v>
      </c>
      <c r="BN8" s="1">
        <f t="shared" si="55"/>
        <v>-3</v>
      </c>
      <c r="BO8" s="1">
        <f t="shared" si="56"/>
        <v>-3</v>
      </c>
      <c r="BP8" s="1">
        <f t="shared" si="57"/>
        <v>-1</v>
      </c>
      <c r="BQ8" s="19">
        <f t="shared" si="58"/>
        <v>0.16666666666666666</v>
      </c>
      <c r="BR8" s="17">
        <f t="shared" si="59"/>
        <v>0</v>
      </c>
    </row>
    <row r="9" spans="1:70" x14ac:dyDescent="0.25">
      <c r="A9" s="1" t="s">
        <v>22</v>
      </c>
      <c r="B9" s="1">
        <v>16</v>
      </c>
      <c r="C9" s="1">
        <v>12</v>
      </c>
      <c r="D9" s="1">
        <v>13</v>
      </c>
      <c r="E9" s="1">
        <v>21</v>
      </c>
      <c r="F9" s="1">
        <v>11</v>
      </c>
      <c r="G9" s="1">
        <v>11</v>
      </c>
      <c r="H9" s="1">
        <v>15</v>
      </c>
      <c r="I9" s="1">
        <v>9</v>
      </c>
      <c r="J9" s="1">
        <v>6</v>
      </c>
      <c r="K9" s="1">
        <v>9</v>
      </c>
      <c r="L9" s="1">
        <v>13</v>
      </c>
      <c r="M9" s="1">
        <v>7</v>
      </c>
      <c r="N9" s="1">
        <v>7</v>
      </c>
      <c r="O9" s="1">
        <v>6</v>
      </c>
      <c r="P9" s="1">
        <v>7</v>
      </c>
      <c r="Q9" s="1">
        <v>6</v>
      </c>
      <c r="R9" s="1">
        <v>4</v>
      </c>
      <c r="S9" s="1">
        <v>8</v>
      </c>
      <c r="T9" s="1">
        <v>4</v>
      </c>
      <c r="U9" s="1">
        <v>4</v>
      </c>
      <c r="V9" s="1">
        <v>9</v>
      </c>
      <c r="W9" s="8">
        <f t="shared" si="12"/>
        <v>-0.25</v>
      </c>
      <c r="X9" s="8">
        <f t="shared" si="13"/>
        <v>8.3333333333333329E-2</v>
      </c>
      <c r="Y9" s="8">
        <f t="shared" si="14"/>
        <v>0.61538461538461542</v>
      </c>
      <c r="Z9" s="8">
        <f t="shared" si="15"/>
        <v>-0.47619047619047616</v>
      </c>
      <c r="AA9" s="8">
        <f t="shared" si="16"/>
        <v>0</v>
      </c>
      <c r="AB9" s="8">
        <f t="shared" si="17"/>
        <v>0.36363636363636365</v>
      </c>
      <c r="AC9" s="12">
        <f t="shared" si="18"/>
        <v>5.6027306027306038E-2</v>
      </c>
      <c r="AD9" s="12">
        <f t="shared" si="19"/>
        <v>4.1666666666666664E-2</v>
      </c>
      <c r="AE9" s="1">
        <f t="shared" si="20"/>
        <v>-4</v>
      </c>
      <c r="AF9" s="1">
        <f t="shared" si="21"/>
        <v>1</v>
      </c>
      <c r="AG9" s="1">
        <f t="shared" si="22"/>
        <v>8</v>
      </c>
      <c r="AH9" s="1">
        <f t="shared" si="23"/>
        <v>-10</v>
      </c>
      <c r="AI9" s="1">
        <f t="shared" si="24"/>
        <v>0</v>
      </c>
      <c r="AJ9" s="1">
        <f t="shared" si="25"/>
        <v>4</v>
      </c>
      <c r="AK9" s="17">
        <f t="shared" si="26"/>
        <v>-0.16666666666666666</v>
      </c>
      <c r="AL9" s="17">
        <f t="shared" si="27"/>
        <v>0.5</v>
      </c>
      <c r="AM9" s="1">
        <f t="shared" si="28"/>
        <v>-0.33333333333333331</v>
      </c>
      <c r="AN9" s="1">
        <f t="shared" si="29"/>
        <v>0.5</v>
      </c>
      <c r="AO9" s="1">
        <f t="shared" si="30"/>
        <v>0.44444444444444442</v>
      </c>
      <c r="AP9" s="1">
        <f t="shared" si="31"/>
        <v>-0.46153846153846156</v>
      </c>
      <c r="AQ9" s="1">
        <f t="shared" si="32"/>
        <v>0</v>
      </c>
      <c r="AR9" s="1">
        <f t="shared" si="33"/>
        <v>-0.14285714285714285</v>
      </c>
      <c r="AS9" s="12">
        <f t="shared" si="34"/>
        <v>1.1192511192511245E-3</v>
      </c>
      <c r="AT9" s="12">
        <f t="shared" si="35"/>
        <v>-7.1428571428571425E-2</v>
      </c>
      <c r="AU9" s="1">
        <f t="shared" si="36"/>
        <v>-3</v>
      </c>
      <c r="AV9" s="1">
        <f t="shared" si="37"/>
        <v>3</v>
      </c>
      <c r="AW9" s="1">
        <f t="shared" si="38"/>
        <v>4</v>
      </c>
      <c r="AX9" s="1">
        <f t="shared" si="39"/>
        <v>-6</v>
      </c>
      <c r="AY9" s="1">
        <f t="shared" si="40"/>
        <v>0</v>
      </c>
      <c r="AZ9" s="1">
        <f t="shared" si="41"/>
        <v>-1</v>
      </c>
      <c r="BA9" s="19">
        <f t="shared" si="42"/>
        <v>-0.5</v>
      </c>
      <c r="BB9" s="19">
        <f t="shared" si="43"/>
        <v>-0.5</v>
      </c>
      <c r="BC9" s="9">
        <f t="shared" si="44"/>
        <v>-0.14285714285714285</v>
      </c>
      <c r="BD9" s="9">
        <f t="shared" si="45"/>
        <v>-0.33333333333333331</v>
      </c>
      <c r="BE9" s="9">
        <f t="shared" si="46"/>
        <v>1</v>
      </c>
      <c r="BF9" s="9">
        <f t="shared" si="47"/>
        <v>-0.5</v>
      </c>
      <c r="BG9" s="9">
        <f t="shared" si="48"/>
        <v>0</v>
      </c>
      <c r="BH9" s="9">
        <f t="shared" si="49"/>
        <v>1.25</v>
      </c>
      <c r="BI9" s="12">
        <f t="shared" si="50"/>
        <v>0.2123015873015873</v>
      </c>
      <c r="BJ9" s="13">
        <f t="shared" si="51"/>
        <v>-7.1428571428571425E-2</v>
      </c>
      <c r="BK9" s="1">
        <f t="shared" si="52"/>
        <v>-1</v>
      </c>
      <c r="BL9" s="1">
        <f t="shared" si="53"/>
        <v>-2</v>
      </c>
      <c r="BM9" s="1">
        <f t="shared" si="54"/>
        <v>4</v>
      </c>
      <c r="BN9" s="1">
        <f t="shared" si="55"/>
        <v>-4</v>
      </c>
      <c r="BO9" s="1">
        <f t="shared" si="56"/>
        <v>0</v>
      </c>
      <c r="BP9" s="1">
        <f t="shared" si="57"/>
        <v>5</v>
      </c>
      <c r="BQ9" s="19">
        <f t="shared" si="58"/>
        <v>0.33333333333333331</v>
      </c>
      <c r="BR9" s="17">
        <f t="shared" si="59"/>
        <v>-0.5</v>
      </c>
    </row>
    <row r="10" spans="1:70" x14ac:dyDescent="0.25">
      <c r="A10" s="1" t="s">
        <v>59</v>
      </c>
      <c r="B10" s="1">
        <v>8</v>
      </c>
      <c r="C10" s="1">
        <v>10</v>
      </c>
      <c r="D10" s="1">
        <v>6</v>
      </c>
      <c r="E10" s="1">
        <v>8</v>
      </c>
      <c r="F10" s="1">
        <v>7</v>
      </c>
      <c r="G10" s="1">
        <v>9</v>
      </c>
      <c r="H10" s="1">
        <v>6</v>
      </c>
      <c r="I10" s="1">
        <v>3</v>
      </c>
      <c r="J10" s="1">
        <v>5</v>
      </c>
      <c r="K10" s="1">
        <v>4</v>
      </c>
      <c r="L10" s="1">
        <v>6</v>
      </c>
      <c r="M10" s="1">
        <v>5</v>
      </c>
      <c r="N10" s="1">
        <v>6</v>
      </c>
      <c r="O10" s="1">
        <v>4</v>
      </c>
      <c r="P10" s="1">
        <v>5</v>
      </c>
      <c r="Q10" s="1">
        <v>5</v>
      </c>
      <c r="R10" s="1">
        <v>2</v>
      </c>
      <c r="S10" s="1">
        <v>2</v>
      </c>
      <c r="T10" s="1">
        <v>2</v>
      </c>
      <c r="U10" s="1">
        <v>3</v>
      </c>
      <c r="V10" s="1">
        <v>2</v>
      </c>
      <c r="W10" s="8">
        <f t="shared" si="12"/>
        <v>0.25</v>
      </c>
      <c r="X10" s="8">
        <f t="shared" si="13"/>
        <v>-0.4</v>
      </c>
      <c r="Y10" s="8">
        <f t="shared" si="14"/>
        <v>0.33333333333333331</v>
      </c>
      <c r="Z10" s="8">
        <f t="shared" si="15"/>
        <v>-0.125</v>
      </c>
      <c r="AA10" s="8">
        <f t="shared" si="16"/>
        <v>0.2857142857142857</v>
      </c>
      <c r="AB10" s="8">
        <f t="shared" si="17"/>
        <v>-0.33333333333333331</v>
      </c>
      <c r="AC10" s="12">
        <f t="shared" si="18"/>
        <v>1.7857142857142794E-3</v>
      </c>
      <c r="AD10" s="12">
        <f t="shared" si="19"/>
        <v>6.25E-2</v>
      </c>
      <c r="AE10" s="1">
        <f t="shared" si="20"/>
        <v>2</v>
      </c>
      <c r="AF10" s="1">
        <f t="shared" si="21"/>
        <v>-4</v>
      </c>
      <c r="AG10" s="1">
        <f t="shared" si="22"/>
        <v>2</v>
      </c>
      <c r="AH10" s="1">
        <f t="shared" si="23"/>
        <v>-1</v>
      </c>
      <c r="AI10" s="1">
        <f t="shared" si="24"/>
        <v>2</v>
      </c>
      <c r="AJ10" s="1">
        <f t="shared" si="25"/>
        <v>-3</v>
      </c>
      <c r="AK10" s="17">
        <f t="shared" si="26"/>
        <v>-0.33333333333333331</v>
      </c>
      <c r="AL10" s="17">
        <f t="shared" si="27"/>
        <v>0.5</v>
      </c>
      <c r="AM10" s="1">
        <f t="shared" si="28"/>
        <v>0.66666666666666663</v>
      </c>
      <c r="AN10" s="1">
        <f t="shared" si="29"/>
        <v>-0.2</v>
      </c>
      <c r="AO10" s="1">
        <f t="shared" si="30"/>
        <v>0.5</v>
      </c>
      <c r="AP10" s="1">
        <f t="shared" si="31"/>
        <v>-0.16666666666666666</v>
      </c>
      <c r="AQ10" s="1">
        <f t="shared" si="32"/>
        <v>0.2</v>
      </c>
      <c r="AR10" s="1">
        <f t="shared" si="33"/>
        <v>-0.33333333333333331</v>
      </c>
      <c r="AS10" s="12">
        <f t="shared" si="34"/>
        <v>0.11111111111111112</v>
      </c>
      <c r="AT10" s="12">
        <f t="shared" si="35"/>
        <v>1.6666666666666691E-2</v>
      </c>
      <c r="AU10" s="1">
        <f t="shared" si="36"/>
        <v>2</v>
      </c>
      <c r="AV10" s="1">
        <f t="shared" si="37"/>
        <v>-1</v>
      </c>
      <c r="AW10" s="1">
        <f t="shared" si="38"/>
        <v>2</v>
      </c>
      <c r="AX10" s="1">
        <f t="shared" si="39"/>
        <v>-1</v>
      </c>
      <c r="AY10" s="1">
        <f t="shared" si="40"/>
        <v>1</v>
      </c>
      <c r="AZ10" s="1">
        <f t="shared" si="41"/>
        <v>-2</v>
      </c>
      <c r="BA10" s="19">
        <f t="shared" si="42"/>
        <v>0.16666666666666666</v>
      </c>
      <c r="BB10" s="19">
        <f t="shared" si="43"/>
        <v>0</v>
      </c>
      <c r="BC10" s="9">
        <f t="shared" si="44"/>
        <v>0</v>
      </c>
      <c r="BD10" s="9">
        <f t="shared" si="45"/>
        <v>-0.6</v>
      </c>
      <c r="BE10" s="9">
        <f t="shared" si="46"/>
        <v>0</v>
      </c>
      <c r="BF10" s="9">
        <f t="shared" si="47"/>
        <v>0</v>
      </c>
      <c r="BG10" s="9">
        <f t="shared" si="48"/>
        <v>0.5</v>
      </c>
      <c r="BH10" s="9">
        <f t="shared" si="49"/>
        <v>-0.33333333333333331</v>
      </c>
      <c r="BI10" s="12">
        <f t="shared" si="50"/>
        <v>-7.2222222222222215E-2</v>
      </c>
      <c r="BJ10" s="13">
        <f t="shared" si="51"/>
        <v>0</v>
      </c>
      <c r="BK10" s="1">
        <f t="shared" si="52"/>
        <v>0</v>
      </c>
      <c r="BL10" s="1">
        <f t="shared" si="53"/>
        <v>-3</v>
      </c>
      <c r="BM10" s="1">
        <f t="shared" si="54"/>
        <v>0</v>
      </c>
      <c r="BN10" s="1">
        <f t="shared" si="55"/>
        <v>0</v>
      </c>
      <c r="BO10" s="1">
        <f t="shared" si="56"/>
        <v>1</v>
      </c>
      <c r="BP10" s="1">
        <f t="shared" si="57"/>
        <v>-1</v>
      </c>
      <c r="BQ10" s="19">
        <f t="shared" si="58"/>
        <v>-0.5</v>
      </c>
      <c r="BR10" s="17">
        <f t="shared" si="59"/>
        <v>0</v>
      </c>
    </row>
    <row r="11" spans="1:70" x14ac:dyDescent="0.25">
      <c r="E11" s="1">
        <v>48</v>
      </c>
      <c r="L11" s="1">
        <v>27</v>
      </c>
      <c r="S11" s="1">
        <v>21</v>
      </c>
      <c r="W11" s="8" t="e">
        <f t="shared" si="12"/>
        <v>#DIV/0!</v>
      </c>
      <c r="X11" s="8" t="e">
        <f t="shared" si="13"/>
        <v>#DIV/0!</v>
      </c>
      <c r="Y11" s="8" t="e">
        <f t="shared" si="14"/>
        <v>#DIV/0!</v>
      </c>
      <c r="Z11" s="8">
        <f t="shared" si="15"/>
        <v>-1</v>
      </c>
      <c r="AA11" s="8" t="e">
        <f t="shared" si="16"/>
        <v>#DIV/0!</v>
      </c>
      <c r="AB11" s="8" t="e">
        <f t="shared" si="17"/>
        <v>#DIV/0!</v>
      </c>
      <c r="AC11" s="12" t="e">
        <f t="shared" si="18"/>
        <v>#DIV/0!</v>
      </c>
      <c r="AD11" s="12" t="e">
        <f t="shared" si="19"/>
        <v>#DIV/0!</v>
      </c>
      <c r="AE11" s="1">
        <f t="shared" si="20"/>
        <v>0</v>
      </c>
      <c r="AF11" s="1">
        <f t="shared" si="21"/>
        <v>0</v>
      </c>
      <c r="AG11" s="1">
        <f t="shared" si="22"/>
        <v>48</v>
      </c>
      <c r="AH11" s="1">
        <f t="shared" si="23"/>
        <v>-48</v>
      </c>
      <c r="AI11" s="1">
        <f t="shared" si="24"/>
        <v>0</v>
      </c>
      <c r="AJ11" s="1">
        <f t="shared" si="25"/>
        <v>0</v>
      </c>
      <c r="AK11" s="17">
        <f t="shared" si="26"/>
        <v>0</v>
      </c>
      <c r="AL11" s="17">
        <f t="shared" si="27"/>
        <v>0</v>
      </c>
      <c r="AM11" s="1" t="e">
        <f t="shared" si="28"/>
        <v>#DIV/0!</v>
      </c>
      <c r="AN11" s="1" t="e">
        <f t="shared" si="29"/>
        <v>#DIV/0!</v>
      </c>
      <c r="AO11" s="1" t="e">
        <f t="shared" si="30"/>
        <v>#DIV/0!</v>
      </c>
      <c r="AP11" s="1">
        <f t="shared" si="31"/>
        <v>-1</v>
      </c>
      <c r="AQ11" s="1" t="e">
        <f t="shared" si="32"/>
        <v>#DIV/0!</v>
      </c>
      <c r="AR11" s="1" t="e">
        <f t="shared" si="33"/>
        <v>#DIV/0!</v>
      </c>
      <c r="AS11" s="12" t="e">
        <f t="shared" si="34"/>
        <v>#DIV/0!</v>
      </c>
      <c r="AT11" s="12" t="e">
        <f t="shared" si="35"/>
        <v>#DIV/0!</v>
      </c>
      <c r="AU11" s="1">
        <f t="shared" si="36"/>
        <v>0</v>
      </c>
      <c r="AV11" s="1">
        <f t="shared" si="37"/>
        <v>0</v>
      </c>
      <c r="AW11" s="1">
        <f t="shared" si="38"/>
        <v>27</v>
      </c>
      <c r="AX11" s="1">
        <f t="shared" si="39"/>
        <v>-27</v>
      </c>
      <c r="AY11" s="1">
        <f t="shared" si="40"/>
        <v>0</v>
      </c>
      <c r="AZ11" s="1">
        <f t="shared" si="41"/>
        <v>0</v>
      </c>
      <c r="BA11" s="19">
        <f t="shared" si="42"/>
        <v>0</v>
      </c>
      <c r="BB11" s="19">
        <f t="shared" si="43"/>
        <v>0</v>
      </c>
      <c r="BC11" s="9" t="e">
        <f t="shared" si="44"/>
        <v>#DIV/0!</v>
      </c>
      <c r="BD11" s="9" t="e">
        <f t="shared" si="45"/>
        <v>#DIV/0!</v>
      </c>
      <c r="BE11" s="9" t="e">
        <f t="shared" si="46"/>
        <v>#DIV/0!</v>
      </c>
      <c r="BF11" s="9">
        <f t="shared" si="47"/>
        <v>-1</v>
      </c>
      <c r="BG11" s="9" t="e">
        <f t="shared" si="48"/>
        <v>#DIV/0!</v>
      </c>
      <c r="BH11" s="9" t="e">
        <f t="shared" si="49"/>
        <v>#DIV/0!</v>
      </c>
      <c r="BI11" s="12" t="e">
        <f t="shared" si="50"/>
        <v>#DIV/0!</v>
      </c>
      <c r="BJ11" s="13" t="e">
        <f t="shared" si="51"/>
        <v>#DIV/0!</v>
      </c>
      <c r="BK11" s="1">
        <f t="shared" si="52"/>
        <v>0</v>
      </c>
      <c r="BL11" s="1">
        <f t="shared" si="53"/>
        <v>0</v>
      </c>
      <c r="BM11" s="1">
        <f t="shared" si="54"/>
        <v>21</v>
      </c>
      <c r="BN11" s="1">
        <f t="shared" si="55"/>
        <v>-21</v>
      </c>
      <c r="BO11" s="1">
        <f t="shared" si="56"/>
        <v>0</v>
      </c>
      <c r="BP11" s="1">
        <f t="shared" si="57"/>
        <v>0</v>
      </c>
      <c r="BQ11" s="19">
        <f t="shared" si="58"/>
        <v>0</v>
      </c>
      <c r="BR11" s="17">
        <f t="shared" si="59"/>
        <v>0</v>
      </c>
    </row>
    <row r="12" spans="1:70" x14ac:dyDescent="0.25">
      <c r="A12" s="26"/>
      <c r="B12" s="26">
        <f>SUBTOTAL(109,Tabla8[2017])</f>
        <v>3184</v>
      </c>
      <c r="C12" s="26">
        <f>SUBTOTAL(109,Tabla8[2018])</f>
        <v>3250</v>
      </c>
      <c r="D12" s="26">
        <f>SUBTOTAL(109,Tabla8[2019])</f>
        <v>3397</v>
      </c>
      <c r="E12" s="26">
        <f>SUBTOTAL(109,Tabla8[2020])</f>
        <v>3754</v>
      </c>
      <c r="F12" s="26">
        <f>SUBTOTAL(109,Tabla8[2021])</f>
        <v>3711</v>
      </c>
      <c r="G12" s="26">
        <f>SUBTOTAL(109,Tabla8[2022])</f>
        <v>3993</v>
      </c>
      <c r="H12" s="26">
        <f>SUBTOTAL(109,Tabla8[2023])</f>
        <v>3762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33"/>
      <c r="X12" s="33"/>
      <c r="Y12" s="33"/>
      <c r="Z12" s="33"/>
      <c r="AA12" s="33"/>
      <c r="AB12" s="33"/>
      <c r="AC12" s="28"/>
      <c r="AD12" s="28"/>
      <c r="AE12" s="26"/>
      <c r="AF12" s="26"/>
      <c r="AG12" s="26"/>
      <c r="AH12" s="26"/>
      <c r="AI12" s="26"/>
      <c r="AJ12" s="26"/>
      <c r="AK12" s="30"/>
      <c r="AL12" s="30"/>
      <c r="AM12" s="26"/>
      <c r="AN12" s="26"/>
      <c r="AO12" s="26"/>
      <c r="AP12" s="26"/>
      <c r="AQ12" s="26"/>
      <c r="AR12" s="26"/>
      <c r="AS12" s="28"/>
      <c r="AT12" s="28"/>
      <c r="AU12" s="26"/>
      <c r="AV12" s="26"/>
      <c r="AW12" s="26"/>
      <c r="AX12" s="26"/>
      <c r="AY12" s="26"/>
      <c r="AZ12" s="26"/>
      <c r="BA12" s="30"/>
      <c r="BB12" s="30"/>
      <c r="BC12" s="34"/>
      <c r="BD12" s="34"/>
      <c r="BE12" s="34"/>
      <c r="BF12" s="34"/>
      <c r="BG12" s="34"/>
      <c r="BH12" s="34"/>
      <c r="BI12" s="28"/>
      <c r="BJ12" s="28"/>
      <c r="BK12" s="26"/>
      <c r="BL12" s="26"/>
      <c r="BM12" s="26"/>
      <c r="BN12" s="26"/>
      <c r="BO12" s="26"/>
      <c r="BP12" s="26"/>
      <c r="BQ12" s="30"/>
      <c r="BR12" s="30"/>
    </row>
    <row r="13" spans="1:70" x14ac:dyDescent="0.25">
      <c r="W13" s="8"/>
      <c r="X13" s="8"/>
      <c r="Y13" s="8"/>
      <c r="Z13" s="8"/>
      <c r="AA13" s="8"/>
      <c r="AB13" s="8"/>
      <c r="AC13" s="12"/>
      <c r="AD13" s="12"/>
      <c r="AE13" s="1"/>
      <c r="AF13" s="1"/>
      <c r="AG13" s="1"/>
      <c r="AH13" s="1"/>
      <c r="AI13" s="1"/>
      <c r="AJ13" s="1"/>
      <c r="AK13" s="17"/>
      <c r="AL13" s="17"/>
      <c r="AM13" s="1"/>
      <c r="AN13" s="1"/>
      <c r="AO13" s="1"/>
      <c r="AP13" s="1"/>
      <c r="AQ13" s="1"/>
      <c r="AR13" s="1"/>
      <c r="AS13" s="12"/>
      <c r="AT13" s="12"/>
      <c r="AU13" s="1"/>
      <c r="AV13" s="1"/>
      <c r="AW13" s="1"/>
      <c r="AX13" s="1"/>
      <c r="AY13" s="1"/>
      <c r="AZ13" s="1"/>
      <c r="BA13" s="19"/>
      <c r="BB13" s="19"/>
      <c r="BC13" s="9"/>
      <c r="BD13" s="9"/>
      <c r="BE13" s="9"/>
      <c r="BF13" s="9"/>
      <c r="BG13" s="9"/>
      <c r="BH13" s="9"/>
      <c r="BI13" s="12"/>
      <c r="BJ13" s="13"/>
      <c r="BK13" s="1"/>
      <c r="BL13" s="1"/>
      <c r="BM13" s="1"/>
      <c r="BN13" s="1"/>
      <c r="BO13" s="1"/>
      <c r="BP13" s="1"/>
      <c r="BQ13" s="19"/>
      <c r="BR13" s="17"/>
    </row>
    <row r="14" spans="1:70" x14ac:dyDescent="0.25">
      <c r="W14" s="8"/>
      <c r="X14" s="8"/>
      <c r="Y14" s="8"/>
      <c r="Z14" s="8"/>
      <c r="AA14" s="8"/>
      <c r="AB14" s="8"/>
      <c r="AC14" s="12"/>
      <c r="AD14" s="12"/>
      <c r="AE14" s="1"/>
      <c r="AF14" s="1"/>
      <c r="AG14" s="1"/>
      <c r="AH14" s="1"/>
      <c r="AI14" s="1"/>
      <c r="AJ14" s="1"/>
      <c r="AK14" s="17"/>
      <c r="AL14" s="17"/>
      <c r="AM14" s="1"/>
      <c r="AN14" s="1"/>
      <c r="AO14" s="1"/>
      <c r="AP14" s="1"/>
      <c r="AQ14" s="1"/>
      <c r="AR14" s="1"/>
      <c r="AS14" s="12"/>
      <c r="AT14" s="12"/>
      <c r="AU14" s="1"/>
      <c r="AV14" s="1"/>
      <c r="AW14" s="1"/>
      <c r="AX14" s="1"/>
      <c r="AY14" s="1"/>
      <c r="AZ14" s="1"/>
      <c r="BA14" s="19"/>
      <c r="BB14" s="19"/>
      <c r="BC14" s="9"/>
      <c r="BD14" s="9"/>
      <c r="BE14" s="9"/>
      <c r="BF14" s="9"/>
      <c r="BG14" s="9"/>
      <c r="BH14" s="9"/>
      <c r="BI14" s="12"/>
      <c r="BJ14" s="13"/>
      <c r="BK14" s="1"/>
      <c r="BL14" s="1"/>
      <c r="BM14" s="1"/>
      <c r="BN14" s="1"/>
      <c r="BO14" s="1"/>
      <c r="BP14" s="1"/>
      <c r="BQ14" s="19"/>
      <c r="BR14" s="17"/>
    </row>
    <row r="15" spans="1:70" x14ac:dyDescent="0.25">
      <c r="W15" s="8"/>
      <c r="X15" s="8"/>
      <c r="Y15" s="8"/>
      <c r="Z15" s="8"/>
      <c r="AA15" s="8"/>
      <c r="AB15" s="8"/>
      <c r="AC15" s="12"/>
      <c r="AD15" s="12"/>
      <c r="AE15" s="1"/>
      <c r="AF15" s="1"/>
      <c r="AG15" s="1"/>
      <c r="AH15" s="1"/>
      <c r="AI15" s="1"/>
      <c r="AJ15" s="1"/>
      <c r="AK15" s="17"/>
      <c r="AL15" s="17"/>
      <c r="AM15" s="1"/>
      <c r="AN15" s="1"/>
      <c r="AO15" s="1"/>
      <c r="AP15" s="1"/>
      <c r="AQ15" s="1"/>
      <c r="AR15" s="1"/>
      <c r="AS15" s="12"/>
      <c r="AT15" s="12"/>
      <c r="AU15" s="1"/>
      <c r="AV15" s="1"/>
      <c r="AW15" s="1"/>
      <c r="AX15" s="1"/>
      <c r="AY15" s="1"/>
      <c r="AZ15" s="1"/>
      <c r="BA15" s="19"/>
      <c r="BB15" s="19"/>
      <c r="BC15" s="9"/>
      <c r="BD15" s="9"/>
      <c r="BE15" s="9"/>
      <c r="BF15" s="9"/>
      <c r="BG15" s="9"/>
      <c r="BH15" s="9"/>
      <c r="BI15" s="12"/>
      <c r="BJ15" s="13"/>
      <c r="BK15" s="1"/>
      <c r="BL15" s="1"/>
      <c r="BM15" s="1"/>
      <c r="BN15" s="1"/>
      <c r="BO15" s="1"/>
      <c r="BP15" s="1"/>
      <c r="BQ15" s="19"/>
      <c r="BR15" s="17"/>
    </row>
    <row r="16" spans="1:70" x14ac:dyDescent="0.25">
      <c r="W16" s="8"/>
      <c r="X16" s="8"/>
      <c r="Y16" s="8"/>
      <c r="Z16" s="8"/>
      <c r="AA16" s="8"/>
      <c r="AB16" s="8"/>
      <c r="AC16" s="12"/>
      <c r="AD16" s="12"/>
      <c r="AE16" s="1"/>
      <c r="AF16" s="1"/>
      <c r="AG16" s="1"/>
      <c r="AH16" s="1"/>
      <c r="AI16" s="1"/>
      <c r="AJ16" s="1"/>
      <c r="AK16" s="17"/>
      <c r="AL16" s="17"/>
      <c r="AM16" s="1"/>
      <c r="AN16" s="1"/>
      <c r="AO16" s="1"/>
      <c r="AP16" s="1"/>
      <c r="AQ16" s="1"/>
      <c r="AR16" s="1"/>
      <c r="AS16" s="12"/>
      <c r="AT16" s="12"/>
      <c r="AU16" s="1"/>
      <c r="AV16" s="1"/>
      <c r="AW16" s="1"/>
      <c r="AX16" s="1"/>
      <c r="AY16" s="1"/>
      <c r="AZ16" s="1"/>
      <c r="BA16" s="19"/>
      <c r="BB16" s="19"/>
      <c r="BC16" s="9"/>
      <c r="BD16" s="9"/>
      <c r="BE16" s="9"/>
      <c r="BF16" s="9"/>
      <c r="BG16" s="9"/>
      <c r="BH16" s="9"/>
      <c r="BI16" s="12"/>
      <c r="BJ16" s="13"/>
      <c r="BK16" s="1"/>
      <c r="BL16" s="1"/>
      <c r="BM16" s="1"/>
      <c r="BN16" s="1"/>
      <c r="BO16" s="1"/>
      <c r="BP16" s="1"/>
      <c r="BQ16" s="19"/>
      <c r="BR16" s="17"/>
    </row>
    <row r="17" spans="23:70" x14ac:dyDescent="0.25">
      <c r="W17" s="8"/>
      <c r="X17" s="8"/>
      <c r="Y17" s="8"/>
      <c r="Z17" s="8"/>
      <c r="AA17" s="8"/>
      <c r="AB17" s="8"/>
      <c r="AC17" s="12"/>
      <c r="AD17" s="12"/>
      <c r="AE17" s="1"/>
      <c r="AF17" s="1"/>
      <c r="AG17" s="1"/>
      <c r="AH17" s="1"/>
      <c r="AI17" s="1"/>
      <c r="AJ17" s="1"/>
      <c r="AK17" s="17"/>
      <c r="AL17" s="17"/>
      <c r="AM17" s="1"/>
      <c r="AN17" s="1"/>
      <c r="AO17" s="1"/>
      <c r="AP17" s="1"/>
      <c r="AQ17" s="1"/>
      <c r="AR17" s="1"/>
      <c r="AS17" s="12"/>
      <c r="AT17" s="12"/>
      <c r="AU17" s="1"/>
      <c r="AV17" s="1"/>
      <c r="AW17" s="1"/>
      <c r="AX17" s="1"/>
      <c r="AY17" s="1"/>
      <c r="AZ17" s="1"/>
      <c r="BA17" s="19"/>
      <c r="BB17" s="19"/>
      <c r="BC17" s="9"/>
      <c r="BD17" s="9"/>
      <c r="BE17" s="9"/>
      <c r="BF17" s="9"/>
      <c r="BG17" s="9"/>
      <c r="BH17" s="9"/>
      <c r="BI17" s="12"/>
      <c r="BJ17" s="13"/>
      <c r="BK17" s="1"/>
      <c r="BL17" s="1"/>
      <c r="BM17" s="1"/>
      <c r="BN17" s="1"/>
      <c r="BO17" s="1"/>
      <c r="BP17" s="1"/>
      <c r="BQ17" s="19"/>
      <c r="BR17" s="17"/>
    </row>
    <row r="18" spans="23:70" x14ac:dyDescent="0.25">
      <c r="W18" s="8"/>
      <c r="X18" s="8"/>
      <c r="Y18" s="8"/>
      <c r="Z18" s="8"/>
      <c r="AA18" s="8"/>
      <c r="AB18" s="8"/>
      <c r="AC18" s="12"/>
      <c r="AD18" s="12"/>
      <c r="AE18" s="1"/>
      <c r="AF18" s="1"/>
      <c r="AG18" s="1"/>
      <c r="AH18" s="1"/>
      <c r="AI18" s="1"/>
      <c r="AJ18" s="1"/>
      <c r="AK18" s="17"/>
      <c r="AL18" s="17"/>
      <c r="AM18" s="1"/>
      <c r="AN18" s="1"/>
      <c r="AO18" s="1"/>
      <c r="AP18" s="1"/>
      <c r="AQ18" s="1"/>
      <c r="AR18" s="1"/>
      <c r="AS18" s="12"/>
      <c r="AT18" s="12"/>
      <c r="AU18" s="1"/>
      <c r="AV18" s="1"/>
      <c r="AW18" s="1"/>
      <c r="AX18" s="1"/>
      <c r="AY18" s="1"/>
      <c r="AZ18" s="1"/>
      <c r="BA18" s="19"/>
      <c r="BB18" s="19"/>
      <c r="BC18" s="9"/>
      <c r="BD18" s="9"/>
      <c r="BE18" s="9"/>
      <c r="BF18" s="9"/>
      <c r="BG18" s="9"/>
      <c r="BH18" s="9"/>
      <c r="BI18" s="12"/>
      <c r="BJ18" s="13"/>
      <c r="BK18" s="1"/>
      <c r="BL18" s="1"/>
      <c r="BM18" s="1"/>
      <c r="BN18" s="1"/>
      <c r="BO18" s="1"/>
      <c r="BP18" s="1"/>
      <c r="BQ18" s="19"/>
      <c r="BR18" s="17"/>
    </row>
    <row r="19" spans="23:70" x14ac:dyDescent="0.25">
      <c r="W19" s="8"/>
      <c r="X19" s="8"/>
      <c r="Y19" s="8"/>
      <c r="Z19" s="8"/>
      <c r="AA19" s="8"/>
      <c r="AB19" s="8"/>
      <c r="AC19" s="12"/>
      <c r="AD19" s="12"/>
      <c r="AE19" s="1"/>
      <c r="AF19" s="1"/>
      <c r="AG19" s="1"/>
      <c r="AH19" s="1"/>
      <c r="AI19" s="1"/>
      <c r="AJ19" s="1"/>
      <c r="AK19" s="17"/>
      <c r="AL19" s="17"/>
      <c r="AM19" s="1"/>
      <c r="AN19" s="1"/>
      <c r="AO19" s="1"/>
      <c r="AP19" s="1"/>
      <c r="AQ19" s="1"/>
      <c r="AR19" s="1"/>
      <c r="AS19" s="12"/>
      <c r="AT19" s="12"/>
      <c r="AU19" s="1"/>
      <c r="AV19" s="1"/>
      <c r="AW19" s="1"/>
      <c r="AX19" s="1"/>
      <c r="AY19" s="1"/>
      <c r="AZ19" s="1"/>
      <c r="BA19" s="19"/>
      <c r="BB19" s="19"/>
      <c r="BC19" s="9"/>
      <c r="BD19" s="9"/>
      <c r="BE19" s="9"/>
      <c r="BF19" s="9"/>
      <c r="BG19" s="9"/>
      <c r="BH19" s="9"/>
      <c r="BI19" s="12"/>
      <c r="BJ19" s="13"/>
      <c r="BK19" s="1"/>
      <c r="BL19" s="1"/>
      <c r="BM19" s="1"/>
      <c r="BN19" s="1"/>
      <c r="BO19" s="1"/>
      <c r="BP19" s="1"/>
      <c r="BQ19" s="19"/>
      <c r="BR19" s="17"/>
    </row>
    <row r="20" spans="23:70" x14ac:dyDescent="0.25">
      <c r="W20" s="8"/>
      <c r="X20" s="8"/>
      <c r="Y20" s="8"/>
      <c r="Z20" s="8"/>
      <c r="AA20" s="8"/>
      <c r="AB20" s="8"/>
      <c r="AC20" s="12"/>
      <c r="AD20" s="12"/>
      <c r="AE20" s="1"/>
      <c r="AF20" s="1"/>
      <c r="AG20" s="1"/>
      <c r="AH20" s="1"/>
      <c r="AI20" s="1"/>
      <c r="AJ20" s="1"/>
      <c r="AK20" s="17"/>
      <c r="AL20" s="17"/>
      <c r="AM20" s="1"/>
      <c r="AN20" s="1"/>
      <c r="AO20" s="1"/>
      <c r="AP20" s="1"/>
      <c r="AQ20" s="1"/>
      <c r="AR20" s="1"/>
      <c r="AS20" s="12"/>
      <c r="AT20" s="12"/>
      <c r="AU20" s="1"/>
      <c r="AV20" s="1"/>
      <c r="AW20" s="1"/>
      <c r="AX20" s="1"/>
      <c r="AY20" s="1"/>
      <c r="AZ20" s="1"/>
      <c r="BA20" s="19"/>
      <c r="BB20" s="19"/>
      <c r="BC20" s="9"/>
      <c r="BD20" s="9"/>
      <c r="BE20" s="9"/>
      <c r="BF20" s="9"/>
      <c r="BG20" s="9"/>
      <c r="BH20" s="9"/>
      <c r="BI20" s="12"/>
      <c r="BJ20" s="13"/>
      <c r="BK20" s="1"/>
      <c r="BL20" s="1"/>
      <c r="BM20" s="1"/>
      <c r="BN20" s="1"/>
      <c r="BO20" s="1"/>
      <c r="BP20" s="1"/>
      <c r="BQ20" s="19"/>
      <c r="BR20" s="17"/>
    </row>
    <row r="21" spans="23:70" x14ac:dyDescent="0.25">
      <c r="W21" s="8"/>
      <c r="X21" s="8"/>
      <c r="Y21" s="8"/>
      <c r="Z21" s="8"/>
      <c r="AA21" s="8"/>
      <c r="AB21" s="8"/>
      <c r="AC21" s="12"/>
      <c r="AD21" s="12"/>
      <c r="AE21" s="1"/>
      <c r="AF21" s="1"/>
      <c r="AG21" s="1"/>
      <c r="AH21" s="1"/>
      <c r="AI21" s="1"/>
      <c r="AJ21" s="1"/>
      <c r="AK21" s="17"/>
      <c r="AL21" s="17"/>
      <c r="AM21" s="1"/>
      <c r="AN21" s="1"/>
      <c r="AO21" s="1"/>
      <c r="AP21" s="1"/>
      <c r="AQ21" s="1"/>
      <c r="AR21" s="1"/>
      <c r="AS21" s="12"/>
      <c r="AT21" s="12"/>
      <c r="AU21" s="1"/>
      <c r="AV21" s="1"/>
      <c r="AW21" s="1"/>
      <c r="AX21" s="1"/>
      <c r="AY21" s="1"/>
      <c r="AZ21" s="1"/>
      <c r="BA21" s="19"/>
      <c r="BB21" s="19"/>
      <c r="BC21" s="9"/>
      <c r="BD21" s="9"/>
      <c r="BE21" s="9"/>
      <c r="BF21" s="9"/>
      <c r="BG21" s="9"/>
      <c r="BH21" s="9"/>
      <c r="BI21" s="12"/>
      <c r="BJ21" s="13"/>
      <c r="BK21" s="1"/>
      <c r="BL21" s="1"/>
      <c r="BM21" s="1"/>
      <c r="BN21" s="1"/>
      <c r="BO21" s="1"/>
      <c r="BP21" s="1"/>
      <c r="BQ21" s="19"/>
      <c r="BR21" s="17"/>
    </row>
    <row r="22" spans="23:70" x14ac:dyDescent="0.25">
      <c r="W22" s="8"/>
      <c r="X22" s="8"/>
      <c r="Y22" s="8"/>
      <c r="Z22" s="8"/>
      <c r="AA22" s="8"/>
      <c r="AB22" s="8"/>
      <c r="AC22" s="12"/>
      <c r="AD22" s="12"/>
      <c r="AE22" s="1"/>
      <c r="AF22" s="1"/>
      <c r="AG22" s="1"/>
      <c r="AH22" s="1"/>
      <c r="AI22" s="1"/>
      <c r="AJ22" s="1"/>
      <c r="AK22" s="17"/>
      <c r="AL22" s="17"/>
      <c r="AM22" s="1"/>
      <c r="AN22" s="1"/>
      <c r="AO22" s="1"/>
      <c r="AP22" s="1"/>
      <c r="AQ22" s="1"/>
      <c r="AR22" s="1"/>
      <c r="AS22" s="12"/>
      <c r="AT22" s="12"/>
      <c r="AU22" s="1"/>
      <c r="AV22" s="1"/>
      <c r="AW22" s="1"/>
      <c r="AX22" s="1"/>
      <c r="AY22" s="1"/>
      <c r="AZ22" s="1"/>
      <c r="BA22" s="19"/>
      <c r="BB22" s="19"/>
      <c r="BC22" s="9"/>
      <c r="BD22" s="9"/>
      <c r="BE22" s="9"/>
      <c r="BF22" s="9"/>
      <c r="BG22" s="9"/>
      <c r="BH22" s="9"/>
      <c r="BI22" s="12"/>
      <c r="BJ22" s="13"/>
      <c r="BK22" s="1"/>
      <c r="BL22" s="1"/>
      <c r="BM22" s="1"/>
      <c r="BN22" s="1"/>
      <c r="BO22" s="1"/>
      <c r="BP22" s="1"/>
      <c r="BQ22" s="19"/>
      <c r="BR22" s="17"/>
    </row>
    <row r="23" spans="23:70" x14ac:dyDescent="0.25">
      <c r="W23" s="8"/>
      <c r="X23" s="8"/>
      <c r="Y23" s="8"/>
      <c r="Z23" s="8"/>
      <c r="AA23" s="8"/>
      <c r="AB23" s="8"/>
      <c r="AC23" s="12"/>
      <c r="AD23" s="12"/>
      <c r="AE23" s="1"/>
      <c r="AF23" s="1"/>
      <c r="AG23" s="1"/>
      <c r="AH23" s="1"/>
      <c r="AI23" s="1"/>
      <c r="AJ23" s="1"/>
      <c r="AK23" s="17"/>
      <c r="AL23" s="17"/>
      <c r="AM23" s="1"/>
      <c r="AN23" s="1"/>
      <c r="AO23" s="1"/>
      <c r="AP23" s="1"/>
      <c r="AQ23" s="1"/>
      <c r="AR23" s="1"/>
      <c r="AS23" s="12"/>
      <c r="AT23" s="12"/>
      <c r="AU23" s="1"/>
      <c r="AV23" s="1"/>
      <c r="AW23" s="1"/>
      <c r="AX23" s="1"/>
      <c r="AY23" s="1"/>
      <c r="AZ23" s="1"/>
      <c r="BA23" s="19"/>
      <c r="BB23" s="19"/>
      <c r="BC23" s="9"/>
      <c r="BD23" s="9"/>
      <c r="BE23" s="9"/>
      <c r="BF23" s="9"/>
      <c r="BG23" s="9"/>
      <c r="BH23" s="9"/>
      <c r="BI23" s="12"/>
      <c r="BJ23" s="13"/>
      <c r="BK23" s="1"/>
      <c r="BL23" s="1"/>
      <c r="BM23" s="1"/>
      <c r="BN23" s="1"/>
      <c r="BO23" s="1"/>
      <c r="BP23" s="1"/>
      <c r="BQ23" s="19"/>
      <c r="BR23" s="17"/>
    </row>
    <row r="24" spans="23:70" x14ac:dyDescent="0.25">
      <c r="W24" s="8"/>
      <c r="X24" s="8"/>
      <c r="Y24" s="8"/>
      <c r="Z24" s="8"/>
      <c r="AA24" s="8"/>
      <c r="AB24" s="8"/>
      <c r="AC24" s="12"/>
      <c r="AD24" s="12"/>
      <c r="AE24" s="1"/>
      <c r="AF24" s="1"/>
      <c r="AG24" s="1"/>
      <c r="AH24" s="1"/>
      <c r="AI24" s="1"/>
      <c r="AJ24" s="1"/>
      <c r="AK24" s="17"/>
      <c r="AL24" s="17"/>
      <c r="AM24" s="1"/>
      <c r="AN24" s="1"/>
      <c r="AO24" s="1"/>
      <c r="AP24" s="1"/>
      <c r="AQ24" s="1"/>
      <c r="AR24" s="1"/>
      <c r="AS24" s="12"/>
      <c r="AT24" s="12"/>
      <c r="AU24" s="1"/>
      <c r="AV24" s="1"/>
      <c r="AW24" s="1"/>
      <c r="AX24" s="1"/>
      <c r="AY24" s="1"/>
      <c r="AZ24" s="1"/>
      <c r="BA24" s="19"/>
      <c r="BB24" s="19"/>
      <c r="BC24" s="9"/>
      <c r="BD24" s="9"/>
      <c r="BE24" s="9"/>
      <c r="BF24" s="9"/>
      <c r="BG24" s="9"/>
      <c r="BH24" s="9"/>
      <c r="BI24" s="12"/>
      <c r="BJ24" s="13"/>
      <c r="BK24" s="1"/>
      <c r="BL24" s="1"/>
      <c r="BM24" s="1"/>
      <c r="BN24" s="1"/>
      <c r="BO24" s="1"/>
      <c r="BP24" s="1"/>
      <c r="BQ24" s="19"/>
      <c r="BR24" s="17"/>
    </row>
    <row r="25" spans="23:70" x14ac:dyDescent="0.25">
      <c r="W25" s="8"/>
      <c r="X25" s="8"/>
      <c r="Y25" s="8"/>
      <c r="Z25" s="8"/>
      <c r="AA25" s="8"/>
      <c r="AB25" s="8"/>
      <c r="AC25" s="12"/>
      <c r="AD25" s="12"/>
      <c r="AE25" s="1"/>
      <c r="AF25" s="1"/>
      <c r="AG25" s="1"/>
      <c r="AH25" s="1"/>
      <c r="AI25" s="1"/>
      <c r="AJ25" s="1"/>
      <c r="AK25" s="17"/>
      <c r="AL25" s="17"/>
      <c r="AM25" s="1"/>
      <c r="AN25" s="1"/>
      <c r="AO25" s="1"/>
      <c r="AP25" s="1"/>
      <c r="AQ25" s="1"/>
      <c r="AR25" s="1"/>
      <c r="AS25" s="12"/>
      <c r="AT25" s="12"/>
      <c r="AU25" s="1"/>
      <c r="AV25" s="1"/>
      <c r="AW25" s="1"/>
      <c r="AX25" s="1"/>
      <c r="AY25" s="1"/>
      <c r="AZ25" s="1"/>
      <c r="BA25" s="19"/>
      <c r="BB25" s="19"/>
      <c r="BC25" s="9"/>
      <c r="BD25" s="9"/>
      <c r="BE25" s="9"/>
      <c r="BF25" s="9"/>
      <c r="BG25" s="9"/>
      <c r="BH25" s="9"/>
      <c r="BI25" s="12"/>
      <c r="BJ25" s="13"/>
      <c r="BK25" s="1"/>
      <c r="BL25" s="1"/>
      <c r="BM25" s="1"/>
      <c r="BN25" s="1"/>
      <c r="BO25" s="1"/>
      <c r="BP25" s="1"/>
      <c r="BQ25" s="19"/>
      <c r="BR25" s="17"/>
    </row>
    <row r="26" spans="23:70" x14ac:dyDescent="0.25">
      <c r="W26" s="8"/>
      <c r="X26" s="8"/>
      <c r="Y26" s="8"/>
      <c r="Z26" s="8"/>
      <c r="AA26" s="8"/>
      <c r="AB26" s="8"/>
      <c r="AC26" s="12"/>
      <c r="AD26" s="12"/>
      <c r="AE26" s="1"/>
      <c r="AF26" s="1"/>
      <c r="AG26" s="1"/>
      <c r="AH26" s="1"/>
      <c r="AI26" s="1"/>
      <c r="AJ26" s="1"/>
      <c r="AK26" s="17"/>
      <c r="AL26" s="17"/>
      <c r="AM26" s="1"/>
      <c r="AN26" s="1"/>
      <c r="AO26" s="1"/>
      <c r="AP26" s="1"/>
      <c r="AQ26" s="1"/>
      <c r="AR26" s="1"/>
      <c r="AS26" s="12"/>
      <c r="AT26" s="12"/>
      <c r="AU26" s="1"/>
      <c r="AV26" s="1"/>
      <c r="AW26" s="1"/>
      <c r="AX26" s="1"/>
      <c r="AY26" s="1"/>
      <c r="AZ26" s="1"/>
      <c r="BA26" s="19"/>
      <c r="BB26" s="19"/>
      <c r="BC26" s="9"/>
      <c r="BD26" s="9"/>
      <c r="BE26" s="9"/>
      <c r="BF26" s="9"/>
      <c r="BG26" s="9"/>
      <c r="BH26" s="9"/>
      <c r="BI26" s="12"/>
      <c r="BJ26" s="13"/>
      <c r="BK26" s="1"/>
      <c r="BL26" s="1"/>
      <c r="BM26" s="1"/>
      <c r="BN26" s="1"/>
      <c r="BO26" s="1"/>
      <c r="BP26" s="1"/>
      <c r="BQ26" s="19"/>
      <c r="BR26" s="17"/>
    </row>
    <row r="27" spans="23:70" x14ac:dyDescent="0.25">
      <c r="W27" s="8"/>
      <c r="X27" s="8"/>
      <c r="Y27" s="8"/>
      <c r="Z27" s="8"/>
      <c r="AA27" s="8"/>
      <c r="AB27" s="8"/>
      <c r="AC27" s="12"/>
      <c r="AD27" s="12"/>
      <c r="AE27" s="1"/>
      <c r="AF27" s="1"/>
      <c r="AG27" s="1"/>
      <c r="AH27" s="1"/>
      <c r="AI27" s="1"/>
      <c r="AJ27" s="1"/>
      <c r="AK27" s="17"/>
      <c r="AL27" s="17"/>
      <c r="AM27" s="1"/>
      <c r="AN27" s="1"/>
      <c r="AO27" s="1"/>
      <c r="AP27" s="1"/>
      <c r="AQ27" s="1"/>
      <c r="AR27" s="1"/>
      <c r="AS27" s="12"/>
      <c r="AT27" s="12"/>
      <c r="AU27" s="1"/>
      <c r="AV27" s="1"/>
      <c r="AW27" s="1"/>
      <c r="AX27" s="1"/>
      <c r="AY27" s="1"/>
      <c r="AZ27" s="1"/>
      <c r="BA27" s="19"/>
      <c r="BB27" s="19"/>
      <c r="BC27" s="9"/>
      <c r="BD27" s="9"/>
      <c r="BE27" s="9"/>
      <c r="BF27" s="9"/>
      <c r="BG27" s="9"/>
      <c r="BH27" s="9"/>
      <c r="BI27" s="12"/>
      <c r="BJ27" s="13"/>
      <c r="BK27" s="1"/>
      <c r="BL27" s="1"/>
      <c r="BM27" s="1"/>
      <c r="BN27" s="1"/>
      <c r="BO27" s="1"/>
      <c r="BP27" s="1"/>
      <c r="BQ27" s="19"/>
      <c r="BR27" s="17"/>
    </row>
    <row r="28" spans="23:70" x14ac:dyDescent="0.25">
      <c r="W28" s="8"/>
      <c r="X28" s="8"/>
      <c r="Y28" s="8"/>
      <c r="Z28" s="8"/>
      <c r="AA28" s="8"/>
      <c r="AB28" s="8"/>
      <c r="AC28" s="12"/>
      <c r="AD28" s="12"/>
      <c r="AE28" s="1"/>
      <c r="AF28" s="1"/>
      <c r="AG28" s="1"/>
      <c r="AH28" s="1"/>
      <c r="AI28" s="1"/>
      <c r="AJ28" s="1"/>
      <c r="AK28" s="17"/>
      <c r="AL28" s="17"/>
      <c r="AM28" s="1"/>
      <c r="AN28" s="1"/>
      <c r="AO28" s="1"/>
      <c r="AP28" s="1"/>
      <c r="AQ28" s="1"/>
      <c r="AR28" s="1"/>
      <c r="AS28" s="12"/>
      <c r="AT28" s="12"/>
      <c r="AU28" s="1"/>
      <c r="AV28" s="1"/>
      <c r="AW28" s="1"/>
      <c r="AX28" s="1"/>
      <c r="AY28" s="1"/>
      <c r="AZ28" s="1"/>
      <c r="BA28" s="19"/>
      <c r="BB28" s="19"/>
      <c r="BC28" s="9"/>
      <c r="BD28" s="9"/>
      <c r="BE28" s="9"/>
      <c r="BF28" s="9"/>
      <c r="BG28" s="9"/>
      <c r="BH28" s="9"/>
      <c r="BI28" s="12"/>
      <c r="BJ28" s="13"/>
      <c r="BK28" s="1"/>
      <c r="BL28" s="1"/>
      <c r="BM28" s="1"/>
      <c r="BN28" s="1"/>
      <c r="BO28" s="1"/>
      <c r="BP28" s="1"/>
      <c r="BQ28" s="19"/>
      <c r="BR28" s="17"/>
    </row>
    <row r="29" spans="23:70" x14ac:dyDescent="0.25">
      <c r="W29" s="8"/>
      <c r="X29" s="8"/>
      <c r="Y29" s="8"/>
      <c r="Z29" s="8"/>
      <c r="AA29" s="8"/>
      <c r="AB29" s="8"/>
      <c r="AC29" s="12"/>
      <c r="AD29" s="12"/>
      <c r="AE29" s="1"/>
      <c r="AF29" s="1"/>
      <c r="AG29" s="1"/>
      <c r="AH29" s="1"/>
      <c r="AI29" s="1"/>
      <c r="AJ29" s="1"/>
      <c r="AK29" s="17"/>
      <c r="AL29" s="17"/>
      <c r="AM29" s="1"/>
      <c r="AN29" s="1"/>
      <c r="AO29" s="1"/>
      <c r="AP29" s="1"/>
      <c r="AQ29" s="1"/>
      <c r="AR29" s="1"/>
      <c r="AS29" s="12"/>
      <c r="AT29" s="12"/>
      <c r="AU29" s="1"/>
      <c r="AV29" s="1"/>
      <c r="AW29" s="1"/>
      <c r="AX29" s="1"/>
      <c r="AY29" s="1"/>
      <c r="AZ29" s="1"/>
      <c r="BA29" s="19"/>
      <c r="BB29" s="19"/>
      <c r="BC29" s="9"/>
      <c r="BD29" s="9"/>
      <c r="BE29" s="9"/>
      <c r="BF29" s="9"/>
      <c r="BG29" s="9"/>
      <c r="BH29" s="9"/>
      <c r="BI29" s="12"/>
      <c r="BJ29" s="13"/>
      <c r="BK29" s="1"/>
      <c r="BL29" s="1"/>
      <c r="BM29" s="1"/>
      <c r="BN29" s="1"/>
      <c r="BO29" s="1"/>
      <c r="BP29" s="1"/>
      <c r="BQ29" s="19"/>
      <c r="BR29" s="17"/>
    </row>
    <row r="30" spans="23:70" x14ac:dyDescent="0.25">
      <c r="W30" s="8"/>
      <c r="X30" s="8"/>
      <c r="Y30" s="8"/>
      <c r="Z30" s="8"/>
      <c r="AA30" s="8"/>
      <c r="AB30" s="8"/>
      <c r="AC30" s="12"/>
      <c r="AD30" s="12"/>
      <c r="AE30" s="1"/>
      <c r="AF30" s="1"/>
      <c r="AG30" s="1"/>
      <c r="AH30" s="1"/>
      <c r="AI30" s="1"/>
      <c r="AJ30" s="1"/>
      <c r="AK30" s="17"/>
      <c r="AL30" s="17"/>
      <c r="AM30" s="1"/>
      <c r="AN30" s="1"/>
      <c r="AO30" s="1"/>
      <c r="AP30" s="1"/>
      <c r="AQ30" s="1"/>
      <c r="AR30" s="1"/>
      <c r="AS30" s="12"/>
      <c r="AT30" s="12"/>
      <c r="AU30" s="1"/>
      <c r="AV30" s="1"/>
      <c r="AW30" s="1"/>
      <c r="AX30" s="1"/>
      <c r="AY30" s="1"/>
      <c r="AZ30" s="1"/>
      <c r="BA30" s="19"/>
      <c r="BB30" s="19"/>
      <c r="BC30" s="9"/>
      <c r="BD30" s="9"/>
      <c r="BE30" s="9"/>
      <c r="BF30" s="9"/>
      <c r="BG30" s="9"/>
      <c r="BH30" s="9"/>
      <c r="BI30" s="12"/>
      <c r="BJ30" s="13"/>
      <c r="BK30" s="1"/>
      <c r="BL30" s="1"/>
      <c r="BM30" s="1"/>
      <c r="BN30" s="1"/>
      <c r="BO30" s="1"/>
      <c r="BP30" s="1"/>
      <c r="BQ30" s="19"/>
      <c r="BR30" s="17"/>
    </row>
    <row r="31" spans="23:70" x14ac:dyDescent="0.25">
      <c r="W31" s="8"/>
      <c r="X31" s="8"/>
      <c r="Y31" s="8"/>
      <c r="Z31" s="8"/>
      <c r="AA31" s="8"/>
      <c r="AB31" s="8"/>
      <c r="AC31" s="12"/>
      <c r="AD31" s="12"/>
      <c r="AE31" s="1"/>
      <c r="AF31" s="1"/>
      <c r="AG31" s="1"/>
      <c r="AH31" s="1"/>
      <c r="AI31" s="1"/>
      <c r="AJ31" s="1"/>
      <c r="AK31" s="17"/>
      <c r="AL31" s="17"/>
      <c r="AM31" s="1"/>
      <c r="AN31" s="1"/>
      <c r="AO31" s="1"/>
      <c r="AP31" s="1"/>
      <c r="AQ31" s="1"/>
      <c r="AR31" s="1"/>
      <c r="AS31" s="12"/>
      <c r="AT31" s="12"/>
      <c r="AU31" s="1"/>
      <c r="AV31" s="1"/>
      <c r="AW31" s="1"/>
      <c r="AX31" s="1"/>
      <c r="AY31" s="1"/>
      <c r="AZ31" s="1"/>
      <c r="BA31" s="19"/>
      <c r="BB31" s="19"/>
      <c r="BC31" s="9"/>
      <c r="BD31" s="9"/>
      <c r="BE31" s="9"/>
      <c r="BF31" s="9"/>
      <c r="BG31" s="9"/>
      <c r="BH31" s="9"/>
      <c r="BI31" s="12"/>
      <c r="BJ31" s="13"/>
      <c r="BK31" s="1"/>
      <c r="BL31" s="1"/>
      <c r="BM31" s="1"/>
      <c r="BN31" s="1"/>
      <c r="BO31" s="1"/>
      <c r="BP31" s="1"/>
      <c r="BQ31" s="19"/>
      <c r="BR31" s="17"/>
    </row>
    <row r="32" spans="23:70" x14ac:dyDescent="0.25">
      <c r="W32" s="8"/>
      <c r="X32" s="8"/>
      <c r="Y32" s="8"/>
      <c r="Z32" s="8"/>
      <c r="AA32" s="8"/>
      <c r="AB32" s="8"/>
      <c r="AC32" s="12"/>
      <c r="AD32" s="12"/>
      <c r="AE32" s="1"/>
      <c r="AF32" s="1"/>
      <c r="AG32" s="1"/>
      <c r="AH32" s="1"/>
      <c r="AI32" s="1"/>
      <c r="AJ32" s="1"/>
      <c r="AK32" s="17"/>
      <c r="AL32" s="17"/>
      <c r="AM32" s="1"/>
      <c r="AN32" s="1"/>
      <c r="AO32" s="1"/>
      <c r="AP32" s="1"/>
      <c r="AQ32" s="1"/>
      <c r="AR32" s="1"/>
      <c r="AS32" s="12"/>
      <c r="AT32" s="12"/>
      <c r="AU32" s="1"/>
      <c r="AV32" s="1"/>
      <c r="AW32" s="1"/>
      <c r="AX32" s="1"/>
      <c r="AY32" s="1"/>
      <c r="AZ32" s="1"/>
      <c r="BA32" s="19"/>
      <c r="BB32" s="19"/>
      <c r="BC32" s="9"/>
      <c r="BD32" s="9"/>
      <c r="BE32" s="9"/>
      <c r="BF32" s="9"/>
      <c r="BG32" s="9"/>
      <c r="BH32" s="9"/>
      <c r="BI32" s="12"/>
      <c r="BJ32" s="13"/>
      <c r="BK32" s="1"/>
      <c r="BL32" s="1"/>
      <c r="BM32" s="1"/>
      <c r="BN32" s="1"/>
      <c r="BO32" s="1"/>
      <c r="BP32" s="1"/>
      <c r="BQ32" s="19"/>
      <c r="BR32" s="17"/>
    </row>
    <row r="33" spans="23:70" x14ac:dyDescent="0.25">
      <c r="W33" s="8"/>
      <c r="X33" s="8"/>
      <c r="Y33" s="8"/>
      <c r="Z33" s="8"/>
      <c r="AA33" s="8"/>
      <c r="AB33" s="8"/>
      <c r="AC33" s="12"/>
      <c r="AD33" s="12"/>
      <c r="AE33" s="1"/>
      <c r="AF33" s="1"/>
      <c r="AG33" s="1"/>
      <c r="AH33" s="1"/>
      <c r="AI33" s="1"/>
      <c r="AJ33" s="1"/>
      <c r="AK33" s="17"/>
      <c r="AL33" s="17"/>
      <c r="AM33" s="1"/>
      <c r="AN33" s="1"/>
      <c r="AO33" s="1"/>
      <c r="AP33" s="1"/>
      <c r="AQ33" s="1"/>
      <c r="AR33" s="1"/>
      <c r="AS33" s="12"/>
      <c r="AT33" s="12"/>
      <c r="AU33" s="1"/>
      <c r="AV33" s="1"/>
      <c r="AW33" s="1"/>
      <c r="AX33" s="1"/>
      <c r="AY33" s="1"/>
      <c r="AZ33" s="1"/>
      <c r="BA33" s="19"/>
      <c r="BB33" s="19"/>
      <c r="BC33" s="9"/>
      <c r="BD33" s="9"/>
      <c r="BE33" s="9"/>
      <c r="BF33" s="9"/>
      <c r="BG33" s="9"/>
      <c r="BH33" s="9"/>
      <c r="BI33" s="12"/>
      <c r="BJ33" s="13"/>
      <c r="BK33" s="1"/>
      <c r="BL33" s="1"/>
      <c r="BM33" s="1"/>
      <c r="BN33" s="1"/>
      <c r="BO33" s="1"/>
      <c r="BP33" s="1"/>
      <c r="BQ33" s="19"/>
      <c r="BR33" s="17"/>
    </row>
    <row r="34" spans="23:70" x14ac:dyDescent="0.25">
      <c r="W34" s="8"/>
      <c r="X34" s="8"/>
      <c r="Y34" s="8"/>
      <c r="Z34" s="8"/>
      <c r="AA34" s="8"/>
      <c r="AB34" s="8"/>
      <c r="AC34" s="12"/>
      <c r="AD34" s="12"/>
      <c r="AE34" s="1"/>
      <c r="AF34" s="1"/>
      <c r="AG34" s="1"/>
      <c r="AH34" s="1"/>
      <c r="AI34" s="1"/>
      <c r="AJ34" s="1"/>
      <c r="AK34" s="17"/>
      <c r="AL34" s="17"/>
      <c r="AM34" s="1"/>
      <c r="AN34" s="1"/>
      <c r="AO34" s="1"/>
      <c r="AP34" s="1"/>
      <c r="AQ34" s="1"/>
      <c r="AR34" s="1"/>
      <c r="AS34" s="12"/>
      <c r="AT34" s="12"/>
      <c r="AU34" s="1"/>
      <c r="AV34" s="1"/>
      <c r="AW34" s="1"/>
      <c r="AX34" s="1"/>
      <c r="AY34" s="1"/>
      <c r="AZ34" s="1"/>
      <c r="BA34" s="19"/>
      <c r="BB34" s="19"/>
      <c r="BC34" s="9"/>
      <c r="BD34" s="9"/>
      <c r="BE34" s="9"/>
      <c r="BF34" s="9"/>
      <c r="BG34" s="9"/>
      <c r="BH34" s="9"/>
      <c r="BI34" s="12"/>
      <c r="BJ34" s="13"/>
      <c r="BK34" s="1"/>
      <c r="BL34" s="1"/>
      <c r="BM34" s="1"/>
      <c r="BN34" s="1"/>
      <c r="BO34" s="1"/>
      <c r="BP34" s="1"/>
      <c r="BQ34" s="19"/>
      <c r="BR34" s="17"/>
    </row>
    <row r="35" spans="23:70" x14ac:dyDescent="0.25">
      <c r="W35" s="8"/>
      <c r="X35" s="8"/>
      <c r="Y35" s="8"/>
      <c r="Z35" s="8"/>
      <c r="AA35" s="8"/>
      <c r="AB35" s="8"/>
      <c r="AC35" s="12"/>
      <c r="AD35" s="12"/>
      <c r="AE35" s="1"/>
      <c r="AF35" s="1"/>
      <c r="AG35" s="1"/>
      <c r="AH35" s="1"/>
      <c r="AI35" s="1"/>
      <c r="AJ35" s="1"/>
      <c r="AK35" s="17"/>
      <c r="AL35" s="17"/>
      <c r="AM35" s="1"/>
      <c r="AN35" s="1"/>
      <c r="AO35" s="1"/>
      <c r="AP35" s="1"/>
      <c r="AQ35" s="1"/>
      <c r="AR35" s="1"/>
      <c r="AS35" s="12"/>
      <c r="AT35" s="12"/>
      <c r="AU35" s="1"/>
      <c r="AV35" s="1"/>
      <c r="AW35" s="1"/>
      <c r="AX35" s="1"/>
      <c r="AY35" s="1"/>
      <c r="AZ35" s="1"/>
      <c r="BA35" s="19"/>
      <c r="BB35" s="19"/>
      <c r="BC35" s="9"/>
      <c r="BD35" s="9"/>
      <c r="BE35" s="9"/>
      <c r="BF35" s="9"/>
      <c r="BG35" s="9"/>
      <c r="BH35" s="9"/>
      <c r="BI35" s="12"/>
      <c r="BJ35" s="13"/>
      <c r="BK35" s="1"/>
      <c r="BL35" s="1"/>
      <c r="BM35" s="1"/>
      <c r="BN35" s="1"/>
      <c r="BO35" s="1"/>
      <c r="BP35" s="1"/>
      <c r="BQ35" s="19"/>
      <c r="BR35" s="17"/>
    </row>
    <row r="36" spans="23:70" x14ac:dyDescent="0.25">
      <c r="W36" s="8"/>
      <c r="X36" s="8"/>
      <c r="Y36" s="8"/>
      <c r="Z36" s="8"/>
      <c r="AA36" s="8"/>
      <c r="AB36" s="8"/>
      <c r="AC36" s="12"/>
      <c r="AD36" s="12"/>
      <c r="AE36" s="1"/>
      <c r="AF36" s="1"/>
      <c r="AG36" s="1"/>
      <c r="AH36" s="1"/>
      <c r="AI36" s="1"/>
      <c r="AJ36" s="1"/>
      <c r="AK36" s="17"/>
      <c r="AL36" s="17"/>
      <c r="AM36" s="1"/>
      <c r="AN36" s="1"/>
      <c r="AO36" s="1"/>
      <c r="AP36" s="1"/>
      <c r="AQ36" s="1"/>
      <c r="AR36" s="1"/>
      <c r="AS36" s="12"/>
      <c r="AT36" s="12"/>
      <c r="AU36" s="1"/>
      <c r="AV36" s="1"/>
      <c r="AW36" s="1"/>
      <c r="AX36" s="1"/>
      <c r="AY36" s="1"/>
      <c r="AZ36" s="1"/>
      <c r="BA36" s="19"/>
      <c r="BB36" s="19"/>
      <c r="BC36" s="9"/>
      <c r="BD36" s="9"/>
      <c r="BE36" s="9"/>
      <c r="BF36" s="9"/>
      <c r="BG36" s="9"/>
      <c r="BH36" s="9"/>
      <c r="BI36" s="12"/>
      <c r="BJ36" s="13"/>
      <c r="BK36" s="1"/>
      <c r="BL36" s="1"/>
      <c r="BM36" s="1"/>
      <c r="BN36" s="1"/>
      <c r="BO36" s="1"/>
      <c r="BP36" s="1"/>
      <c r="BQ36" s="19"/>
      <c r="BR36" s="17"/>
    </row>
    <row r="37" spans="23:70" x14ac:dyDescent="0.25">
      <c r="W37" s="8"/>
      <c r="X37" s="8"/>
      <c r="Y37" s="8"/>
      <c r="Z37" s="8"/>
      <c r="AA37" s="8"/>
      <c r="AB37" s="8"/>
      <c r="AC37" s="12"/>
      <c r="AD37" s="12"/>
      <c r="AE37" s="1"/>
      <c r="AF37" s="1"/>
      <c r="AG37" s="1"/>
      <c r="AH37" s="1"/>
      <c r="AI37" s="1"/>
      <c r="AJ37" s="1"/>
      <c r="AK37" s="17"/>
      <c r="AL37" s="17"/>
      <c r="AM37" s="1"/>
      <c r="AN37" s="1"/>
      <c r="AO37" s="1"/>
      <c r="AP37" s="1"/>
      <c r="AQ37" s="1"/>
      <c r="AR37" s="1"/>
      <c r="AS37" s="12"/>
      <c r="AT37" s="12"/>
      <c r="AU37" s="1"/>
      <c r="AV37" s="1"/>
      <c r="AW37" s="1"/>
      <c r="AX37" s="1"/>
      <c r="AY37" s="1"/>
      <c r="AZ37" s="1"/>
      <c r="BA37" s="19"/>
      <c r="BB37" s="19"/>
      <c r="BC37" s="9"/>
      <c r="BD37" s="9"/>
      <c r="BE37" s="9"/>
      <c r="BF37" s="9"/>
      <c r="BG37" s="9"/>
      <c r="BH37" s="9"/>
      <c r="BI37" s="12"/>
      <c r="BJ37" s="13"/>
      <c r="BK37" s="1"/>
      <c r="BL37" s="1"/>
      <c r="BM37" s="1"/>
      <c r="BN37" s="1"/>
      <c r="BO37" s="1"/>
      <c r="BP37" s="1"/>
      <c r="BQ37" s="19"/>
      <c r="BR37" s="17"/>
    </row>
    <row r="38" spans="23:70" x14ac:dyDescent="0.25">
      <c r="W38" s="8"/>
      <c r="X38" s="8"/>
      <c r="Y38" s="8"/>
      <c r="Z38" s="8"/>
      <c r="AA38" s="8"/>
      <c r="AB38" s="8"/>
      <c r="AC38" s="12"/>
      <c r="AD38" s="12"/>
      <c r="AE38" s="1"/>
      <c r="AF38" s="1"/>
      <c r="AG38" s="1"/>
      <c r="AH38" s="1"/>
      <c r="AI38" s="1"/>
      <c r="AJ38" s="1"/>
      <c r="AK38" s="17"/>
      <c r="AL38" s="17"/>
      <c r="AM38" s="1"/>
      <c r="AN38" s="1"/>
      <c r="AO38" s="1"/>
      <c r="AP38" s="1"/>
      <c r="AQ38" s="1"/>
      <c r="AR38" s="1"/>
      <c r="AS38" s="12"/>
      <c r="AT38" s="12"/>
      <c r="AU38" s="1"/>
      <c r="AV38" s="1"/>
      <c r="AW38" s="1"/>
      <c r="AX38" s="1"/>
      <c r="AY38" s="1"/>
      <c r="AZ38" s="1"/>
      <c r="BA38" s="19"/>
      <c r="BB38" s="19"/>
      <c r="BC38" s="9"/>
      <c r="BD38" s="9"/>
      <c r="BE38" s="9"/>
      <c r="BF38" s="9"/>
      <c r="BG38" s="9"/>
      <c r="BH38" s="9"/>
      <c r="BI38" s="12"/>
      <c r="BJ38" s="13"/>
      <c r="BK38" s="1"/>
      <c r="BL38" s="1"/>
      <c r="BM38" s="1"/>
      <c r="BN38" s="1"/>
      <c r="BO38" s="1"/>
      <c r="BP38" s="1"/>
      <c r="BQ38" s="19"/>
      <c r="BR38" s="17"/>
    </row>
    <row r="39" spans="23:70" x14ac:dyDescent="0.25">
      <c r="W39" s="8"/>
      <c r="X39" s="8"/>
      <c r="Y39" s="8"/>
      <c r="Z39" s="8"/>
      <c r="AA39" s="8"/>
      <c r="AB39" s="8"/>
      <c r="AC39" s="12"/>
      <c r="AD39" s="12"/>
      <c r="AE39" s="1"/>
      <c r="AF39" s="1"/>
      <c r="AG39" s="1"/>
      <c r="AH39" s="1"/>
      <c r="AI39" s="1"/>
      <c r="AJ39" s="1"/>
      <c r="AK39" s="17"/>
      <c r="AL39" s="17"/>
      <c r="AM39" s="1"/>
      <c r="AN39" s="1"/>
      <c r="AO39" s="1"/>
      <c r="AP39" s="1"/>
      <c r="AQ39" s="1"/>
      <c r="AR39" s="1"/>
      <c r="AS39" s="12"/>
      <c r="AT39" s="12"/>
      <c r="AU39" s="1"/>
      <c r="AV39" s="1"/>
      <c r="AW39" s="1"/>
      <c r="AX39" s="1"/>
      <c r="AY39" s="1"/>
      <c r="AZ39" s="1"/>
      <c r="BA39" s="19"/>
      <c r="BB39" s="19"/>
      <c r="BC39" s="9"/>
      <c r="BD39" s="9"/>
      <c r="BE39" s="9"/>
      <c r="BF39" s="9"/>
      <c r="BG39" s="9"/>
      <c r="BH39" s="9"/>
      <c r="BI39" s="12"/>
      <c r="BJ39" s="13"/>
      <c r="BK39" s="1"/>
      <c r="BL39" s="1"/>
      <c r="BM39" s="1"/>
      <c r="BN39" s="1"/>
      <c r="BO39" s="1"/>
      <c r="BP39" s="1"/>
      <c r="BQ39" s="19"/>
      <c r="BR39" s="17"/>
    </row>
    <row r="40" spans="23:70" x14ac:dyDescent="0.25">
      <c r="W40" s="8"/>
      <c r="X40" s="8"/>
      <c r="Y40" s="8"/>
      <c r="Z40" s="8"/>
      <c r="AA40" s="8"/>
      <c r="AB40" s="8"/>
      <c r="AC40" s="12"/>
      <c r="AD40" s="12"/>
      <c r="AE40" s="1"/>
      <c r="AF40" s="1"/>
      <c r="AG40" s="1"/>
      <c r="AH40" s="1"/>
      <c r="AI40" s="1"/>
      <c r="AJ40" s="1"/>
      <c r="AK40" s="17"/>
      <c r="AL40" s="17"/>
      <c r="AM40" s="1"/>
      <c r="AN40" s="1"/>
      <c r="AO40" s="1"/>
      <c r="AP40" s="1"/>
      <c r="AQ40" s="1"/>
      <c r="AR40" s="1"/>
      <c r="AS40" s="12"/>
      <c r="AT40" s="12"/>
      <c r="AU40" s="1"/>
      <c r="AV40" s="1"/>
      <c r="AW40" s="1"/>
      <c r="AX40" s="1"/>
      <c r="AY40" s="1"/>
      <c r="AZ40" s="1"/>
      <c r="BA40" s="19"/>
      <c r="BB40" s="19"/>
      <c r="BC40" s="9"/>
      <c r="BD40" s="9"/>
      <c r="BE40" s="9"/>
      <c r="BF40" s="9"/>
      <c r="BG40" s="9"/>
      <c r="BH40" s="9"/>
      <c r="BI40" s="12"/>
      <c r="BJ40" s="13"/>
      <c r="BK40" s="1"/>
      <c r="BL40" s="1"/>
      <c r="BM40" s="1"/>
      <c r="BN40" s="1"/>
      <c r="BO40" s="1"/>
      <c r="BP40" s="1"/>
      <c r="BQ40" s="19"/>
      <c r="BR40" s="17"/>
    </row>
    <row r="41" spans="23:70" x14ac:dyDescent="0.25">
      <c r="W41" s="8"/>
      <c r="X41" s="8"/>
      <c r="Y41" s="8"/>
      <c r="Z41" s="8"/>
      <c r="AA41" s="8"/>
      <c r="AB41" s="8"/>
      <c r="AC41" s="12"/>
      <c r="AD41" s="12"/>
      <c r="AE41" s="1"/>
      <c r="AF41" s="1"/>
      <c r="AG41" s="1"/>
      <c r="AH41" s="1"/>
      <c r="AI41" s="1"/>
      <c r="AJ41" s="1"/>
      <c r="AK41" s="17"/>
      <c r="AL41" s="17"/>
      <c r="AM41" s="1"/>
      <c r="AN41" s="1"/>
      <c r="AO41" s="1"/>
      <c r="AP41" s="1"/>
      <c r="AQ41" s="1"/>
      <c r="AR41" s="1"/>
      <c r="AS41" s="12"/>
      <c r="AT41" s="12"/>
      <c r="AU41" s="1"/>
      <c r="AV41" s="1"/>
      <c r="AW41" s="1"/>
      <c r="AX41" s="1"/>
      <c r="AY41" s="1"/>
      <c r="AZ41" s="1"/>
      <c r="BA41" s="19"/>
      <c r="BB41" s="19"/>
      <c r="BC41" s="9"/>
      <c r="BD41" s="9"/>
      <c r="BE41" s="9"/>
      <c r="BF41" s="9"/>
      <c r="BG41" s="9"/>
      <c r="BH41" s="9"/>
      <c r="BI41" s="12"/>
      <c r="BJ41" s="13"/>
      <c r="BK41" s="1"/>
      <c r="BL41" s="1"/>
      <c r="BM41" s="1"/>
      <c r="BN41" s="1"/>
      <c r="BO41" s="1"/>
      <c r="BP41" s="1"/>
      <c r="BQ41" s="19"/>
      <c r="BR41" s="17"/>
    </row>
    <row r="42" spans="23:70" x14ac:dyDescent="0.25">
      <c r="W42" s="8"/>
      <c r="X42" s="8"/>
      <c r="Y42" s="8"/>
      <c r="Z42" s="8"/>
      <c r="AA42" s="8"/>
      <c r="AB42" s="8"/>
      <c r="AC42" s="12"/>
      <c r="AD42" s="12"/>
      <c r="AE42" s="1"/>
      <c r="AF42" s="1"/>
      <c r="AG42" s="1"/>
      <c r="AH42" s="1"/>
      <c r="AI42" s="1"/>
      <c r="AJ42" s="1"/>
      <c r="AK42" s="17"/>
      <c r="AL42" s="17"/>
      <c r="AM42" s="1"/>
      <c r="AN42" s="1"/>
      <c r="AO42" s="1"/>
      <c r="AP42" s="1"/>
      <c r="AQ42" s="1"/>
      <c r="AR42" s="1"/>
      <c r="AS42" s="12"/>
      <c r="AT42" s="12"/>
      <c r="AU42" s="1"/>
      <c r="AV42" s="1"/>
      <c r="AW42" s="1"/>
      <c r="AX42" s="1"/>
      <c r="AY42" s="1"/>
      <c r="AZ42" s="1"/>
      <c r="BA42" s="19"/>
      <c r="BB42" s="19"/>
      <c r="BC42" s="9"/>
      <c r="BD42" s="9"/>
      <c r="BE42" s="9"/>
      <c r="BF42" s="9"/>
      <c r="BG42" s="9"/>
      <c r="BH42" s="9"/>
      <c r="BI42" s="12"/>
      <c r="BJ42" s="13"/>
      <c r="BK42" s="1"/>
      <c r="BL42" s="1"/>
      <c r="BM42" s="1"/>
      <c r="BN42" s="1"/>
      <c r="BO42" s="1"/>
      <c r="BP42" s="1"/>
      <c r="BQ42" s="19"/>
      <c r="BR42" s="17"/>
    </row>
    <row r="43" spans="23:70" x14ac:dyDescent="0.25">
      <c r="W43" s="8"/>
      <c r="X43" s="8"/>
      <c r="Y43" s="8"/>
      <c r="Z43" s="8"/>
      <c r="AA43" s="8"/>
      <c r="AB43" s="8"/>
      <c r="AC43" s="12"/>
      <c r="AD43" s="12"/>
      <c r="AE43" s="1"/>
      <c r="AF43" s="1"/>
      <c r="AG43" s="1"/>
      <c r="AH43" s="1"/>
      <c r="AI43" s="1"/>
      <c r="AJ43" s="1"/>
      <c r="AK43" s="17"/>
      <c r="AL43" s="17"/>
      <c r="AM43" s="1"/>
      <c r="AN43" s="1"/>
      <c r="AO43" s="1"/>
      <c r="AP43" s="1"/>
      <c r="AQ43" s="1"/>
      <c r="AR43" s="1"/>
      <c r="AS43" s="12"/>
      <c r="AT43" s="12"/>
      <c r="AU43" s="1"/>
      <c r="AV43" s="1"/>
      <c r="AW43" s="1"/>
      <c r="AX43" s="1"/>
      <c r="AY43" s="1"/>
      <c r="AZ43" s="1"/>
      <c r="BA43" s="19"/>
      <c r="BB43" s="19"/>
      <c r="BC43" s="9"/>
      <c r="BD43" s="9"/>
      <c r="BE43" s="9"/>
      <c r="BF43" s="9"/>
      <c r="BG43" s="9"/>
      <c r="BH43" s="9"/>
      <c r="BI43" s="12"/>
      <c r="BJ43" s="13"/>
      <c r="BK43" s="1"/>
      <c r="BL43" s="1"/>
      <c r="BM43" s="1"/>
      <c r="BN43" s="1"/>
      <c r="BO43" s="1"/>
      <c r="BP43" s="1"/>
      <c r="BQ43" s="19"/>
      <c r="BR43" s="17"/>
    </row>
    <row r="44" spans="23:70" x14ac:dyDescent="0.25">
      <c r="W44" s="8"/>
      <c r="X44" s="8"/>
      <c r="Y44" s="8"/>
      <c r="Z44" s="8"/>
      <c r="AA44" s="8"/>
      <c r="AB44" s="8"/>
      <c r="AC44" s="12"/>
      <c r="AD44" s="12"/>
      <c r="AE44" s="1"/>
      <c r="AF44" s="1"/>
      <c r="AG44" s="1"/>
      <c r="AH44" s="1"/>
      <c r="AI44" s="1"/>
      <c r="AJ44" s="1"/>
      <c r="AK44" s="17"/>
      <c r="AL44" s="17"/>
      <c r="AM44" s="1"/>
      <c r="AN44" s="1"/>
      <c r="AO44" s="1"/>
      <c r="AP44" s="1"/>
      <c r="AQ44" s="1"/>
      <c r="AR44" s="1"/>
      <c r="AS44" s="12"/>
      <c r="AT44" s="12"/>
      <c r="AU44" s="1"/>
      <c r="AV44" s="1"/>
      <c r="AW44" s="1"/>
      <c r="AX44" s="1"/>
      <c r="AY44" s="1"/>
      <c r="AZ44" s="1"/>
      <c r="BA44" s="19"/>
      <c r="BB44" s="19"/>
      <c r="BC44" s="9"/>
      <c r="BD44" s="9"/>
      <c r="BE44" s="9"/>
      <c r="BF44" s="9"/>
      <c r="BG44" s="9"/>
      <c r="BH44" s="9"/>
      <c r="BI44" s="12"/>
      <c r="BJ44" s="13"/>
      <c r="BK44" s="1"/>
      <c r="BL44" s="1"/>
      <c r="BM44" s="1"/>
      <c r="BN44" s="1"/>
      <c r="BO44" s="1"/>
      <c r="BP44" s="1"/>
      <c r="BQ44" s="19"/>
      <c r="BR44" s="17"/>
    </row>
    <row r="45" spans="23:70" x14ac:dyDescent="0.25">
      <c r="W45" s="8"/>
      <c r="X45" s="8"/>
      <c r="Y45" s="8"/>
      <c r="Z45" s="8"/>
      <c r="AA45" s="8"/>
      <c r="AB45" s="8"/>
      <c r="AC45" s="12"/>
      <c r="AD45" s="12"/>
      <c r="AE45" s="1"/>
      <c r="AF45" s="1"/>
      <c r="AG45" s="1"/>
      <c r="AH45" s="1"/>
      <c r="AI45" s="1"/>
      <c r="AJ45" s="1"/>
      <c r="AK45" s="17"/>
      <c r="AL45" s="17"/>
      <c r="AM45" s="1"/>
      <c r="AN45" s="1"/>
      <c r="AO45" s="1"/>
      <c r="AP45" s="1"/>
      <c r="AQ45" s="1"/>
      <c r="AR45" s="1"/>
      <c r="AS45" s="12"/>
      <c r="AT45" s="12"/>
      <c r="AU45" s="1"/>
      <c r="AV45" s="1"/>
      <c r="AW45" s="1"/>
      <c r="AX45" s="1"/>
      <c r="AY45" s="1"/>
      <c r="AZ45" s="1"/>
      <c r="BA45" s="19"/>
      <c r="BB45" s="19"/>
      <c r="BC45" s="9"/>
      <c r="BD45" s="9"/>
      <c r="BE45" s="9"/>
      <c r="BF45" s="9"/>
      <c r="BG45" s="9"/>
      <c r="BH45" s="9"/>
      <c r="BI45" s="12"/>
      <c r="BJ45" s="13"/>
      <c r="BK45" s="1"/>
      <c r="BL45" s="1"/>
      <c r="BM45" s="1"/>
      <c r="BN45" s="1"/>
      <c r="BO45" s="1"/>
      <c r="BP45" s="1"/>
      <c r="BQ45" s="19"/>
      <c r="BR45" s="17"/>
    </row>
    <row r="46" spans="23:70" x14ac:dyDescent="0.25">
      <c r="W46" s="8"/>
      <c r="X46" s="8"/>
      <c r="Y46" s="8"/>
      <c r="Z46" s="8"/>
      <c r="AA46" s="8"/>
      <c r="AB46" s="8"/>
      <c r="AC46" s="12"/>
      <c r="AD46" s="12"/>
      <c r="AE46" s="1"/>
      <c r="AF46" s="1"/>
      <c r="AG46" s="1"/>
      <c r="AH46" s="1"/>
      <c r="AI46" s="1"/>
      <c r="AJ46" s="1"/>
      <c r="AK46" s="17"/>
      <c r="AL46" s="17"/>
      <c r="AM46" s="1"/>
      <c r="AN46" s="1"/>
      <c r="AO46" s="1"/>
      <c r="AP46" s="1"/>
      <c r="AQ46" s="1"/>
      <c r="AR46" s="1"/>
      <c r="AS46" s="12"/>
      <c r="AT46" s="12"/>
      <c r="AU46" s="1"/>
      <c r="AV46" s="1"/>
      <c r="AW46" s="1"/>
      <c r="AX46" s="1"/>
      <c r="AY46" s="1"/>
      <c r="AZ46" s="1"/>
      <c r="BA46" s="19"/>
      <c r="BB46" s="19"/>
      <c r="BC46" s="9"/>
      <c r="BD46" s="9"/>
      <c r="BE46" s="9"/>
      <c r="BF46" s="9"/>
      <c r="BG46" s="9"/>
      <c r="BH46" s="9"/>
      <c r="BI46" s="12"/>
      <c r="BJ46" s="13"/>
      <c r="BK46" s="1"/>
      <c r="BL46" s="1"/>
      <c r="BM46" s="1"/>
      <c r="BN46" s="1"/>
      <c r="BO46" s="1"/>
      <c r="BP46" s="1"/>
      <c r="BQ46" s="19"/>
      <c r="BR46" s="17"/>
    </row>
    <row r="47" spans="23:70" x14ac:dyDescent="0.25">
      <c r="W47" s="8"/>
      <c r="X47" s="8"/>
      <c r="Y47" s="8"/>
      <c r="Z47" s="8"/>
      <c r="AA47" s="8"/>
      <c r="AB47" s="8"/>
      <c r="AC47" s="12"/>
      <c r="AD47" s="12"/>
      <c r="AE47" s="1"/>
      <c r="AF47" s="1"/>
      <c r="AG47" s="1"/>
      <c r="AH47" s="1"/>
      <c r="AI47" s="1"/>
      <c r="AJ47" s="1"/>
      <c r="AK47" s="17"/>
      <c r="AL47" s="17"/>
      <c r="AM47" s="1"/>
      <c r="AN47" s="1"/>
      <c r="AO47" s="1"/>
      <c r="AP47" s="1"/>
      <c r="AQ47" s="1"/>
      <c r="AR47" s="1"/>
      <c r="AS47" s="12"/>
      <c r="AT47" s="12"/>
      <c r="AU47" s="1"/>
      <c r="AV47" s="1"/>
      <c r="AW47" s="1"/>
      <c r="AX47" s="1"/>
      <c r="AY47" s="1"/>
      <c r="AZ47" s="1"/>
      <c r="BA47" s="19"/>
      <c r="BB47" s="19"/>
      <c r="BC47" s="9"/>
      <c r="BD47" s="9"/>
      <c r="BE47" s="9"/>
      <c r="BF47" s="9"/>
      <c r="BG47" s="9"/>
      <c r="BH47" s="9"/>
      <c r="BI47" s="12"/>
      <c r="BJ47" s="13"/>
      <c r="BK47" s="1"/>
      <c r="BL47" s="1"/>
      <c r="BM47" s="1"/>
      <c r="BN47" s="1"/>
      <c r="BO47" s="1"/>
      <c r="BP47" s="1"/>
      <c r="BQ47" s="19"/>
      <c r="BR47" s="17"/>
    </row>
    <row r="48" spans="23:70" x14ac:dyDescent="0.25">
      <c r="W48" s="8"/>
      <c r="X48" s="8"/>
      <c r="Y48" s="8"/>
      <c r="Z48" s="8"/>
      <c r="AA48" s="8"/>
      <c r="AB48" s="8"/>
      <c r="AC48" s="12"/>
      <c r="AD48" s="12"/>
      <c r="AE48" s="1"/>
      <c r="AF48" s="1"/>
      <c r="AG48" s="1"/>
      <c r="AH48" s="1"/>
      <c r="AI48" s="1"/>
      <c r="AJ48" s="1"/>
      <c r="AK48" s="17"/>
      <c r="AL48" s="17"/>
      <c r="AM48" s="1"/>
      <c r="AN48" s="1"/>
      <c r="AO48" s="1"/>
      <c r="AP48" s="1"/>
      <c r="AQ48" s="1"/>
      <c r="AR48" s="1"/>
      <c r="AS48" s="12"/>
      <c r="AT48" s="12"/>
      <c r="AU48" s="1"/>
      <c r="AV48" s="1"/>
      <c r="AW48" s="1"/>
      <c r="AX48" s="1"/>
      <c r="AY48" s="1"/>
      <c r="AZ48" s="1"/>
      <c r="BA48" s="19"/>
      <c r="BB48" s="19"/>
      <c r="BC48" s="9"/>
      <c r="BD48" s="9"/>
      <c r="BE48" s="9"/>
      <c r="BF48" s="9"/>
      <c r="BG48" s="9"/>
      <c r="BH48" s="9"/>
      <c r="BI48" s="12"/>
      <c r="BJ48" s="13"/>
      <c r="BK48" s="1"/>
      <c r="BL48" s="1"/>
      <c r="BM48" s="1"/>
      <c r="BN48" s="1"/>
      <c r="BO48" s="1"/>
      <c r="BP48" s="1"/>
      <c r="BQ48" s="19"/>
      <c r="BR48" s="17"/>
    </row>
    <row r="49" spans="23:70" x14ac:dyDescent="0.25">
      <c r="W49" s="8"/>
      <c r="X49" s="8"/>
      <c r="Y49" s="8"/>
      <c r="Z49" s="8"/>
      <c r="AA49" s="8"/>
      <c r="AB49" s="8"/>
      <c r="AC49" s="12"/>
      <c r="AD49" s="12"/>
      <c r="AE49" s="1"/>
      <c r="AF49" s="1"/>
      <c r="AG49" s="1"/>
      <c r="AH49" s="1"/>
      <c r="AI49" s="1"/>
      <c r="AJ49" s="1"/>
      <c r="AK49" s="17"/>
      <c r="AL49" s="17"/>
      <c r="AM49" s="1"/>
      <c r="AN49" s="1"/>
      <c r="AO49" s="1"/>
      <c r="AP49" s="1"/>
      <c r="AQ49" s="1"/>
      <c r="AR49" s="1"/>
      <c r="AS49" s="12"/>
      <c r="AT49" s="12"/>
      <c r="AU49" s="1"/>
      <c r="AV49" s="1"/>
      <c r="AW49" s="1"/>
      <c r="AX49" s="1"/>
      <c r="AY49" s="1"/>
      <c r="AZ49" s="1"/>
      <c r="BA49" s="19"/>
      <c r="BB49" s="19"/>
      <c r="BC49" s="9"/>
      <c r="BD49" s="9"/>
      <c r="BE49" s="9"/>
      <c r="BF49" s="9"/>
      <c r="BG49" s="9"/>
      <c r="BH49" s="9"/>
      <c r="BI49" s="12"/>
      <c r="BJ49" s="13"/>
      <c r="BK49" s="1"/>
      <c r="BL49" s="1"/>
      <c r="BM49" s="1"/>
      <c r="BN49" s="1"/>
      <c r="BO49" s="1"/>
      <c r="BP49" s="1"/>
      <c r="BQ49" s="19"/>
      <c r="BR49" s="17"/>
    </row>
    <row r="50" spans="23:70" x14ac:dyDescent="0.25">
      <c r="W50" s="8"/>
      <c r="X50" s="8"/>
      <c r="Y50" s="8"/>
      <c r="Z50" s="8"/>
      <c r="AA50" s="8"/>
      <c r="AB50" s="8"/>
      <c r="AC50" s="12"/>
      <c r="AD50" s="12"/>
      <c r="AE50" s="1"/>
      <c r="AF50" s="1"/>
      <c r="AG50" s="1"/>
      <c r="AH50" s="1"/>
      <c r="AI50" s="1"/>
      <c r="AJ50" s="1"/>
      <c r="AK50" s="17"/>
      <c r="AL50" s="17"/>
      <c r="AM50" s="1"/>
      <c r="AN50" s="1"/>
      <c r="AO50" s="1"/>
      <c r="AP50" s="1"/>
      <c r="AQ50" s="1"/>
      <c r="AR50" s="1"/>
      <c r="AS50" s="12"/>
      <c r="AT50" s="12"/>
      <c r="AU50" s="1"/>
      <c r="AV50" s="1"/>
      <c r="AW50" s="1"/>
      <c r="AX50" s="1"/>
      <c r="AY50" s="1"/>
      <c r="AZ50" s="1"/>
      <c r="BA50" s="19"/>
      <c r="BB50" s="19"/>
      <c r="BC50" s="9"/>
      <c r="BD50" s="9"/>
      <c r="BE50" s="9"/>
      <c r="BF50" s="9"/>
      <c r="BG50" s="9"/>
      <c r="BH50" s="9"/>
      <c r="BI50" s="12"/>
      <c r="BJ50" s="13"/>
      <c r="BK50" s="1"/>
      <c r="BL50" s="1"/>
      <c r="BM50" s="1"/>
      <c r="BN50" s="1"/>
      <c r="BO50" s="1"/>
      <c r="BP50" s="1"/>
      <c r="BQ50" s="19"/>
      <c r="BR50" s="17"/>
    </row>
    <row r="51" spans="23:70" x14ac:dyDescent="0.25">
      <c r="W51" s="8"/>
      <c r="X51" s="8"/>
      <c r="Y51" s="8"/>
      <c r="Z51" s="8"/>
      <c r="AA51" s="8"/>
      <c r="AB51" s="8"/>
      <c r="AC51" s="12"/>
      <c r="AD51" s="12"/>
      <c r="AE51" s="1"/>
      <c r="AF51" s="1"/>
      <c r="AG51" s="1"/>
      <c r="AH51" s="1"/>
      <c r="AI51" s="1"/>
      <c r="AJ51" s="1"/>
      <c r="AK51" s="17"/>
      <c r="AL51" s="17"/>
      <c r="AM51" s="1"/>
      <c r="AN51" s="1"/>
      <c r="AO51" s="1"/>
      <c r="AP51" s="1"/>
      <c r="AQ51" s="1"/>
      <c r="AR51" s="1"/>
      <c r="AS51" s="12"/>
      <c r="AT51" s="12"/>
      <c r="AU51" s="1"/>
      <c r="AV51" s="1"/>
      <c r="AW51" s="1"/>
      <c r="AX51" s="1"/>
      <c r="AY51" s="1"/>
      <c r="AZ51" s="1"/>
      <c r="BA51" s="19"/>
      <c r="BB51" s="19"/>
      <c r="BC51" s="9"/>
      <c r="BD51" s="9"/>
      <c r="BE51" s="9"/>
      <c r="BF51" s="9"/>
      <c r="BG51" s="9"/>
      <c r="BH51" s="9"/>
      <c r="BI51" s="12"/>
      <c r="BJ51" s="13"/>
      <c r="BK51" s="1"/>
      <c r="BL51" s="1"/>
      <c r="BM51" s="1"/>
      <c r="BN51" s="1"/>
      <c r="BO51" s="1"/>
      <c r="BP51" s="1"/>
      <c r="BQ51" s="19"/>
      <c r="BR51" s="17"/>
    </row>
    <row r="52" spans="23:70" x14ac:dyDescent="0.25">
      <c r="W52" s="8"/>
      <c r="X52" s="8"/>
      <c r="Y52" s="8"/>
      <c r="Z52" s="8"/>
      <c r="AA52" s="8"/>
      <c r="AB52" s="8"/>
      <c r="AC52" s="12"/>
      <c r="AD52" s="12"/>
      <c r="AE52" s="1"/>
      <c r="AF52" s="1"/>
      <c r="AG52" s="1"/>
      <c r="AH52" s="1"/>
      <c r="AI52" s="1"/>
      <c r="AJ52" s="1"/>
      <c r="AK52" s="17"/>
      <c r="AL52" s="17"/>
      <c r="AM52" s="1"/>
      <c r="AN52" s="1"/>
      <c r="AO52" s="1"/>
      <c r="AP52" s="1"/>
      <c r="AQ52" s="1"/>
      <c r="AR52" s="1"/>
      <c r="AS52" s="12"/>
      <c r="AT52" s="12"/>
      <c r="AU52" s="1"/>
      <c r="AV52" s="1"/>
      <c r="AW52" s="1"/>
      <c r="AX52" s="1"/>
      <c r="AY52" s="1"/>
      <c r="AZ52" s="1"/>
      <c r="BA52" s="19"/>
      <c r="BB52" s="19"/>
      <c r="BC52" s="9"/>
      <c r="BD52" s="9"/>
      <c r="BE52" s="9"/>
      <c r="BF52" s="9"/>
      <c r="BG52" s="9"/>
      <c r="BH52" s="9"/>
      <c r="BI52" s="12"/>
      <c r="BJ52" s="13"/>
      <c r="BK52" s="1"/>
      <c r="BL52" s="1"/>
      <c r="BM52" s="1"/>
      <c r="BN52" s="1"/>
      <c r="BO52" s="1"/>
      <c r="BP52" s="1"/>
      <c r="BQ52" s="19"/>
      <c r="BR52" s="17"/>
    </row>
    <row r="53" spans="23:70" x14ac:dyDescent="0.25">
      <c r="W53" s="8"/>
      <c r="X53" s="8"/>
      <c r="Y53" s="8"/>
      <c r="Z53" s="8"/>
      <c r="AA53" s="8"/>
      <c r="AB53" s="8"/>
      <c r="AC53" s="12"/>
      <c r="AD53" s="12"/>
      <c r="AE53" s="1"/>
      <c r="AF53" s="1"/>
      <c r="AG53" s="1"/>
      <c r="AH53" s="1"/>
      <c r="AI53" s="1"/>
      <c r="AJ53" s="1"/>
      <c r="AK53" s="17"/>
      <c r="AL53" s="17"/>
      <c r="AM53" s="1"/>
      <c r="AN53" s="1"/>
      <c r="AO53" s="1"/>
      <c r="AP53" s="1"/>
      <c r="AQ53" s="1"/>
      <c r="AR53" s="1"/>
      <c r="AS53" s="12"/>
      <c r="AT53" s="12"/>
      <c r="AU53" s="1"/>
      <c r="AV53" s="1"/>
      <c r="AW53" s="1"/>
      <c r="AX53" s="1"/>
      <c r="AY53" s="1"/>
      <c r="AZ53" s="1"/>
      <c r="BA53" s="19"/>
      <c r="BB53" s="19"/>
      <c r="BC53" s="9"/>
      <c r="BD53" s="9"/>
      <c r="BE53" s="9"/>
      <c r="BF53" s="9"/>
      <c r="BG53" s="9"/>
      <c r="BH53" s="9"/>
      <c r="BI53" s="12"/>
      <c r="BJ53" s="13"/>
      <c r="BK53" s="1"/>
      <c r="BL53" s="1"/>
      <c r="BM53" s="1"/>
      <c r="BN53" s="1"/>
      <c r="BO53" s="1"/>
      <c r="BP53" s="1"/>
      <c r="BQ53" s="19"/>
      <c r="BR53" s="17"/>
    </row>
    <row r="54" spans="23:70" x14ac:dyDescent="0.25">
      <c r="W54" s="8"/>
      <c r="X54" s="8"/>
      <c r="Y54" s="8"/>
      <c r="Z54" s="8"/>
      <c r="AA54" s="8"/>
      <c r="AB54" s="8"/>
      <c r="AC54" s="12"/>
      <c r="AD54" s="12"/>
      <c r="AE54" s="1"/>
      <c r="AF54" s="1"/>
      <c r="AG54" s="1"/>
      <c r="AH54" s="1"/>
      <c r="AI54" s="1"/>
      <c r="AJ54" s="1"/>
      <c r="AK54" s="17"/>
      <c r="AL54" s="17"/>
      <c r="AM54" s="1"/>
      <c r="AN54" s="1"/>
      <c r="AO54" s="1"/>
      <c r="AP54" s="1"/>
      <c r="AQ54" s="1"/>
      <c r="AR54" s="1"/>
      <c r="AS54" s="12"/>
      <c r="AT54" s="12"/>
      <c r="AU54" s="1"/>
      <c r="AV54" s="1"/>
      <c r="AW54" s="1"/>
      <c r="AX54" s="1"/>
      <c r="AY54" s="1"/>
      <c r="AZ54" s="1"/>
      <c r="BA54" s="19"/>
      <c r="BB54" s="19"/>
      <c r="BC54" s="9"/>
      <c r="BD54" s="9"/>
      <c r="BE54" s="9"/>
      <c r="BF54" s="9"/>
      <c r="BG54" s="9"/>
      <c r="BH54" s="9"/>
      <c r="BI54" s="12"/>
      <c r="BJ54" s="13"/>
      <c r="BK54" s="1"/>
      <c r="BL54" s="1"/>
      <c r="BM54" s="1"/>
      <c r="BN54" s="1"/>
      <c r="BO54" s="1"/>
      <c r="BP54" s="1"/>
      <c r="BQ54" s="19"/>
      <c r="BR54" s="17"/>
    </row>
    <row r="55" spans="23:70" x14ac:dyDescent="0.25">
      <c r="W55" s="8"/>
      <c r="X55" s="8"/>
      <c r="Y55" s="8"/>
      <c r="Z55" s="8"/>
      <c r="AA55" s="8"/>
      <c r="AB55" s="8"/>
      <c r="AC55" s="12"/>
      <c r="AD55" s="12"/>
      <c r="AE55" s="1"/>
      <c r="AF55" s="1"/>
      <c r="AG55" s="1"/>
      <c r="AH55" s="1"/>
      <c r="AI55" s="1"/>
      <c r="AJ55" s="1"/>
      <c r="AK55" s="17"/>
      <c r="AL55" s="17"/>
      <c r="AM55" s="1"/>
      <c r="AN55" s="1"/>
      <c r="AO55" s="1"/>
      <c r="AP55" s="1"/>
      <c r="AQ55" s="1"/>
      <c r="AR55" s="1"/>
      <c r="AS55" s="12"/>
      <c r="AT55" s="12"/>
      <c r="AU55" s="1"/>
      <c r="AV55" s="1"/>
      <c r="AW55" s="1"/>
      <c r="AX55" s="1"/>
      <c r="AY55" s="1"/>
      <c r="AZ55" s="1"/>
      <c r="BA55" s="19"/>
      <c r="BB55" s="19"/>
      <c r="BC55" s="9"/>
      <c r="BD55" s="9"/>
      <c r="BE55" s="9"/>
      <c r="BF55" s="9"/>
      <c r="BG55" s="9"/>
      <c r="BH55" s="9"/>
      <c r="BI55" s="12"/>
      <c r="BJ55" s="13"/>
      <c r="BK55" s="1"/>
      <c r="BL55" s="1"/>
      <c r="BM55" s="1"/>
      <c r="BN55" s="1"/>
      <c r="BO55" s="1"/>
      <c r="BP55" s="1"/>
      <c r="BQ55" s="19"/>
      <c r="BR55" s="17"/>
    </row>
    <row r="56" spans="23:70" x14ac:dyDescent="0.25">
      <c r="W56" s="8"/>
      <c r="X56" s="8"/>
      <c r="Y56" s="8"/>
      <c r="Z56" s="8"/>
      <c r="AA56" s="8"/>
      <c r="AB56" s="8"/>
      <c r="AC56" s="12"/>
      <c r="AD56" s="12"/>
      <c r="AE56" s="1"/>
      <c r="AF56" s="1"/>
      <c r="AG56" s="1"/>
      <c r="AH56" s="1"/>
      <c r="AI56" s="1"/>
      <c r="AJ56" s="1"/>
      <c r="AK56" s="17"/>
      <c r="AL56" s="17"/>
      <c r="AM56" s="1"/>
      <c r="AN56" s="1"/>
      <c r="AO56" s="1"/>
      <c r="AP56" s="1"/>
      <c r="AQ56" s="1"/>
      <c r="AR56" s="1"/>
      <c r="AS56" s="12"/>
      <c r="AT56" s="12"/>
      <c r="AU56" s="1"/>
      <c r="AV56" s="1"/>
      <c r="AW56" s="1"/>
      <c r="AX56" s="1"/>
      <c r="AY56" s="1"/>
      <c r="AZ56" s="1"/>
      <c r="BA56" s="19"/>
      <c r="BB56" s="19"/>
      <c r="BC56" s="9"/>
      <c r="BD56" s="9"/>
      <c r="BE56" s="9"/>
      <c r="BF56" s="9"/>
      <c r="BG56" s="9"/>
      <c r="BH56" s="9"/>
      <c r="BI56" s="12"/>
      <c r="BJ56" s="13"/>
      <c r="BK56" s="1"/>
      <c r="BL56" s="1"/>
      <c r="BM56" s="1"/>
      <c r="BN56" s="1"/>
      <c r="BO56" s="1"/>
      <c r="BP56" s="1"/>
      <c r="BQ56" s="19"/>
      <c r="BR56" s="17"/>
    </row>
    <row r="57" spans="23:70" x14ac:dyDescent="0.25">
      <c r="W57" s="8"/>
      <c r="X57" s="8"/>
      <c r="Y57" s="8"/>
      <c r="Z57" s="8"/>
      <c r="AA57" s="8"/>
      <c r="AB57" s="8"/>
      <c r="AC57" s="12"/>
      <c r="AD57" s="12"/>
      <c r="AE57" s="1"/>
      <c r="AF57" s="1"/>
      <c r="AG57" s="1"/>
      <c r="AH57" s="1"/>
      <c r="AI57" s="1"/>
      <c r="AJ57" s="1"/>
      <c r="AK57" s="17"/>
      <c r="AL57" s="17"/>
      <c r="AM57" s="1"/>
      <c r="AN57" s="1"/>
      <c r="AO57" s="1"/>
      <c r="AP57" s="1"/>
      <c r="AQ57" s="1"/>
      <c r="AR57" s="1"/>
      <c r="AS57" s="12"/>
      <c r="AT57" s="12"/>
      <c r="AU57" s="1"/>
      <c r="AV57" s="1"/>
      <c r="AW57" s="1"/>
      <c r="AX57" s="1"/>
      <c r="AY57" s="1"/>
      <c r="AZ57" s="1"/>
      <c r="BA57" s="19"/>
      <c r="BB57" s="19"/>
      <c r="BC57" s="9"/>
      <c r="BD57" s="9"/>
      <c r="BE57" s="9"/>
      <c r="BF57" s="9"/>
      <c r="BG57" s="9"/>
      <c r="BH57" s="9"/>
      <c r="BI57" s="12"/>
      <c r="BJ57" s="13"/>
      <c r="BK57" s="1"/>
      <c r="BL57" s="1"/>
      <c r="BM57" s="1"/>
      <c r="BN57" s="1"/>
      <c r="BO57" s="1"/>
      <c r="BP57" s="1"/>
      <c r="BQ57" s="19"/>
      <c r="BR57" s="17"/>
    </row>
    <row r="58" spans="23:70" x14ac:dyDescent="0.25">
      <c r="W58" s="8"/>
      <c r="X58" s="8"/>
      <c r="Y58" s="8"/>
      <c r="Z58" s="8"/>
      <c r="AA58" s="8"/>
      <c r="AB58" s="8"/>
      <c r="AC58" s="12"/>
      <c r="AD58" s="12"/>
      <c r="AE58" s="1"/>
      <c r="AF58" s="1"/>
      <c r="AG58" s="1"/>
      <c r="AH58" s="1"/>
      <c r="AI58" s="1"/>
      <c r="AJ58" s="1"/>
      <c r="AK58" s="17"/>
      <c r="AL58" s="17"/>
      <c r="AM58" s="1"/>
      <c r="AN58" s="1"/>
      <c r="AO58" s="1"/>
      <c r="AP58" s="1"/>
      <c r="AQ58" s="1"/>
      <c r="AR58" s="1"/>
      <c r="AS58" s="12"/>
      <c r="AT58" s="12"/>
      <c r="AU58" s="1"/>
      <c r="AV58" s="1"/>
      <c r="AW58" s="1"/>
      <c r="AX58" s="1"/>
      <c r="AY58" s="1"/>
      <c r="AZ58" s="1"/>
      <c r="BA58" s="19"/>
      <c r="BB58" s="19"/>
      <c r="BC58" s="9"/>
      <c r="BD58" s="9"/>
      <c r="BE58" s="9"/>
      <c r="BF58" s="9"/>
      <c r="BG58" s="9"/>
      <c r="BH58" s="9"/>
      <c r="BI58" s="12"/>
      <c r="BJ58" s="13"/>
      <c r="BK58" s="1"/>
      <c r="BL58" s="1"/>
      <c r="BM58" s="1"/>
      <c r="BN58" s="1"/>
      <c r="BO58" s="1"/>
      <c r="BP58" s="1"/>
      <c r="BQ58" s="19"/>
      <c r="BR58" s="17"/>
    </row>
    <row r="59" spans="23:70" x14ac:dyDescent="0.25">
      <c r="W59" s="8"/>
      <c r="X59" s="8"/>
      <c r="Y59" s="8"/>
      <c r="Z59" s="8"/>
      <c r="AA59" s="8"/>
      <c r="AB59" s="8"/>
      <c r="AC59" s="12"/>
      <c r="AD59" s="12"/>
      <c r="AE59" s="1"/>
      <c r="AF59" s="1"/>
      <c r="AG59" s="1"/>
      <c r="AH59" s="1"/>
      <c r="AI59" s="1"/>
      <c r="AJ59" s="1"/>
      <c r="AK59" s="17"/>
      <c r="AL59" s="17"/>
      <c r="AM59" s="1"/>
      <c r="AN59" s="1"/>
      <c r="AO59" s="1"/>
      <c r="AP59" s="1"/>
      <c r="AQ59" s="1"/>
      <c r="AR59" s="1"/>
      <c r="AS59" s="12"/>
      <c r="AT59" s="12"/>
      <c r="AU59" s="1"/>
      <c r="AV59" s="1"/>
      <c r="AW59" s="1"/>
      <c r="AX59" s="1"/>
      <c r="AY59" s="1"/>
      <c r="AZ59" s="1"/>
      <c r="BA59" s="19"/>
      <c r="BB59" s="19"/>
      <c r="BC59" s="9"/>
      <c r="BD59" s="9"/>
      <c r="BE59" s="9"/>
      <c r="BF59" s="9"/>
      <c r="BG59" s="9"/>
      <c r="BH59" s="9"/>
      <c r="BI59" s="12"/>
      <c r="BJ59" s="13"/>
      <c r="BK59" s="1"/>
      <c r="BL59" s="1"/>
      <c r="BM59" s="1"/>
      <c r="BN59" s="1"/>
      <c r="BO59" s="1"/>
      <c r="BP59" s="1"/>
      <c r="BQ59" s="19"/>
      <c r="BR59" s="17"/>
    </row>
    <row r="60" spans="23:70" x14ac:dyDescent="0.25">
      <c r="W60" s="8"/>
      <c r="X60" s="8"/>
      <c r="Y60" s="8"/>
      <c r="Z60" s="8"/>
      <c r="AA60" s="8"/>
      <c r="AB60" s="8"/>
      <c r="AC60" s="12"/>
      <c r="AD60" s="12"/>
      <c r="AE60" s="1"/>
      <c r="AF60" s="1"/>
      <c r="AG60" s="1"/>
      <c r="AH60" s="1"/>
      <c r="AI60" s="1"/>
      <c r="AJ60" s="1"/>
      <c r="AK60" s="17"/>
      <c r="AL60" s="17"/>
      <c r="AM60" s="1"/>
      <c r="AN60" s="1"/>
      <c r="AO60" s="1"/>
      <c r="AP60" s="1"/>
      <c r="AQ60" s="1"/>
      <c r="AR60" s="1"/>
      <c r="AS60" s="12"/>
      <c r="AT60" s="12"/>
      <c r="AU60" s="1"/>
      <c r="AV60" s="1"/>
      <c r="AW60" s="1"/>
      <c r="AX60" s="1"/>
      <c r="AY60" s="1"/>
      <c r="AZ60" s="1"/>
      <c r="BA60" s="19"/>
      <c r="BB60" s="19"/>
      <c r="BC60" s="9"/>
      <c r="BD60" s="9"/>
      <c r="BE60" s="9"/>
      <c r="BF60" s="9"/>
      <c r="BG60" s="9"/>
      <c r="BH60" s="9"/>
      <c r="BI60" s="12"/>
      <c r="BJ60" s="13"/>
      <c r="BK60" s="1"/>
      <c r="BL60" s="1"/>
      <c r="BM60" s="1"/>
      <c r="BN60" s="1"/>
      <c r="BO60" s="1"/>
      <c r="BP60" s="1"/>
      <c r="BQ60" s="19"/>
      <c r="BR60" s="17"/>
    </row>
    <row r="61" spans="23:70" x14ac:dyDescent="0.25">
      <c r="W61" s="8"/>
      <c r="X61" s="8"/>
      <c r="Y61" s="8"/>
      <c r="Z61" s="8"/>
      <c r="AA61" s="8"/>
      <c r="AB61" s="8"/>
      <c r="AC61" s="12"/>
      <c r="AD61" s="12"/>
      <c r="AE61" s="1"/>
      <c r="AF61" s="1"/>
      <c r="AG61" s="1"/>
      <c r="AH61" s="1"/>
      <c r="AI61" s="1"/>
      <c r="AJ61" s="1"/>
      <c r="AK61" s="17"/>
      <c r="AL61" s="17"/>
      <c r="AM61" s="1"/>
      <c r="AN61" s="1"/>
      <c r="AO61" s="1"/>
      <c r="AP61" s="1"/>
      <c r="AQ61" s="1"/>
      <c r="AR61" s="1"/>
      <c r="AS61" s="12"/>
      <c r="AT61" s="12"/>
      <c r="AU61" s="1"/>
      <c r="AV61" s="1"/>
      <c r="AW61" s="1"/>
      <c r="AX61" s="1"/>
      <c r="AY61" s="1"/>
      <c r="AZ61" s="1"/>
      <c r="BA61" s="19"/>
      <c r="BB61" s="19"/>
      <c r="BC61" s="9"/>
      <c r="BD61" s="9"/>
      <c r="BE61" s="9"/>
      <c r="BF61" s="9"/>
      <c r="BG61" s="9"/>
      <c r="BH61" s="9"/>
      <c r="BI61" s="12"/>
      <c r="BJ61" s="13"/>
      <c r="BK61" s="1"/>
      <c r="BL61" s="1"/>
      <c r="BM61" s="1"/>
      <c r="BN61" s="1"/>
      <c r="BO61" s="1"/>
      <c r="BP61" s="1"/>
      <c r="BQ61" s="19"/>
      <c r="BR61" s="17"/>
    </row>
    <row r="62" spans="23:70" x14ac:dyDescent="0.25">
      <c r="W62" s="8"/>
      <c r="X62" s="8"/>
      <c r="Y62" s="8"/>
      <c r="Z62" s="8"/>
      <c r="AA62" s="8"/>
      <c r="AB62" s="8"/>
      <c r="AC62" s="12"/>
      <c r="AD62" s="12"/>
      <c r="AE62" s="1"/>
      <c r="AF62" s="1"/>
      <c r="AG62" s="1"/>
      <c r="AH62" s="1"/>
      <c r="AI62" s="1"/>
      <c r="AJ62" s="1"/>
      <c r="AK62" s="17"/>
      <c r="AL62" s="17"/>
      <c r="AM62" s="1"/>
      <c r="AN62" s="1"/>
      <c r="AO62" s="1"/>
      <c r="AP62" s="1"/>
      <c r="AQ62" s="1"/>
      <c r="AR62" s="1"/>
      <c r="AS62" s="12"/>
      <c r="AT62" s="12"/>
      <c r="AU62" s="1"/>
      <c r="AV62" s="1"/>
      <c r="AW62" s="1"/>
      <c r="AX62" s="1"/>
      <c r="AY62" s="1"/>
      <c r="AZ62" s="1"/>
      <c r="BA62" s="19"/>
      <c r="BB62" s="19"/>
      <c r="BC62" s="9"/>
      <c r="BD62" s="9"/>
      <c r="BE62" s="9"/>
      <c r="BF62" s="9"/>
      <c r="BG62" s="9"/>
      <c r="BH62" s="9"/>
      <c r="BI62" s="12"/>
      <c r="BJ62" s="13"/>
      <c r="BK62" s="1"/>
      <c r="BL62" s="1"/>
      <c r="BM62" s="1"/>
      <c r="BN62" s="1"/>
      <c r="BO62" s="1"/>
      <c r="BP62" s="1"/>
      <c r="BQ62" s="19"/>
      <c r="BR62" s="17"/>
    </row>
    <row r="63" spans="23:70" x14ac:dyDescent="0.25">
      <c r="W63" s="8"/>
      <c r="X63" s="8"/>
      <c r="Y63" s="8"/>
      <c r="Z63" s="8"/>
      <c r="AA63" s="8"/>
      <c r="AB63" s="8"/>
      <c r="AC63" s="12"/>
      <c r="AD63" s="12"/>
      <c r="AE63" s="1"/>
      <c r="AF63" s="1"/>
      <c r="AG63" s="1"/>
      <c r="AH63" s="1"/>
      <c r="AI63" s="1"/>
      <c r="AJ63" s="1"/>
      <c r="AK63" s="17"/>
      <c r="AL63" s="17"/>
      <c r="AM63" s="1"/>
      <c r="AN63" s="1"/>
      <c r="AO63" s="1"/>
      <c r="AP63" s="1"/>
      <c r="AQ63" s="1"/>
      <c r="AR63" s="1"/>
      <c r="AS63" s="12"/>
      <c r="AT63" s="12"/>
      <c r="AU63" s="1"/>
      <c r="AV63" s="1"/>
      <c r="AW63" s="1"/>
      <c r="AX63" s="1"/>
      <c r="AY63" s="1"/>
      <c r="AZ63" s="1"/>
      <c r="BA63" s="19"/>
      <c r="BB63" s="19"/>
      <c r="BC63" s="9"/>
      <c r="BD63" s="9"/>
      <c r="BE63" s="9"/>
      <c r="BF63" s="9"/>
      <c r="BG63" s="9"/>
      <c r="BH63" s="9"/>
      <c r="BI63" s="12"/>
      <c r="BJ63" s="13"/>
      <c r="BK63" s="1"/>
      <c r="BL63" s="1"/>
      <c r="BM63" s="1"/>
      <c r="BN63" s="1"/>
      <c r="BO63" s="1"/>
      <c r="BP63" s="1"/>
      <c r="BQ63" s="19"/>
      <c r="BR63" s="17"/>
    </row>
    <row r="64" spans="23:70" x14ac:dyDescent="0.25">
      <c r="W64" s="8"/>
      <c r="X64" s="8"/>
      <c r="Y64" s="8"/>
      <c r="Z64" s="8"/>
      <c r="AA64" s="8"/>
      <c r="AB64" s="8"/>
      <c r="AC64" s="12"/>
      <c r="AD64" s="12"/>
      <c r="AE64" s="1"/>
      <c r="AF64" s="1"/>
      <c r="AG64" s="1"/>
      <c r="AH64" s="1"/>
      <c r="AI64" s="1"/>
      <c r="AJ64" s="1"/>
      <c r="AK64" s="17"/>
      <c r="AL64" s="17"/>
      <c r="AM64" s="1"/>
      <c r="AN64" s="1"/>
      <c r="AO64" s="1"/>
      <c r="AP64" s="1"/>
      <c r="AQ64" s="1"/>
      <c r="AR64" s="1"/>
      <c r="AS64" s="12"/>
      <c r="AT64" s="12"/>
      <c r="AU64" s="1"/>
      <c r="AV64" s="1"/>
      <c r="AW64" s="1"/>
      <c r="AX64" s="1"/>
      <c r="AY64" s="1"/>
      <c r="AZ64" s="1"/>
      <c r="BA64" s="19"/>
      <c r="BB64" s="19"/>
      <c r="BC64" s="9"/>
      <c r="BD64" s="9"/>
      <c r="BE64" s="9"/>
      <c r="BF64" s="9"/>
      <c r="BG64" s="9"/>
      <c r="BH64" s="9"/>
      <c r="BI64" s="12"/>
      <c r="BJ64" s="13"/>
      <c r="BK64" s="1"/>
      <c r="BL64" s="1"/>
      <c r="BM64" s="1"/>
      <c r="BN64" s="1"/>
      <c r="BO64" s="1"/>
      <c r="BP64" s="1"/>
      <c r="BQ64" s="19"/>
      <c r="BR64" s="17"/>
    </row>
    <row r="65" spans="23:70" x14ac:dyDescent="0.25">
      <c r="W65" s="8"/>
      <c r="X65" s="8"/>
      <c r="Y65" s="8"/>
      <c r="Z65" s="8"/>
      <c r="AA65" s="8"/>
      <c r="AB65" s="8"/>
      <c r="AC65" s="12"/>
      <c r="AD65" s="12"/>
      <c r="AE65" s="1"/>
      <c r="AF65" s="1"/>
      <c r="AG65" s="1"/>
      <c r="AH65" s="1"/>
      <c r="AI65" s="1"/>
      <c r="AJ65" s="1"/>
      <c r="AK65" s="17"/>
      <c r="AL65" s="17"/>
      <c r="AM65" s="1"/>
      <c r="AN65" s="1"/>
      <c r="AO65" s="1"/>
      <c r="AP65" s="1"/>
      <c r="AQ65" s="1"/>
      <c r="AR65" s="1"/>
      <c r="AS65" s="12"/>
      <c r="AT65" s="12"/>
      <c r="AU65" s="1"/>
      <c r="AV65" s="1"/>
      <c r="AW65" s="1"/>
      <c r="AX65" s="1"/>
      <c r="AY65" s="1"/>
      <c r="AZ65" s="1"/>
      <c r="BA65" s="19"/>
      <c r="BB65" s="19"/>
      <c r="BC65" s="9"/>
      <c r="BD65" s="9"/>
      <c r="BE65" s="9"/>
      <c r="BF65" s="9"/>
      <c r="BG65" s="9"/>
      <c r="BH65" s="9"/>
      <c r="BI65" s="12"/>
      <c r="BJ65" s="13"/>
      <c r="BK65" s="1"/>
      <c r="BL65" s="1"/>
      <c r="BM65" s="1"/>
      <c r="BN65" s="1"/>
      <c r="BO65" s="1"/>
      <c r="BP65" s="1"/>
      <c r="BQ65" s="19"/>
      <c r="BR65" s="17"/>
    </row>
    <row r="66" spans="23:70" x14ac:dyDescent="0.25">
      <c r="W66" s="8"/>
      <c r="X66" s="8"/>
      <c r="Y66" s="8"/>
      <c r="Z66" s="8"/>
      <c r="AA66" s="8"/>
      <c r="AB66" s="8"/>
      <c r="AC66" s="12"/>
      <c r="AD66" s="12"/>
      <c r="AE66" s="1"/>
      <c r="AF66" s="1"/>
      <c r="AG66" s="1"/>
      <c r="AH66" s="1"/>
      <c r="AI66" s="1"/>
      <c r="AJ66" s="1"/>
      <c r="AK66" s="17"/>
      <c r="AL66" s="17"/>
      <c r="AM66" s="1"/>
      <c r="AN66" s="1"/>
      <c r="AO66" s="1"/>
      <c r="AP66" s="1"/>
      <c r="AQ66" s="1"/>
      <c r="AR66" s="1"/>
      <c r="AS66" s="12"/>
      <c r="AT66" s="12"/>
      <c r="AU66" s="1"/>
      <c r="AV66" s="1"/>
      <c r="AW66" s="1"/>
      <c r="AX66" s="1"/>
      <c r="AY66" s="1"/>
      <c r="AZ66" s="1"/>
      <c r="BA66" s="19"/>
      <c r="BB66" s="19"/>
      <c r="BC66" s="9"/>
      <c r="BD66" s="9"/>
      <c r="BE66" s="9"/>
      <c r="BF66" s="9"/>
      <c r="BG66" s="9"/>
      <c r="BH66" s="9"/>
      <c r="BI66" s="12"/>
      <c r="BJ66" s="13"/>
      <c r="BK66" s="1"/>
      <c r="BL66" s="1"/>
      <c r="BM66" s="1"/>
      <c r="BN66" s="1"/>
      <c r="BO66" s="1"/>
      <c r="BP66" s="1"/>
      <c r="BQ66" s="19"/>
      <c r="BR66" s="17"/>
    </row>
    <row r="67" spans="23:70" x14ac:dyDescent="0.25">
      <c r="W67" s="8"/>
      <c r="X67" s="8"/>
      <c r="Y67" s="8"/>
      <c r="Z67" s="8"/>
      <c r="AA67" s="8"/>
      <c r="AB67" s="8"/>
      <c r="AC67" s="12"/>
      <c r="AD67" s="12"/>
      <c r="AE67" s="1"/>
      <c r="AF67" s="1"/>
      <c r="AG67" s="1"/>
      <c r="AH67" s="1"/>
      <c r="AI67" s="1"/>
      <c r="AJ67" s="1"/>
      <c r="AK67" s="17"/>
      <c r="AL67" s="17"/>
      <c r="AM67" s="1"/>
      <c r="AN67" s="1"/>
      <c r="AO67" s="1"/>
      <c r="AP67" s="1"/>
      <c r="AQ67" s="1"/>
      <c r="AR67" s="1"/>
      <c r="AS67" s="12"/>
      <c r="AT67" s="12"/>
      <c r="AU67" s="1"/>
      <c r="AV67" s="1"/>
      <c r="AW67" s="1"/>
      <c r="AX67" s="1"/>
      <c r="AY67" s="1"/>
      <c r="AZ67" s="1"/>
      <c r="BA67" s="19"/>
      <c r="BB67" s="19"/>
      <c r="BC67" s="9"/>
      <c r="BD67" s="9"/>
      <c r="BE67" s="9"/>
      <c r="BF67" s="9"/>
      <c r="BG67" s="9"/>
      <c r="BH67" s="9"/>
      <c r="BI67" s="12"/>
      <c r="BJ67" s="13"/>
      <c r="BK67" s="1"/>
      <c r="BL67" s="1"/>
      <c r="BM67" s="1"/>
      <c r="BN67" s="1"/>
      <c r="BO67" s="1"/>
      <c r="BP67" s="1"/>
      <c r="BQ67" s="19"/>
      <c r="BR67" s="17"/>
    </row>
    <row r="68" spans="23:70" x14ac:dyDescent="0.25">
      <c r="W68" s="8"/>
      <c r="X68" s="8"/>
      <c r="Y68" s="8"/>
      <c r="Z68" s="8"/>
      <c r="AA68" s="8"/>
      <c r="AB68" s="8"/>
      <c r="AC68" s="12"/>
      <c r="AD68" s="12"/>
      <c r="AE68" s="1"/>
      <c r="AF68" s="1"/>
      <c r="AG68" s="1"/>
      <c r="AH68" s="1"/>
      <c r="AI68" s="1"/>
      <c r="AJ68" s="1"/>
      <c r="AK68" s="17"/>
      <c r="AL68" s="17"/>
      <c r="AM68" s="1"/>
      <c r="AN68" s="1"/>
      <c r="AO68" s="1"/>
      <c r="AP68" s="1"/>
      <c r="AQ68" s="1"/>
      <c r="AR68" s="1"/>
      <c r="AS68" s="12"/>
      <c r="AT68" s="12"/>
      <c r="AU68" s="1"/>
      <c r="AV68" s="1"/>
      <c r="AW68" s="1"/>
      <c r="AX68" s="1"/>
      <c r="AY68" s="1"/>
      <c r="AZ68" s="1"/>
      <c r="BA68" s="19"/>
      <c r="BB68" s="19"/>
      <c r="BC68" s="9"/>
      <c r="BD68" s="9"/>
      <c r="BE68" s="9"/>
      <c r="BF68" s="9"/>
      <c r="BG68" s="9"/>
      <c r="BH68" s="9"/>
      <c r="BI68" s="12"/>
      <c r="BJ68" s="13"/>
      <c r="BK68" s="1"/>
      <c r="BL68" s="1"/>
      <c r="BM68" s="1"/>
      <c r="BN68" s="1"/>
      <c r="BO68" s="1"/>
      <c r="BP68" s="1"/>
      <c r="BQ68" s="19"/>
      <c r="BR68" s="17"/>
    </row>
    <row r="69" spans="23:70" x14ac:dyDescent="0.25">
      <c r="W69" s="8"/>
      <c r="X69" s="8"/>
      <c r="Y69" s="8"/>
      <c r="Z69" s="8"/>
      <c r="AA69" s="8"/>
      <c r="AB69" s="8"/>
      <c r="AC69" s="12"/>
      <c r="AD69" s="12"/>
      <c r="AE69" s="1"/>
      <c r="AF69" s="1"/>
      <c r="AG69" s="1"/>
      <c r="AH69" s="1"/>
      <c r="AI69" s="1"/>
      <c r="AJ69" s="1"/>
      <c r="AK69" s="17"/>
      <c r="AL69" s="17"/>
      <c r="AM69" s="1"/>
      <c r="AN69" s="1"/>
      <c r="AO69" s="1"/>
      <c r="AP69" s="1"/>
      <c r="AQ69" s="1"/>
      <c r="AR69" s="1"/>
      <c r="AS69" s="12"/>
      <c r="AT69" s="12"/>
      <c r="AU69" s="1"/>
      <c r="AV69" s="1"/>
      <c r="AW69" s="1"/>
      <c r="AX69" s="1"/>
      <c r="AY69" s="1"/>
      <c r="AZ69" s="1"/>
      <c r="BA69" s="19"/>
      <c r="BB69" s="19"/>
      <c r="BC69" s="9"/>
      <c r="BD69" s="9"/>
      <c r="BE69" s="9"/>
      <c r="BF69" s="9"/>
      <c r="BG69" s="9"/>
      <c r="BH69" s="9"/>
      <c r="BI69" s="12"/>
      <c r="BJ69" s="13"/>
      <c r="BK69" s="1"/>
      <c r="BL69" s="1"/>
      <c r="BM69" s="1"/>
      <c r="BN69" s="1"/>
      <c r="BO69" s="1"/>
      <c r="BP69" s="1"/>
      <c r="BQ69" s="19"/>
      <c r="BR69" s="17"/>
    </row>
    <row r="70" spans="23:70" x14ac:dyDescent="0.25">
      <c r="W70" s="8"/>
      <c r="X70" s="8"/>
      <c r="Y70" s="8"/>
      <c r="Z70" s="8"/>
      <c r="AA70" s="8"/>
      <c r="AB70" s="8"/>
      <c r="AC70" s="12"/>
      <c r="AD70" s="12"/>
      <c r="AE70" s="1"/>
      <c r="AF70" s="1"/>
      <c r="AG70" s="1"/>
      <c r="AH70" s="1"/>
      <c r="AI70" s="1"/>
      <c r="AJ70" s="1"/>
      <c r="AK70" s="17"/>
      <c r="AL70" s="17"/>
      <c r="AM70" s="1"/>
      <c r="AN70" s="1"/>
      <c r="AO70" s="1"/>
      <c r="AP70" s="1"/>
      <c r="AQ70" s="1"/>
      <c r="AR70" s="1"/>
      <c r="AS70" s="12"/>
      <c r="AT70" s="12"/>
      <c r="AU70" s="1"/>
      <c r="AV70" s="1"/>
      <c r="AW70" s="1"/>
      <c r="AX70" s="1"/>
      <c r="AY70" s="1"/>
      <c r="AZ70" s="1"/>
      <c r="BA70" s="19"/>
      <c r="BB70" s="19"/>
      <c r="BC70" s="9"/>
      <c r="BD70" s="9"/>
      <c r="BE70" s="9"/>
      <c r="BF70" s="9"/>
      <c r="BG70" s="9"/>
      <c r="BH70" s="9"/>
      <c r="BI70" s="12"/>
      <c r="BJ70" s="13"/>
      <c r="BK70" s="1"/>
      <c r="BL70" s="1"/>
      <c r="BM70" s="1"/>
      <c r="BN70" s="1"/>
      <c r="BO70" s="1"/>
      <c r="BP70" s="1"/>
      <c r="BQ70" s="19"/>
      <c r="BR70" s="17"/>
    </row>
    <row r="71" spans="23:70" x14ac:dyDescent="0.25">
      <c r="W71" s="8"/>
      <c r="X71" s="8"/>
      <c r="Y71" s="8"/>
      <c r="Z71" s="8"/>
      <c r="AA71" s="8"/>
      <c r="AB71" s="8"/>
      <c r="AC71" s="12"/>
      <c r="AD71" s="12"/>
      <c r="AE71" s="1"/>
      <c r="AF71" s="1"/>
      <c r="AG71" s="1"/>
      <c r="AH71" s="1"/>
      <c r="AI71" s="1"/>
      <c r="AJ71" s="1"/>
      <c r="AK71" s="17"/>
      <c r="AL71" s="17"/>
      <c r="AM71" s="1"/>
      <c r="AN71" s="1"/>
      <c r="AO71" s="1"/>
      <c r="AP71" s="1"/>
      <c r="AQ71" s="1"/>
      <c r="AR71" s="1"/>
      <c r="AS71" s="12"/>
      <c r="AT71" s="12"/>
      <c r="AU71" s="1"/>
      <c r="AV71" s="1"/>
      <c r="AW71" s="1"/>
      <c r="AX71" s="1"/>
      <c r="AY71" s="1"/>
      <c r="AZ71" s="1"/>
      <c r="BA71" s="19"/>
      <c r="BB71" s="19"/>
      <c r="BC71" s="9"/>
      <c r="BD71" s="9"/>
      <c r="BE71" s="9"/>
      <c r="BF71" s="9"/>
      <c r="BG71" s="9"/>
      <c r="BH71" s="9"/>
      <c r="BI71" s="12"/>
      <c r="BJ71" s="13"/>
      <c r="BK71" s="1"/>
      <c r="BL71" s="1"/>
      <c r="BM71" s="1"/>
      <c r="BN71" s="1"/>
      <c r="BO71" s="1"/>
      <c r="BP71" s="1"/>
      <c r="BQ71" s="19"/>
      <c r="BR71" s="17"/>
    </row>
    <row r="72" spans="23:70" x14ac:dyDescent="0.25">
      <c r="W72" s="8"/>
      <c r="X72" s="8"/>
      <c r="Y72" s="8"/>
      <c r="Z72" s="8"/>
      <c r="AA72" s="8"/>
      <c r="AB72" s="8"/>
      <c r="AC72" s="12"/>
      <c r="AD72" s="12"/>
      <c r="AE72" s="1"/>
      <c r="AF72" s="1"/>
      <c r="AG72" s="1"/>
      <c r="AH72" s="1"/>
      <c r="AI72" s="1"/>
      <c r="AJ72" s="1"/>
      <c r="AK72" s="17"/>
      <c r="AL72" s="17"/>
      <c r="AM72" s="1"/>
      <c r="AN72" s="1"/>
      <c r="AO72" s="1"/>
      <c r="AP72" s="1"/>
      <c r="AQ72" s="1"/>
      <c r="AR72" s="1"/>
      <c r="AS72" s="12"/>
      <c r="AT72" s="12"/>
      <c r="AU72" s="1"/>
      <c r="AV72" s="1"/>
      <c r="AW72" s="1"/>
      <c r="AX72" s="1"/>
      <c r="AY72" s="1"/>
      <c r="AZ72" s="1"/>
      <c r="BA72" s="19"/>
      <c r="BB72" s="19"/>
      <c r="BC72" s="9"/>
      <c r="BD72" s="9"/>
      <c r="BE72" s="9"/>
      <c r="BF72" s="9"/>
      <c r="BG72" s="9"/>
      <c r="BH72" s="9"/>
      <c r="BI72" s="12"/>
      <c r="BJ72" s="13"/>
      <c r="BK72" s="1"/>
      <c r="BL72" s="1"/>
      <c r="BM72" s="1"/>
      <c r="BN72" s="1"/>
      <c r="BO72" s="1"/>
      <c r="BP72" s="1"/>
      <c r="BQ72" s="19"/>
      <c r="BR72" s="17"/>
    </row>
    <row r="73" spans="23:70" x14ac:dyDescent="0.25">
      <c r="W73" s="8"/>
      <c r="X73" s="8"/>
      <c r="Y73" s="8"/>
      <c r="Z73" s="8"/>
      <c r="AA73" s="8"/>
      <c r="AB73" s="8"/>
      <c r="AC73" s="12"/>
      <c r="AD73" s="12"/>
      <c r="AE73" s="1"/>
      <c r="AF73" s="1"/>
      <c r="AG73" s="1"/>
      <c r="AH73" s="1"/>
      <c r="AI73" s="1"/>
      <c r="AJ73" s="1"/>
      <c r="AK73" s="17"/>
      <c r="AL73" s="17"/>
      <c r="AM73" s="1"/>
      <c r="AN73" s="1"/>
      <c r="AO73" s="1"/>
      <c r="AP73" s="1"/>
      <c r="AQ73" s="1"/>
      <c r="AR73" s="1"/>
      <c r="AS73" s="12"/>
      <c r="AT73" s="12"/>
      <c r="AU73" s="1"/>
      <c r="AV73" s="1"/>
      <c r="AW73" s="1"/>
      <c r="AX73" s="1"/>
      <c r="AY73" s="1"/>
      <c r="AZ73" s="1"/>
      <c r="BA73" s="19"/>
      <c r="BB73" s="19"/>
      <c r="BC73" s="9"/>
      <c r="BD73" s="9"/>
      <c r="BE73" s="9"/>
      <c r="BF73" s="9"/>
      <c r="BG73" s="9"/>
      <c r="BH73" s="9"/>
      <c r="BI73" s="12"/>
      <c r="BJ73" s="13"/>
      <c r="BK73" s="1"/>
      <c r="BL73" s="1"/>
      <c r="BM73" s="1"/>
      <c r="BN73" s="1"/>
      <c r="BO73" s="1"/>
      <c r="BP73" s="1"/>
      <c r="BQ73" s="19"/>
      <c r="BR73" s="17"/>
    </row>
    <row r="74" spans="23:70" x14ac:dyDescent="0.25">
      <c r="W74" s="8"/>
      <c r="X74" s="8"/>
      <c r="Y74" s="8"/>
      <c r="Z74" s="8"/>
      <c r="AA74" s="8"/>
      <c r="AB74" s="8"/>
      <c r="AC74" s="12"/>
      <c r="AD74" s="12"/>
      <c r="AE74" s="1"/>
      <c r="AF74" s="1"/>
      <c r="AG74" s="1"/>
      <c r="AH74" s="1"/>
      <c r="AI74" s="1"/>
      <c r="AJ74" s="1"/>
      <c r="AK74" s="17"/>
      <c r="AL74" s="17"/>
      <c r="AM74" s="1"/>
      <c r="AN74" s="1"/>
      <c r="AO74" s="1"/>
      <c r="AP74" s="1"/>
      <c r="AQ74" s="1"/>
      <c r="AR74" s="1"/>
      <c r="AS74" s="12"/>
      <c r="AT74" s="12"/>
      <c r="AU74" s="1"/>
      <c r="AV74" s="1"/>
      <c r="AW74" s="1"/>
      <c r="AX74" s="1"/>
      <c r="AY74" s="1"/>
      <c r="AZ74" s="1"/>
      <c r="BA74" s="19"/>
      <c r="BB74" s="19"/>
      <c r="BC74" s="9"/>
      <c r="BD74" s="9"/>
      <c r="BE74" s="9"/>
      <c r="BF74" s="9"/>
      <c r="BG74" s="9"/>
      <c r="BH74" s="9"/>
      <c r="BI74" s="12"/>
      <c r="BJ74" s="13"/>
      <c r="BK74" s="1"/>
      <c r="BL74" s="1"/>
      <c r="BM74" s="1"/>
      <c r="BN74" s="1"/>
      <c r="BO74" s="1"/>
      <c r="BP74" s="1"/>
      <c r="BQ74" s="19"/>
      <c r="BR74" s="17"/>
    </row>
    <row r="75" spans="23:70" x14ac:dyDescent="0.25">
      <c r="W75" s="8"/>
      <c r="X75" s="8"/>
      <c r="Y75" s="8"/>
      <c r="Z75" s="8"/>
      <c r="AA75" s="8"/>
      <c r="AB75" s="8"/>
      <c r="AC75" s="12"/>
      <c r="AD75" s="12"/>
      <c r="AE75" s="1"/>
      <c r="AF75" s="1"/>
      <c r="AG75" s="1"/>
      <c r="AH75" s="1"/>
      <c r="AI75" s="1"/>
      <c r="AJ75" s="1"/>
      <c r="AK75" s="17"/>
      <c r="AL75" s="17"/>
      <c r="AM75" s="1"/>
      <c r="AN75" s="1"/>
      <c r="AO75" s="1"/>
      <c r="AP75" s="1"/>
      <c r="AQ75" s="1"/>
      <c r="AR75" s="1"/>
      <c r="AS75" s="12"/>
      <c r="AT75" s="12"/>
      <c r="AU75" s="1"/>
      <c r="AV75" s="1"/>
      <c r="AW75" s="1"/>
      <c r="AX75" s="1"/>
      <c r="AY75" s="1"/>
      <c r="AZ75" s="1"/>
      <c r="BA75" s="19"/>
      <c r="BB75" s="19"/>
      <c r="BC75" s="9"/>
      <c r="BD75" s="9"/>
      <c r="BE75" s="9"/>
      <c r="BF75" s="9"/>
      <c r="BG75" s="9"/>
      <c r="BH75" s="9"/>
      <c r="BI75" s="12"/>
      <c r="BJ75" s="13"/>
      <c r="BK75" s="1"/>
      <c r="BL75" s="1"/>
      <c r="BM75" s="1"/>
      <c r="BN75" s="1"/>
      <c r="BO75" s="1"/>
      <c r="BP75" s="1"/>
      <c r="BQ75" s="19"/>
      <c r="BR75" s="17"/>
    </row>
    <row r="76" spans="23:70" x14ac:dyDescent="0.25">
      <c r="W76" s="8"/>
      <c r="X76" s="8"/>
      <c r="Y76" s="8"/>
      <c r="Z76" s="8"/>
      <c r="AA76" s="8"/>
      <c r="AB76" s="8"/>
      <c r="AC76" s="12"/>
      <c r="AD76" s="12"/>
      <c r="AE76" s="1"/>
      <c r="AF76" s="1"/>
      <c r="AG76" s="1"/>
      <c r="AH76" s="1"/>
      <c r="AI76" s="1"/>
      <c r="AJ76" s="1"/>
      <c r="AK76" s="17"/>
      <c r="AL76" s="17"/>
      <c r="AM76" s="1"/>
      <c r="AN76" s="1"/>
      <c r="AO76" s="1"/>
      <c r="AP76" s="1"/>
      <c r="AQ76" s="1"/>
      <c r="AR76" s="1"/>
      <c r="AS76" s="12"/>
      <c r="AT76" s="12"/>
      <c r="AU76" s="1"/>
      <c r="AV76" s="1"/>
      <c r="AW76" s="1"/>
      <c r="AX76" s="1"/>
      <c r="AY76" s="1"/>
      <c r="AZ76" s="1"/>
      <c r="BA76" s="19"/>
      <c r="BB76" s="19"/>
      <c r="BC76" s="9"/>
      <c r="BD76" s="9"/>
      <c r="BE76" s="9"/>
      <c r="BF76" s="9"/>
      <c r="BG76" s="9"/>
      <c r="BH76" s="9"/>
      <c r="BI76" s="12"/>
      <c r="BJ76" s="13"/>
      <c r="BK76" s="1"/>
      <c r="BL76" s="1"/>
      <c r="BM76" s="1"/>
      <c r="BN76" s="1"/>
      <c r="BO76" s="1"/>
      <c r="BP76" s="1"/>
      <c r="BQ76" s="19"/>
      <c r="BR76" s="17"/>
    </row>
    <row r="77" spans="23:70" x14ac:dyDescent="0.25">
      <c r="W77" s="8"/>
      <c r="X77" s="8"/>
      <c r="Y77" s="8"/>
      <c r="Z77" s="8"/>
      <c r="AA77" s="8"/>
      <c r="AB77" s="8"/>
      <c r="AC77" s="12"/>
      <c r="AD77" s="12"/>
      <c r="AE77" s="1"/>
      <c r="AF77" s="1"/>
      <c r="AG77" s="1"/>
      <c r="AH77" s="1"/>
      <c r="AI77" s="1"/>
      <c r="AJ77" s="1"/>
      <c r="AK77" s="17"/>
      <c r="AL77" s="17"/>
      <c r="AM77" s="1"/>
      <c r="AN77" s="1"/>
      <c r="AO77" s="1"/>
      <c r="AP77" s="1"/>
      <c r="AQ77" s="1"/>
      <c r="AR77" s="1"/>
      <c r="AS77" s="12"/>
      <c r="AT77" s="12"/>
      <c r="AU77" s="1"/>
      <c r="AV77" s="1"/>
      <c r="AW77" s="1"/>
      <c r="AX77" s="1"/>
      <c r="AY77" s="1"/>
      <c r="AZ77" s="1"/>
      <c r="BA77" s="19"/>
      <c r="BB77" s="19"/>
      <c r="BC77" s="9"/>
      <c r="BD77" s="9"/>
      <c r="BE77" s="9"/>
      <c r="BF77" s="9"/>
      <c r="BG77" s="9"/>
      <c r="BH77" s="9"/>
      <c r="BI77" s="12"/>
      <c r="BJ77" s="13"/>
      <c r="BK77" s="1"/>
      <c r="BL77" s="1"/>
      <c r="BM77" s="1"/>
      <c r="BN77" s="1"/>
      <c r="BO77" s="1"/>
      <c r="BP77" s="1"/>
      <c r="BQ77" s="19"/>
      <c r="BR77" s="17"/>
    </row>
    <row r="78" spans="23:70" x14ac:dyDescent="0.25">
      <c r="W78" s="8"/>
      <c r="X78" s="8"/>
      <c r="Y78" s="8"/>
      <c r="Z78" s="8"/>
      <c r="AA78" s="8"/>
      <c r="AB78" s="8"/>
      <c r="AC78" s="12"/>
      <c r="AD78" s="12"/>
      <c r="AE78" s="1"/>
      <c r="AF78" s="1"/>
      <c r="AG78" s="1"/>
      <c r="AH78" s="1"/>
      <c r="AI78" s="1"/>
      <c r="AJ78" s="1"/>
      <c r="AK78" s="17"/>
      <c r="AL78" s="17"/>
      <c r="AM78" s="1"/>
      <c r="AN78" s="1"/>
      <c r="AO78" s="1"/>
      <c r="AP78" s="1"/>
      <c r="AQ78" s="1"/>
      <c r="AR78" s="1"/>
      <c r="AS78" s="12"/>
      <c r="AT78" s="12"/>
      <c r="AU78" s="1"/>
      <c r="AV78" s="1"/>
      <c r="AW78" s="1"/>
      <c r="AX78" s="1"/>
      <c r="AY78" s="1"/>
      <c r="AZ78" s="1"/>
      <c r="BA78" s="19"/>
      <c r="BB78" s="19"/>
      <c r="BC78" s="9"/>
      <c r="BD78" s="9"/>
      <c r="BE78" s="9"/>
      <c r="BF78" s="9"/>
      <c r="BG78" s="9"/>
      <c r="BH78" s="9"/>
      <c r="BI78" s="12"/>
      <c r="BJ78" s="13"/>
      <c r="BK78" s="1"/>
      <c r="BL78" s="1"/>
      <c r="BM78" s="1"/>
      <c r="BN78" s="1"/>
      <c r="BO78" s="1"/>
      <c r="BP78" s="1"/>
      <c r="BQ78" s="19"/>
      <c r="BR78" s="17"/>
    </row>
    <row r="79" spans="23:70" x14ac:dyDescent="0.25">
      <c r="W79" s="8"/>
      <c r="X79" s="8"/>
      <c r="Y79" s="8"/>
      <c r="Z79" s="8"/>
      <c r="AA79" s="8"/>
      <c r="AB79" s="8"/>
      <c r="AC79" s="12"/>
      <c r="AD79" s="12"/>
      <c r="AE79" s="1"/>
      <c r="AF79" s="1"/>
      <c r="AG79" s="1"/>
      <c r="AH79" s="1"/>
      <c r="AI79" s="1"/>
      <c r="AJ79" s="1"/>
      <c r="AK79" s="17"/>
      <c r="AL79" s="17"/>
      <c r="AM79" s="1"/>
      <c r="AN79" s="1"/>
      <c r="AO79" s="1"/>
      <c r="AP79" s="1"/>
      <c r="AQ79" s="1"/>
      <c r="AR79" s="1"/>
      <c r="AS79" s="12"/>
      <c r="AT79" s="12"/>
      <c r="AU79" s="1"/>
      <c r="AV79" s="1"/>
      <c r="AW79" s="1"/>
      <c r="AX79" s="1"/>
      <c r="AY79" s="1"/>
      <c r="AZ79" s="1"/>
      <c r="BA79" s="19"/>
      <c r="BB79" s="19"/>
      <c r="BC79" s="9"/>
      <c r="BD79" s="9"/>
      <c r="BE79" s="9"/>
      <c r="BF79" s="9"/>
      <c r="BG79" s="9"/>
      <c r="BH79" s="9"/>
      <c r="BI79" s="12"/>
      <c r="BJ79" s="13"/>
      <c r="BK79" s="1"/>
      <c r="BL79" s="1"/>
      <c r="BM79" s="1"/>
      <c r="BN79" s="1"/>
      <c r="BO79" s="1"/>
      <c r="BP79" s="1"/>
      <c r="BQ79" s="19"/>
      <c r="BR79" s="17"/>
    </row>
    <row r="80" spans="23:70" x14ac:dyDescent="0.25">
      <c r="W80" s="8"/>
      <c r="X80" s="8"/>
      <c r="Y80" s="8"/>
      <c r="Z80" s="8"/>
      <c r="AA80" s="8"/>
      <c r="AB80" s="8"/>
      <c r="AC80" s="12"/>
      <c r="AD80" s="12"/>
      <c r="AE80" s="1"/>
      <c r="AF80" s="1"/>
      <c r="AG80" s="1"/>
      <c r="AH80" s="1"/>
      <c r="AI80" s="1"/>
      <c r="AJ80" s="1"/>
      <c r="AK80" s="17"/>
      <c r="AL80" s="17"/>
      <c r="AM80" s="1"/>
      <c r="AN80" s="1"/>
      <c r="AO80" s="1"/>
      <c r="AP80" s="1"/>
      <c r="AQ80" s="1"/>
      <c r="AR80" s="1"/>
      <c r="AS80" s="12"/>
      <c r="AT80" s="12"/>
      <c r="AU80" s="1"/>
      <c r="AV80" s="1"/>
      <c r="AW80" s="1"/>
      <c r="AX80" s="1"/>
      <c r="AY80" s="1"/>
      <c r="AZ80" s="1"/>
      <c r="BA80" s="19"/>
      <c r="BB80" s="19"/>
      <c r="BC80" s="9"/>
      <c r="BD80" s="9"/>
      <c r="BE80" s="9"/>
      <c r="BF80" s="9"/>
      <c r="BG80" s="9"/>
      <c r="BH80" s="9"/>
      <c r="BI80" s="12"/>
      <c r="BJ80" s="13"/>
      <c r="BK80" s="1"/>
      <c r="BL80" s="1"/>
      <c r="BM80" s="1"/>
      <c r="BN80" s="1"/>
      <c r="BO80" s="1"/>
      <c r="BP80" s="1"/>
      <c r="BQ80" s="19"/>
      <c r="BR80" s="17"/>
    </row>
    <row r="81" spans="23:70" x14ac:dyDescent="0.25">
      <c r="W81" s="8"/>
      <c r="X81" s="8"/>
      <c r="Y81" s="8"/>
      <c r="Z81" s="8"/>
      <c r="AA81" s="8"/>
      <c r="AB81" s="8"/>
      <c r="AC81" s="12"/>
      <c r="AD81" s="12"/>
      <c r="AE81" s="1"/>
      <c r="AF81" s="1"/>
      <c r="AG81" s="1"/>
      <c r="AH81" s="1"/>
      <c r="AI81" s="1"/>
      <c r="AJ81" s="1"/>
      <c r="AK81" s="17"/>
      <c r="AL81" s="17"/>
      <c r="AM81" s="1"/>
      <c r="AN81" s="1"/>
      <c r="AO81" s="1"/>
      <c r="AP81" s="1"/>
      <c r="AQ81" s="1"/>
      <c r="AR81" s="1"/>
      <c r="AS81" s="12"/>
      <c r="AT81" s="12"/>
      <c r="AU81" s="1"/>
      <c r="AV81" s="1"/>
      <c r="AW81" s="1"/>
      <c r="AX81" s="1"/>
      <c r="AY81" s="1"/>
      <c r="AZ81" s="1"/>
      <c r="BA81" s="19"/>
      <c r="BB81" s="19"/>
      <c r="BC81" s="9"/>
      <c r="BD81" s="9"/>
      <c r="BE81" s="9"/>
      <c r="BF81" s="9"/>
      <c r="BG81" s="9"/>
      <c r="BH81" s="9"/>
      <c r="BI81" s="12"/>
      <c r="BJ81" s="13"/>
      <c r="BK81" s="1"/>
      <c r="BL81" s="1"/>
      <c r="BM81" s="1"/>
      <c r="BN81" s="1"/>
      <c r="BO81" s="1"/>
      <c r="BP81" s="1"/>
      <c r="BQ81" s="19"/>
      <c r="BR81" s="17"/>
    </row>
    <row r="82" spans="23:70" x14ac:dyDescent="0.25">
      <c r="W82" s="8"/>
      <c r="X82" s="8"/>
      <c r="Y82" s="8"/>
      <c r="Z82" s="8"/>
      <c r="AA82" s="8"/>
      <c r="AB82" s="8"/>
      <c r="AC82" s="12"/>
      <c r="AD82" s="12"/>
      <c r="AE82" s="1"/>
      <c r="AF82" s="1"/>
      <c r="AG82" s="1"/>
      <c r="AH82" s="1"/>
      <c r="AI82" s="1"/>
      <c r="AJ82" s="1"/>
      <c r="AK82" s="17"/>
      <c r="AL82" s="17"/>
      <c r="AM82" s="1"/>
      <c r="AN82" s="1"/>
      <c r="AO82" s="1"/>
      <c r="AP82" s="1"/>
      <c r="AQ82" s="1"/>
      <c r="AR82" s="1"/>
      <c r="AS82" s="12"/>
      <c r="AT82" s="12"/>
      <c r="AU82" s="1"/>
      <c r="AV82" s="1"/>
      <c r="AW82" s="1"/>
      <c r="AX82" s="1"/>
      <c r="AY82" s="1"/>
      <c r="AZ82" s="1"/>
      <c r="BA82" s="19"/>
      <c r="BB82" s="19"/>
      <c r="BC82" s="9"/>
      <c r="BD82" s="9"/>
      <c r="BE82" s="9"/>
      <c r="BF82" s="9"/>
      <c r="BG82" s="9"/>
      <c r="BH82" s="9"/>
      <c r="BI82" s="12"/>
      <c r="BJ82" s="13"/>
      <c r="BK82" s="1"/>
      <c r="BL82" s="1"/>
      <c r="BM82" s="1"/>
      <c r="BN82" s="1"/>
      <c r="BO82" s="1"/>
      <c r="BP82" s="1"/>
      <c r="BQ82" s="19"/>
      <c r="BR82" s="17"/>
    </row>
    <row r="83" spans="23:70" x14ac:dyDescent="0.25">
      <c r="W83" s="8"/>
      <c r="X83" s="8"/>
      <c r="Y83" s="8"/>
      <c r="Z83" s="8"/>
      <c r="AA83" s="8"/>
      <c r="AB83" s="8"/>
      <c r="AC83" s="12"/>
      <c r="AD83" s="12"/>
      <c r="AE83" s="1"/>
      <c r="AF83" s="1"/>
      <c r="AG83" s="1"/>
      <c r="AH83" s="1"/>
      <c r="AI83" s="1"/>
      <c r="AJ83" s="1"/>
      <c r="AK83" s="17"/>
      <c r="AL83" s="17"/>
      <c r="AM83" s="1"/>
      <c r="AN83" s="1"/>
      <c r="AO83" s="1"/>
      <c r="AP83" s="1"/>
      <c r="AQ83" s="1"/>
      <c r="AR83" s="1"/>
      <c r="AS83" s="12"/>
      <c r="AT83" s="12"/>
      <c r="AU83" s="1"/>
      <c r="AV83" s="1"/>
      <c r="AW83" s="1"/>
      <c r="AX83" s="1"/>
      <c r="AY83" s="1"/>
      <c r="AZ83" s="1"/>
      <c r="BA83" s="19"/>
      <c r="BB83" s="19"/>
      <c r="BC83" s="9"/>
      <c r="BD83" s="9"/>
      <c r="BE83" s="9"/>
      <c r="BF83" s="9"/>
      <c r="BG83" s="9"/>
      <c r="BH83" s="9"/>
      <c r="BI83" s="12"/>
      <c r="BJ83" s="13"/>
      <c r="BK83" s="1"/>
      <c r="BL83" s="1"/>
      <c r="BM83" s="1"/>
      <c r="BN83" s="1"/>
      <c r="BO83" s="1"/>
      <c r="BP83" s="1"/>
      <c r="BQ83" s="19"/>
      <c r="BR83" s="17"/>
    </row>
    <row r="84" spans="23:70" x14ac:dyDescent="0.25">
      <c r="W84" s="8"/>
      <c r="X84" s="8"/>
      <c r="Y84" s="8"/>
      <c r="Z84" s="8"/>
      <c r="AA84" s="8"/>
      <c r="AB84" s="8"/>
      <c r="AC84" s="12"/>
      <c r="AD84" s="12"/>
      <c r="AE84" s="1"/>
      <c r="AF84" s="1"/>
      <c r="AG84" s="1"/>
      <c r="AH84" s="1"/>
      <c r="AI84" s="1"/>
      <c r="AJ84" s="1"/>
      <c r="AK84" s="17"/>
      <c r="AL84" s="17"/>
      <c r="AM84" s="1"/>
      <c r="AN84" s="1"/>
      <c r="AO84" s="1"/>
      <c r="AP84" s="1"/>
      <c r="AQ84" s="1"/>
      <c r="AR84" s="1"/>
      <c r="AS84" s="12"/>
      <c r="AT84" s="12"/>
      <c r="AU84" s="1"/>
      <c r="AV84" s="1"/>
      <c r="AW84" s="1"/>
      <c r="AX84" s="1"/>
      <c r="AY84" s="1"/>
      <c r="AZ84" s="1"/>
      <c r="BA84" s="19"/>
      <c r="BB84" s="19"/>
      <c r="BC84" s="9"/>
      <c r="BD84" s="9"/>
      <c r="BE84" s="9"/>
      <c r="BF84" s="9"/>
      <c r="BG84" s="9"/>
      <c r="BH84" s="9"/>
      <c r="BI84" s="12"/>
      <c r="BJ84" s="13"/>
      <c r="BK84" s="1"/>
      <c r="BL84" s="1"/>
      <c r="BM84" s="1"/>
      <c r="BN84" s="1"/>
      <c r="BO84" s="1"/>
      <c r="BP84" s="1"/>
      <c r="BQ84" s="19"/>
      <c r="BR84" s="17"/>
    </row>
    <row r="85" spans="23:70" x14ac:dyDescent="0.25">
      <c r="W85" s="8"/>
      <c r="X85" s="8"/>
      <c r="Y85" s="8"/>
      <c r="Z85" s="8"/>
      <c r="AA85" s="8"/>
      <c r="AB85" s="8"/>
      <c r="AC85" s="12"/>
      <c r="AD85" s="12"/>
      <c r="AE85" s="1"/>
      <c r="AF85" s="1"/>
      <c r="AG85" s="1"/>
      <c r="AH85" s="1"/>
      <c r="AI85" s="1"/>
      <c r="AJ85" s="1"/>
      <c r="AK85" s="17"/>
      <c r="AL85" s="17"/>
      <c r="AM85" s="1"/>
      <c r="AN85" s="1"/>
      <c r="AO85" s="1"/>
      <c r="AP85" s="1"/>
      <c r="AQ85" s="1"/>
      <c r="AR85" s="1"/>
      <c r="AS85" s="12"/>
      <c r="AT85" s="12"/>
      <c r="AU85" s="1"/>
      <c r="AV85" s="1"/>
      <c r="AW85" s="1"/>
      <c r="AX85" s="1"/>
      <c r="AY85" s="1"/>
      <c r="AZ85" s="1"/>
      <c r="BA85" s="19"/>
      <c r="BB85" s="19"/>
      <c r="BC85" s="9"/>
      <c r="BD85" s="9"/>
      <c r="BE85" s="9"/>
      <c r="BF85" s="9"/>
      <c r="BG85" s="9"/>
      <c r="BH85" s="9"/>
      <c r="BI85" s="12"/>
      <c r="BJ85" s="13"/>
      <c r="BK85" s="1"/>
      <c r="BL85" s="1"/>
      <c r="BM85" s="1"/>
      <c r="BN85" s="1"/>
      <c r="BO85" s="1"/>
      <c r="BP85" s="1"/>
      <c r="BQ85" s="19"/>
      <c r="BR85" s="17"/>
    </row>
    <row r="86" spans="23:70" x14ac:dyDescent="0.25">
      <c r="W86" s="8"/>
      <c r="X86" s="8"/>
      <c r="Y86" s="8"/>
      <c r="Z86" s="8"/>
      <c r="AA86" s="8"/>
      <c r="AB86" s="8"/>
      <c r="AC86" s="12"/>
      <c r="AD86" s="12"/>
      <c r="AE86" s="1"/>
      <c r="AF86" s="1"/>
      <c r="AG86" s="1"/>
      <c r="AH86" s="1"/>
      <c r="AI86" s="1"/>
      <c r="AJ86" s="1"/>
      <c r="AK86" s="17"/>
      <c r="AL86" s="17"/>
      <c r="AM86" s="1"/>
      <c r="AN86" s="1"/>
      <c r="AO86" s="1"/>
      <c r="AP86" s="1"/>
      <c r="AQ86" s="1"/>
      <c r="AR86" s="1"/>
      <c r="AS86" s="12"/>
      <c r="AT86" s="12"/>
      <c r="AU86" s="1"/>
      <c r="AV86" s="1"/>
      <c r="AW86" s="1"/>
      <c r="AX86" s="1"/>
      <c r="AY86" s="1"/>
      <c r="AZ86" s="1"/>
      <c r="BA86" s="19"/>
      <c r="BB86" s="19"/>
      <c r="BC86" s="9"/>
      <c r="BD86" s="9"/>
      <c r="BE86" s="9"/>
      <c r="BF86" s="9"/>
      <c r="BG86" s="9"/>
      <c r="BH86" s="9"/>
      <c r="BI86" s="12"/>
      <c r="BJ86" s="13"/>
      <c r="BK86" s="1"/>
      <c r="BL86" s="1"/>
      <c r="BM86" s="1"/>
      <c r="BN86" s="1"/>
      <c r="BO86" s="1"/>
      <c r="BP86" s="1"/>
      <c r="BQ86" s="19"/>
      <c r="BR86" s="17"/>
    </row>
    <row r="87" spans="23:70" x14ac:dyDescent="0.25">
      <c r="W87" s="8"/>
      <c r="X87" s="8"/>
      <c r="Y87" s="8"/>
      <c r="Z87" s="8"/>
      <c r="AA87" s="8"/>
      <c r="AB87" s="8"/>
      <c r="AC87" s="12"/>
      <c r="AD87" s="12"/>
      <c r="AE87" s="1"/>
      <c r="AF87" s="1"/>
      <c r="AG87" s="1"/>
      <c r="AH87" s="1"/>
      <c r="AI87" s="1"/>
      <c r="AJ87" s="1"/>
      <c r="AK87" s="17"/>
      <c r="AL87" s="17"/>
      <c r="AM87" s="1"/>
      <c r="AN87" s="1"/>
      <c r="AO87" s="1"/>
      <c r="AP87" s="1"/>
      <c r="AQ87" s="1"/>
      <c r="AR87" s="1"/>
      <c r="AS87" s="12"/>
      <c r="AT87" s="12"/>
      <c r="AU87" s="1"/>
      <c r="AV87" s="1"/>
      <c r="AW87" s="1"/>
      <c r="AX87" s="1"/>
      <c r="AY87" s="1"/>
      <c r="AZ87" s="1"/>
      <c r="BA87" s="19"/>
      <c r="BB87" s="19"/>
      <c r="BC87" s="9"/>
      <c r="BD87" s="9"/>
      <c r="BE87" s="9"/>
      <c r="BF87" s="9"/>
      <c r="BG87" s="9"/>
      <c r="BH87" s="9"/>
      <c r="BI87" s="12"/>
      <c r="BJ87" s="13"/>
      <c r="BK87" s="1"/>
      <c r="BL87" s="1"/>
      <c r="BM87" s="1"/>
      <c r="BN87" s="1"/>
      <c r="BO87" s="1"/>
      <c r="BP87" s="1"/>
      <c r="BQ87" s="19"/>
      <c r="BR87" s="17"/>
    </row>
    <row r="88" spans="23:70" x14ac:dyDescent="0.25">
      <c r="W88" s="8"/>
      <c r="X88" s="8"/>
      <c r="Y88" s="8"/>
      <c r="Z88" s="8"/>
      <c r="AA88" s="8"/>
      <c r="AB88" s="8"/>
      <c r="AC88" s="12"/>
      <c r="AD88" s="12"/>
      <c r="AE88" s="1"/>
      <c r="AF88" s="1"/>
      <c r="AG88" s="1"/>
      <c r="AH88" s="1"/>
      <c r="AI88" s="1"/>
      <c r="AJ88" s="1"/>
      <c r="AK88" s="17"/>
      <c r="AL88" s="17"/>
      <c r="AM88" s="1"/>
      <c r="AN88" s="1"/>
      <c r="AO88" s="1"/>
      <c r="AP88" s="1"/>
      <c r="AQ88" s="1"/>
      <c r="AR88" s="1"/>
      <c r="AS88" s="12"/>
      <c r="AT88" s="12"/>
      <c r="AU88" s="1"/>
      <c r="AV88" s="1"/>
      <c r="AW88" s="1"/>
      <c r="AX88" s="1"/>
      <c r="AY88" s="1"/>
      <c r="AZ88" s="1"/>
      <c r="BA88" s="19"/>
      <c r="BB88" s="19"/>
      <c r="BC88" s="9"/>
      <c r="BD88" s="9"/>
      <c r="BE88" s="9"/>
      <c r="BF88" s="9"/>
      <c r="BG88" s="9"/>
      <c r="BH88" s="9"/>
      <c r="BI88" s="12"/>
      <c r="BJ88" s="13"/>
      <c r="BK88" s="1"/>
      <c r="BL88" s="1"/>
      <c r="BM88" s="1"/>
      <c r="BN88" s="1"/>
      <c r="BO88" s="1"/>
      <c r="BP88" s="1"/>
      <c r="BQ88" s="19"/>
      <c r="BR88" s="17"/>
    </row>
    <row r="89" spans="23:70" x14ac:dyDescent="0.25">
      <c r="W89" s="8"/>
      <c r="X89" s="8"/>
      <c r="Y89" s="8"/>
      <c r="Z89" s="8"/>
      <c r="AA89" s="8"/>
      <c r="AB89" s="8"/>
      <c r="AC89" s="12"/>
      <c r="AD89" s="12"/>
      <c r="AE89" s="1"/>
      <c r="AF89" s="1"/>
      <c r="AG89" s="1"/>
      <c r="AH89" s="1"/>
      <c r="AI89" s="1"/>
      <c r="AJ89" s="1"/>
      <c r="AK89" s="17"/>
      <c r="AL89" s="17"/>
      <c r="AM89" s="1"/>
      <c r="AN89" s="1"/>
      <c r="AO89" s="1"/>
      <c r="AP89" s="1"/>
      <c r="AQ89" s="1"/>
      <c r="AR89" s="1"/>
      <c r="AS89" s="12"/>
      <c r="AT89" s="12"/>
      <c r="AU89" s="1"/>
      <c r="AV89" s="1"/>
      <c r="AW89" s="1"/>
      <c r="AX89" s="1"/>
      <c r="AY89" s="1"/>
      <c r="AZ89" s="1"/>
      <c r="BA89" s="19"/>
      <c r="BB89" s="19"/>
      <c r="BC89" s="9"/>
      <c r="BD89" s="9"/>
      <c r="BE89" s="9"/>
      <c r="BF89" s="9"/>
      <c r="BG89" s="9"/>
      <c r="BH89" s="9"/>
      <c r="BI89" s="12"/>
      <c r="BJ89" s="13"/>
      <c r="BK89" s="1"/>
      <c r="BL89" s="1"/>
      <c r="BM89" s="1"/>
      <c r="BN89" s="1"/>
      <c r="BO89" s="1"/>
      <c r="BP89" s="1"/>
      <c r="BQ89" s="19"/>
      <c r="BR89" s="17"/>
    </row>
    <row r="90" spans="23:70" x14ac:dyDescent="0.25">
      <c r="W90" s="8"/>
      <c r="X90" s="8"/>
      <c r="Y90" s="8"/>
      <c r="Z90" s="8"/>
      <c r="AA90" s="8"/>
      <c r="AB90" s="8"/>
      <c r="AC90" s="12"/>
      <c r="AD90" s="12"/>
      <c r="AE90" s="1"/>
      <c r="AF90" s="1"/>
      <c r="AG90" s="1"/>
      <c r="AH90" s="1"/>
      <c r="AI90" s="1"/>
      <c r="AJ90" s="1"/>
      <c r="AK90" s="17"/>
      <c r="AL90" s="17"/>
      <c r="AM90" s="1"/>
      <c r="AN90" s="1"/>
      <c r="AO90" s="1"/>
      <c r="AP90" s="1"/>
      <c r="AQ90" s="1"/>
      <c r="AR90" s="1"/>
      <c r="AS90" s="12"/>
      <c r="AT90" s="12"/>
      <c r="AU90" s="1"/>
      <c r="AV90" s="1"/>
      <c r="AW90" s="1"/>
      <c r="AX90" s="1"/>
      <c r="AY90" s="1"/>
      <c r="AZ90" s="1"/>
      <c r="BA90" s="19"/>
      <c r="BB90" s="19"/>
      <c r="BC90" s="9"/>
      <c r="BD90" s="9"/>
      <c r="BE90" s="9"/>
      <c r="BF90" s="9"/>
      <c r="BG90" s="9"/>
      <c r="BH90" s="9"/>
      <c r="BI90" s="12"/>
      <c r="BJ90" s="13"/>
      <c r="BK90" s="1"/>
      <c r="BL90" s="1"/>
      <c r="BM90" s="1"/>
      <c r="BN90" s="1"/>
      <c r="BO90" s="1"/>
      <c r="BP90" s="1"/>
      <c r="BQ90" s="19"/>
      <c r="BR90" s="17"/>
    </row>
    <row r="91" spans="23:70" x14ac:dyDescent="0.25">
      <c r="W91" s="8"/>
      <c r="X91" s="8"/>
      <c r="Y91" s="8"/>
      <c r="Z91" s="8"/>
      <c r="AA91" s="8"/>
      <c r="AB91" s="8"/>
      <c r="AC91" s="12"/>
      <c r="AD91" s="12"/>
      <c r="AE91" s="1"/>
      <c r="AF91" s="1"/>
      <c r="AG91" s="1"/>
      <c r="AH91" s="1"/>
      <c r="AI91" s="1"/>
      <c r="AJ91" s="1"/>
      <c r="AK91" s="17"/>
      <c r="AL91" s="17"/>
      <c r="AM91" s="1"/>
      <c r="AN91" s="1"/>
      <c r="AO91" s="1"/>
      <c r="AP91" s="1"/>
      <c r="AQ91" s="1"/>
      <c r="AR91" s="1"/>
      <c r="AS91" s="12"/>
      <c r="AT91" s="12"/>
      <c r="AU91" s="1"/>
      <c r="AV91" s="1"/>
      <c r="AW91" s="1"/>
      <c r="AX91" s="1"/>
      <c r="AY91" s="1"/>
      <c r="AZ91" s="1"/>
      <c r="BA91" s="19"/>
      <c r="BB91" s="19"/>
      <c r="BC91" s="9"/>
      <c r="BD91" s="9"/>
      <c r="BE91" s="9"/>
      <c r="BF91" s="9"/>
      <c r="BG91" s="9"/>
      <c r="BH91" s="9"/>
      <c r="BI91" s="12"/>
      <c r="BJ91" s="13"/>
      <c r="BK91" s="1"/>
      <c r="BL91" s="1"/>
      <c r="BM91" s="1"/>
      <c r="BN91" s="1"/>
      <c r="BO91" s="1"/>
      <c r="BP91" s="1"/>
      <c r="BQ91" s="19"/>
      <c r="BR91" s="17"/>
    </row>
    <row r="92" spans="23:70" x14ac:dyDescent="0.25">
      <c r="W92" s="8"/>
      <c r="X92" s="8"/>
      <c r="Y92" s="8"/>
      <c r="Z92" s="8"/>
      <c r="AA92" s="8"/>
      <c r="AB92" s="8"/>
      <c r="AC92" s="12"/>
      <c r="AD92" s="12"/>
      <c r="AE92" s="1"/>
      <c r="AF92" s="1"/>
      <c r="AG92" s="1"/>
      <c r="AH92" s="1"/>
      <c r="AI92" s="1"/>
      <c r="AJ92" s="1"/>
      <c r="AK92" s="17"/>
      <c r="AL92" s="17"/>
      <c r="AM92" s="1"/>
      <c r="AN92" s="1"/>
      <c r="AO92" s="1"/>
      <c r="AP92" s="1"/>
      <c r="AQ92" s="1"/>
      <c r="AR92" s="1"/>
      <c r="AS92" s="12"/>
      <c r="AT92" s="12"/>
      <c r="AU92" s="1"/>
      <c r="AV92" s="1"/>
      <c r="AW92" s="1"/>
      <c r="AX92" s="1"/>
      <c r="AY92" s="1"/>
      <c r="AZ92" s="1"/>
      <c r="BA92" s="19"/>
      <c r="BB92" s="19"/>
      <c r="BC92" s="9"/>
      <c r="BD92" s="9"/>
      <c r="BE92" s="9"/>
      <c r="BF92" s="9"/>
      <c r="BG92" s="9"/>
      <c r="BH92" s="9"/>
      <c r="BI92" s="12"/>
      <c r="BJ92" s="13"/>
      <c r="BK92" s="1"/>
      <c r="BL92" s="1"/>
      <c r="BM92" s="1"/>
      <c r="BN92" s="1"/>
      <c r="BO92" s="1"/>
      <c r="BP92" s="1"/>
      <c r="BQ92" s="19"/>
      <c r="BR92" s="17"/>
    </row>
    <row r="93" spans="23:70" x14ac:dyDescent="0.25">
      <c r="W93" s="8"/>
      <c r="X93" s="8"/>
      <c r="Y93" s="8"/>
      <c r="Z93" s="8"/>
      <c r="AA93" s="8"/>
      <c r="AB93" s="8"/>
      <c r="AC93" s="12"/>
      <c r="AD93" s="12"/>
      <c r="AE93" s="1"/>
      <c r="AF93" s="1"/>
      <c r="AG93" s="1"/>
      <c r="AH93" s="1"/>
      <c r="AI93" s="1"/>
      <c r="AJ93" s="1"/>
      <c r="AK93" s="17"/>
      <c r="AL93" s="17"/>
      <c r="AM93" s="1"/>
      <c r="AN93" s="1"/>
      <c r="AO93" s="1"/>
      <c r="AP93" s="1"/>
      <c r="AQ93" s="1"/>
      <c r="AR93" s="1"/>
      <c r="AS93" s="12"/>
      <c r="AT93" s="12"/>
      <c r="AU93" s="1"/>
      <c r="AV93" s="1"/>
      <c r="AW93" s="1"/>
      <c r="AX93" s="1"/>
      <c r="AY93" s="1"/>
      <c r="AZ93" s="1"/>
      <c r="BA93" s="19"/>
      <c r="BB93" s="19"/>
      <c r="BC93" s="9"/>
      <c r="BD93" s="9"/>
      <c r="BE93" s="9"/>
      <c r="BF93" s="9"/>
      <c r="BG93" s="9"/>
      <c r="BH93" s="9"/>
      <c r="BI93" s="12"/>
      <c r="BJ93" s="13"/>
      <c r="BK93" s="1"/>
      <c r="BL93" s="1"/>
      <c r="BM93" s="1"/>
      <c r="BN93" s="1"/>
      <c r="BO93" s="1"/>
      <c r="BP93" s="1"/>
      <c r="BQ93" s="19"/>
      <c r="BR93" s="17"/>
    </row>
    <row r="94" spans="23:70" x14ac:dyDescent="0.25">
      <c r="W94" s="8"/>
      <c r="X94" s="8"/>
      <c r="Y94" s="8"/>
      <c r="Z94" s="8"/>
      <c r="AA94" s="8"/>
      <c r="AB94" s="8"/>
      <c r="AC94" s="12"/>
      <c r="AD94" s="12"/>
      <c r="AE94" s="1"/>
      <c r="AF94" s="1"/>
      <c r="AG94" s="1"/>
      <c r="AH94" s="1"/>
      <c r="AI94" s="1"/>
      <c r="AJ94" s="1"/>
      <c r="AK94" s="17"/>
      <c r="AL94" s="17"/>
      <c r="AM94" s="1"/>
      <c r="AN94" s="1"/>
      <c r="AO94" s="1"/>
      <c r="AP94" s="1"/>
      <c r="AQ94" s="1"/>
      <c r="AR94" s="1"/>
      <c r="AS94" s="12"/>
      <c r="AT94" s="12"/>
      <c r="AU94" s="1"/>
      <c r="AV94" s="1"/>
      <c r="AW94" s="1"/>
      <c r="AX94" s="1"/>
      <c r="AY94" s="1"/>
      <c r="AZ94" s="1"/>
      <c r="BA94" s="19"/>
      <c r="BB94" s="19"/>
      <c r="BC94" s="9"/>
      <c r="BD94" s="9"/>
      <c r="BE94" s="9"/>
      <c r="BF94" s="9"/>
      <c r="BG94" s="9"/>
      <c r="BH94" s="9"/>
      <c r="BI94" s="12"/>
      <c r="BJ94" s="13"/>
      <c r="BK94" s="1"/>
      <c r="BL94" s="1"/>
      <c r="BM94" s="1"/>
      <c r="BN94" s="1"/>
      <c r="BO94" s="1"/>
      <c r="BP94" s="1"/>
      <c r="BQ94" s="19"/>
      <c r="BR94" s="17"/>
    </row>
    <row r="95" spans="23:70" x14ac:dyDescent="0.25">
      <c r="W95" s="8"/>
      <c r="X95" s="8"/>
      <c r="Y95" s="8"/>
      <c r="Z95" s="8"/>
      <c r="AA95" s="8"/>
      <c r="AB95" s="8"/>
      <c r="AC95" s="12"/>
      <c r="AD95" s="12"/>
      <c r="AE95" s="1"/>
      <c r="AF95" s="1"/>
      <c r="AG95" s="1"/>
      <c r="AH95" s="1"/>
      <c r="AI95" s="1"/>
      <c r="AJ95" s="1"/>
      <c r="AK95" s="17"/>
      <c r="AL95" s="17"/>
      <c r="AM95" s="1"/>
      <c r="AN95" s="1"/>
      <c r="AO95" s="1"/>
      <c r="AP95" s="1"/>
      <c r="AQ95" s="1"/>
      <c r="AR95" s="1"/>
      <c r="AS95" s="12"/>
      <c r="AT95" s="12"/>
      <c r="AU95" s="1"/>
      <c r="AV95" s="1"/>
      <c r="AW95" s="1"/>
      <c r="AX95" s="1"/>
      <c r="AY95" s="1"/>
      <c r="AZ95" s="1"/>
      <c r="BA95" s="19"/>
      <c r="BB95" s="19"/>
      <c r="BC95" s="9"/>
      <c r="BD95" s="9"/>
      <c r="BE95" s="9"/>
      <c r="BF95" s="9"/>
      <c r="BG95" s="9"/>
      <c r="BH95" s="9"/>
      <c r="BI95" s="12"/>
      <c r="BJ95" s="13"/>
      <c r="BK95" s="1"/>
      <c r="BL95" s="1"/>
      <c r="BM95" s="1"/>
      <c r="BN95" s="1"/>
      <c r="BO95" s="1"/>
      <c r="BP95" s="1"/>
      <c r="BQ95" s="19"/>
      <c r="BR95" s="17"/>
    </row>
    <row r="96" spans="23:70" x14ac:dyDescent="0.25">
      <c r="W96" s="8"/>
      <c r="X96" s="8"/>
      <c r="Y96" s="8"/>
      <c r="Z96" s="8"/>
      <c r="AA96" s="8"/>
      <c r="AB96" s="8"/>
      <c r="AC96" s="12"/>
      <c r="AD96" s="12"/>
      <c r="AE96" s="1"/>
      <c r="AF96" s="1"/>
      <c r="AG96" s="1"/>
      <c r="AH96" s="1"/>
      <c r="AI96" s="1"/>
      <c r="AJ96" s="1"/>
      <c r="AK96" s="17"/>
      <c r="AL96" s="17"/>
      <c r="AM96" s="1"/>
      <c r="AN96" s="1"/>
      <c r="AO96" s="1"/>
      <c r="AP96" s="1"/>
      <c r="AQ96" s="1"/>
      <c r="AR96" s="1"/>
      <c r="AS96" s="12"/>
      <c r="AT96" s="12"/>
      <c r="AU96" s="1"/>
      <c r="AV96" s="1"/>
      <c r="AW96" s="1"/>
      <c r="AX96" s="1"/>
      <c r="AY96" s="1"/>
      <c r="AZ96" s="1"/>
      <c r="BA96" s="19"/>
      <c r="BB96" s="19"/>
      <c r="BC96" s="9"/>
      <c r="BD96" s="9"/>
      <c r="BE96" s="9"/>
      <c r="BF96" s="9"/>
      <c r="BG96" s="9"/>
      <c r="BH96" s="9"/>
      <c r="BI96" s="12"/>
      <c r="BJ96" s="13"/>
      <c r="BK96" s="1"/>
      <c r="BL96" s="1"/>
      <c r="BM96" s="1"/>
      <c r="BN96" s="1"/>
      <c r="BO96" s="1"/>
      <c r="BP96" s="1"/>
      <c r="BQ96" s="19"/>
      <c r="BR96" s="17"/>
    </row>
    <row r="97" spans="23:70" x14ac:dyDescent="0.25">
      <c r="W97" s="8"/>
      <c r="X97" s="8"/>
      <c r="Y97" s="8"/>
      <c r="Z97" s="8"/>
      <c r="AA97" s="8"/>
      <c r="AB97" s="8"/>
      <c r="AC97" s="12"/>
      <c r="AD97" s="12"/>
      <c r="AE97" s="1"/>
      <c r="AF97" s="1"/>
      <c r="AG97" s="1"/>
      <c r="AH97" s="1"/>
      <c r="AI97" s="1"/>
      <c r="AJ97" s="1"/>
      <c r="AK97" s="17"/>
      <c r="AL97" s="17"/>
      <c r="AM97" s="1"/>
      <c r="AN97" s="1"/>
      <c r="AO97" s="1"/>
      <c r="AP97" s="1"/>
      <c r="AQ97" s="1"/>
      <c r="AR97" s="1"/>
      <c r="AS97" s="12"/>
      <c r="AT97" s="12"/>
      <c r="AU97" s="1"/>
      <c r="AV97" s="1"/>
      <c r="AW97" s="1"/>
      <c r="AX97" s="1"/>
      <c r="AY97" s="1"/>
      <c r="AZ97" s="1"/>
      <c r="BA97" s="19"/>
      <c r="BB97" s="19"/>
      <c r="BC97" s="9"/>
      <c r="BD97" s="9"/>
      <c r="BE97" s="9"/>
      <c r="BF97" s="9"/>
      <c r="BG97" s="9"/>
      <c r="BH97" s="9"/>
      <c r="BI97" s="12"/>
      <c r="BJ97" s="13"/>
      <c r="BK97" s="1"/>
      <c r="BL97" s="1"/>
      <c r="BM97" s="1"/>
      <c r="BN97" s="1"/>
      <c r="BO97" s="1"/>
      <c r="BP97" s="1"/>
      <c r="BQ97" s="19"/>
      <c r="BR97" s="17"/>
    </row>
    <row r="98" spans="23:70" x14ac:dyDescent="0.25">
      <c r="W98" s="8"/>
      <c r="X98" s="8"/>
      <c r="Y98" s="8"/>
      <c r="Z98" s="8"/>
      <c r="AA98" s="8"/>
      <c r="AB98" s="8"/>
      <c r="AC98" s="12"/>
      <c r="AD98" s="12"/>
      <c r="AE98" s="1"/>
      <c r="AF98" s="1"/>
      <c r="AG98" s="1"/>
      <c r="AH98" s="1"/>
      <c r="AI98" s="1"/>
      <c r="AJ98" s="1"/>
      <c r="AK98" s="17"/>
      <c r="AL98" s="17"/>
      <c r="AM98" s="1"/>
      <c r="AN98" s="1"/>
      <c r="AO98" s="1"/>
      <c r="AP98" s="1"/>
      <c r="AQ98" s="1"/>
      <c r="AR98" s="1"/>
      <c r="AS98" s="12"/>
      <c r="AT98" s="12"/>
      <c r="AU98" s="1"/>
      <c r="AV98" s="1"/>
      <c r="AW98" s="1"/>
      <c r="AX98" s="1"/>
      <c r="AY98" s="1"/>
      <c r="AZ98" s="1"/>
      <c r="BA98" s="19"/>
      <c r="BB98" s="19"/>
      <c r="BC98" s="9"/>
      <c r="BD98" s="9"/>
      <c r="BE98" s="9"/>
      <c r="BF98" s="9"/>
      <c r="BG98" s="9"/>
      <c r="BH98" s="9"/>
      <c r="BI98" s="12"/>
      <c r="BJ98" s="13"/>
      <c r="BK98" s="1"/>
      <c r="BL98" s="1"/>
      <c r="BM98" s="1"/>
      <c r="BN98" s="1"/>
      <c r="BO98" s="1"/>
      <c r="BP98" s="1"/>
      <c r="BQ98" s="19"/>
      <c r="BR98" s="17"/>
    </row>
    <row r="99" spans="23:70" x14ac:dyDescent="0.25">
      <c r="W99" s="8"/>
      <c r="X99" s="8"/>
      <c r="Y99" s="8"/>
      <c r="Z99" s="8"/>
      <c r="AA99" s="8"/>
      <c r="AB99" s="8"/>
      <c r="AC99" s="12"/>
      <c r="AD99" s="12"/>
      <c r="AE99" s="1"/>
      <c r="AF99" s="1"/>
      <c r="AG99" s="1"/>
      <c r="AH99" s="1"/>
      <c r="AI99" s="1"/>
      <c r="AJ99" s="1"/>
      <c r="AK99" s="17"/>
      <c r="AL99" s="17"/>
      <c r="AM99" s="1"/>
      <c r="AN99" s="1"/>
      <c r="AO99" s="1"/>
      <c r="AP99" s="1"/>
      <c r="AQ99" s="1"/>
      <c r="AR99" s="1"/>
      <c r="AS99" s="12"/>
      <c r="AT99" s="12"/>
      <c r="AU99" s="1"/>
      <c r="AV99" s="1"/>
      <c r="AW99" s="1"/>
      <c r="AX99" s="1"/>
      <c r="AY99" s="1"/>
      <c r="AZ99" s="1"/>
      <c r="BA99" s="19"/>
      <c r="BB99" s="19"/>
      <c r="BC99" s="9"/>
      <c r="BD99" s="9"/>
      <c r="BE99" s="9"/>
      <c r="BF99" s="9"/>
      <c r="BG99" s="9"/>
      <c r="BH99" s="9"/>
      <c r="BI99" s="12"/>
      <c r="BJ99" s="13"/>
      <c r="BK99" s="1"/>
      <c r="BL99" s="1"/>
      <c r="BM99" s="1"/>
      <c r="BN99" s="1"/>
      <c r="BO99" s="1"/>
      <c r="BP99" s="1"/>
      <c r="BQ99" s="19"/>
      <c r="BR99" s="17"/>
    </row>
    <row r="100" spans="23:70" x14ac:dyDescent="0.25">
      <c r="W100" s="8"/>
      <c r="X100" s="8"/>
      <c r="Y100" s="8"/>
      <c r="Z100" s="8"/>
      <c r="AA100" s="8"/>
      <c r="AB100" s="8"/>
      <c r="AC100" s="12"/>
      <c r="AD100" s="12"/>
      <c r="AE100" s="1"/>
      <c r="AF100" s="1"/>
      <c r="AG100" s="1"/>
      <c r="AH100" s="1"/>
      <c r="AI100" s="1"/>
      <c r="AJ100" s="1"/>
      <c r="AK100" s="17"/>
      <c r="AL100" s="17"/>
      <c r="AM100" s="1"/>
      <c r="AN100" s="1"/>
      <c r="AO100" s="1"/>
      <c r="AP100" s="1"/>
      <c r="AQ100" s="1"/>
      <c r="AR100" s="1"/>
      <c r="AS100" s="12"/>
      <c r="AT100" s="12"/>
      <c r="AU100" s="1"/>
      <c r="AV100" s="1"/>
      <c r="AW100" s="1"/>
      <c r="AX100" s="1"/>
      <c r="AY100" s="1"/>
      <c r="AZ100" s="1"/>
      <c r="BA100" s="19"/>
      <c r="BB100" s="19"/>
      <c r="BC100" s="9"/>
      <c r="BD100" s="9"/>
      <c r="BE100" s="9"/>
      <c r="BF100" s="9"/>
      <c r="BG100" s="9"/>
      <c r="BH100" s="9"/>
      <c r="BI100" s="12"/>
      <c r="BJ100" s="13"/>
      <c r="BK100" s="1"/>
      <c r="BL100" s="1"/>
      <c r="BM100" s="1"/>
      <c r="BN100" s="1"/>
      <c r="BO100" s="1"/>
      <c r="BP100" s="1"/>
      <c r="BQ100" s="19"/>
      <c r="BR100" s="17"/>
    </row>
    <row r="101" spans="23:70" x14ac:dyDescent="0.25">
      <c r="W101" s="8"/>
      <c r="X101" s="8"/>
      <c r="Y101" s="8"/>
      <c r="Z101" s="8"/>
      <c r="AA101" s="8"/>
      <c r="AB101" s="8"/>
      <c r="AC101" s="12"/>
      <c r="AD101" s="12"/>
      <c r="AE101" s="1"/>
      <c r="AF101" s="1"/>
      <c r="AG101" s="1"/>
      <c r="AH101" s="1"/>
      <c r="AI101" s="1"/>
      <c r="AJ101" s="1"/>
      <c r="AK101" s="17"/>
      <c r="AL101" s="17"/>
      <c r="AM101" s="1"/>
      <c r="AN101" s="1"/>
      <c r="AO101" s="1"/>
      <c r="AP101" s="1"/>
      <c r="AQ101" s="1"/>
      <c r="AR101" s="1"/>
      <c r="AS101" s="12"/>
      <c r="AT101" s="12"/>
      <c r="AU101" s="1"/>
      <c r="AV101" s="1"/>
      <c r="AW101" s="1"/>
      <c r="AX101" s="1"/>
      <c r="AY101" s="1"/>
      <c r="AZ101" s="1"/>
      <c r="BA101" s="19"/>
      <c r="BB101" s="19"/>
      <c r="BC101" s="9"/>
      <c r="BD101" s="9"/>
      <c r="BE101" s="9"/>
      <c r="BF101" s="9"/>
      <c r="BG101" s="9"/>
      <c r="BH101" s="9"/>
      <c r="BI101" s="12"/>
      <c r="BJ101" s="13"/>
      <c r="BK101" s="1"/>
      <c r="BL101" s="1"/>
      <c r="BM101" s="1"/>
      <c r="BN101" s="1"/>
      <c r="BO101" s="1"/>
      <c r="BP101" s="1"/>
      <c r="BQ101" s="19"/>
      <c r="BR101" s="17"/>
    </row>
    <row r="102" spans="23:70" x14ac:dyDescent="0.25">
      <c r="W102" s="8"/>
      <c r="X102" s="8"/>
      <c r="Y102" s="8"/>
      <c r="Z102" s="8"/>
      <c r="AA102" s="8"/>
      <c r="AB102" s="8"/>
      <c r="AC102" s="12"/>
      <c r="AD102" s="12"/>
      <c r="AE102" s="1"/>
      <c r="AF102" s="1"/>
      <c r="AG102" s="1"/>
      <c r="AH102" s="1"/>
      <c r="AI102" s="1"/>
      <c r="AJ102" s="1"/>
      <c r="AK102" s="17"/>
      <c r="AL102" s="17"/>
      <c r="AM102" s="1"/>
      <c r="AN102" s="1"/>
      <c r="AO102" s="1"/>
      <c r="AP102" s="1"/>
      <c r="AQ102" s="1"/>
      <c r="AR102" s="1"/>
      <c r="AS102" s="12"/>
      <c r="AT102" s="12"/>
      <c r="AU102" s="1"/>
      <c r="AV102" s="1"/>
      <c r="AW102" s="1"/>
      <c r="AX102" s="1"/>
      <c r="AY102" s="1"/>
      <c r="AZ102" s="1"/>
      <c r="BA102" s="19"/>
      <c r="BB102" s="19"/>
      <c r="BC102" s="9"/>
      <c r="BD102" s="9"/>
      <c r="BE102" s="9"/>
      <c r="BF102" s="9"/>
      <c r="BG102" s="9"/>
      <c r="BH102" s="9"/>
      <c r="BI102" s="12"/>
      <c r="BJ102" s="13"/>
      <c r="BK102" s="1"/>
      <c r="BL102" s="1"/>
      <c r="BM102" s="1"/>
      <c r="BN102" s="1"/>
      <c r="BO102" s="1"/>
      <c r="BP102" s="1"/>
      <c r="BQ102" s="19"/>
      <c r="BR102" s="17"/>
    </row>
    <row r="103" spans="23:70" x14ac:dyDescent="0.25">
      <c r="W103" s="8"/>
      <c r="X103" s="8"/>
      <c r="Y103" s="8"/>
      <c r="Z103" s="8"/>
      <c r="AA103" s="8"/>
      <c r="AB103" s="8"/>
      <c r="AC103" s="12"/>
      <c r="AD103" s="12"/>
      <c r="AE103" s="1"/>
      <c r="AF103" s="1"/>
      <c r="AG103" s="1"/>
      <c r="AH103" s="1"/>
      <c r="AI103" s="1"/>
      <c r="AJ103" s="1"/>
      <c r="AK103" s="17"/>
      <c r="AL103" s="17"/>
      <c r="AM103" s="1"/>
      <c r="AN103" s="1"/>
      <c r="AO103" s="1"/>
      <c r="AP103" s="1"/>
      <c r="AQ103" s="1"/>
      <c r="AR103" s="1"/>
      <c r="AS103" s="12"/>
      <c r="AT103" s="12"/>
      <c r="AU103" s="1"/>
      <c r="AV103" s="1"/>
      <c r="AW103" s="1"/>
      <c r="AX103" s="1"/>
      <c r="AY103" s="1"/>
      <c r="AZ103" s="1"/>
      <c r="BA103" s="19"/>
      <c r="BB103" s="19"/>
      <c r="BC103" s="9"/>
      <c r="BD103" s="9"/>
      <c r="BE103" s="9"/>
      <c r="BF103" s="9"/>
      <c r="BG103" s="9"/>
      <c r="BH103" s="9"/>
      <c r="BI103" s="12"/>
      <c r="BJ103" s="13"/>
      <c r="BK103" s="1"/>
      <c r="BL103" s="1"/>
      <c r="BM103" s="1"/>
      <c r="BN103" s="1"/>
      <c r="BO103" s="1"/>
      <c r="BP103" s="1"/>
      <c r="BQ103" s="19"/>
      <c r="BR103" s="17"/>
    </row>
    <row r="104" spans="23:70" x14ac:dyDescent="0.25">
      <c r="W104" s="8"/>
      <c r="X104" s="8"/>
      <c r="Y104" s="8"/>
      <c r="Z104" s="8"/>
      <c r="AA104" s="8"/>
      <c r="AB104" s="8"/>
      <c r="AC104" s="12"/>
      <c r="AD104" s="12"/>
      <c r="AE104" s="1"/>
      <c r="AF104" s="1"/>
      <c r="AG104" s="1"/>
      <c r="AH104" s="1"/>
      <c r="AI104" s="1"/>
      <c r="AJ104" s="1"/>
      <c r="AK104" s="17"/>
      <c r="AL104" s="17"/>
      <c r="AM104" s="1"/>
      <c r="AN104" s="1"/>
      <c r="AO104" s="1"/>
      <c r="AP104" s="1"/>
      <c r="AQ104" s="1"/>
      <c r="AR104" s="1"/>
      <c r="AS104" s="12"/>
      <c r="AT104" s="12"/>
      <c r="AU104" s="1"/>
      <c r="AV104" s="1"/>
      <c r="AW104" s="1"/>
      <c r="AX104" s="1"/>
      <c r="AY104" s="1"/>
      <c r="AZ104" s="1"/>
      <c r="BA104" s="19"/>
      <c r="BB104" s="19"/>
      <c r="BC104" s="9"/>
      <c r="BD104" s="9"/>
      <c r="BE104" s="9"/>
      <c r="BF104" s="9"/>
      <c r="BG104" s="9"/>
      <c r="BH104" s="9"/>
      <c r="BI104" s="12"/>
      <c r="BJ104" s="13"/>
      <c r="BK104" s="1"/>
      <c r="BL104" s="1"/>
      <c r="BM104" s="1"/>
      <c r="BN104" s="1"/>
      <c r="BO104" s="1"/>
      <c r="BP104" s="1"/>
      <c r="BQ104" s="19"/>
      <c r="BR104" s="17"/>
    </row>
    <row r="105" spans="23:70" x14ac:dyDescent="0.25">
      <c r="W105" s="8"/>
      <c r="X105" s="8"/>
      <c r="Y105" s="8"/>
      <c r="Z105" s="8"/>
      <c r="AA105" s="8"/>
      <c r="AB105" s="8"/>
      <c r="AC105" s="12"/>
      <c r="AD105" s="12"/>
      <c r="AE105" s="1"/>
      <c r="AF105" s="1"/>
      <c r="AG105" s="1"/>
      <c r="AH105" s="1"/>
      <c r="AI105" s="1"/>
      <c r="AJ105" s="1"/>
      <c r="AK105" s="17"/>
      <c r="AL105" s="17"/>
      <c r="AM105" s="1"/>
      <c r="AN105" s="1"/>
      <c r="AO105" s="1"/>
      <c r="AP105" s="1"/>
      <c r="AQ105" s="1"/>
      <c r="AR105" s="1"/>
      <c r="AS105" s="12"/>
      <c r="AT105" s="12"/>
      <c r="AU105" s="1"/>
      <c r="AV105" s="1"/>
      <c r="AW105" s="1"/>
      <c r="AX105" s="1"/>
      <c r="AY105" s="1"/>
      <c r="AZ105" s="1"/>
      <c r="BA105" s="19"/>
      <c r="BB105" s="19"/>
      <c r="BC105" s="9"/>
      <c r="BD105" s="9"/>
      <c r="BE105" s="9"/>
      <c r="BF105" s="9"/>
      <c r="BG105" s="9"/>
      <c r="BH105" s="9"/>
      <c r="BI105" s="12"/>
      <c r="BJ105" s="13"/>
      <c r="BK105" s="1"/>
      <c r="BL105" s="1"/>
      <c r="BM105" s="1"/>
      <c r="BN105" s="1"/>
      <c r="BO105" s="1"/>
      <c r="BP105" s="1"/>
      <c r="BQ105" s="19"/>
      <c r="BR105" s="17"/>
    </row>
    <row r="106" spans="23:70" x14ac:dyDescent="0.25">
      <c r="W106" s="8"/>
      <c r="X106" s="8"/>
      <c r="Y106" s="8"/>
      <c r="Z106" s="8"/>
      <c r="AA106" s="8"/>
      <c r="AB106" s="8"/>
      <c r="AC106" s="12"/>
      <c r="AD106" s="12"/>
      <c r="AE106" s="1"/>
      <c r="AF106" s="1"/>
      <c r="AG106" s="1"/>
      <c r="AH106" s="1"/>
      <c r="AI106" s="1"/>
      <c r="AJ106" s="1"/>
      <c r="AK106" s="17"/>
      <c r="AL106" s="17"/>
      <c r="AM106" s="1"/>
      <c r="AN106" s="1"/>
      <c r="AO106" s="1"/>
      <c r="AP106" s="1"/>
      <c r="AQ106" s="1"/>
      <c r="AR106" s="1"/>
      <c r="AS106" s="12"/>
      <c r="AT106" s="12"/>
      <c r="AU106" s="1"/>
      <c r="AV106" s="1"/>
      <c r="AW106" s="1"/>
      <c r="AX106" s="1"/>
      <c r="AY106" s="1"/>
      <c r="AZ106" s="1"/>
      <c r="BA106" s="19"/>
      <c r="BB106" s="19"/>
      <c r="BC106" s="9"/>
      <c r="BD106" s="9"/>
      <c r="BE106" s="9"/>
      <c r="BF106" s="9"/>
      <c r="BG106" s="9"/>
      <c r="BH106" s="9"/>
      <c r="BI106" s="12"/>
      <c r="BJ106" s="13"/>
      <c r="BK106" s="1"/>
      <c r="BL106" s="1"/>
      <c r="BM106" s="1"/>
      <c r="BN106" s="1"/>
      <c r="BO106" s="1"/>
      <c r="BP106" s="1"/>
      <c r="BQ106" s="19"/>
      <c r="BR106" s="17"/>
    </row>
    <row r="107" spans="23:70" x14ac:dyDescent="0.25">
      <c r="W107" s="8"/>
      <c r="X107" s="8"/>
      <c r="Y107" s="8"/>
      <c r="Z107" s="8"/>
      <c r="AA107" s="8"/>
      <c r="AB107" s="8"/>
      <c r="AC107" s="12"/>
      <c r="AD107" s="12"/>
      <c r="AE107" s="1"/>
      <c r="AF107" s="1"/>
      <c r="AG107" s="1"/>
      <c r="AH107" s="1"/>
      <c r="AI107" s="1"/>
      <c r="AJ107" s="1"/>
      <c r="AK107" s="17"/>
      <c r="AL107" s="17"/>
      <c r="AM107" s="1"/>
      <c r="AN107" s="1"/>
      <c r="AO107" s="1"/>
      <c r="AP107" s="1"/>
      <c r="AQ107" s="1"/>
      <c r="AR107" s="1"/>
      <c r="AS107" s="12"/>
      <c r="AT107" s="12"/>
      <c r="AU107" s="1"/>
      <c r="AV107" s="1"/>
      <c r="AW107" s="1"/>
      <c r="AX107" s="1"/>
      <c r="AY107" s="1"/>
      <c r="AZ107" s="1"/>
      <c r="BA107" s="19"/>
      <c r="BB107" s="19"/>
      <c r="BC107" s="9"/>
      <c r="BD107" s="9"/>
      <c r="BE107" s="9"/>
      <c r="BF107" s="9"/>
      <c r="BG107" s="9"/>
      <c r="BH107" s="9"/>
      <c r="BI107" s="12"/>
      <c r="BJ107" s="13"/>
      <c r="BK107" s="1"/>
      <c r="BL107" s="1"/>
      <c r="BM107" s="1"/>
      <c r="BN107" s="1"/>
      <c r="BO107" s="1"/>
      <c r="BP107" s="1"/>
      <c r="BQ107" s="19"/>
      <c r="BR107" s="17"/>
    </row>
    <row r="108" spans="23:70" x14ac:dyDescent="0.25">
      <c r="W108" s="8"/>
      <c r="X108" s="8"/>
      <c r="Y108" s="8"/>
      <c r="Z108" s="8"/>
      <c r="AA108" s="8"/>
      <c r="AB108" s="8"/>
      <c r="AC108" s="12"/>
      <c r="AD108" s="12"/>
      <c r="AE108" s="1"/>
      <c r="AF108" s="1"/>
      <c r="AG108" s="1"/>
      <c r="AH108" s="1"/>
      <c r="AI108" s="1"/>
      <c r="AJ108" s="1"/>
      <c r="AK108" s="17"/>
      <c r="AL108" s="17"/>
      <c r="AM108" s="1"/>
      <c r="AN108" s="1"/>
      <c r="AO108" s="1"/>
      <c r="AP108" s="1"/>
      <c r="AQ108" s="1"/>
      <c r="AR108" s="1"/>
      <c r="AS108" s="12"/>
      <c r="AT108" s="12"/>
      <c r="AU108" s="1"/>
      <c r="AV108" s="1"/>
      <c r="AW108" s="1"/>
      <c r="AX108" s="1"/>
      <c r="AY108" s="1"/>
      <c r="AZ108" s="1"/>
      <c r="BA108" s="19"/>
      <c r="BB108" s="19"/>
      <c r="BC108" s="9"/>
      <c r="BD108" s="9"/>
      <c r="BE108" s="9"/>
      <c r="BF108" s="9"/>
      <c r="BG108" s="9"/>
      <c r="BH108" s="9"/>
      <c r="BI108" s="12"/>
      <c r="BJ108" s="13"/>
      <c r="BK108" s="1"/>
      <c r="BL108" s="1"/>
      <c r="BM108" s="1"/>
      <c r="BN108" s="1"/>
      <c r="BO108" s="1"/>
      <c r="BP108" s="1"/>
      <c r="BQ108" s="19"/>
      <c r="BR108" s="17"/>
    </row>
    <row r="109" spans="23:70" x14ac:dyDescent="0.25">
      <c r="W109" s="8"/>
      <c r="X109" s="8"/>
      <c r="Y109" s="8"/>
      <c r="Z109" s="8"/>
      <c r="AA109" s="8"/>
      <c r="AB109" s="8"/>
      <c r="AC109" s="12"/>
      <c r="AD109" s="12"/>
      <c r="AE109" s="1"/>
      <c r="AF109" s="1"/>
      <c r="AG109" s="1"/>
      <c r="AH109" s="1"/>
      <c r="AI109" s="1"/>
      <c r="AJ109" s="1"/>
      <c r="AK109" s="17"/>
      <c r="AL109" s="17"/>
      <c r="AM109" s="1"/>
      <c r="AN109" s="1"/>
      <c r="AO109" s="1"/>
      <c r="AP109" s="1"/>
      <c r="AQ109" s="1"/>
      <c r="AR109" s="1"/>
      <c r="AS109" s="12"/>
      <c r="AT109" s="12"/>
      <c r="AU109" s="1"/>
      <c r="AV109" s="1"/>
      <c r="AW109" s="1"/>
      <c r="AX109" s="1"/>
      <c r="AY109" s="1"/>
      <c r="AZ109" s="1"/>
      <c r="BA109" s="19"/>
      <c r="BB109" s="19"/>
      <c r="BC109" s="9"/>
      <c r="BD109" s="9"/>
      <c r="BE109" s="9"/>
      <c r="BF109" s="9"/>
      <c r="BG109" s="9"/>
      <c r="BH109" s="9"/>
      <c r="BI109" s="12"/>
      <c r="BJ109" s="13"/>
      <c r="BK109" s="1"/>
      <c r="BL109" s="1"/>
      <c r="BM109" s="1"/>
      <c r="BN109" s="1"/>
      <c r="BO109" s="1"/>
      <c r="BP109" s="1"/>
      <c r="BQ109" s="19"/>
      <c r="BR109" s="17"/>
    </row>
    <row r="110" spans="23:70" x14ac:dyDescent="0.25">
      <c r="W110" s="8"/>
      <c r="X110" s="8"/>
      <c r="Y110" s="8"/>
      <c r="Z110" s="8"/>
      <c r="AA110" s="8"/>
      <c r="AB110" s="8"/>
      <c r="AC110" s="12"/>
      <c r="AD110" s="12"/>
      <c r="AE110" s="1"/>
      <c r="AF110" s="1"/>
      <c r="AG110" s="1"/>
      <c r="AH110" s="1"/>
      <c r="AI110" s="1"/>
      <c r="AJ110" s="1"/>
      <c r="AK110" s="17"/>
      <c r="AL110" s="17"/>
      <c r="AM110" s="1"/>
      <c r="AN110" s="1"/>
      <c r="AO110" s="1"/>
      <c r="AP110" s="1"/>
      <c r="AQ110" s="1"/>
      <c r="AR110" s="1"/>
      <c r="AS110" s="12"/>
      <c r="AT110" s="12"/>
      <c r="AU110" s="1"/>
      <c r="AV110" s="1"/>
      <c r="AW110" s="1"/>
      <c r="AX110" s="1"/>
      <c r="AY110" s="1"/>
      <c r="AZ110" s="1"/>
      <c r="BA110" s="19"/>
      <c r="BB110" s="19"/>
      <c r="BC110" s="9"/>
      <c r="BD110" s="9"/>
      <c r="BE110" s="9"/>
      <c r="BF110" s="9"/>
      <c r="BG110" s="9"/>
      <c r="BH110" s="9"/>
      <c r="BI110" s="12"/>
      <c r="BJ110" s="13"/>
      <c r="BK110" s="1"/>
      <c r="BL110" s="1"/>
      <c r="BM110" s="1"/>
      <c r="BN110" s="1"/>
      <c r="BO110" s="1"/>
      <c r="BP110" s="1"/>
      <c r="BQ110" s="19"/>
      <c r="BR110" s="17"/>
    </row>
    <row r="111" spans="23:70" x14ac:dyDescent="0.25">
      <c r="W111" s="8"/>
      <c r="X111" s="8"/>
      <c r="Y111" s="8"/>
      <c r="Z111" s="8"/>
      <c r="AA111" s="8"/>
      <c r="AB111" s="8"/>
      <c r="AC111" s="12"/>
      <c r="AD111" s="12"/>
      <c r="AE111" s="1"/>
      <c r="AF111" s="1"/>
      <c r="AG111" s="1"/>
      <c r="AH111" s="1"/>
      <c r="AI111" s="1"/>
      <c r="AJ111" s="1"/>
      <c r="AK111" s="17"/>
      <c r="AL111" s="17"/>
      <c r="AM111" s="1"/>
      <c r="AN111" s="1"/>
      <c r="AO111" s="1"/>
      <c r="AP111" s="1"/>
      <c r="AQ111" s="1"/>
      <c r="AR111" s="1"/>
      <c r="AS111" s="12"/>
      <c r="AT111" s="12"/>
      <c r="AU111" s="1"/>
      <c r="AV111" s="1"/>
      <c r="AW111" s="1"/>
      <c r="AX111" s="1"/>
      <c r="AY111" s="1"/>
      <c r="AZ111" s="1"/>
      <c r="BA111" s="19"/>
      <c r="BB111" s="19"/>
      <c r="BC111" s="9"/>
      <c r="BD111" s="9"/>
      <c r="BE111" s="9"/>
      <c r="BF111" s="9"/>
      <c r="BG111" s="9"/>
      <c r="BH111" s="9"/>
      <c r="BI111" s="12"/>
      <c r="BJ111" s="13"/>
      <c r="BK111" s="1"/>
      <c r="BL111" s="1"/>
      <c r="BM111" s="1"/>
      <c r="BN111" s="1"/>
      <c r="BO111" s="1"/>
      <c r="BP111" s="1"/>
      <c r="BQ111" s="19"/>
      <c r="BR111" s="17"/>
    </row>
    <row r="112" spans="23:70" x14ac:dyDescent="0.25">
      <c r="W112" s="8"/>
      <c r="X112" s="8"/>
      <c r="Y112" s="8"/>
      <c r="Z112" s="8"/>
      <c r="AA112" s="8"/>
      <c r="AB112" s="8"/>
      <c r="AC112" s="12"/>
      <c r="AD112" s="12"/>
      <c r="AE112" s="1"/>
      <c r="AF112" s="1"/>
      <c r="AG112" s="1"/>
      <c r="AH112" s="1"/>
      <c r="AI112" s="1"/>
      <c r="AJ112" s="1"/>
      <c r="AK112" s="17"/>
      <c r="AL112" s="17"/>
      <c r="AM112" s="1"/>
      <c r="AN112" s="1"/>
      <c r="AO112" s="1"/>
      <c r="AP112" s="1"/>
      <c r="AQ112" s="1"/>
      <c r="AR112" s="1"/>
      <c r="AS112" s="12"/>
      <c r="AT112" s="12"/>
      <c r="AU112" s="1"/>
      <c r="AV112" s="1"/>
      <c r="AW112" s="1"/>
      <c r="AX112" s="1"/>
      <c r="AY112" s="1"/>
      <c r="AZ112" s="1"/>
      <c r="BA112" s="19"/>
      <c r="BB112" s="19"/>
      <c r="BC112" s="9"/>
      <c r="BD112" s="9"/>
      <c r="BE112" s="9"/>
      <c r="BF112" s="9"/>
      <c r="BG112" s="9"/>
      <c r="BH112" s="9"/>
      <c r="BI112" s="12"/>
      <c r="BJ112" s="13"/>
      <c r="BK112" s="1"/>
      <c r="BL112" s="1"/>
      <c r="BM112" s="1"/>
      <c r="BN112" s="1"/>
      <c r="BO112" s="1"/>
      <c r="BP112" s="1"/>
      <c r="BQ112" s="19"/>
      <c r="BR112" s="17"/>
    </row>
    <row r="113" spans="23:70" x14ac:dyDescent="0.25">
      <c r="W113" s="8"/>
      <c r="X113" s="8"/>
      <c r="Y113" s="8"/>
      <c r="Z113" s="8"/>
      <c r="AA113" s="8"/>
      <c r="AB113" s="8"/>
      <c r="AC113" s="12"/>
      <c r="AD113" s="12"/>
      <c r="AE113" s="1"/>
      <c r="AF113" s="1"/>
      <c r="AG113" s="1"/>
      <c r="AH113" s="1"/>
      <c r="AI113" s="1"/>
      <c r="AJ113" s="1"/>
      <c r="AK113" s="17"/>
      <c r="AL113" s="17"/>
      <c r="AM113" s="1"/>
      <c r="AN113" s="1"/>
      <c r="AO113" s="1"/>
      <c r="AP113" s="1"/>
      <c r="AQ113" s="1"/>
      <c r="AR113" s="1"/>
      <c r="AS113" s="12"/>
      <c r="AT113" s="12"/>
      <c r="AU113" s="1"/>
      <c r="AV113" s="1"/>
      <c r="AW113" s="1"/>
      <c r="AX113" s="1"/>
      <c r="AY113" s="1"/>
      <c r="AZ113" s="1"/>
      <c r="BA113" s="19"/>
      <c r="BB113" s="19"/>
      <c r="BC113" s="9"/>
      <c r="BD113" s="9"/>
      <c r="BE113" s="9"/>
      <c r="BF113" s="9"/>
      <c r="BG113" s="9"/>
      <c r="BH113" s="9"/>
      <c r="BI113" s="12"/>
      <c r="BJ113" s="13"/>
      <c r="BK113" s="1"/>
      <c r="BL113" s="1"/>
      <c r="BM113" s="1"/>
      <c r="BN113" s="1"/>
      <c r="BO113" s="1"/>
      <c r="BP113" s="1"/>
      <c r="BQ113" s="19"/>
      <c r="BR113" s="17"/>
    </row>
    <row r="114" spans="23:70" x14ac:dyDescent="0.25">
      <c r="W114" s="8"/>
      <c r="X114" s="8"/>
      <c r="Y114" s="8"/>
      <c r="Z114" s="8"/>
      <c r="AA114" s="8"/>
      <c r="AB114" s="8"/>
      <c r="AC114" s="12"/>
      <c r="AD114" s="12"/>
      <c r="AE114" s="1"/>
      <c r="AF114" s="1"/>
      <c r="AG114" s="1"/>
      <c r="AH114" s="1"/>
      <c r="AI114" s="1"/>
      <c r="AJ114" s="1"/>
      <c r="AK114" s="17"/>
      <c r="AL114" s="17"/>
      <c r="AM114" s="1"/>
      <c r="AN114" s="1"/>
      <c r="AO114" s="1"/>
      <c r="AP114" s="1"/>
      <c r="AQ114" s="1"/>
      <c r="AR114" s="1"/>
      <c r="AS114" s="12"/>
      <c r="AT114" s="12"/>
      <c r="AU114" s="1"/>
      <c r="AV114" s="1"/>
      <c r="AW114" s="1"/>
      <c r="AX114" s="1"/>
      <c r="AY114" s="1"/>
      <c r="AZ114" s="1"/>
      <c r="BA114" s="19"/>
      <c r="BB114" s="19"/>
      <c r="BC114" s="9"/>
      <c r="BD114" s="9"/>
      <c r="BE114" s="9"/>
      <c r="BF114" s="9"/>
      <c r="BG114" s="9"/>
      <c r="BH114" s="9"/>
      <c r="BI114" s="12"/>
      <c r="BJ114" s="13"/>
      <c r="BK114" s="1"/>
      <c r="BL114" s="1"/>
      <c r="BM114" s="1"/>
      <c r="BN114" s="1"/>
      <c r="BO114" s="1"/>
      <c r="BP114" s="1"/>
      <c r="BQ114" s="19"/>
      <c r="BR114" s="17"/>
    </row>
    <row r="115" spans="23:70" x14ac:dyDescent="0.25">
      <c r="W115" s="8"/>
      <c r="X115" s="8"/>
      <c r="Y115" s="8"/>
      <c r="Z115" s="8"/>
      <c r="AA115" s="8"/>
      <c r="AB115" s="8"/>
      <c r="AC115" s="12"/>
      <c r="AD115" s="12"/>
      <c r="AE115" s="1"/>
      <c r="AF115" s="1"/>
      <c r="AG115" s="1"/>
      <c r="AH115" s="1"/>
      <c r="AI115" s="1"/>
      <c r="AJ115" s="1"/>
      <c r="AK115" s="17"/>
      <c r="AL115" s="17"/>
      <c r="AM115" s="1"/>
      <c r="AN115" s="1"/>
      <c r="AO115" s="1"/>
      <c r="AP115" s="1"/>
      <c r="AQ115" s="1"/>
      <c r="AR115" s="1"/>
      <c r="AS115" s="12"/>
      <c r="AT115" s="12"/>
      <c r="AU115" s="1"/>
      <c r="AV115" s="1"/>
      <c r="AW115" s="1"/>
      <c r="AX115" s="1"/>
      <c r="AY115" s="1"/>
      <c r="AZ115" s="1"/>
      <c r="BA115" s="19"/>
      <c r="BB115" s="19"/>
      <c r="BC115" s="9"/>
      <c r="BD115" s="9"/>
      <c r="BE115" s="9"/>
      <c r="BF115" s="9"/>
      <c r="BG115" s="9"/>
      <c r="BH115" s="9"/>
      <c r="BI115" s="12"/>
      <c r="BJ115" s="13"/>
      <c r="BK115" s="1"/>
      <c r="BL115" s="1"/>
      <c r="BM115" s="1"/>
      <c r="BN115" s="1"/>
      <c r="BO115" s="1"/>
      <c r="BP115" s="1"/>
      <c r="BQ115" s="19"/>
      <c r="BR115" s="17"/>
    </row>
    <row r="116" spans="23:70" x14ac:dyDescent="0.25">
      <c r="W116" s="8"/>
      <c r="X116" s="8"/>
      <c r="Y116" s="8"/>
      <c r="Z116" s="8"/>
      <c r="AA116" s="8"/>
      <c r="AB116" s="8"/>
      <c r="AC116" s="12"/>
      <c r="AD116" s="12"/>
      <c r="AE116" s="1"/>
      <c r="AF116" s="1"/>
      <c r="AG116" s="1"/>
      <c r="AH116" s="1"/>
      <c r="AI116" s="1"/>
      <c r="AJ116" s="1"/>
      <c r="AK116" s="17"/>
      <c r="AL116" s="17"/>
      <c r="AM116" s="1"/>
      <c r="AN116" s="1"/>
      <c r="AO116" s="1"/>
      <c r="AP116" s="1"/>
      <c r="AQ116" s="1"/>
      <c r="AR116" s="1"/>
      <c r="AS116" s="12"/>
      <c r="AT116" s="12"/>
      <c r="AU116" s="1"/>
      <c r="AV116" s="1"/>
      <c r="AW116" s="1"/>
      <c r="AX116" s="1"/>
      <c r="AY116" s="1"/>
      <c r="AZ116" s="1"/>
      <c r="BA116" s="19"/>
      <c r="BB116" s="19"/>
      <c r="BC116" s="9"/>
      <c r="BD116" s="9"/>
      <c r="BE116" s="9"/>
      <c r="BF116" s="9"/>
      <c r="BG116" s="9"/>
      <c r="BH116" s="9"/>
      <c r="BI116" s="12"/>
      <c r="BJ116" s="13"/>
      <c r="BK116" s="1"/>
      <c r="BL116" s="1"/>
      <c r="BM116" s="1"/>
      <c r="BN116" s="1"/>
      <c r="BO116" s="1"/>
      <c r="BP116" s="1"/>
      <c r="BQ116" s="19"/>
      <c r="BR116" s="17"/>
    </row>
    <row r="117" spans="23:70" x14ac:dyDescent="0.25">
      <c r="W117" s="8"/>
      <c r="X117" s="8"/>
      <c r="Y117" s="8"/>
      <c r="Z117" s="8"/>
      <c r="AA117" s="8"/>
      <c r="AB117" s="8"/>
      <c r="AC117" s="12"/>
      <c r="AD117" s="12"/>
      <c r="AE117" s="1"/>
      <c r="AF117" s="1"/>
      <c r="AG117" s="1"/>
      <c r="AH117" s="1"/>
      <c r="AI117" s="1"/>
      <c r="AJ117" s="1"/>
      <c r="AK117" s="17"/>
      <c r="AL117" s="17"/>
      <c r="AM117" s="1"/>
      <c r="AN117" s="1"/>
      <c r="AO117" s="1"/>
      <c r="AP117" s="1"/>
      <c r="AQ117" s="1"/>
      <c r="AR117" s="1"/>
      <c r="AS117" s="12"/>
      <c r="AT117" s="12"/>
      <c r="AU117" s="1"/>
      <c r="AV117" s="1"/>
      <c r="AW117" s="1"/>
      <c r="AX117" s="1"/>
      <c r="AY117" s="1"/>
      <c r="AZ117" s="1"/>
      <c r="BA117" s="19"/>
      <c r="BB117" s="19"/>
      <c r="BC117" s="9"/>
      <c r="BD117" s="9"/>
      <c r="BE117" s="9"/>
      <c r="BF117" s="9"/>
      <c r="BG117" s="9"/>
      <c r="BH117" s="9"/>
      <c r="BI117" s="12"/>
      <c r="BJ117" s="13"/>
      <c r="BK117" s="1"/>
      <c r="BL117" s="1"/>
      <c r="BM117" s="1"/>
      <c r="BN117" s="1"/>
      <c r="BO117" s="1"/>
      <c r="BP117" s="1"/>
      <c r="BQ117" s="19"/>
      <c r="BR117" s="17"/>
    </row>
    <row r="118" spans="23:70" x14ac:dyDescent="0.25">
      <c r="W118" s="8"/>
      <c r="X118" s="8"/>
      <c r="Y118" s="8"/>
      <c r="Z118" s="8"/>
      <c r="AA118" s="8"/>
      <c r="AB118" s="8"/>
      <c r="AC118" s="12"/>
      <c r="AD118" s="12"/>
      <c r="AE118" s="1"/>
      <c r="AF118" s="1"/>
      <c r="AG118" s="1"/>
      <c r="AH118" s="1"/>
      <c r="AI118" s="1"/>
      <c r="AJ118" s="1"/>
      <c r="AK118" s="17"/>
      <c r="AL118" s="17"/>
      <c r="AM118" s="1"/>
      <c r="AN118" s="1"/>
      <c r="AO118" s="1"/>
      <c r="AP118" s="1"/>
      <c r="AQ118" s="1"/>
      <c r="AR118" s="1"/>
      <c r="AS118" s="12"/>
      <c r="AT118" s="12"/>
      <c r="AU118" s="1"/>
      <c r="AV118" s="1"/>
      <c r="AW118" s="1"/>
      <c r="AX118" s="1"/>
      <c r="AY118" s="1"/>
      <c r="AZ118" s="1"/>
      <c r="BA118" s="19"/>
      <c r="BB118" s="19"/>
      <c r="BC118" s="9"/>
      <c r="BD118" s="9"/>
      <c r="BE118" s="9"/>
      <c r="BF118" s="9"/>
      <c r="BG118" s="9"/>
      <c r="BH118" s="9"/>
      <c r="BI118" s="12"/>
      <c r="BJ118" s="13"/>
      <c r="BK118" s="1"/>
      <c r="BL118" s="1"/>
      <c r="BM118" s="1"/>
      <c r="BN118" s="1"/>
      <c r="BO118" s="1"/>
      <c r="BP118" s="1"/>
      <c r="BQ118" s="19"/>
      <c r="BR118" s="17"/>
    </row>
    <row r="119" spans="23:70" x14ac:dyDescent="0.25">
      <c r="W119" s="8"/>
      <c r="X119" s="8"/>
      <c r="Y119" s="8"/>
      <c r="Z119" s="8"/>
      <c r="AA119" s="8"/>
      <c r="AB119" s="8"/>
      <c r="AC119" s="12"/>
      <c r="AD119" s="12"/>
      <c r="AE119" s="1"/>
      <c r="AF119" s="1"/>
      <c r="AG119" s="1"/>
      <c r="AH119" s="1"/>
      <c r="AI119" s="1"/>
      <c r="AJ119" s="1"/>
      <c r="AK119" s="17"/>
      <c r="AL119" s="17"/>
      <c r="AM119" s="1"/>
      <c r="AN119" s="1"/>
      <c r="AO119" s="1"/>
      <c r="AP119" s="1"/>
      <c r="AQ119" s="1"/>
      <c r="AR119" s="1"/>
      <c r="AS119" s="12"/>
      <c r="AT119" s="12"/>
      <c r="AU119" s="1"/>
      <c r="AV119" s="1"/>
      <c r="AW119" s="1"/>
      <c r="AX119" s="1"/>
      <c r="AY119" s="1"/>
      <c r="AZ119" s="1"/>
      <c r="BA119" s="19"/>
      <c r="BB119" s="19"/>
      <c r="BC119" s="9"/>
      <c r="BD119" s="9"/>
      <c r="BE119" s="9"/>
      <c r="BF119" s="9"/>
      <c r="BG119" s="9"/>
      <c r="BH119" s="9"/>
      <c r="BI119" s="12"/>
      <c r="BJ119" s="13"/>
      <c r="BK119" s="1"/>
      <c r="BL119" s="1"/>
      <c r="BM119" s="1"/>
      <c r="BN119" s="1"/>
      <c r="BO119" s="1"/>
      <c r="BP119" s="1"/>
      <c r="BQ119" s="19"/>
      <c r="BR119" s="17"/>
    </row>
    <row r="120" spans="23:70" x14ac:dyDescent="0.25">
      <c r="W120" s="8"/>
      <c r="X120" s="8"/>
      <c r="Y120" s="8"/>
      <c r="Z120" s="8"/>
      <c r="AA120" s="8"/>
      <c r="AB120" s="8"/>
      <c r="AC120" s="12"/>
      <c r="AD120" s="12"/>
      <c r="AE120" s="1"/>
      <c r="AF120" s="1"/>
      <c r="AG120" s="1"/>
      <c r="AH120" s="1"/>
      <c r="AI120" s="1"/>
      <c r="AJ120" s="1"/>
      <c r="AK120" s="17"/>
      <c r="AL120" s="17"/>
      <c r="AM120" s="1"/>
      <c r="AN120" s="1"/>
      <c r="AO120" s="1"/>
      <c r="AP120" s="1"/>
      <c r="AQ120" s="1"/>
      <c r="AR120" s="1"/>
      <c r="AS120" s="12"/>
      <c r="AT120" s="12"/>
      <c r="AU120" s="1"/>
      <c r="AV120" s="1"/>
      <c r="AW120" s="1"/>
      <c r="AX120" s="1"/>
      <c r="AY120" s="1"/>
      <c r="AZ120" s="1"/>
      <c r="BA120" s="19"/>
      <c r="BB120" s="19"/>
      <c r="BC120" s="9"/>
      <c r="BD120" s="9"/>
      <c r="BE120" s="9"/>
      <c r="BF120" s="9"/>
      <c r="BG120" s="9"/>
      <c r="BH120" s="9"/>
      <c r="BI120" s="12"/>
      <c r="BJ120" s="13"/>
      <c r="BK120" s="1"/>
      <c r="BL120" s="1"/>
      <c r="BM120" s="1"/>
      <c r="BN120" s="1"/>
      <c r="BO120" s="1"/>
      <c r="BP120" s="1"/>
      <c r="BQ120" s="19"/>
      <c r="BR120" s="17"/>
    </row>
    <row r="121" spans="23:70" x14ac:dyDescent="0.25">
      <c r="W121" s="8"/>
      <c r="X121" s="8"/>
      <c r="Y121" s="8"/>
      <c r="Z121" s="8"/>
      <c r="AA121" s="8"/>
      <c r="AB121" s="8"/>
      <c r="AC121" s="12"/>
      <c r="AD121" s="12"/>
      <c r="AE121" s="1"/>
      <c r="AF121" s="1"/>
      <c r="AG121" s="1"/>
      <c r="AH121" s="1"/>
      <c r="AI121" s="1"/>
      <c r="AJ121" s="1"/>
      <c r="AK121" s="17"/>
      <c r="AL121" s="17"/>
      <c r="AM121" s="1"/>
      <c r="AN121" s="1"/>
      <c r="AO121" s="1"/>
      <c r="AP121" s="1"/>
      <c r="AQ121" s="1"/>
      <c r="AR121" s="1"/>
      <c r="AS121" s="12"/>
      <c r="AT121" s="12"/>
      <c r="AU121" s="1"/>
      <c r="AV121" s="1"/>
      <c r="AW121" s="1"/>
      <c r="AX121" s="1"/>
      <c r="AY121" s="1"/>
      <c r="AZ121" s="1"/>
      <c r="BA121" s="19"/>
      <c r="BB121" s="19"/>
      <c r="BC121" s="9"/>
      <c r="BD121" s="9"/>
      <c r="BE121" s="9"/>
      <c r="BF121" s="9"/>
      <c r="BG121" s="9"/>
      <c r="BH121" s="9"/>
      <c r="BI121" s="12"/>
      <c r="BJ121" s="13"/>
      <c r="BK121" s="1"/>
      <c r="BL121" s="1"/>
      <c r="BM121" s="1"/>
      <c r="BN121" s="1"/>
      <c r="BO121" s="1"/>
      <c r="BP121" s="1"/>
      <c r="BQ121" s="19"/>
      <c r="BR121" s="17"/>
    </row>
    <row r="122" spans="23:70" x14ac:dyDescent="0.25">
      <c r="W122" s="8"/>
      <c r="X122" s="8"/>
      <c r="Y122" s="8"/>
      <c r="Z122" s="8"/>
      <c r="AA122" s="8"/>
      <c r="AB122" s="8"/>
      <c r="AC122" s="12"/>
      <c r="AD122" s="12"/>
      <c r="AE122" s="1"/>
      <c r="AF122" s="1"/>
      <c r="AG122" s="1"/>
      <c r="AH122" s="1"/>
      <c r="AI122" s="1"/>
      <c r="AJ122" s="1"/>
      <c r="AK122" s="17"/>
      <c r="AL122" s="17"/>
      <c r="AM122" s="1"/>
      <c r="AN122" s="1"/>
      <c r="AO122" s="1"/>
      <c r="AP122" s="1"/>
      <c r="AQ122" s="1"/>
      <c r="AR122" s="1"/>
      <c r="AS122" s="12"/>
      <c r="AT122" s="12"/>
      <c r="AU122" s="1"/>
      <c r="AV122" s="1"/>
      <c r="AW122" s="1"/>
      <c r="AX122" s="1"/>
      <c r="AY122" s="1"/>
      <c r="AZ122" s="1"/>
      <c r="BA122" s="19"/>
      <c r="BB122" s="19"/>
      <c r="BC122" s="9"/>
      <c r="BD122" s="9"/>
      <c r="BE122" s="9"/>
      <c r="BF122" s="9"/>
      <c r="BG122" s="9"/>
      <c r="BH122" s="9"/>
      <c r="BI122" s="12"/>
      <c r="BJ122" s="13"/>
      <c r="BK122" s="1"/>
      <c r="BL122" s="1"/>
      <c r="BM122" s="1"/>
      <c r="BN122" s="1"/>
      <c r="BO122" s="1"/>
      <c r="BP122" s="1"/>
      <c r="BQ122" s="19"/>
      <c r="BR122" s="17"/>
    </row>
    <row r="123" spans="23:70" x14ac:dyDescent="0.25">
      <c r="W123" s="8"/>
      <c r="X123" s="8"/>
      <c r="Y123" s="8"/>
      <c r="Z123" s="8"/>
      <c r="AA123" s="8"/>
      <c r="AB123" s="8"/>
      <c r="AC123" s="12"/>
      <c r="AD123" s="12"/>
      <c r="AE123" s="1"/>
      <c r="AF123" s="1"/>
      <c r="AG123" s="1"/>
      <c r="AH123" s="1"/>
      <c r="AI123" s="1"/>
      <c r="AJ123" s="1"/>
      <c r="AK123" s="17"/>
      <c r="AL123" s="17"/>
      <c r="AM123" s="1"/>
      <c r="AN123" s="1"/>
      <c r="AO123" s="1"/>
      <c r="AP123" s="1"/>
      <c r="AQ123" s="1"/>
      <c r="AR123" s="1"/>
      <c r="AS123" s="12"/>
      <c r="AT123" s="12"/>
      <c r="AU123" s="1"/>
      <c r="AV123" s="1"/>
      <c r="AW123" s="1"/>
      <c r="AX123" s="1"/>
      <c r="AY123" s="1"/>
      <c r="AZ123" s="1"/>
      <c r="BA123" s="19"/>
      <c r="BB123" s="19"/>
      <c r="BC123" s="9"/>
      <c r="BD123" s="9"/>
      <c r="BE123" s="9"/>
      <c r="BF123" s="9"/>
      <c r="BG123" s="9"/>
      <c r="BH123" s="9"/>
      <c r="BI123" s="12"/>
      <c r="BJ123" s="13"/>
      <c r="BK123" s="1"/>
      <c r="BL123" s="1"/>
      <c r="BM123" s="1"/>
      <c r="BN123" s="1"/>
      <c r="BO123" s="1"/>
      <c r="BP123" s="1"/>
      <c r="BQ123" s="19"/>
      <c r="BR123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5D8B-E9DB-4B42-9FBD-7FDEA22149A5}">
  <dimension ref="A1:BR622"/>
  <sheetViews>
    <sheetView topLeftCell="A154" workbookViewId="0">
      <selection activeCell="N175" sqref="N175"/>
    </sheetView>
  </sheetViews>
  <sheetFormatPr baseColWidth="10" defaultRowHeight="15" x14ac:dyDescent="0.25"/>
  <cols>
    <col min="9" max="15" width="16.28515625" customWidth="1"/>
    <col min="16" max="22" width="15.28515625" customWidth="1"/>
    <col min="23" max="27" width="15" customWidth="1"/>
    <col min="29" max="30" width="11.42578125" style="11"/>
    <col min="31" max="36" width="17.28515625" customWidth="1"/>
    <col min="37" max="38" width="11.42578125" style="18"/>
    <col min="39" max="44" width="16.42578125" customWidth="1"/>
    <col min="45" max="46" width="14.7109375" style="15" bestFit="1" customWidth="1"/>
    <col min="47" max="52" width="17.5703125" customWidth="1"/>
    <col min="53" max="54" width="14.7109375" style="18" customWidth="1"/>
    <col min="55" max="60" width="14.7109375" customWidth="1"/>
    <col min="61" max="61" width="14.7109375" style="11" customWidth="1"/>
    <col min="62" max="62" width="15.7109375" style="11" bestFit="1" customWidth="1"/>
    <col min="63" max="68" width="15.7109375" customWidth="1"/>
    <col min="69" max="70" width="15.7109375" style="18" bestFit="1" customWidth="1"/>
  </cols>
  <sheetData>
    <row r="1" spans="1:70" x14ac:dyDescent="0.25">
      <c r="A1" t="s">
        <v>61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16</v>
      </c>
      <c r="H1" t="s">
        <v>19</v>
      </c>
      <c r="I1" t="s">
        <v>2</v>
      </c>
      <c r="J1" t="s">
        <v>5</v>
      </c>
      <c r="K1" t="s">
        <v>8</v>
      </c>
      <c r="L1" t="s">
        <v>11</v>
      </c>
      <c r="M1" t="s">
        <v>14</v>
      </c>
      <c r="N1" t="s">
        <v>17</v>
      </c>
      <c r="O1" t="s">
        <v>20</v>
      </c>
      <c r="P1" t="s">
        <v>3</v>
      </c>
      <c r="Q1" t="s">
        <v>6</v>
      </c>
      <c r="R1" t="s">
        <v>9</v>
      </c>
      <c r="S1" t="s">
        <v>12</v>
      </c>
      <c r="T1" t="s">
        <v>15</v>
      </c>
      <c r="U1" t="s">
        <v>18</v>
      </c>
      <c r="V1" t="s">
        <v>21</v>
      </c>
      <c r="W1" s="7" t="s">
        <v>777</v>
      </c>
      <c r="X1" s="7" t="s">
        <v>778</v>
      </c>
      <c r="Y1" s="7" t="s">
        <v>779</v>
      </c>
      <c r="Z1" s="7" t="s">
        <v>780</v>
      </c>
      <c r="AA1" s="7" t="s">
        <v>781</v>
      </c>
      <c r="AB1" s="7" t="s">
        <v>782</v>
      </c>
      <c r="AC1" s="10" t="s">
        <v>783</v>
      </c>
      <c r="AD1" s="10" t="s">
        <v>784</v>
      </c>
      <c r="AE1" s="7" t="s">
        <v>785</v>
      </c>
      <c r="AF1" s="7" t="s">
        <v>786</v>
      </c>
      <c r="AG1" s="7" t="s">
        <v>787</v>
      </c>
      <c r="AH1" s="7" t="s">
        <v>788</v>
      </c>
      <c r="AI1" s="7" t="s">
        <v>789</v>
      </c>
      <c r="AJ1" s="7" t="s">
        <v>790</v>
      </c>
      <c r="AK1" s="16" t="s">
        <v>791</v>
      </c>
      <c r="AL1" s="16" t="s">
        <v>792</v>
      </c>
      <c r="AM1" s="7" t="s">
        <v>794</v>
      </c>
      <c r="AN1" s="7" t="s">
        <v>795</v>
      </c>
      <c r="AO1" s="7" t="s">
        <v>796</v>
      </c>
      <c r="AP1" s="7" t="s">
        <v>797</v>
      </c>
      <c r="AQ1" s="7" t="s">
        <v>798</v>
      </c>
      <c r="AR1" s="7" t="s">
        <v>799</v>
      </c>
      <c r="AS1" s="14" t="s">
        <v>800</v>
      </c>
      <c r="AT1" s="14" t="s">
        <v>793</v>
      </c>
      <c r="AU1" s="7" t="s">
        <v>801</v>
      </c>
      <c r="AV1" s="7" t="s">
        <v>802</v>
      </c>
      <c r="AW1" s="7" t="s">
        <v>803</v>
      </c>
      <c r="AX1" s="7" t="s">
        <v>804</v>
      </c>
      <c r="AY1" s="7" t="s">
        <v>805</v>
      </c>
      <c r="AZ1" s="7" t="s">
        <v>806</v>
      </c>
      <c r="BA1" s="16" t="s">
        <v>807</v>
      </c>
      <c r="BB1" s="16" t="s">
        <v>808</v>
      </c>
      <c r="BC1" s="7" t="s">
        <v>809</v>
      </c>
      <c r="BD1" s="7" t="s">
        <v>810</v>
      </c>
      <c r="BE1" s="7" t="s">
        <v>811</v>
      </c>
      <c r="BF1" s="7" t="s">
        <v>812</v>
      </c>
      <c r="BG1" s="7" t="s">
        <v>813</v>
      </c>
      <c r="BH1" s="7" t="s">
        <v>814</v>
      </c>
      <c r="BI1" s="10" t="s">
        <v>815</v>
      </c>
      <c r="BJ1" s="10" t="s">
        <v>816</v>
      </c>
      <c r="BK1" s="7" t="s">
        <v>817</v>
      </c>
      <c r="BL1" s="7" t="s">
        <v>818</v>
      </c>
      <c r="BM1" s="7" t="s">
        <v>819</v>
      </c>
      <c r="BN1" s="7" t="s">
        <v>820</v>
      </c>
      <c r="BO1" s="7" t="s">
        <v>821</v>
      </c>
      <c r="BP1" s="7" t="s">
        <v>822</v>
      </c>
      <c r="BQ1" s="16" t="s">
        <v>823</v>
      </c>
      <c r="BR1" s="16" t="s">
        <v>824</v>
      </c>
    </row>
    <row r="2" spans="1:70" x14ac:dyDescent="0.25">
      <c r="A2" t="s">
        <v>62</v>
      </c>
      <c r="B2">
        <v>6965</v>
      </c>
      <c r="C2">
        <v>7543</v>
      </c>
      <c r="D2">
        <v>8176</v>
      </c>
      <c r="E2">
        <v>14992</v>
      </c>
      <c r="F2">
        <v>12305</v>
      </c>
      <c r="G2">
        <v>12878</v>
      </c>
      <c r="H2">
        <v>12795</v>
      </c>
      <c r="I2">
        <v>3971</v>
      </c>
      <c r="J2">
        <v>4286</v>
      </c>
      <c r="K2">
        <v>4622</v>
      </c>
      <c r="L2">
        <v>8643</v>
      </c>
      <c r="M2">
        <v>6821</v>
      </c>
      <c r="N2">
        <v>7097</v>
      </c>
      <c r="O2">
        <v>7182</v>
      </c>
      <c r="P2">
        <v>2994</v>
      </c>
      <c r="Q2">
        <v>3257</v>
      </c>
      <c r="R2">
        <v>3554</v>
      </c>
      <c r="S2">
        <v>6349</v>
      </c>
      <c r="T2">
        <v>5484</v>
      </c>
      <c r="U2">
        <v>5781</v>
      </c>
      <c r="V2">
        <v>5613</v>
      </c>
      <c r="W2" s="8">
        <f t="shared" ref="W2:W65" si="0">+(C2-B2)/B2</f>
        <v>8.2986360373295043E-2</v>
      </c>
      <c r="X2" s="8">
        <f t="shared" ref="X2:X65" si="1">+(D2-C2)/C2</f>
        <v>8.3918865173008089E-2</v>
      </c>
      <c r="Y2" s="8">
        <f t="shared" ref="Y2:Y65" si="2">+(E2-D2)/D2</f>
        <v>0.83365949119373772</v>
      </c>
      <c r="Z2" s="8">
        <f t="shared" ref="Z2:Z65" si="3">+(F2-E2)/E2</f>
        <v>-0.17922892209178229</v>
      </c>
      <c r="AA2" s="8">
        <f t="shared" ref="AA2:AA65" si="4">+(G2-F2)/F2</f>
        <v>4.6566436407964241E-2</v>
      </c>
      <c r="AB2" s="8">
        <f t="shared" ref="AB2:AB65" si="5">+(H2-G2)/G2</f>
        <v>-6.4451001708339803E-3</v>
      </c>
      <c r="AC2" s="12">
        <f t="shared" ref="AC2:AC65" si="6">+AVERAGE(W2:AB2)</f>
        <v>0.14357618848089812</v>
      </c>
      <c r="AD2" s="12">
        <f t="shared" ref="AD2:AD65" si="7">MEDIAN(W2:AB2)</f>
        <v>6.4776398390629639E-2</v>
      </c>
      <c r="AE2" s="1">
        <f t="shared" ref="AE2:AE65" si="8">C2-B2</f>
        <v>578</v>
      </c>
      <c r="AF2" s="1">
        <f t="shared" ref="AF2:AF65" si="9">D2-C2</f>
        <v>633</v>
      </c>
      <c r="AG2" s="1">
        <f t="shared" ref="AG2:AG65" si="10">E2-D2</f>
        <v>6816</v>
      </c>
      <c r="AH2" s="1">
        <f t="shared" ref="AH2:AH65" si="11">F2-E2</f>
        <v>-2687</v>
      </c>
      <c r="AI2" s="1">
        <f t="shared" ref="AI2:AI65" si="12">G2-F2</f>
        <v>573</v>
      </c>
      <c r="AJ2" s="1">
        <f t="shared" ref="AJ2:AJ65" si="13">H2-G2</f>
        <v>-83</v>
      </c>
      <c r="AK2" s="17">
        <f t="shared" ref="AK2:AK65" si="14">+AVERAGE(AE2:AJ2)</f>
        <v>971.66666666666663</v>
      </c>
      <c r="AL2" s="17">
        <f t="shared" ref="AL2:AL65" si="15">+MEDIAN(AE2:AJ2)</f>
        <v>575.5</v>
      </c>
      <c r="AM2" s="1">
        <f t="shared" ref="AM2:AM65" si="16">+(J2-I2)/I2</f>
        <v>7.9325107025938049E-2</v>
      </c>
      <c r="AN2" s="1">
        <f t="shared" ref="AN2:AN65" si="17">+(K2-J2)/J2</f>
        <v>7.8394773681754557E-2</v>
      </c>
      <c r="AO2" s="1">
        <f t="shared" ref="AO2:AO65" si="18">+(L2-K2)/K2</f>
        <v>0.86996971008221546</v>
      </c>
      <c r="AP2" s="1">
        <f t="shared" ref="AP2:AP65" si="19">+(M2-L2)/L2</f>
        <v>-0.21080643295152146</v>
      </c>
      <c r="AQ2" s="1">
        <f t="shared" ref="AQ2:AQ65" si="20">+(N2-M2)/M2</f>
        <v>4.0463275179592438E-2</v>
      </c>
      <c r="AR2" s="1">
        <f t="shared" ref="AR2:AR65" si="21">+(O2-N2)/N2</f>
        <v>1.1976891644356771E-2</v>
      </c>
      <c r="AS2" s="12">
        <f t="shared" ref="AS2:AS65" si="22">+AVERAGE(AM2:AR2)</f>
        <v>0.14488722077705599</v>
      </c>
      <c r="AT2" s="12">
        <f t="shared" ref="AT2:AT65" si="23">+MEDIAN(AM2:AR2)</f>
        <v>5.9429024430673494E-2</v>
      </c>
      <c r="AU2" s="1">
        <f t="shared" ref="AU2:AU65" si="24">J2-I2</f>
        <v>315</v>
      </c>
      <c r="AV2" s="1">
        <f t="shared" ref="AV2:AV65" si="25">K2-J2</f>
        <v>336</v>
      </c>
      <c r="AW2" s="1">
        <f t="shared" ref="AW2:AW65" si="26">L2-K2</f>
        <v>4021</v>
      </c>
      <c r="AX2" s="1">
        <f t="shared" ref="AX2:AX65" si="27">M2-L2</f>
        <v>-1822</v>
      </c>
      <c r="AY2" s="1">
        <f t="shared" ref="AY2:AY65" si="28">N2-M2</f>
        <v>276</v>
      </c>
      <c r="AZ2" s="1">
        <f t="shared" ref="AZ2:AZ65" si="29">O2-N2</f>
        <v>85</v>
      </c>
      <c r="BA2" s="19">
        <f t="shared" ref="BA2:BA65" si="30">+AVERAGE(AU2:AZ2)</f>
        <v>535.16666666666663</v>
      </c>
      <c r="BB2" s="19">
        <f t="shared" ref="BB2:BB65" si="31">MEDIAN(AU2:AZ2)</f>
        <v>295.5</v>
      </c>
      <c r="BC2" s="9">
        <f t="shared" ref="BC2:BC65" si="32">+(Q2-P2)/P2</f>
        <v>8.7842351369405478E-2</v>
      </c>
      <c r="BD2" s="9">
        <f t="shared" ref="BD2:BD65" si="33">+(R2-Q2)/Q2</f>
        <v>9.1188210009210929E-2</v>
      </c>
      <c r="BE2" s="9">
        <f t="shared" ref="BE2:BE65" si="34">+(S2-R2)/R2</f>
        <v>0.78643781654473832</v>
      </c>
      <c r="BF2" s="9">
        <f t="shared" ref="BF2:BF65" si="35">+(T2-S2)/S2</f>
        <v>-0.13624192786265554</v>
      </c>
      <c r="BG2" s="9">
        <f t="shared" ref="BG2:BG65" si="36">+(U2-T2)/T2</f>
        <v>5.4157549234135668E-2</v>
      </c>
      <c r="BH2" s="9">
        <f t="shared" ref="BH2:BH65" si="37">+(V2-U2)/U2</f>
        <v>-2.9060716139076286E-2</v>
      </c>
      <c r="BI2" s="12">
        <f t="shared" ref="BI2:BI65" si="38">+AVERAGE(BC2:BH2)</f>
        <v>0.14238721385929309</v>
      </c>
      <c r="BJ2" s="13">
        <f t="shared" ref="BJ2:BJ65" si="39">MEDIAN(BC2:BH2)</f>
        <v>7.0999950301770573E-2</v>
      </c>
      <c r="BK2" s="1">
        <f t="shared" ref="BK2:BK65" si="40">+Q2-P2</f>
        <v>263</v>
      </c>
      <c r="BL2" s="1">
        <f t="shared" ref="BL2:BL65" si="41">+R2-Q2</f>
        <v>297</v>
      </c>
      <c r="BM2" s="1">
        <f t="shared" ref="BM2:BM65" si="42">+S2-R2</f>
        <v>2795</v>
      </c>
      <c r="BN2" s="1">
        <f t="shared" ref="BN2:BN65" si="43">+T2-S2</f>
        <v>-865</v>
      </c>
      <c r="BO2" s="1">
        <f t="shared" ref="BO2:BO65" si="44">+U2-T2</f>
        <v>297</v>
      </c>
      <c r="BP2" s="1">
        <f t="shared" ref="BP2:BP65" si="45">+V2-U2</f>
        <v>-168</v>
      </c>
      <c r="BQ2" s="19">
        <f t="shared" ref="BQ2:BQ65" si="46">+AVERAGE(BK2:BP2)</f>
        <v>436.5</v>
      </c>
      <c r="BR2" s="17">
        <f t="shared" ref="BR2:BR65" si="47">MEDIAN(BK2:BP2)</f>
        <v>280</v>
      </c>
    </row>
    <row r="3" spans="1:70" x14ac:dyDescent="0.25">
      <c r="A3" t="s">
        <v>71</v>
      </c>
      <c r="B3">
        <v>1014</v>
      </c>
      <c r="C3">
        <v>956</v>
      </c>
      <c r="D3">
        <v>1096</v>
      </c>
      <c r="E3">
        <v>2430</v>
      </c>
      <c r="F3">
        <v>1889</v>
      </c>
      <c r="G3">
        <v>1787</v>
      </c>
      <c r="H3">
        <v>1521</v>
      </c>
      <c r="I3">
        <v>497</v>
      </c>
      <c r="J3">
        <v>461</v>
      </c>
      <c r="K3">
        <v>499</v>
      </c>
      <c r="L3">
        <v>1280</v>
      </c>
      <c r="M3">
        <v>928</v>
      </c>
      <c r="N3">
        <v>801</v>
      </c>
      <c r="O3">
        <v>688</v>
      </c>
      <c r="P3">
        <v>517</v>
      </c>
      <c r="Q3">
        <v>495</v>
      </c>
      <c r="R3">
        <v>597</v>
      </c>
      <c r="S3">
        <v>1150</v>
      </c>
      <c r="T3">
        <v>961</v>
      </c>
      <c r="U3">
        <v>986</v>
      </c>
      <c r="V3">
        <v>833</v>
      </c>
      <c r="W3" s="8">
        <f t="shared" si="0"/>
        <v>-5.7199211045364892E-2</v>
      </c>
      <c r="X3" s="8">
        <f t="shared" si="1"/>
        <v>0.14644351464435146</v>
      </c>
      <c r="Y3" s="8">
        <f t="shared" si="2"/>
        <v>1.2171532846715329</v>
      </c>
      <c r="Z3" s="8">
        <f t="shared" si="3"/>
        <v>-0.22263374485596707</v>
      </c>
      <c r="AA3" s="8">
        <f t="shared" si="4"/>
        <v>-5.3996823716251988E-2</v>
      </c>
      <c r="AB3" s="8">
        <f t="shared" si="5"/>
        <v>-0.14885282596530497</v>
      </c>
      <c r="AC3" s="12">
        <f t="shared" si="6"/>
        <v>0.14681903228883256</v>
      </c>
      <c r="AD3" s="12">
        <f t="shared" si="7"/>
        <v>-5.559801738080844E-2</v>
      </c>
      <c r="AE3" s="1">
        <f t="shared" si="8"/>
        <v>-58</v>
      </c>
      <c r="AF3" s="1">
        <f t="shared" si="9"/>
        <v>140</v>
      </c>
      <c r="AG3" s="1">
        <f t="shared" si="10"/>
        <v>1334</v>
      </c>
      <c r="AH3" s="1">
        <f t="shared" si="11"/>
        <v>-541</v>
      </c>
      <c r="AI3" s="1">
        <f t="shared" si="12"/>
        <v>-102</v>
      </c>
      <c r="AJ3" s="1">
        <f t="shared" si="13"/>
        <v>-266</v>
      </c>
      <c r="AK3" s="17">
        <f t="shared" si="14"/>
        <v>84.5</v>
      </c>
      <c r="AL3" s="17">
        <f t="shared" si="15"/>
        <v>-80</v>
      </c>
      <c r="AM3" s="1">
        <f t="shared" si="16"/>
        <v>-7.2434607645875254E-2</v>
      </c>
      <c r="AN3" s="1">
        <f t="shared" si="17"/>
        <v>8.2429501084598705E-2</v>
      </c>
      <c r="AO3" s="1">
        <f t="shared" si="18"/>
        <v>1.565130260521042</v>
      </c>
      <c r="AP3" s="1">
        <f t="shared" si="19"/>
        <v>-0.27500000000000002</v>
      </c>
      <c r="AQ3" s="1">
        <f t="shared" si="20"/>
        <v>-0.13685344827586207</v>
      </c>
      <c r="AR3" s="1">
        <f t="shared" si="21"/>
        <v>-0.14107365792759052</v>
      </c>
      <c r="AS3" s="12">
        <f t="shared" si="22"/>
        <v>0.17036634129271877</v>
      </c>
      <c r="AT3" s="12">
        <f t="shared" si="23"/>
        <v>-0.10464402796086866</v>
      </c>
      <c r="AU3" s="1">
        <f t="shared" si="24"/>
        <v>-36</v>
      </c>
      <c r="AV3" s="1">
        <f t="shared" si="25"/>
        <v>38</v>
      </c>
      <c r="AW3" s="1">
        <f t="shared" si="26"/>
        <v>781</v>
      </c>
      <c r="AX3" s="1">
        <f t="shared" si="27"/>
        <v>-352</v>
      </c>
      <c r="AY3" s="1">
        <f t="shared" si="28"/>
        <v>-127</v>
      </c>
      <c r="AZ3" s="1">
        <f t="shared" si="29"/>
        <v>-113</v>
      </c>
      <c r="BA3" s="19">
        <f t="shared" si="30"/>
        <v>31.833333333333332</v>
      </c>
      <c r="BB3" s="19">
        <f t="shared" si="31"/>
        <v>-74.5</v>
      </c>
      <c r="BC3" s="9">
        <f t="shared" si="32"/>
        <v>-4.2553191489361701E-2</v>
      </c>
      <c r="BD3" s="9">
        <f t="shared" si="33"/>
        <v>0.20606060606060606</v>
      </c>
      <c r="BE3" s="9">
        <f t="shared" si="34"/>
        <v>0.9262981574539364</v>
      </c>
      <c r="BF3" s="9">
        <f t="shared" si="35"/>
        <v>-0.16434782608695653</v>
      </c>
      <c r="BG3" s="9">
        <f t="shared" si="36"/>
        <v>2.6014568158168574E-2</v>
      </c>
      <c r="BH3" s="9">
        <f t="shared" si="37"/>
        <v>-0.15517241379310345</v>
      </c>
      <c r="BI3" s="12">
        <f t="shared" si="38"/>
        <v>0.13271665005054822</v>
      </c>
      <c r="BJ3" s="13">
        <f t="shared" si="39"/>
        <v>-8.2693116655965654E-3</v>
      </c>
      <c r="BK3" s="1">
        <f t="shared" si="40"/>
        <v>-22</v>
      </c>
      <c r="BL3" s="1">
        <f t="shared" si="41"/>
        <v>102</v>
      </c>
      <c r="BM3" s="1">
        <f t="shared" si="42"/>
        <v>553</v>
      </c>
      <c r="BN3" s="1">
        <f t="shared" si="43"/>
        <v>-189</v>
      </c>
      <c r="BO3" s="1">
        <f t="shared" si="44"/>
        <v>25</v>
      </c>
      <c r="BP3" s="1">
        <f t="shared" si="45"/>
        <v>-153</v>
      </c>
      <c r="BQ3" s="19">
        <f t="shared" si="46"/>
        <v>52.666666666666664</v>
      </c>
      <c r="BR3" s="17">
        <f t="shared" si="47"/>
        <v>1.5</v>
      </c>
    </row>
    <row r="4" spans="1:70" x14ac:dyDescent="0.25">
      <c r="A4" t="s">
        <v>70</v>
      </c>
      <c r="B4">
        <v>1084</v>
      </c>
      <c r="C4">
        <v>1077</v>
      </c>
      <c r="D4">
        <v>1178</v>
      </c>
      <c r="E4">
        <v>1494</v>
      </c>
      <c r="F4">
        <v>1435</v>
      </c>
      <c r="G4">
        <v>1486</v>
      </c>
      <c r="H4">
        <v>1430</v>
      </c>
      <c r="I4">
        <v>626</v>
      </c>
      <c r="J4">
        <v>654</v>
      </c>
      <c r="K4">
        <v>712</v>
      </c>
      <c r="L4">
        <v>884</v>
      </c>
      <c r="M4">
        <v>860</v>
      </c>
      <c r="N4">
        <v>857</v>
      </c>
      <c r="O4">
        <v>811</v>
      </c>
      <c r="P4">
        <v>458</v>
      </c>
      <c r="Q4">
        <v>423</v>
      </c>
      <c r="R4">
        <v>466</v>
      </c>
      <c r="S4">
        <v>610</v>
      </c>
      <c r="T4">
        <v>575</v>
      </c>
      <c r="U4">
        <v>629</v>
      </c>
      <c r="V4">
        <v>619</v>
      </c>
      <c r="W4" s="8">
        <f t="shared" si="0"/>
        <v>-6.4575645756457566E-3</v>
      </c>
      <c r="X4" s="8">
        <f t="shared" si="1"/>
        <v>9.3779015784586819E-2</v>
      </c>
      <c r="Y4" s="8">
        <f t="shared" si="2"/>
        <v>0.26825127334465193</v>
      </c>
      <c r="Z4" s="8">
        <f t="shared" si="3"/>
        <v>-3.9491298527443104E-2</v>
      </c>
      <c r="AA4" s="8">
        <f t="shared" si="4"/>
        <v>3.5540069686411151E-2</v>
      </c>
      <c r="AB4" s="8">
        <f t="shared" si="5"/>
        <v>-3.7685060565275909E-2</v>
      </c>
      <c r="AC4" s="12">
        <f t="shared" si="6"/>
        <v>5.232273919121419E-2</v>
      </c>
      <c r="AD4" s="12">
        <f t="shared" si="7"/>
        <v>1.4541252555382699E-2</v>
      </c>
      <c r="AE4" s="1">
        <f t="shared" si="8"/>
        <v>-7</v>
      </c>
      <c r="AF4" s="1">
        <f t="shared" si="9"/>
        <v>101</v>
      </c>
      <c r="AG4" s="1">
        <f t="shared" si="10"/>
        <v>316</v>
      </c>
      <c r="AH4" s="1">
        <f t="shared" si="11"/>
        <v>-59</v>
      </c>
      <c r="AI4" s="1">
        <f t="shared" si="12"/>
        <v>51</v>
      </c>
      <c r="AJ4" s="1">
        <f t="shared" si="13"/>
        <v>-56</v>
      </c>
      <c r="AK4" s="17">
        <f t="shared" si="14"/>
        <v>57.666666666666664</v>
      </c>
      <c r="AL4" s="17">
        <f t="shared" si="15"/>
        <v>22</v>
      </c>
      <c r="AM4" s="1">
        <f t="shared" si="16"/>
        <v>4.472843450479233E-2</v>
      </c>
      <c r="AN4" s="1">
        <f t="shared" si="17"/>
        <v>8.8685015290519878E-2</v>
      </c>
      <c r="AO4" s="1">
        <f t="shared" si="18"/>
        <v>0.24157303370786518</v>
      </c>
      <c r="AP4" s="1">
        <f t="shared" si="19"/>
        <v>-2.7149321266968326E-2</v>
      </c>
      <c r="AQ4" s="1">
        <f t="shared" si="20"/>
        <v>-3.4883720930232558E-3</v>
      </c>
      <c r="AR4" s="1">
        <f t="shared" si="21"/>
        <v>-5.3675612602100353E-2</v>
      </c>
      <c r="AS4" s="12">
        <f t="shared" si="22"/>
        <v>4.8445529590180912E-2</v>
      </c>
      <c r="AT4" s="12">
        <f t="shared" si="23"/>
        <v>2.0620031205884539E-2</v>
      </c>
      <c r="AU4" s="1">
        <f t="shared" si="24"/>
        <v>28</v>
      </c>
      <c r="AV4" s="1">
        <f t="shared" si="25"/>
        <v>58</v>
      </c>
      <c r="AW4" s="1">
        <f t="shared" si="26"/>
        <v>172</v>
      </c>
      <c r="AX4" s="1">
        <f t="shared" si="27"/>
        <v>-24</v>
      </c>
      <c r="AY4" s="1">
        <f t="shared" si="28"/>
        <v>-3</v>
      </c>
      <c r="AZ4" s="1">
        <f t="shared" si="29"/>
        <v>-46</v>
      </c>
      <c r="BA4" s="19">
        <f t="shared" si="30"/>
        <v>30.833333333333332</v>
      </c>
      <c r="BB4" s="19">
        <f t="shared" si="31"/>
        <v>12.5</v>
      </c>
      <c r="BC4" s="9">
        <f t="shared" si="32"/>
        <v>-7.6419213973799124E-2</v>
      </c>
      <c r="BD4" s="9">
        <f t="shared" si="33"/>
        <v>0.10165484633569739</v>
      </c>
      <c r="BE4" s="9">
        <f t="shared" si="34"/>
        <v>0.30901287553648071</v>
      </c>
      <c r="BF4" s="9">
        <f t="shared" si="35"/>
        <v>-5.737704918032787E-2</v>
      </c>
      <c r="BG4" s="9">
        <f t="shared" si="36"/>
        <v>9.3913043478260863E-2</v>
      </c>
      <c r="BH4" s="9">
        <f t="shared" si="37"/>
        <v>-1.5898251192368838E-2</v>
      </c>
      <c r="BI4" s="12">
        <f t="shared" si="38"/>
        <v>5.9147708500657196E-2</v>
      </c>
      <c r="BJ4" s="13">
        <f t="shared" si="39"/>
        <v>3.9007396142946009E-2</v>
      </c>
      <c r="BK4" s="1">
        <f t="shared" si="40"/>
        <v>-35</v>
      </c>
      <c r="BL4" s="1">
        <f t="shared" si="41"/>
        <v>43</v>
      </c>
      <c r="BM4" s="1">
        <f t="shared" si="42"/>
        <v>144</v>
      </c>
      <c r="BN4" s="1">
        <f t="shared" si="43"/>
        <v>-35</v>
      </c>
      <c r="BO4" s="1">
        <f t="shared" si="44"/>
        <v>54</v>
      </c>
      <c r="BP4" s="1">
        <f t="shared" si="45"/>
        <v>-10</v>
      </c>
      <c r="BQ4" s="19">
        <f t="shared" si="46"/>
        <v>26.833333333333332</v>
      </c>
      <c r="BR4" s="17">
        <f t="shared" si="47"/>
        <v>16.5</v>
      </c>
    </row>
    <row r="5" spans="1:70" x14ac:dyDescent="0.25">
      <c r="A5" t="s">
        <v>140</v>
      </c>
      <c r="B5">
        <v>98</v>
      </c>
      <c r="C5">
        <v>137</v>
      </c>
      <c r="D5">
        <v>133</v>
      </c>
      <c r="E5">
        <v>931</v>
      </c>
      <c r="F5">
        <v>650</v>
      </c>
      <c r="G5">
        <v>474</v>
      </c>
      <c r="H5">
        <v>432</v>
      </c>
      <c r="I5">
        <v>48</v>
      </c>
      <c r="J5">
        <v>66</v>
      </c>
      <c r="K5">
        <v>64</v>
      </c>
      <c r="L5">
        <v>573</v>
      </c>
      <c r="M5">
        <v>353</v>
      </c>
      <c r="N5">
        <v>262</v>
      </c>
      <c r="O5">
        <v>237</v>
      </c>
      <c r="P5">
        <v>50</v>
      </c>
      <c r="Q5">
        <v>71</v>
      </c>
      <c r="R5">
        <v>69</v>
      </c>
      <c r="S5">
        <v>358</v>
      </c>
      <c r="T5">
        <v>297</v>
      </c>
      <c r="U5">
        <v>212</v>
      </c>
      <c r="V5">
        <v>195</v>
      </c>
      <c r="W5" s="8">
        <f t="shared" si="0"/>
        <v>0.39795918367346939</v>
      </c>
      <c r="X5" s="8">
        <f t="shared" si="1"/>
        <v>-2.9197080291970802E-2</v>
      </c>
      <c r="Y5" s="8">
        <f t="shared" si="2"/>
        <v>6</v>
      </c>
      <c r="Z5" s="8">
        <f t="shared" si="3"/>
        <v>-0.30182599355531686</v>
      </c>
      <c r="AA5" s="8">
        <f t="shared" si="4"/>
        <v>-0.27076923076923076</v>
      </c>
      <c r="AB5" s="8">
        <f t="shared" si="5"/>
        <v>-8.8607594936708861E-2</v>
      </c>
      <c r="AC5" s="12">
        <f t="shared" si="6"/>
        <v>0.95125988068670697</v>
      </c>
      <c r="AD5" s="12">
        <f t="shared" si="7"/>
        <v>-5.8902337614339828E-2</v>
      </c>
      <c r="AE5" s="1">
        <f t="shared" si="8"/>
        <v>39</v>
      </c>
      <c r="AF5" s="1">
        <f t="shared" si="9"/>
        <v>-4</v>
      </c>
      <c r="AG5" s="1">
        <f t="shared" si="10"/>
        <v>798</v>
      </c>
      <c r="AH5" s="1">
        <f t="shared" si="11"/>
        <v>-281</v>
      </c>
      <c r="AI5" s="1">
        <f t="shared" si="12"/>
        <v>-176</v>
      </c>
      <c r="AJ5" s="1">
        <f t="shared" si="13"/>
        <v>-42</v>
      </c>
      <c r="AK5" s="17">
        <f t="shared" si="14"/>
        <v>55.666666666666664</v>
      </c>
      <c r="AL5" s="17">
        <f t="shared" si="15"/>
        <v>-23</v>
      </c>
      <c r="AM5" s="1">
        <f t="shared" si="16"/>
        <v>0.375</v>
      </c>
      <c r="AN5" s="1">
        <f t="shared" si="17"/>
        <v>-3.0303030303030304E-2</v>
      </c>
      <c r="AO5" s="1">
        <f t="shared" si="18"/>
        <v>7.953125</v>
      </c>
      <c r="AP5" s="1">
        <f t="shared" si="19"/>
        <v>-0.38394415357766143</v>
      </c>
      <c r="AQ5" s="1">
        <f t="shared" si="20"/>
        <v>-0.25779036827195467</v>
      </c>
      <c r="AR5" s="1">
        <f t="shared" si="21"/>
        <v>-9.5419847328244281E-2</v>
      </c>
      <c r="AS5" s="12">
        <f t="shared" si="22"/>
        <v>1.2601112667531849</v>
      </c>
      <c r="AT5" s="12">
        <f t="shared" si="23"/>
        <v>-6.2861438815637299E-2</v>
      </c>
      <c r="AU5" s="1">
        <f t="shared" si="24"/>
        <v>18</v>
      </c>
      <c r="AV5" s="1">
        <f t="shared" si="25"/>
        <v>-2</v>
      </c>
      <c r="AW5" s="1">
        <f t="shared" si="26"/>
        <v>509</v>
      </c>
      <c r="AX5" s="1">
        <f t="shared" si="27"/>
        <v>-220</v>
      </c>
      <c r="AY5" s="1">
        <f t="shared" si="28"/>
        <v>-91</v>
      </c>
      <c r="AZ5" s="1">
        <f t="shared" si="29"/>
        <v>-25</v>
      </c>
      <c r="BA5" s="19">
        <f t="shared" si="30"/>
        <v>31.5</v>
      </c>
      <c r="BB5" s="19">
        <f t="shared" si="31"/>
        <v>-13.5</v>
      </c>
      <c r="BC5" s="9">
        <f t="shared" si="32"/>
        <v>0.42</v>
      </c>
      <c r="BD5" s="9">
        <f t="shared" si="33"/>
        <v>-2.8169014084507043E-2</v>
      </c>
      <c r="BE5" s="9">
        <f t="shared" si="34"/>
        <v>4.1884057971014492</v>
      </c>
      <c r="BF5" s="9">
        <f t="shared" si="35"/>
        <v>-0.17039106145251395</v>
      </c>
      <c r="BG5" s="9">
        <f t="shared" si="36"/>
        <v>-0.28619528619528617</v>
      </c>
      <c r="BH5" s="9">
        <f t="shared" si="37"/>
        <v>-8.0188679245283015E-2</v>
      </c>
      <c r="BI5" s="12">
        <f t="shared" si="38"/>
        <v>0.67391029268730984</v>
      </c>
      <c r="BJ5" s="13">
        <f t="shared" si="39"/>
        <v>-5.4178846664895031E-2</v>
      </c>
      <c r="BK5" s="1">
        <f t="shared" si="40"/>
        <v>21</v>
      </c>
      <c r="BL5" s="1">
        <f t="shared" si="41"/>
        <v>-2</v>
      </c>
      <c r="BM5" s="1">
        <f t="shared" si="42"/>
        <v>289</v>
      </c>
      <c r="BN5" s="1">
        <f t="shared" si="43"/>
        <v>-61</v>
      </c>
      <c r="BO5" s="1">
        <f t="shared" si="44"/>
        <v>-85</v>
      </c>
      <c r="BP5" s="1">
        <f t="shared" si="45"/>
        <v>-17</v>
      </c>
      <c r="BQ5" s="19">
        <f t="shared" si="46"/>
        <v>24.166666666666668</v>
      </c>
      <c r="BR5" s="17">
        <f t="shared" si="47"/>
        <v>-9.5</v>
      </c>
    </row>
    <row r="6" spans="1:70" x14ac:dyDescent="0.25">
      <c r="A6" t="s">
        <v>92</v>
      </c>
      <c r="B6">
        <v>303</v>
      </c>
      <c r="C6">
        <v>370</v>
      </c>
      <c r="D6">
        <v>418</v>
      </c>
      <c r="E6">
        <v>564</v>
      </c>
      <c r="F6">
        <v>625</v>
      </c>
      <c r="G6">
        <v>650</v>
      </c>
      <c r="H6">
        <v>565</v>
      </c>
      <c r="I6">
        <v>173</v>
      </c>
      <c r="J6">
        <v>209</v>
      </c>
      <c r="K6">
        <v>211</v>
      </c>
      <c r="L6">
        <v>324</v>
      </c>
      <c r="M6">
        <v>380</v>
      </c>
      <c r="N6">
        <v>371</v>
      </c>
      <c r="O6">
        <v>328</v>
      </c>
      <c r="P6">
        <v>130</v>
      </c>
      <c r="Q6">
        <v>161</v>
      </c>
      <c r="R6">
        <v>207</v>
      </c>
      <c r="S6">
        <v>240</v>
      </c>
      <c r="T6">
        <v>245</v>
      </c>
      <c r="U6">
        <v>279</v>
      </c>
      <c r="V6">
        <v>237</v>
      </c>
      <c r="W6" s="8">
        <f t="shared" si="0"/>
        <v>0.22112211221122113</v>
      </c>
      <c r="X6" s="8">
        <f t="shared" si="1"/>
        <v>0.12972972972972974</v>
      </c>
      <c r="Y6" s="8">
        <f t="shared" si="2"/>
        <v>0.34928229665071769</v>
      </c>
      <c r="Z6" s="8">
        <f t="shared" si="3"/>
        <v>0.10815602836879433</v>
      </c>
      <c r="AA6" s="8">
        <f t="shared" si="4"/>
        <v>0.04</v>
      </c>
      <c r="AB6" s="8">
        <f t="shared" si="5"/>
        <v>-0.13076923076923078</v>
      </c>
      <c r="AC6" s="12">
        <f t="shared" si="6"/>
        <v>0.11958682269853871</v>
      </c>
      <c r="AD6" s="12">
        <f t="shared" si="7"/>
        <v>0.11894287904926204</v>
      </c>
      <c r="AE6" s="1">
        <f t="shared" si="8"/>
        <v>67</v>
      </c>
      <c r="AF6" s="1">
        <f t="shared" si="9"/>
        <v>48</v>
      </c>
      <c r="AG6" s="1">
        <f t="shared" si="10"/>
        <v>146</v>
      </c>
      <c r="AH6" s="1">
        <f t="shared" si="11"/>
        <v>61</v>
      </c>
      <c r="AI6" s="1">
        <f t="shared" si="12"/>
        <v>25</v>
      </c>
      <c r="AJ6" s="1">
        <f t="shared" si="13"/>
        <v>-85</v>
      </c>
      <c r="AK6" s="17">
        <f t="shared" si="14"/>
        <v>43.666666666666664</v>
      </c>
      <c r="AL6" s="17">
        <f t="shared" si="15"/>
        <v>54.5</v>
      </c>
      <c r="AM6" s="1">
        <f t="shared" si="16"/>
        <v>0.20809248554913296</v>
      </c>
      <c r="AN6" s="1">
        <f t="shared" si="17"/>
        <v>9.5693779904306216E-3</v>
      </c>
      <c r="AO6" s="1">
        <f t="shared" si="18"/>
        <v>0.53554502369668244</v>
      </c>
      <c r="AP6" s="1">
        <f t="shared" si="19"/>
        <v>0.1728395061728395</v>
      </c>
      <c r="AQ6" s="1">
        <f t="shared" si="20"/>
        <v>-2.368421052631579E-2</v>
      </c>
      <c r="AR6" s="1">
        <f t="shared" si="21"/>
        <v>-0.11590296495956873</v>
      </c>
      <c r="AS6" s="12">
        <f t="shared" si="22"/>
        <v>0.13107653632053351</v>
      </c>
      <c r="AT6" s="12">
        <f t="shared" si="23"/>
        <v>9.1204442081635057E-2</v>
      </c>
      <c r="AU6" s="1">
        <f t="shared" si="24"/>
        <v>36</v>
      </c>
      <c r="AV6" s="1">
        <f t="shared" si="25"/>
        <v>2</v>
      </c>
      <c r="AW6" s="1">
        <f t="shared" si="26"/>
        <v>113</v>
      </c>
      <c r="AX6" s="1">
        <f t="shared" si="27"/>
        <v>56</v>
      </c>
      <c r="AY6" s="1">
        <f t="shared" si="28"/>
        <v>-9</v>
      </c>
      <c r="AZ6" s="1">
        <f t="shared" si="29"/>
        <v>-43</v>
      </c>
      <c r="BA6" s="19">
        <f t="shared" si="30"/>
        <v>25.833333333333332</v>
      </c>
      <c r="BB6" s="19">
        <f t="shared" si="31"/>
        <v>19</v>
      </c>
      <c r="BC6" s="9">
        <f t="shared" si="32"/>
        <v>0.23846153846153847</v>
      </c>
      <c r="BD6" s="9">
        <f t="shared" si="33"/>
        <v>0.2857142857142857</v>
      </c>
      <c r="BE6" s="9">
        <f t="shared" si="34"/>
        <v>0.15942028985507245</v>
      </c>
      <c r="BF6" s="9">
        <f t="shared" si="35"/>
        <v>2.0833333333333332E-2</v>
      </c>
      <c r="BG6" s="9">
        <f t="shared" si="36"/>
        <v>0.13877551020408163</v>
      </c>
      <c r="BH6" s="9">
        <f t="shared" si="37"/>
        <v>-0.15053763440860216</v>
      </c>
      <c r="BI6" s="12">
        <f t="shared" si="38"/>
        <v>0.11544455385995157</v>
      </c>
      <c r="BJ6" s="13">
        <f t="shared" si="39"/>
        <v>0.14909790002957704</v>
      </c>
      <c r="BK6" s="1">
        <f t="shared" si="40"/>
        <v>31</v>
      </c>
      <c r="BL6" s="1">
        <f t="shared" si="41"/>
        <v>46</v>
      </c>
      <c r="BM6" s="1">
        <f t="shared" si="42"/>
        <v>33</v>
      </c>
      <c r="BN6" s="1">
        <f t="shared" si="43"/>
        <v>5</v>
      </c>
      <c r="BO6" s="1">
        <f t="shared" si="44"/>
        <v>34</v>
      </c>
      <c r="BP6" s="1">
        <f t="shared" si="45"/>
        <v>-42</v>
      </c>
      <c r="BQ6" s="19">
        <f t="shared" si="46"/>
        <v>17.833333333333332</v>
      </c>
      <c r="BR6" s="17">
        <f t="shared" si="47"/>
        <v>32</v>
      </c>
    </row>
    <row r="7" spans="1:70" x14ac:dyDescent="0.25">
      <c r="A7" t="s">
        <v>96</v>
      </c>
      <c r="B7">
        <v>274</v>
      </c>
      <c r="C7">
        <v>266</v>
      </c>
      <c r="D7">
        <v>338</v>
      </c>
      <c r="E7">
        <v>420</v>
      </c>
      <c r="F7">
        <v>467</v>
      </c>
      <c r="G7">
        <v>473</v>
      </c>
      <c r="H7">
        <v>522</v>
      </c>
      <c r="I7">
        <v>131</v>
      </c>
      <c r="J7">
        <v>130</v>
      </c>
      <c r="K7">
        <v>170</v>
      </c>
      <c r="L7">
        <v>199</v>
      </c>
      <c r="M7">
        <v>190</v>
      </c>
      <c r="N7">
        <v>225</v>
      </c>
      <c r="O7">
        <v>255</v>
      </c>
      <c r="P7">
        <v>143</v>
      </c>
      <c r="Q7">
        <v>136</v>
      </c>
      <c r="R7">
        <v>168</v>
      </c>
      <c r="S7">
        <v>221</v>
      </c>
      <c r="T7">
        <v>277</v>
      </c>
      <c r="U7">
        <v>248</v>
      </c>
      <c r="V7">
        <v>267</v>
      </c>
      <c r="W7" s="8">
        <f t="shared" si="0"/>
        <v>-2.9197080291970802E-2</v>
      </c>
      <c r="X7" s="8">
        <f t="shared" si="1"/>
        <v>0.27067669172932329</v>
      </c>
      <c r="Y7" s="8">
        <f t="shared" si="2"/>
        <v>0.24260355029585798</v>
      </c>
      <c r="Z7" s="8">
        <f t="shared" si="3"/>
        <v>0.11190476190476191</v>
      </c>
      <c r="AA7" s="8">
        <f t="shared" si="4"/>
        <v>1.284796573875803E-2</v>
      </c>
      <c r="AB7" s="8">
        <f t="shared" si="5"/>
        <v>0.10359408033826638</v>
      </c>
      <c r="AC7" s="12">
        <f t="shared" si="6"/>
        <v>0.11873832828583279</v>
      </c>
      <c r="AD7" s="12">
        <f t="shared" si="7"/>
        <v>0.10774942112151414</v>
      </c>
      <c r="AE7" s="1">
        <f t="shared" si="8"/>
        <v>-8</v>
      </c>
      <c r="AF7" s="1">
        <f t="shared" si="9"/>
        <v>72</v>
      </c>
      <c r="AG7" s="1">
        <f t="shared" si="10"/>
        <v>82</v>
      </c>
      <c r="AH7" s="1">
        <f t="shared" si="11"/>
        <v>47</v>
      </c>
      <c r="AI7" s="1">
        <f t="shared" si="12"/>
        <v>6</v>
      </c>
      <c r="AJ7" s="1">
        <f t="shared" si="13"/>
        <v>49</v>
      </c>
      <c r="AK7" s="17">
        <f t="shared" si="14"/>
        <v>41.333333333333336</v>
      </c>
      <c r="AL7" s="17">
        <f t="shared" si="15"/>
        <v>48</v>
      </c>
      <c r="AM7" s="1">
        <f t="shared" si="16"/>
        <v>-7.6335877862595417E-3</v>
      </c>
      <c r="AN7" s="1">
        <f t="shared" si="17"/>
        <v>0.30769230769230771</v>
      </c>
      <c r="AO7" s="1">
        <f t="shared" si="18"/>
        <v>0.17058823529411765</v>
      </c>
      <c r="AP7" s="1">
        <f t="shared" si="19"/>
        <v>-4.5226130653266333E-2</v>
      </c>
      <c r="AQ7" s="1">
        <f t="shared" si="20"/>
        <v>0.18421052631578946</v>
      </c>
      <c r="AR7" s="1">
        <f t="shared" si="21"/>
        <v>0.13333333333333333</v>
      </c>
      <c r="AS7" s="12">
        <f t="shared" si="22"/>
        <v>0.12382744736600371</v>
      </c>
      <c r="AT7" s="12">
        <f t="shared" si="23"/>
        <v>0.15196078431372551</v>
      </c>
      <c r="AU7" s="1">
        <f t="shared" si="24"/>
        <v>-1</v>
      </c>
      <c r="AV7" s="1">
        <f t="shared" si="25"/>
        <v>40</v>
      </c>
      <c r="AW7" s="1">
        <f t="shared" si="26"/>
        <v>29</v>
      </c>
      <c r="AX7" s="1">
        <f t="shared" si="27"/>
        <v>-9</v>
      </c>
      <c r="AY7" s="1">
        <f t="shared" si="28"/>
        <v>35</v>
      </c>
      <c r="AZ7" s="1">
        <f t="shared" si="29"/>
        <v>30</v>
      </c>
      <c r="BA7" s="19">
        <f t="shared" si="30"/>
        <v>20.666666666666668</v>
      </c>
      <c r="BB7" s="19">
        <f t="shared" si="31"/>
        <v>29.5</v>
      </c>
      <c r="BC7" s="9">
        <f t="shared" si="32"/>
        <v>-4.8951048951048952E-2</v>
      </c>
      <c r="BD7" s="9">
        <f t="shared" si="33"/>
        <v>0.23529411764705882</v>
      </c>
      <c r="BE7" s="9">
        <f t="shared" si="34"/>
        <v>0.31547619047619047</v>
      </c>
      <c r="BF7" s="9">
        <f t="shared" si="35"/>
        <v>0.25339366515837103</v>
      </c>
      <c r="BG7" s="9">
        <f t="shared" si="36"/>
        <v>-0.10469314079422383</v>
      </c>
      <c r="BH7" s="9">
        <f t="shared" si="37"/>
        <v>7.6612903225806453E-2</v>
      </c>
      <c r="BI7" s="12">
        <f t="shared" si="38"/>
        <v>0.12118878112702568</v>
      </c>
      <c r="BJ7" s="13">
        <f t="shared" si="39"/>
        <v>0.15595351043643263</v>
      </c>
      <c r="BK7" s="1">
        <f t="shared" si="40"/>
        <v>-7</v>
      </c>
      <c r="BL7" s="1">
        <f t="shared" si="41"/>
        <v>32</v>
      </c>
      <c r="BM7" s="1">
        <f t="shared" si="42"/>
        <v>53</v>
      </c>
      <c r="BN7" s="1">
        <f t="shared" si="43"/>
        <v>56</v>
      </c>
      <c r="BO7" s="1">
        <f t="shared" si="44"/>
        <v>-29</v>
      </c>
      <c r="BP7" s="1">
        <f t="shared" si="45"/>
        <v>19</v>
      </c>
      <c r="BQ7" s="19">
        <f t="shared" si="46"/>
        <v>20.666666666666668</v>
      </c>
      <c r="BR7" s="17">
        <f t="shared" si="47"/>
        <v>25.5</v>
      </c>
    </row>
    <row r="8" spans="1:70" x14ac:dyDescent="0.25">
      <c r="A8" t="s">
        <v>87</v>
      </c>
      <c r="B8">
        <v>447</v>
      </c>
      <c r="C8">
        <v>477</v>
      </c>
      <c r="D8">
        <v>592</v>
      </c>
      <c r="E8">
        <v>618</v>
      </c>
      <c r="F8">
        <v>561</v>
      </c>
      <c r="G8">
        <v>667</v>
      </c>
      <c r="H8">
        <v>687</v>
      </c>
      <c r="I8">
        <v>158</v>
      </c>
      <c r="J8">
        <v>164</v>
      </c>
      <c r="K8">
        <v>229</v>
      </c>
      <c r="L8">
        <v>261</v>
      </c>
      <c r="M8">
        <v>220</v>
      </c>
      <c r="N8">
        <v>249</v>
      </c>
      <c r="O8">
        <v>258</v>
      </c>
      <c r="P8">
        <v>289</v>
      </c>
      <c r="Q8">
        <v>313</v>
      </c>
      <c r="R8">
        <v>363</v>
      </c>
      <c r="S8">
        <v>357</v>
      </c>
      <c r="T8">
        <v>341</v>
      </c>
      <c r="U8">
        <v>418</v>
      </c>
      <c r="V8">
        <v>429</v>
      </c>
      <c r="W8" s="8">
        <f t="shared" si="0"/>
        <v>6.7114093959731544E-2</v>
      </c>
      <c r="X8" s="8">
        <f t="shared" si="1"/>
        <v>0.24109014675052412</v>
      </c>
      <c r="Y8" s="8">
        <f t="shared" si="2"/>
        <v>4.3918918918918921E-2</v>
      </c>
      <c r="Z8" s="8">
        <f t="shared" si="3"/>
        <v>-9.2233009708737865E-2</v>
      </c>
      <c r="AA8" s="8">
        <f t="shared" si="4"/>
        <v>0.18894830659536541</v>
      </c>
      <c r="AB8" s="8">
        <f t="shared" si="5"/>
        <v>2.9985007496251874E-2</v>
      </c>
      <c r="AC8" s="12">
        <f t="shared" si="6"/>
        <v>7.9803910668675662E-2</v>
      </c>
      <c r="AD8" s="12">
        <f t="shared" si="7"/>
        <v>5.5516506439325236E-2</v>
      </c>
      <c r="AE8" s="1">
        <f t="shared" si="8"/>
        <v>30</v>
      </c>
      <c r="AF8" s="1">
        <f t="shared" si="9"/>
        <v>115</v>
      </c>
      <c r="AG8" s="1">
        <f t="shared" si="10"/>
        <v>26</v>
      </c>
      <c r="AH8" s="1">
        <f t="shared" si="11"/>
        <v>-57</v>
      </c>
      <c r="AI8" s="1">
        <f t="shared" si="12"/>
        <v>106</v>
      </c>
      <c r="AJ8" s="1">
        <f t="shared" si="13"/>
        <v>20</v>
      </c>
      <c r="AK8" s="17">
        <f t="shared" si="14"/>
        <v>40</v>
      </c>
      <c r="AL8" s="17">
        <f t="shared" si="15"/>
        <v>28</v>
      </c>
      <c r="AM8" s="1">
        <f t="shared" si="16"/>
        <v>3.7974683544303799E-2</v>
      </c>
      <c r="AN8" s="1">
        <f t="shared" si="17"/>
        <v>0.39634146341463417</v>
      </c>
      <c r="AO8" s="1">
        <f t="shared" si="18"/>
        <v>0.13973799126637554</v>
      </c>
      <c r="AP8" s="1">
        <f t="shared" si="19"/>
        <v>-0.15708812260536398</v>
      </c>
      <c r="AQ8" s="1">
        <f t="shared" si="20"/>
        <v>0.13181818181818181</v>
      </c>
      <c r="AR8" s="1">
        <f t="shared" si="21"/>
        <v>3.614457831325301E-2</v>
      </c>
      <c r="AS8" s="12">
        <f t="shared" si="22"/>
        <v>9.7488129291897388E-2</v>
      </c>
      <c r="AT8" s="12">
        <f t="shared" si="23"/>
        <v>8.4896432681242806E-2</v>
      </c>
      <c r="AU8" s="1">
        <f t="shared" si="24"/>
        <v>6</v>
      </c>
      <c r="AV8" s="1">
        <f t="shared" si="25"/>
        <v>65</v>
      </c>
      <c r="AW8" s="1">
        <f t="shared" si="26"/>
        <v>32</v>
      </c>
      <c r="AX8" s="1">
        <f t="shared" si="27"/>
        <v>-41</v>
      </c>
      <c r="AY8" s="1">
        <f t="shared" si="28"/>
        <v>29</v>
      </c>
      <c r="AZ8" s="1">
        <f t="shared" si="29"/>
        <v>9</v>
      </c>
      <c r="BA8" s="19">
        <f t="shared" si="30"/>
        <v>16.666666666666668</v>
      </c>
      <c r="BB8" s="19">
        <f t="shared" si="31"/>
        <v>19</v>
      </c>
      <c r="BC8" s="9">
        <f t="shared" si="32"/>
        <v>8.3044982698961933E-2</v>
      </c>
      <c r="BD8" s="9">
        <f t="shared" si="33"/>
        <v>0.15974440894568689</v>
      </c>
      <c r="BE8" s="9">
        <f t="shared" si="34"/>
        <v>-1.6528925619834711E-2</v>
      </c>
      <c r="BF8" s="9">
        <f t="shared" si="35"/>
        <v>-4.4817927170868348E-2</v>
      </c>
      <c r="BG8" s="9">
        <f t="shared" si="36"/>
        <v>0.22580645161290322</v>
      </c>
      <c r="BH8" s="9">
        <f t="shared" si="37"/>
        <v>2.6315789473684209E-2</v>
      </c>
      <c r="BI8" s="12">
        <f t="shared" si="38"/>
        <v>7.2260796656755541E-2</v>
      </c>
      <c r="BJ8" s="13">
        <f t="shared" si="39"/>
        <v>5.4680386086323071E-2</v>
      </c>
      <c r="BK8" s="1">
        <f t="shared" si="40"/>
        <v>24</v>
      </c>
      <c r="BL8" s="1">
        <f t="shared" si="41"/>
        <v>50</v>
      </c>
      <c r="BM8" s="1">
        <f t="shared" si="42"/>
        <v>-6</v>
      </c>
      <c r="BN8" s="1">
        <f t="shared" si="43"/>
        <v>-16</v>
      </c>
      <c r="BO8" s="1">
        <f t="shared" si="44"/>
        <v>77</v>
      </c>
      <c r="BP8" s="1">
        <f t="shared" si="45"/>
        <v>11</v>
      </c>
      <c r="BQ8" s="19">
        <f t="shared" si="46"/>
        <v>23.333333333333332</v>
      </c>
      <c r="BR8" s="17">
        <f t="shared" si="47"/>
        <v>17.5</v>
      </c>
    </row>
    <row r="9" spans="1:70" x14ac:dyDescent="0.25">
      <c r="A9" t="s">
        <v>90</v>
      </c>
      <c r="B9">
        <v>330</v>
      </c>
      <c r="C9">
        <v>335</v>
      </c>
      <c r="D9">
        <v>398</v>
      </c>
      <c r="E9">
        <v>654</v>
      </c>
      <c r="F9">
        <v>604</v>
      </c>
      <c r="G9">
        <v>558</v>
      </c>
      <c r="H9">
        <v>555</v>
      </c>
      <c r="I9">
        <v>181</v>
      </c>
      <c r="J9">
        <v>197</v>
      </c>
      <c r="K9">
        <v>230</v>
      </c>
      <c r="L9">
        <v>372</v>
      </c>
      <c r="M9">
        <v>301</v>
      </c>
      <c r="N9">
        <v>276</v>
      </c>
      <c r="O9">
        <v>312</v>
      </c>
      <c r="P9">
        <v>149</v>
      </c>
      <c r="Q9">
        <v>138</v>
      </c>
      <c r="R9">
        <v>168</v>
      </c>
      <c r="S9">
        <v>282</v>
      </c>
      <c r="T9">
        <v>303</v>
      </c>
      <c r="U9">
        <v>282</v>
      </c>
      <c r="V9">
        <v>243</v>
      </c>
      <c r="W9" s="8">
        <f t="shared" si="0"/>
        <v>1.5151515151515152E-2</v>
      </c>
      <c r="X9" s="8">
        <f t="shared" si="1"/>
        <v>0.18805970149253731</v>
      </c>
      <c r="Y9" s="8">
        <f t="shared" si="2"/>
        <v>0.64321608040201006</v>
      </c>
      <c r="Z9" s="8">
        <f t="shared" si="3"/>
        <v>-7.64525993883792E-2</v>
      </c>
      <c r="AA9" s="8">
        <f t="shared" si="4"/>
        <v>-7.6158940397350994E-2</v>
      </c>
      <c r="AB9" s="8">
        <f t="shared" si="5"/>
        <v>-5.3763440860215058E-3</v>
      </c>
      <c r="AC9" s="12">
        <f t="shared" si="6"/>
        <v>0.11473990219571846</v>
      </c>
      <c r="AD9" s="12">
        <f t="shared" si="7"/>
        <v>4.8875855327468239E-3</v>
      </c>
      <c r="AE9" s="1">
        <f t="shared" si="8"/>
        <v>5</v>
      </c>
      <c r="AF9" s="1">
        <f t="shared" si="9"/>
        <v>63</v>
      </c>
      <c r="AG9" s="1">
        <f t="shared" si="10"/>
        <v>256</v>
      </c>
      <c r="AH9" s="1">
        <f t="shared" si="11"/>
        <v>-50</v>
      </c>
      <c r="AI9" s="1">
        <f t="shared" si="12"/>
        <v>-46</v>
      </c>
      <c r="AJ9" s="1">
        <f t="shared" si="13"/>
        <v>-3</v>
      </c>
      <c r="AK9" s="17">
        <f t="shared" si="14"/>
        <v>37.5</v>
      </c>
      <c r="AL9" s="17">
        <f t="shared" si="15"/>
        <v>1</v>
      </c>
      <c r="AM9" s="1">
        <f t="shared" si="16"/>
        <v>8.8397790055248615E-2</v>
      </c>
      <c r="AN9" s="1">
        <f t="shared" si="17"/>
        <v>0.16751269035532995</v>
      </c>
      <c r="AO9" s="1">
        <f t="shared" si="18"/>
        <v>0.61739130434782608</v>
      </c>
      <c r="AP9" s="1">
        <f t="shared" si="19"/>
        <v>-0.19086021505376344</v>
      </c>
      <c r="AQ9" s="1">
        <f t="shared" si="20"/>
        <v>-8.3056478405315617E-2</v>
      </c>
      <c r="AR9" s="1">
        <f t="shared" si="21"/>
        <v>0.13043478260869565</v>
      </c>
      <c r="AS9" s="12">
        <f t="shared" si="22"/>
        <v>0.12163664565133686</v>
      </c>
      <c r="AT9" s="12">
        <f t="shared" si="23"/>
        <v>0.10941628633197213</v>
      </c>
      <c r="AU9" s="1">
        <f t="shared" si="24"/>
        <v>16</v>
      </c>
      <c r="AV9" s="1">
        <f t="shared" si="25"/>
        <v>33</v>
      </c>
      <c r="AW9" s="1">
        <f t="shared" si="26"/>
        <v>142</v>
      </c>
      <c r="AX9" s="1">
        <f t="shared" si="27"/>
        <v>-71</v>
      </c>
      <c r="AY9" s="1">
        <f t="shared" si="28"/>
        <v>-25</v>
      </c>
      <c r="AZ9" s="1">
        <f t="shared" si="29"/>
        <v>36</v>
      </c>
      <c r="BA9" s="19">
        <f t="shared" si="30"/>
        <v>21.833333333333332</v>
      </c>
      <c r="BB9" s="19">
        <f t="shared" si="31"/>
        <v>24.5</v>
      </c>
      <c r="BC9" s="9">
        <f t="shared" si="32"/>
        <v>-7.3825503355704702E-2</v>
      </c>
      <c r="BD9" s="9">
        <f t="shared" si="33"/>
        <v>0.21739130434782608</v>
      </c>
      <c r="BE9" s="9">
        <f t="shared" si="34"/>
        <v>0.6785714285714286</v>
      </c>
      <c r="BF9" s="9">
        <f t="shared" si="35"/>
        <v>7.4468085106382975E-2</v>
      </c>
      <c r="BG9" s="9">
        <f t="shared" si="36"/>
        <v>-6.9306930693069313E-2</v>
      </c>
      <c r="BH9" s="9">
        <f t="shared" si="37"/>
        <v>-0.13829787234042554</v>
      </c>
      <c r="BI9" s="12">
        <f t="shared" si="38"/>
        <v>0.11483341860607299</v>
      </c>
      <c r="BJ9" s="13">
        <f t="shared" si="39"/>
        <v>2.5805772066568311E-3</v>
      </c>
      <c r="BK9" s="1">
        <f t="shared" si="40"/>
        <v>-11</v>
      </c>
      <c r="BL9" s="1">
        <f t="shared" si="41"/>
        <v>30</v>
      </c>
      <c r="BM9" s="1">
        <f t="shared" si="42"/>
        <v>114</v>
      </c>
      <c r="BN9" s="1">
        <f t="shared" si="43"/>
        <v>21</v>
      </c>
      <c r="BO9" s="1">
        <f t="shared" si="44"/>
        <v>-21</v>
      </c>
      <c r="BP9" s="1">
        <f t="shared" si="45"/>
        <v>-39</v>
      </c>
      <c r="BQ9" s="19">
        <f t="shared" si="46"/>
        <v>15.666666666666666</v>
      </c>
      <c r="BR9" s="17">
        <f t="shared" si="47"/>
        <v>5</v>
      </c>
    </row>
    <row r="10" spans="1:70" x14ac:dyDescent="0.25">
      <c r="A10" t="s">
        <v>80</v>
      </c>
      <c r="B10">
        <v>688</v>
      </c>
      <c r="C10">
        <v>677</v>
      </c>
      <c r="D10">
        <v>695</v>
      </c>
      <c r="E10">
        <v>949</v>
      </c>
      <c r="F10">
        <v>941</v>
      </c>
      <c r="G10">
        <v>883</v>
      </c>
      <c r="H10">
        <v>911</v>
      </c>
      <c r="I10">
        <v>336</v>
      </c>
      <c r="J10">
        <v>350</v>
      </c>
      <c r="K10">
        <v>360</v>
      </c>
      <c r="L10">
        <v>484</v>
      </c>
      <c r="M10">
        <v>516</v>
      </c>
      <c r="N10">
        <v>457</v>
      </c>
      <c r="O10">
        <v>455</v>
      </c>
      <c r="P10">
        <v>352</v>
      </c>
      <c r="Q10">
        <v>327</v>
      </c>
      <c r="R10">
        <v>335</v>
      </c>
      <c r="S10">
        <v>465</v>
      </c>
      <c r="T10">
        <v>425</v>
      </c>
      <c r="U10">
        <v>426</v>
      </c>
      <c r="V10">
        <v>456</v>
      </c>
      <c r="W10" s="8">
        <f t="shared" si="0"/>
        <v>-1.5988372093023256E-2</v>
      </c>
      <c r="X10" s="8">
        <f t="shared" si="1"/>
        <v>2.6587887740029542E-2</v>
      </c>
      <c r="Y10" s="8">
        <f t="shared" si="2"/>
        <v>0.36546762589928056</v>
      </c>
      <c r="Z10" s="8">
        <f t="shared" si="3"/>
        <v>-8.4299262381454156E-3</v>
      </c>
      <c r="AA10" s="8">
        <f t="shared" si="4"/>
        <v>-6.1636556854410204E-2</v>
      </c>
      <c r="AB10" s="8">
        <f t="shared" si="5"/>
        <v>3.1710079275198186E-2</v>
      </c>
      <c r="AC10" s="12">
        <f t="shared" si="6"/>
        <v>5.6285122954821569E-2</v>
      </c>
      <c r="AD10" s="12">
        <f t="shared" si="7"/>
        <v>9.0789807509420641E-3</v>
      </c>
      <c r="AE10" s="1">
        <f t="shared" si="8"/>
        <v>-11</v>
      </c>
      <c r="AF10" s="1">
        <f t="shared" si="9"/>
        <v>18</v>
      </c>
      <c r="AG10" s="1">
        <f t="shared" si="10"/>
        <v>254</v>
      </c>
      <c r="AH10" s="1">
        <f t="shared" si="11"/>
        <v>-8</v>
      </c>
      <c r="AI10" s="1">
        <f t="shared" si="12"/>
        <v>-58</v>
      </c>
      <c r="AJ10" s="1">
        <f t="shared" si="13"/>
        <v>28</v>
      </c>
      <c r="AK10" s="17">
        <f t="shared" si="14"/>
        <v>37.166666666666664</v>
      </c>
      <c r="AL10" s="17">
        <f t="shared" si="15"/>
        <v>5</v>
      </c>
      <c r="AM10" s="1">
        <f t="shared" si="16"/>
        <v>4.1666666666666664E-2</v>
      </c>
      <c r="AN10" s="1">
        <f t="shared" si="17"/>
        <v>2.8571428571428571E-2</v>
      </c>
      <c r="AO10" s="1">
        <f t="shared" si="18"/>
        <v>0.34444444444444444</v>
      </c>
      <c r="AP10" s="1">
        <f t="shared" si="19"/>
        <v>6.6115702479338845E-2</v>
      </c>
      <c r="AQ10" s="1">
        <f t="shared" si="20"/>
        <v>-0.11434108527131782</v>
      </c>
      <c r="AR10" s="1">
        <f t="shared" si="21"/>
        <v>-4.3763676148796497E-3</v>
      </c>
      <c r="AS10" s="12">
        <f t="shared" si="22"/>
        <v>6.034679821261351E-2</v>
      </c>
      <c r="AT10" s="12">
        <f t="shared" si="23"/>
        <v>3.5119047619047619E-2</v>
      </c>
      <c r="AU10" s="1">
        <f t="shared" si="24"/>
        <v>14</v>
      </c>
      <c r="AV10" s="1">
        <f t="shared" si="25"/>
        <v>10</v>
      </c>
      <c r="AW10" s="1">
        <f t="shared" si="26"/>
        <v>124</v>
      </c>
      <c r="AX10" s="1">
        <f t="shared" si="27"/>
        <v>32</v>
      </c>
      <c r="AY10" s="1">
        <f t="shared" si="28"/>
        <v>-59</v>
      </c>
      <c r="AZ10" s="1">
        <f t="shared" si="29"/>
        <v>-2</v>
      </c>
      <c r="BA10" s="19">
        <f t="shared" si="30"/>
        <v>19.833333333333332</v>
      </c>
      <c r="BB10" s="19">
        <f t="shared" si="31"/>
        <v>12</v>
      </c>
      <c r="BC10" s="9">
        <f t="shared" si="32"/>
        <v>-7.1022727272727279E-2</v>
      </c>
      <c r="BD10" s="9">
        <f t="shared" si="33"/>
        <v>2.4464831804281346E-2</v>
      </c>
      <c r="BE10" s="9">
        <f t="shared" si="34"/>
        <v>0.38805970149253732</v>
      </c>
      <c r="BF10" s="9">
        <f t="shared" si="35"/>
        <v>-8.6021505376344093E-2</v>
      </c>
      <c r="BG10" s="9">
        <f t="shared" si="36"/>
        <v>2.352941176470588E-3</v>
      </c>
      <c r="BH10" s="9">
        <f t="shared" si="37"/>
        <v>7.0422535211267609E-2</v>
      </c>
      <c r="BI10" s="12">
        <f t="shared" si="38"/>
        <v>5.4709296172580919E-2</v>
      </c>
      <c r="BJ10" s="13">
        <f t="shared" si="39"/>
        <v>1.3408886490375967E-2</v>
      </c>
      <c r="BK10" s="1">
        <f t="shared" si="40"/>
        <v>-25</v>
      </c>
      <c r="BL10" s="1">
        <f t="shared" si="41"/>
        <v>8</v>
      </c>
      <c r="BM10" s="1">
        <f t="shared" si="42"/>
        <v>130</v>
      </c>
      <c r="BN10" s="1">
        <f t="shared" si="43"/>
        <v>-40</v>
      </c>
      <c r="BO10" s="1">
        <f t="shared" si="44"/>
        <v>1</v>
      </c>
      <c r="BP10" s="1">
        <f t="shared" si="45"/>
        <v>30</v>
      </c>
      <c r="BQ10" s="19">
        <f t="shared" si="46"/>
        <v>17.333333333333332</v>
      </c>
      <c r="BR10" s="17">
        <f t="shared" si="47"/>
        <v>4.5</v>
      </c>
    </row>
    <row r="11" spans="1:70" x14ac:dyDescent="0.25">
      <c r="A11" t="s">
        <v>99</v>
      </c>
      <c r="B11">
        <v>260</v>
      </c>
      <c r="C11">
        <v>303</v>
      </c>
      <c r="D11">
        <v>316</v>
      </c>
      <c r="E11">
        <v>310</v>
      </c>
      <c r="F11">
        <v>366</v>
      </c>
      <c r="G11">
        <v>458</v>
      </c>
      <c r="H11">
        <v>479</v>
      </c>
      <c r="I11">
        <v>93</v>
      </c>
      <c r="J11">
        <v>111</v>
      </c>
      <c r="K11">
        <v>131</v>
      </c>
      <c r="L11">
        <v>131</v>
      </c>
      <c r="M11">
        <v>133</v>
      </c>
      <c r="N11">
        <v>163</v>
      </c>
      <c r="O11">
        <v>168</v>
      </c>
      <c r="P11">
        <v>167</v>
      </c>
      <c r="Q11">
        <v>192</v>
      </c>
      <c r="R11">
        <v>185</v>
      </c>
      <c r="S11">
        <v>179</v>
      </c>
      <c r="T11">
        <v>233</v>
      </c>
      <c r="U11">
        <v>295</v>
      </c>
      <c r="V11">
        <v>311</v>
      </c>
      <c r="W11" s="8">
        <f t="shared" si="0"/>
        <v>0.16538461538461538</v>
      </c>
      <c r="X11" s="8">
        <f t="shared" si="1"/>
        <v>4.2904290429042903E-2</v>
      </c>
      <c r="Y11" s="8">
        <f t="shared" si="2"/>
        <v>-1.8987341772151899E-2</v>
      </c>
      <c r="Z11" s="8">
        <f t="shared" si="3"/>
        <v>0.18064516129032257</v>
      </c>
      <c r="AA11" s="8">
        <f t="shared" si="4"/>
        <v>0.25136612021857924</v>
      </c>
      <c r="AB11" s="8">
        <f t="shared" si="5"/>
        <v>4.5851528384279479E-2</v>
      </c>
      <c r="AC11" s="12">
        <f t="shared" si="6"/>
        <v>0.11119406232244795</v>
      </c>
      <c r="AD11" s="12">
        <f t="shared" si="7"/>
        <v>0.10561807188444744</v>
      </c>
      <c r="AE11" s="1">
        <f t="shared" si="8"/>
        <v>43</v>
      </c>
      <c r="AF11" s="1">
        <f t="shared" si="9"/>
        <v>13</v>
      </c>
      <c r="AG11" s="1">
        <f t="shared" si="10"/>
        <v>-6</v>
      </c>
      <c r="AH11" s="1">
        <f t="shared" si="11"/>
        <v>56</v>
      </c>
      <c r="AI11" s="1">
        <f t="shared" si="12"/>
        <v>92</v>
      </c>
      <c r="AJ11" s="1">
        <f t="shared" si="13"/>
        <v>21</v>
      </c>
      <c r="AK11" s="17">
        <f t="shared" si="14"/>
        <v>36.5</v>
      </c>
      <c r="AL11" s="17">
        <f t="shared" si="15"/>
        <v>32</v>
      </c>
      <c r="AM11" s="1">
        <f t="shared" si="16"/>
        <v>0.19354838709677419</v>
      </c>
      <c r="AN11" s="1">
        <f t="shared" si="17"/>
        <v>0.18018018018018017</v>
      </c>
      <c r="AO11" s="1">
        <f t="shared" si="18"/>
        <v>0</v>
      </c>
      <c r="AP11" s="1">
        <f t="shared" si="19"/>
        <v>1.5267175572519083E-2</v>
      </c>
      <c r="AQ11" s="1">
        <f t="shared" si="20"/>
        <v>0.22556390977443608</v>
      </c>
      <c r="AR11" s="1">
        <f t="shared" si="21"/>
        <v>3.0674846625766871E-2</v>
      </c>
      <c r="AS11" s="12">
        <f t="shared" si="22"/>
        <v>0.10753908320827942</v>
      </c>
      <c r="AT11" s="12">
        <f t="shared" si="23"/>
        <v>0.10542751340297353</v>
      </c>
      <c r="AU11" s="1">
        <f t="shared" si="24"/>
        <v>18</v>
      </c>
      <c r="AV11" s="1">
        <f t="shared" si="25"/>
        <v>20</v>
      </c>
      <c r="AW11" s="1">
        <f t="shared" si="26"/>
        <v>0</v>
      </c>
      <c r="AX11" s="1">
        <f t="shared" si="27"/>
        <v>2</v>
      </c>
      <c r="AY11" s="1">
        <f t="shared" si="28"/>
        <v>30</v>
      </c>
      <c r="AZ11" s="1">
        <f t="shared" si="29"/>
        <v>5</v>
      </c>
      <c r="BA11" s="19">
        <f t="shared" si="30"/>
        <v>12.5</v>
      </c>
      <c r="BB11" s="19">
        <f t="shared" si="31"/>
        <v>11.5</v>
      </c>
      <c r="BC11" s="9">
        <f t="shared" si="32"/>
        <v>0.1497005988023952</v>
      </c>
      <c r="BD11" s="9">
        <f t="shared" si="33"/>
        <v>-3.6458333333333336E-2</v>
      </c>
      <c r="BE11" s="9">
        <f t="shared" si="34"/>
        <v>-3.2432432432432434E-2</v>
      </c>
      <c r="BF11" s="9">
        <f t="shared" si="35"/>
        <v>0.3016759776536313</v>
      </c>
      <c r="BG11" s="9">
        <f t="shared" si="36"/>
        <v>0.26609442060085836</v>
      </c>
      <c r="BH11" s="9">
        <f t="shared" si="37"/>
        <v>5.4237288135593219E-2</v>
      </c>
      <c r="BI11" s="12">
        <f t="shared" si="38"/>
        <v>0.11713625323778538</v>
      </c>
      <c r="BJ11" s="13">
        <f t="shared" si="39"/>
        <v>0.10196894346899421</v>
      </c>
      <c r="BK11" s="1">
        <f t="shared" si="40"/>
        <v>25</v>
      </c>
      <c r="BL11" s="1">
        <f t="shared" si="41"/>
        <v>-7</v>
      </c>
      <c r="BM11" s="1">
        <f t="shared" si="42"/>
        <v>-6</v>
      </c>
      <c r="BN11" s="1">
        <f t="shared" si="43"/>
        <v>54</v>
      </c>
      <c r="BO11" s="1">
        <f t="shared" si="44"/>
        <v>62</v>
      </c>
      <c r="BP11" s="1">
        <f t="shared" si="45"/>
        <v>16</v>
      </c>
      <c r="BQ11" s="19">
        <f t="shared" si="46"/>
        <v>24</v>
      </c>
      <c r="BR11" s="17">
        <f t="shared" si="47"/>
        <v>20.5</v>
      </c>
    </row>
    <row r="12" spans="1:70" x14ac:dyDescent="0.25">
      <c r="A12" t="s">
        <v>78</v>
      </c>
      <c r="B12">
        <v>764</v>
      </c>
      <c r="C12">
        <v>780</v>
      </c>
      <c r="D12">
        <v>857</v>
      </c>
      <c r="E12">
        <v>693</v>
      </c>
      <c r="F12">
        <v>863</v>
      </c>
      <c r="G12">
        <v>1012</v>
      </c>
      <c r="H12">
        <v>965</v>
      </c>
      <c r="I12">
        <v>400</v>
      </c>
      <c r="J12">
        <v>411</v>
      </c>
      <c r="K12">
        <v>457</v>
      </c>
      <c r="L12">
        <v>408</v>
      </c>
      <c r="M12">
        <v>489</v>
      </c>
      <c r="N12">
        <v>574</v>
      </c>
      <c r="O12">
        <v>536</v>
      </c>
      <c r="P12">
        <v>364</v>
      </c>
      <c r="Q12">
        <v>369</v>
      </c>
      <c r="R12">
        <v>400</v>
      </c>
      <c r="S12">
        <v>285</v>
      </c>
      <c r="T12">
        <v>374</v>
      </c>
      <c r="U12">
        <v>438</v>
      </c>
      <c r="V12">
        <v>429</v>
      </c>
      <c r="W12" s="8">
        <f t="shared" si="0"/>
        <v>2.0942408376963352E-2</v>
      </c>
      <c r="X12" s="8">
        <f t="shared" si="1"/>
        <v>9.8717948717948714E-2</v>
      </c>
      <c r="Y12" s="8">
        <f t="shared" si="2"/>
        <v>-0.19136522753792298</v>
      </c>
      <c r="Z12" s="8">
        <f t="shared" si="3"/>
        <v>0.24531024531024531</v>
      </c>
      <c r="AA12" s="8">
        <f t="shared" si="4"/>
        <v>0.17265353418308227</v>
      </c>
      <c r="AB12" s="8">
        <f t="shared" si="5"/>
        <v>-4.6442687747035576E-2</v>
      </c>
      <c r="AC12" s="12">
        <f t="shared" si="6"/>
        <v>4.996937021721351E-2</v>
      </c>
      <c r="AD12" s="12">
        <f t="shared" si="7"/>
        <v>5.983017854745603E-2</v>
      </c>
      <c r="AE12" s="1">
        <f t="shared" si="8"/>
        <v>16</v>
      </c>
      <c r="AF12" s="1">
        <f t="shared" si="9"/>
        <v>77</v>
      </c>
      <c r="AG12" s="1">
        <f t="shared" si="10"/>
        <v>-164</v>
      </c>
      <c r="AH12" s="1">
        <f t="shared" si="11"/>
        <v>170</v>
      </c>
      <c r="AI12" s="1">
        <f t="shared" si="12"/>
        <v>149</v>
      </c>
      <c r="AJ12" s="1">
        <f t="shared" si="13"/>
        <v>-47</v>
      </c>
      <c r="AK12" s="17">
        <f t="shared" si="14"/>
        <v>33.5</v>
      </c>
      <c r="AL12" s="17">
        <f t="shared" si="15"/>
        <v>46.5</v>
      </c>
      <c r="AM12" s="1">
        <f t="shared" si="16"/>
        <v>2.75E-2</v>
      </c>
      <c r="AN12" s="1">
        <f t="shared" si="17"/>
        <v>0.11192214111922141</v>
      </c>
      <c r="AO12" s="1">
        <f t="shared" si="18"/>
        <v>-0.10722100656455143</v>
      </c>
      <c r="AP12" s="1">
        <f t="shared" si="19"/>
        <v>0.19852941176470587</v>
      </c>
      <c r="AQ12" s="1">
        <f t="shared" si="20"/>
        <v>0.17382413087934559</v>
      </c>
      <c r="AR12" s="1">
        <f t="shared" si="21"/>
        <v>-6.6202090592334492E-2</v>
      </c>
      <c r="AS12" s="12">
        <f t="shared" si="22"/>
        <v>5.6392097767731152E-2</v>
      </c>
      <c r="AT12" s="12">
        <f t="shared" si="23"/>
        <v>6.9711070559610705E-2</v>
      </c>
      <c r="AU12" s="1">
        <f t="shared" si="24"/>
        <v>11</v>
      </c>
      <c r="AV12" s="1">
        <f t="shared" si="25"/>
        <v>46</v>
      </c>
      <c r="AW12" s="1">
        <f t="shared" si="26"/>
        <v>-49</v>
      </c>
      <c r="AX12" s="1">
        <f t="shared" si="27"/>
        <v>81</v>
      </c>
      <c r="AY12" s="1">
        <f t="shared" si="28"/>
        <v>85</v>
      </c>
      <c r="AZ12" s="1">
        <f t="shared" si="29"/>
        <v>-38</v>
      </c>
      <c r="BA12" s="19">
        <f t="shared" si="30"/>
        <v>22.666666666666668</v>
      </c>
      <c r="BB12" s="19">
        <f t="shared" si="31"/>
        <v>28.5</v>
      </c>
      <c r="BC12" s="9">
        <f t="shared" si="32"/>
        <v>1.3736263736263736E-2</v>
      </c>
      <c r="BD12" s="9">
        <f t="shared" si="33"/>
        <v>8.4010840108401083E-2</v>
      </c>
      <c r="BE12" s="9">
        <f t="shared" si="34"/>
        <v>-0.28749999999999998</v>
      </c>
      <c r="BF12" s="9">
        <f t="shared" si="35"/>
        <v>0.31228070175438599</v>
      </c>
      <c r="BG12" s="9">
        <f t="shared" si="36"/>
        <v>0.17112299465240641</v>
      </c>
      <c r="BH12" s="9">
        <f t="shared" si="37"/>
        <v>-2.0547945205479451E-2</v>
      </c>
      <c r="BI12" s="12">
        <f t="shared" si="38"/>
        <v>4.5517142507662957E-2</v>
      </c>
      <c r="BJ12" s="13">
        <f t="shared" si="39"/>
        <v>4.8873551922332413E-2</v>
      </c>
      <c r="BK12" s="1">
        <f t="shared" si="40"/>
        <v>5</v>
      </c>
      <c r="BL12" s="1">
        <f t="shared" si="41"/>
        <v>31</v>
      </c>
      <c r="BM12" s="1">
        <f t="shared" si="42"/>
        <v>-115</v>
      </c>
      <c r="BN12" s="1">
        <f t="shared" si="43"/>
        <v>89</v>
      </c>
      <c r="BO12" s="1">
        <f t="shared" si="44"/>
        <v>64</v>
      </c>
      <c r="BP12" s="1">
        <f t="shared" si="45"/>
        <v>-9</v>
      </c>
      <c r="BQ12" s="19">
        <f t="shared" si="46"/>
        <v>10.833333333333334</v>
      </c>
      <c r="BR12" s="17">
        <f t="shared" si="47"/>
        <v>18</v>
      </c>
    </row>
    <row r="13" spans="1:70" x14ac:dyDescent="0.25">
      <c r="A13" t="s">
        <v>81</v>
      </c>
      <c r="B13">
        <v>681</v>
      </c>
      <c r="C13">
        <v>764</v>
      </c>
      <c r="D13">
        <v>865</v>
      </c>
      <c r="E13">
        <v>744</v>
      </c>
      <c r="F13">
        <v>821</v>
      </c>
      <c r="G13">
        <v>841</v>
      </c>
      <c r="H13">
        <v>854</v>
      </c>
      <c r="I13">
        <v>328</v>
      </c>
      <c r="J13">
        <v>356</v>
      </c>
      <c r="K13">
        <v>424</v>
      </c>
      <c r="L13">
        <v>370</v>
      </c>
      <c r="M13">
        <v>386</v>
      </c>
      <c r="N13">
        <v>391</v>
      </c>
      <c r="O13">
        <v>415</v>
      </c>
      <c r="P13">
        <v>353</v>
      </c>
      <c r="Q13">
        <v>408</v>
      </c>
      <c r="R13">
        <v>441</v>
      </c>
      <c r="S13">
        <v>374</v>
      </c>
      <c r="T13">
        <v>435</v>
      </c>
      <c r="U13">
        <v>450</v>
      </c>
      <c r="V13">
        <v>439</v>
      </c>
      <c r="W13" s="8">
        <f t="shared" si="0"/>
        <v>0.12187958883994127</v>
      </c>
      <c r="X13" s="8">
        <f t="shared" si="1"/>
        <v>0.13219895287958114</v>
      </c>
      <c r="Y13" s="8">
        <f t="shared" si="2"/>
        <v>-0.13988439306358383</v>
      </c>
      <c r="Z13" s="8">
        <f t="shared" si="3"/>
        <v>0.10349462365591398</v>
      </c>
      <c r="AA13" s="8">
        <f t="shared" si="4"/>
        <v>2.4360535931790498E-2</v>
      </c>
      <c r="AB13" s="8">
        <f t="shared" si="5"/>
        <v>1.5457788347205707E-2</v>
      </c>
      <c r="AC13" s="12">
        <f t="shared" si="6"/>
        <v>4.2917849431808118E-2</v>
      </c>
      <c r="AD13" s="12">
        <f t="shared" si="7"/>
        <v>6.3927579793852246E-2</v>
      </c>
      <c r="AE13" s="1">
        <f t="shared" si="8"/>
        <v>83</v>
      </c>
      <c r="AF13" s="1">
        <f t="shared" si="9"/>
        <v>101</v>
      </c>
      <c r="AG13" s="1">
        <f t="shared" si="10"/>
        <v>-121</v>
      </c>
      <c r="AH13" s="1">
        <f t="shared" si="11"/>
        <v>77</v>
      </c>
      <c r="AI13" s="1">
        <f t="shared" si="12"/>
        <v>20</v>
      </c>
      <c r="AJ13" s="1">
        <f t="shared" si="13"/>
        <v>13</v>
      </c>
      <c r="AK13" s="17">
        <f t="shared" si="14"/>
        <v>28.833333333333332</v>
      </c>
      <c r="AL13" s="17">
        <f t="shared" si="15"/>
        <v>48.5</v>
      </c>
      <c r="AM13" s="1">
        <f t="shared" si="16"/>
        <v>8.5365853658536592E-2</v>
      </c>
      <c r="AN13" s="1">
        <f t="shared" si="17"/>
        <v>0.19101123595505617</v>
      </c>
      <c r="AO13" s="1">
        <f t="shared" si="18"/>
        <v>-0.12735849056603774</v>
      </c>
      <c r="AP13" s="1">
        <f t="shared" si="19"/>
        <v>4.3243243243243246E-2</v>
      </c>
      <c r="AQ13" s="1">
        <f t="shared" si="20"/>
        <v>1.2953367875647668E-2</v>
      </c>
      <c r="AR13" s="1">
        <f t="shared" si="21"/>
        <v>6.1381074168797956E-2</v>
      </c>
      <c r="AS13" s="12">
        <f t="shared" si="22"/>
        <v>4.4432714055873977E-2</v>
      </c>
      <c r="AT13" s="12">
        <f t="shared" si="23"/>
        <v>5.2312158706020601E-2</v>
      </c>
      <c r="AU13" s="1">
        <f t="shared" si="24"/>
        <v>28</v>
      </c>
      <c r="AV13" s="1">
        <f t="shared" si="25"/>
        <v>68</v>
      </c>
      <c r="AW13" s="1">
        <f t="shared" si="26"/>
        <v>-54</v>
      </c>
      <c r="AX13" s="1">
        <f t="shared" si="27"/>
        <v>16</v>
      </c>
      <c r="AY13" s="1">
        <f t="shared" si="28"/>
        <v>5</v>
      </c>
      <c r="AZ13" s="1">
        <f t="shared" si="29"/>
        <v>24</v>
      </c>
      <c r="BA13" s="19">
        <f t="shared" si="30"/>
        <v>14.5</v>
      </c>
      <c r="BB13" s="19">
        <f t="shared" si="31"/>
        <v>20</v>
      </c>
      <c r="BC13" s="9">
        <f t="shared" si="32"/>
        <v>0.15580736543909349</v>
      </c>
      <c r="BD13" s="9">
        <f t="shared" si="33"/>
        <v>8.0882352941176475E-2</v>
      </c>
      <c r="BE13" s="9">
        <f t="shared" si="34"/>
        <v>-0.15192743764172337</v>
      </c>
      <c r="BF13" s="9">
        <f t="shared" si="35"/>
        <v>0.16310160427807488</v>
      </c>
      <c r="BG13" s="9">
        <f t="shared" si="36"/>
        <v>3.4482758620689655E-2</v>
      </c>
      <c r="BH13" s="9">
        <f t="shared" si="37"/>
        <v>-2.4444444444444446E-2</v>
      </c>
      <c r="BI13" s="12">
        <f t="shared" si="38"/>
        <v>4.2983699865477787E-2</v>
      </c>
      <c r="BJ13" s="13">
        <f t="shared" si="39"/>
        <v>5.7682555780933065E-2</v>
      </c>
      <c r="BK13" s="1">
        <f t="shared" si="40"/>
        <v>55</v>
      </c>
      <c r="BL13" s="1">
        <f t="shared" si="41"/>
        <v>33</v>
      </c>
      <c r="BM13" s="1">
        <f t="shared" si="42"/>
        <v>-67</v>
      </c>
      <c r="BN13" s="1">
        <f t="shared" si="43"/>
        <v>61</v>
      </c>
      <c r="BO13" s="1">
        <f t="shared" si="44"/>
        <v>15</v>
      </c>
      <c r="BP13" s="1">
        <f t="shared" si="45"/>
        <v>-11</v>
      </c>
      <c r="BQ13" s="19">
        <f t="shared" si="46"/>
        <v>14.333333333333334</v>
      </c>
      <c r="BR13" s="17">
        <f t="shared" si="47"/>
        <v>24</v>
      </c>
    </row>
    <row r="14" spans="1:70" x14ac:dyDescent="0.25">
      <c r="A14" t="s">
        <v>74</v>
      </c>
      <c r="B14">
        <v>916</v>
      </c>
      <c r="C14">
        <v>963</v>
      </c>
      <c r="D14">
        <v>1027</v>
      </c>
      <c r="E14">
        <v>1228</v>
      </c>
      <c r="F14">
        <v>1152</v>
      </c>
      <c r="G14">
        <v>1132</v>
      </c>
      <c r="H14">
        <v>1084</v>
      </c>
      <c r="I14">
        <v>916</v>
      </c>
      <c r="J14">
        <v>963</v>
      </c>
      <c r="K14">
        <v>1027</v>
      </c>
      <c r="L14">
        <v>1228</v>
      </c>
      <c r="M14">
        <v>1152</v>
      </c>
      <c r="N14">
        <v>1132</v>
      </c>
      <c r="O14">
        <v>1084</v>
      </c>
      <c r="W14" s="8">
        <f t="shared" si="0"/>
        <v>5.1310043668122272E-2</v>
      </c>
      <c r="X14" s="8">
        <f t="shared" si="1"/>
        <v>6.6458982346832812E-2</v>
      </c>
      <c r="Y14" s="8">
        <f t="shared" si="2"/>
        <v>0.19571567672833495</v>
      </c>
      <c r="Z14" s="8">
        <f t="shared" si="3"/>
        <v>-6.1889250814332247E-2</v>
      </c>
      <c r="AA14" s="8">
        <f t="shared" si="4"/>
        <v>-1.7361111111111112E-2</v>
      </c>
      <c r="AB14" s="8">
        <f t="shared" si="5"/>
        <v>-4.2402826855123678E-2</v>
      </c>
      <c r="AC14" s="12">
        <f t="shared" si="6"/>
        <v>3.1971918993787173E-2</v>
      </c>
      <c r="AD14" s="12">
        <f t="shared" si="7"/>
        <v>1.697446627850558E-2</v>
      </c>
      <c r="AE14" s="1">
        <f t="shared" si="8"/>
        <v>47</v>
      </c>
      <c r="AF14" s="1">
        <f t="shared" si="9"/>
        <v>64</v>
      </c>
      <c r="AG14" s="1">
        <f t="shared" si="10"/>
        <v>201</v>
      </c>
      <c r="AH14" s="1">
        <f t="shared" si="11"/>
        <v>-76</v>
      </c>
      <c r="AI14" s="1">
        <f t="shared" si="12"/>
        <v>-20</v>
      </c>
      <c r="AJ14" s="1">
        <f t="shared" si="13"/>
        <v>-48</v>
      </c>
      <c r="AK14" s="17">
        <f t="shared" si="14"/>
        <v>28</v>
      </c>
      <c r="AL14" s="17">
        <f t="shared" si="15"/>
        <v>13.5</v>
      </c>
      <c r="AM14" s="1">
        <f t="shared" si="16"/>
        <v>5.1310043668122272E-2</v>
      </c>
      <c r="AN14" s="1">
        <f t="shared" si="17"/>
        <v>6.6458982346832812E-2</v>
      </c>
      <c r="AO14" s="1">
        <f t="shared" si="18"/>
        <v>0.19571567672833495</v>
      </c>
      <c r="AP14" s="1">
        <f t="shared" si="19"/>
        <v>-6.1889250814332247E-2</v>
      </c>
      <c r="AQ14" s="1">
        <f t="shared" si="20"/>
        <v>-1.7361111111111112E-2</v>
      </c>
      <c r="AR14" s="1">
        <f t="shared" si="21"/>
        <v>-4.2402826855123678E-2</v>
      </c>
      <c r="AS14" s="12">
        <f t="shared" si="22"/>
        <v>3.1971918993787173E-2</v>
      </c>
      <c r="AT14" s="12">
        <f t="shared" si="23"/>
        <v>1.697446627850558E-2</v>
      </c>
      <c r="AU14" s="1">
        <f t="shared" si="24"/>
        <v>47</v>
      </c>
      <c r="AV14" s="1">
        <f t="shared" si="25"/>
        <v>64</v>
      </c>
      <c r="AW14" s="1">
        <f t="shared" si="26"/>
        <v>201</v>
      </c>
      <c r="AX14" s="1">
        <f t="shared" si="27"/>
        <v>-76</v>
      </c>
      <c r="AY14" s="1">
        <f t="shared" si="28"/>
        <v>-20</v>
      </c>
      <c r="AZ14" s="1">
        <f t="shared" si="29"/>
        <v>-48</v>
      </c>
      <c r="BA14" s="19">
        <f t="shared" si="30"/>
        <v>28</v>
      </c>
      <c r="BB14" s="19">
        <f t="shared" si="31"/>
        <v>13.5</v>
      </c>
      <c r="BC14" s="9" t="e">
        <f t="shared" si="32"/>
        <v>#DIV/0!</v>
      </c>
      <c r="BD14" s="9" t="e">
        <f t="shared" si="33"/>
        <v>#DIV/0!</v>
      </c>
      <c r="BE14" s="9" t="e">
        <f t="shared" si="34"/>
        <v>#DIV/0!</v>
      </c>
      <c r="BF14" s="9" t="e">
        <f t="shared" si="35"/>
        <v>#DIV/0!</v>
      </c>
      <c r="BG14" s="9" t="e">
        <f t="shared" si="36"/>
        <v>#DIV/0!</v>
      </c>
      <c r="BH14" s="9" t="e">
        <f t="shared" si="37"/>
        <v>#DIV/0!</v>
      </c>
      <c r="BI14" s="12" t="e">
        <f t="shared" si="38"/>
        <v>#DIV/0!</v>
      </c>
      <c r="BJ14" s="13" t="e">
        <f t="shared" si="39"/>
        <v>#DIV/0!</v>
      </c>
      <c r="BK14" s="1">
        <f t="shared" si="40"/>
        <v>0</v>
      </c>
      <c r="BL14" s="1">
        <f t="shared" si="41"/>
        <v>0</v>
      </c>
      <c r="BM14" s="1">
        <f t="shared" si="42"/>
        <v>0</v>
      </c>
      <c r="BN14" s="1">
        <f t="shared" si="43"/>
        <v>0</v>
      </c>
      <c r="BO14" s="1">
        <f t="shared" si="44"/>
        <v>0</v>
      </c>
      <c r="BP14" s="1">
        <f t="shared" si="45"/>
        <v>0</v>
      </c>
      <c r="BQ14" s="19">
        <f t="shared" si="46"/>
        <v>0</v>
      </c>
      <c r="BR14" s="17">
        <f t="shared" si="47"/>
        <v>0</v>
      </c>
    </row>
    <row r="15" spans="1:70" x14ac:dyDescent="0.25">
      <c r="A15" t="s">
        <v>67</v>
      </c>
      <c r="B15">
        <v>1617</v>
      </c>
      <c r="C15">
        <v>1687</v>
      </c>
      <c r="D15">
        <v>1705</v>
      </c>
      <c r="E15">
        <v>1753</v>
      </c>
      <c r="F15">
        <v>1739</v>
      </c>
      <c r="G15">
        <v>1791</v>
      </c>
      <c r="H15">
        <v>1782</v>
      </c>
      <c r="I15">
        <v>957</v>
      </c>
      <c r="J15">
        <v>948</v>
      </c>
      <c r="K15">
        <v>942</v>
      </c>
      <c r="L15">
        <v>987</v>
      </c>
      <c r="M15">
        <v>986</v>
      </c>
      <c r="N15">
        <v>968</v>
      </c>
      <c r="O15">
        <v>1019</v>
      </c>
      <c r="P15">
        <v>660</v>
      </c>
      <c r="Q15">
        <v>739</v>
      </c>
      <c r="R15">
        <v>763</v>
      </c>
      <c r="S15">
        <v>766</v>
      </c>
      <c r="T15">
        <v>753</v>
      </c>
      <c r="U15">
        <v>823</v>
      </c>
      <c r="V15">
        <v>763</v>
      </c>
      <c r="W15" s="8">
        <f t="shared" si="0"/>
        <v>4.3290043290043288E-2</v>
      </c>
      <c r="X15" s="8">
        <f t="shared" si="1"/>
        <v>1.066982809721399E-2</v>
      </c>
      <c r="Y15" s="8">
        <f t="shared" si="2"/>
        <v>2.8152492668621701E-2</v>
      </c>
      <c r="Z15" s="8">
        <f t="shared" si="3"/>
        <v>-7.9863091842555627E-3</v>
      </c>
      <c r="AA15" s="8">
        <f t="shared" si="4"/>
        <v>2.9902242668200116E-2</v>
      </c>
      <c r="AB15" s="8">
        <f t="shared" si="5"/>
        <v>-5.0251256281407036E-3</v>
      </c>
      <c r="AC15" s="12">
        <f t="shared" si="6"/>
        <v>1.6500528651947139E-2</v>
      </c>
      <c r="AD15" s="12">
        <f t="shared" si="7"/>
        <v>1.9411160382917847E-2</v>
      </c>
      <c r="AE15" s="1">
        <f t="shared" si="8"/>
        <v>70</v>
      </c>
      <c r="AF15" s="1">
        <f t="shared" si="9"/>
        <v>18</v>
      </c>
      <c r="AG15" s="1">
        <f t="shared" si="10"/>
        <v>48</v>
      </c>
      <c r="AH15" s="1">
        <f t="shared" si="11"/>
        <v>-14</v>
      </c>
      <c r="AI15" s="1">
        <f t="shared" si="12"/>
        <v>52</v>
      </c>
      <c r="AJ15" s="1">
        <f t="shared" si="13"/>
        <v>-9</v>
      </c>
      <c r="AK15" s="17">
        <f t="shared" si="14"/>
        <v>27.5</v>
      </c>
      <c r="AL15" s="17">
        <f t="shared" si="15"/>
        <v>33</v>
      </c>
      <c r="AM15" s="1">
        <f t="shared" si="16"/>
        <v>-9.4043887147335428E-3</v>
      </c>
      <c r="AN15" s="1">
        <f t="shared" si="17"/>
        <v>-6.3291139240506328E-3</v>
      </c>
      <c r="AO15" s="1">
        <f t="shared" si="18"/>
        <v>4.7770700636942678E-2</v>
      </c>
      <c r="AP15" s="1">
        <f t="shared" si="19"/>
        <v>-1.0131712259371835E-3</v>
      </c>
      <c r="AQ15" s="1">
        <f t="shared" si="20"/>
        <v>-1.8255578093306288E-2</v>
      </c>
      <c r="AR15" s="1">
        <f t="shared" si="21"/>
        <v>5.2685950413223138E-2</v>
      </c>
      <c r="AS15" s="12">
        <f t="shared" si="22"/>
        <v>1.0909066515356362E-2</v>
      </c>
      <c r="AT15" s="12">
        <f t="shared" si="23"/>
        <v>-3.671142574993908E-3</v>
      </c>
      <c r="AU15" s="1">
        <f t="shared" si="24"/>
        <v>-9</v>
      </c>
      <c r="AV15" s="1">
        <f t="shared" si="25"/>
        <v>-6</v>
      </c>
      <c r="AW15" s="1">
        <f t="shared" si="26"/>
        <v>45</v>
      </c>
      <c r="AX15" s="1">
        <f t="shared" si="27"/>
        <v>-1</v>
      </c>
      <c r="AY15" s="1">
        <f t="shared" si="28"/>
        <v>-18</v>
      </c>
      <c r="AZ15" s="1">
        <f t="shared" si="29"/>
        <v>51</v>
      </c>
      <c r="BA15" s="19">
        <f t="shared" si="30"/>
        <v>10.333333333333334</v>
      </c>
      <c r="BB15" s="19">
        <f t="shared" si="31"/>
        <v>-3.5</v>
      </c>
      <c r="BC15" s="9">
        <f t="shared" si="32"/>
        <v>0.11969696969696969</v>
      </c>
      <c r="BD15" s="9">
        <f t="shared" si="33"/>
        <v>3.2476319350473612E-2</v>
      </c>
      <c r="BE15" s="9">
        <f t="shared" si="34"/>
        <v>3.9318479685452159E-3</v>
      </c>
      <c r="BF15" s="9">
        <f t="shared" si="35"/>
        <v>-1.6971279373368148E-2</v>
      </c>
      <c r="BG15" s="9">
        <f t="shared" si="36"/>
        <v>9.2961487383798141E-2</v>
      </c>
      <c r="BH15" s="9">
        <f t="shared" si="37"/>
        <v>-7.2904009720534624E-2</v>
      </c>
      <c r="BI15" s="12">
        <f t="shared" si="38"/>
        <v>2.6531889217647316E-2</v>
      </c>
      <c r="BJ15" s="13">
        <f t="shared" si="39"/>
        <v>1.8204083659509415E-2</v>
      </c>
      <c r="BK15" s="1">
        <f t="shared" si="40"/>
        <v>79</v>
      </c>
      <c r="BL15" s="1">
        <f t="shared" si="41"/>
        <v>24</v>
      </c>
      <c r="BM15" s="1">
        <f t="shared" si="42"/>
        <v>3</v>
      </c>
      <c r="BN15" s="1">
        <f t="shared" si="43"/>
        <v>-13</v>
      </c>
      <c r="BO15" s="1">
        <f t="shared" si="44"/>
        <v>70</v>
      </c>
      <c r="BP15" s="1">
        <f t="shared" si="45"/>
        <v>-60</v>
      </c>
      <c r="BQ15" s="19">
        <f t="shared" si="46"/>
        <v>17.166666666666668</v>
      </c>
      <c r="BR15" s="17">
        <f t="shared" si="47"/>
        <v>13.5</v>
      </c>
    </row>
    <row r="16" spans="1:70" x14ac:dyDescent="0.25">
      <c r="A16" t="s">
        <v>83</v>
      </c>
      <c r="B16">
        <v>640</v>
      </c>
      <c r="C16">
        <v>633</v>
      </c>
      <c r="D16">
        <v>658</v>
      </c>
      <c r="E16">
        <v>689</v>
      </c>
      <c r="F16">
        <v>755</v>
      </c>
      <c r="G16">
        <v>737</v>
      </c>
      <c r="H16">
        <v>798</v>
      </c>
      <c r="I16">
        <v>299</v>
      </c>
      <c r="J16">
        <v>304</v>
      </c>
      <c r="K16">
        <v>307</v>
      </c>
      <c r="L16">
        <v>327</v>
      </c>
      <c r="M16">
        <v>353</v>
      </c>
      <c r="N16">
        <v>334</v>
      </c>
      <c r="O16">
        <v>373</v>
      </c>
      <c r="P16">
        <v>341</v>
      </c>
      <c r="Q16">
        <v>329</v>
      </c>
      <c r="R16">
        <v>351</v>
      </c>
      <c r="S16">
        <v>362</v>
      </c>
      <c r="T16">
        <v>402</v>
      </c>
      <c r="U16">
        <v>403</v>
      </c>
      <c r="V16">
        <v>425</v>
      </c>
      <c r="W16" s="8">
        <f t="shared" si="0"/>
        <v>-1.0937499999999999E-2</v>
      </c>
      <c r="X16" s="8">
        <f t="shared" si="1"/>
        <v>3.9494470774091628E-2</v>
      </c>
      <c r="Y16" s="8">
        <f t="shared" si="2"/>
        <v>4.7112462006079027E-2</v>
      </c>
      <c r="Z16" s="8">
        <f t="shared" si="3"/>
        <v>9.579100145137881E-2</v>
      </c>
      <c r="AA16" s="8">
        <f t="shared" si="4"/>
        <v>-2.3841059602649008E-2</v>
      </c>
      <c r="AB16" s="8">
        <f t="shared" si="5"/>
        <v>8.2767978290366348E-2</v>
      </c>
      <c r="AC16" s="12">
        <f t="shared" si="6"/>
        <v>3.8397892153211134E-2</v>
      </c>
      <c r="AD16" s="12">
        <f t="shared" si="7"/>
        <v>4.3303466390085324E-2</v>
      </c>
      <c r="AE16" s="1">
        <f t="shared" si="8"/>
        <v>-7</v>
      </c>
      <c r="AF16" s="1">
        <f t="shared" si="9"/>
        <v>25</v>
      </c>
      <c r="AG16" s="1">
        <f t="shared" si="10"/>
        <v>31</v>
      </c>
      <c r="AH16" s="1">
        <f t="shared" si="11"/>
        <v>66</v>
      </c>
      <c r="AI16" s="1">
        <f t="shared" si="12"/>
        <v>-18</v>
      </c>
      <c r="AJ16" s="1">
        <f t="shared" si="13"/>
        <v>61</v>
      </c>
      <c r="AK16" s="17">
        <f t="shared" si="14"/>
        <v>26.333333333333332</v>
      </c>
      <c r="AL16" s="17">
        <f t="shared" si="15"/>
        <v>28</v>
      </c>
      <c r="AM16" s="1">
        <f t="shared" si="16"/>
        <v>1.6722408026755852E-2</v>
      </c>
      <c r="AN16" s="1">
        <f t="shared" si="17"/>
        <v>9.8684210526315784E-3</v>
      </c>
      <c r="AO16" s="1">
        <f t="shared" si="18"/>
        <v>6.5146579804560262E-2</v>
      </c>
      <c r="AP16" s="1">
        <f t="shared" si="19"/>
        <v>7.9510703363914373E-2</v>
      </c>
      <c r="AQ16" s="1">
        <f t="shared" si="20"/>
        <v>-5.3824362606232294E-2</v>
      </c>
      <c r="AR16" s="1">
        <f t="shared" si="21"/>
        <v>0.11676646706586827</v>
      </c>
      <c r="AS16" s="12">
        <f t="shared" si="22"/>
        <v>3.9031702784583004E-2</v>
      </c>
      <c r="AT16" s="12">
        <f t="shared" si="23"/>
        <v>4.0934493915658052E-2</v>
      </c>
      <c r="AU16" s="1">
        <f t="shared" si="24"/>
        <v>5</v>
      </c>
      <c r="AV16" s="1">
        <f t="shared" si="25"/>
        <v>3</v>
      </c>
      <c r="AW16" s="1">
        <f t="shared" si="26"/>
        <v>20</v>
      </c>
      <c r="AX16" s="1">
        <f t="shared" si="27"/>
        <v>26</v>
      </c>
      <c r="AY16" s="1">
        <f t="shared" si="28"/>
        <v>-19</v>
      </c>
      <c r="AZ16" s="1">
        <f t="shared" si="29"/>
        <v>39</v>
      </c>
      <c r="BA16" s="19">
        <f t="shared" si="30"/>
        <v>12.333333333333334</v>
      </c>
      <c r="BB16" s="19">
        <f t="shared" si="31"/>
        <v>12.5</v>
      </c>
      <c r="BC16" s="9">
        <f t="shared" si="32"/>
        <v>-3.519061583577713E-2</v>
      </c>
      <c r="BD16" s="9">
        <f t="shared" si="33"/>
        <v>6.6869300911854099E-2</v>
      </c>
      <c r="BE16" s="9">
        <f t="shared" si="34"/>
        <v>3.1339031339031341E-2</v>
      </c>
      <c r="BF16" s="9">
        <f t="shared" si="35"/>
        <v>0.11049723756906077</v>
      </c>
      <c r="BG16" s="9">
        <f t="shared" si="36"/>
        <v>2.4875621890547263E-3</v>
      </c>
      <c r="BH16" s="9">
        <f t="shared" si="37"/>
        <v>5.4590570719602979E-2</v>
      </c>
      <c r="BI16" s="12">
        <f t="shared" si="38"/>
        <v>3.8432181148804458E-2</v>
      </c>
      <c r="BJ16" s="13">
        <f t="shared" si="39"/>
        <v>4.2964801029317157E-2</v>
      </c>
      <c r="BK16" s="1">
        <f t="shared" si="40"/>
        <v>-12</v>
      </c>
      <c r="BL16" s="1">
        <f t="shared" si="41"/>
        <v>22</v>
      </c>
      <c r="BM16" s="1">
        <f t="shared" si="42"/>
        <v>11</v>
      </c>
      <c r="BN16" s="1">
        <f t="shared" si="43"/>
        <v>40</v>
      </c>
      <c r="BO16" s="1">
        <f t="shared" si="44"/>
        <v>1</v>
      </c>
      <c r="BP16" s="1">
        <f t="shared" si="45"/>
        <v>22</v>
      </c>
      <c r="BQ16" s="19">
        <f t="shared" si="46"/>
        <v>14</v>
      </c>
      <c r="BR16" s="17">
        <f t="shared" si="47"/>
        <v>16.5</v>
      </c>
    </row>
    <row r="17" spans="1:70" x14ac:dyDescent="0.25">
      <c r="A17" t="s">
        <v>97</v>
      </c>
      <c r="B17">
        <v>269</v>
      </c>
      <c r="C17">
        <v>303</v>
      </c>
      <c r="D17">
        <v>368</v>
      </c>
      <c r="E17">
        <v>608</v>
      </c>
      <c r="F17">
        <v>561</v>
      </c>
      <c r="G17">
        <v>467</v>
      </c>
      <c r="H17">
        <v>423</v>
      </c>
      <c r="I17">
        <v>129</v>
      </c>
      <c r="J17">
        <v>143</v>
      </c>
      <c r="K17">
        <v>167</v>
      </c>
      <c r="L17">
        <v>320</v>
      </c>
      <c r="M17">
        <v>283</v>
      </c>
      <c r="N17">
        <v>217</v>
      </c>
      <c r="O17">
        <v>195</v>
      </c>
      <c r="P17">
        <v>140</v>
      </c>
      <c r="Q17">
        <v>160</v>
      </c>
      <c r="R17">
        <v>201</v>
      </c>
      <c r="S17">
        <v>288</v>
      </c>
      <c r="T17">
        <v>278</v>
      </c>
      <c r="U17">
        <v>250</v>
      </c>
      <c r="V17">
        <v>228</v>
      </c>
      <c r="W17" s="8">
        <f t="shared" si="0"/>
        <v>0.12639405204460966</v>
      </c>
      <c r="X17" s="8">
        <f t="shared" si="1"/>
        <v>0.21452145214521451</v>
      </c>
      <c r="Y17" s="8">
        <f t="shared" si="2"/>
        <v>0.65217391304347827</v>
      </c>
      <c r="Z17" s="8">
        <f t="shared" si="3"/>
        <v>-7.7302631578947373E-2</v>
      </c>
      <c r="AA17" s="8">
        <f t="shared" si="4"/>
        <v>-0.16755793226381463</v>
      </c>
      <c r="AB17" s="8">
        <f t="shared" si="5"/>
        <v>-9.421841541755889E-2</v>
      </c>
      <c r="AC17" s="12">
        <f t="shared" si="6"/>
        <v>0.10900173966216359</v>
      </c>
      <c r="AD17" s="12">
        <f t="shared" si="7"/>
        <v>2.4545710232831142E-2</v>
      </c>
      <c r="AE17" s="1">
        <f t="shared" si="8"/>
        <v>34</v>
      </c>
      <c r="AF17" s="1">
        <f t="shared" si="9"/>
        <v>65</v>
      </c>
      <c r="AG17" s="1">
        <f t="shared" si="10"/>
        <v>240</v>
      </c>
      <c r="AH17" s="1">
        <f t="shared" si="11"/>
        <v>-47</v>
      </c>
      <c r="AI17" s="1">
        <f t="shared" si="12"/>
        <v>-94</v>
      </c>
      <c r="AJ17" s="1">
        <f t="shared" si="13"/>
        <v>-44</v>
      </c>
      <c r="AK17" s="17">
        <f t="shared" si="14"/>
        <v>25.666666666666668</v>
      </c>
      <c r="AL17" s="17">
        <f t="shared" si="15"/>
        <v>-5</v>
      </c>
      <c r="AM17" s="1">
        <f t="shared" si="16"/>
        <v>0.10852713178294573</v>
      </c>
      <c r="AN17" s="1">
        <f t="shared" si="17"/>
        <v>0.16783216783216784</v>
      </c>
      <c r="AO17" s="1">
        <f t="shared" si="18"/>
        <v>0.91616766467065869</v>
      </c>
      <c r="AP17" s="1">
        <f t="shared" si="19"/>
        <v>-0.11562500000000001</v>
      </c>
      <c r="AQ17" s="1">
        <f t="shared" si="20"/>
        <v>-0.2332155477031802</v>
      </c>
      <c r="AR17" s="1">
        <f t="shared" si="21"/>
        <v>-0.10138248847926268</v>
      </c>
      <c r="AS17" s="12">
        <f t="shared" si="22"/>
        <v>0.1237173213505549</v>
      </c>
      <c r="AT17" s="12">
        <f t="shared" si="23"/>
        <v>3.5723216518415285E-3</v>
      </c>
      <c r="AU17" s="1">
        <f t="shared" si="24"/>
        <v>14</v>
      </c>
      <c r="AV17" s="1">
        <f t="shared" si="25"/>
        <v>24</v>
      </c>
      <c r="AW17" s="1">
        <f t="shared" si="26"/>
        <v>153</v>
      </c>
      <c r="AX17" s="1">
        <f t="shared" si="27"/>
        <v>-37</v>
      </c>
      <c r="AY17" s="1">
        <f t="shared" si="28"/>
        <v>-66</v>
      </c>
      <c r="AZ17" s="1">
        <f t="shared" si="29"/>
        <v>-22</v>
      </c>
      <c r="BA17" s="19">
        <f t="shared" si="30"/>
        <v>11</v>
      </c>
      <c r="BB17" s="19">
        <f t="shared" si="31"/>
        <v>-4</v>
      </c>
      <c r="BC17" s="9">
        <f t="shared" si="32"/>
        <v>0.14285714285714285</v>
      </c>
      <c r="BD17" s="9">
        <f t="shared" si="33"/>
        <v>0.25624999999999998</v>
      </c>
      <c r="BE17" s="9">
        <f t="shared" si="34"/>
        <v>0.43283582089552236</v>
      </c>
      <c r="BF17" s="9">
        <f t="shared" si="35"/>
        <v>-3.4722222222222224E-2</v>
      </c>
      <c r="BG17" s="9">
        <f t="shared" si="36"/>
        <v>-0.10071942446043165</v>
      </c>
      <c r="BH17" s="9">
        <f t="shared" si="37"/>
        <v>-8.7999999999999995E-2</v>
      </c>
      <c r="BI17" s="12">
        <f t="shared" si="38"/>
        <v>0.10141688617833522</v>
      </c>
      <c r="BJ17" s="13">
        <f t="shared" si="39"/>
        <v>5.4067460317460306E-2</v>
      </c>
      <c r="BK17" s="1">
        <f t="shared" si="40"/>
        <v>20</v>
      </c>
      <c r="BL17" s="1">
        <f t="shared" si="41"/>
        <v>41</v>
      </c>
      <c r="BM17" s="1">
        <f t="shared" si="42"/>
        <v>87</v>
      </c>
      <c r="BN17" s="1">
        <f t="shared" si="43"/>
        <v>-10</v>
      </c>
      <c r="BO17" s="1">
        <f t="shared" si="44"/>
        <v>-28</v>
      </c>
      <c r="BP17" s="1">
        <f t="shared" si="45"/>
        <v>-22</v>
      </c>
      <c r="BQ17" s="19">
        <f t="shared" si="46"/>
        <v>14.666666666666666</v>
      </c>
      <c r="BR17" s="17">
        <f t="shared" si="47"/>
        <v>5</v>
      </c>
    </row>
    <row r="18" spans="1:70" x14ac:dyDescent="0.25">
      <c r="A18" t="s">
        <v>117</v>
      </c>
      <c r="B18">
        <v>157</v>
      </c>
      <c r="C18">
        <v>177</v>
      </c>
      <c r="D18">
        <v>230</v>
      </c>
      <c r="E18">
        <v>315</v>
      </c>
      <c r="F18">
        <v>373</v>
      </c>
      <c r="G18">
        <v>391</v>
      </c>
      <c r="H18">
        <v>309</v>
      </c>
      <c r="I18">
        <v>91</v>
      </c>
      <c r="J18">
        <v>100</v>
      </c>
      <c r="K18">
        <v>129</v>
      </c>
      <c r="L18">
        <v>164</v>
      </c>
      <c r="M18">
        <v>206</v>
      </c>
      <c r="N18">
        <v>206</v>
      </c>
      <c r="O18">
        <v>165</v>
      </c>
      <c r="P18">
        <v>66</v>
      </c>
      <c r="Q18">
        <v>77</v>
      </c>
      <c r="R18">
        <v>101</v>
      </c>
      <c r="S18">
        <v>151</v>
      </c>
      <c r="T18">
        <v>167</v>
      </c>
      <c r="U18">
        <v>185</v>
      </c>
      <c r="V18">
        <v>144</v>
      </c>
      <c r="W18" s="8">
        <f t="shared" si="0"/>
        <v>0.12738853503184713</v>
      </c>
      <c r="X18" s="8">
        <f t="shared" si="1"/>
        <v>0.29943502824858759</v>
      </c>
      <c r="Y18" s="8">
        <f t="shared" si="2"/>
        <v>0.36956521739130432</v>
      </c>
      <c r="Z18" s="8">
        <f t="shared" si="3"/>
        <v>0.18412698412698414</v>
      </c>
      <c r="AA18" s="8">
        <f t="shared" si="4"/>
        <v>4.8257372654155493E-2</v>
      </c>
      <c r="AB18" s="8">
        <f t="shared" si="5"/>
        <v>-0.20971867007672634</v>
      </c>
      <c r="AC18" s="12">
        <f t="shared" si="6"/>
        <v>0.13650907789602537</v>
      </c>
      <c r="AD18" s="12">
        <f t="shared" si="7"/>
        <v>0.15575775957941562</v>
      </c>
      <c r="AE18" s="1">
        <f t="shared" si="8"/>
        <v>20</v>
      </c>
      <c r="AF18" s="1">
        <f t="shared" si="9"/>
        <v>53</v>
      </c>
      <c r="AG18" s="1">
        <f t="shared" si="10"/>
        <v>85</v>
      </c>
      <c r="AH18" s="1">
        <f t="shared" si="11"/>
        <v>58</v>
      </c>
      <c r="AI18" s="1">
        <f t="shared" si="12"/>
        <v>18</v>
      </c>
      <c r="AJ18" s="1">
        <f t="shared" si="13"/>
        <v>-82</v>
      </c>
      <c r="AK18" s="17">
        <f t="shared" si="14"/>
        <v>25.333333333333332</v>
      </c>
      <c r="AL18" s="17">
        <f t="shared" si="15"/>
        <v>36.5</v>
      </c>
      <c r="AM18" s="1">
        <f t="shared" si="16"/>
        <v>9.8901098901098897E-2</v>
      </c>
      <c r="AN18" s="1">
        <f t="shared" si="17"/>
        <v>0.28999999999999998</v>
      </c>
      <c r="AO18" s="1">
        <f t="shared" si="18"/>
        <v>0.27131782945736432</v>
      </c>
      <c r="AP18" s="1">
        <f t="shared" si="19"/>
        <v>0.25609756097560976</v>
      </c>
      <c r="AQ18" s="1">
        <f t="shared" si="20"/>
        <v>0</v>
      </c>
      <c r="AR18" s="1">
        <f t="shared" si="21"/>
        <v>-0.19902912621359223</v>
      </c>
      <c r="AS18" s="12">
        <f t="shared" si="22"/>
        <v>0.11954789385341345</v>
      </c>
      <c r="AT18" s="12">
        <f t="shared" si="23"/>
        <v>0.17749932993835432</v>
      </c>
      <c r="AU18" s="1">
        <f t="shared" si="24"/>
        <v>9</v>
      </c>
      <c r="AV18" s="1">
        <f t="shared" si="25"/>
        <v>29</v>
      </c>
      <c r="AW18" s="1">
        <f t="shared" si="26"/>
        <v>35</v>
      </c>
      <c r="AX18" s="1">
        <f t="shared" si="27"/>
        <v>42</v>
      </c>
      <c r="AY18" s="1">
        <f t="shared" si="28"/>
        <v>0</v>
      </c>
      <c r="AZ18" s="1">
        <f t="shared" si="29"/>
        <v>-41</v>
      </c>
      <c r="BA18" s="19">
        <f t="shared" si="30"/>
        <v>12.333333333333334</v>
      </c>
      <c r="BB18" s="19">
        <f t="shared" si="31"/>
        <v>19</v>
      </c>
      <c r="BC18" s="9">
        <f t="shared" si="32"/>
        <v>0.16666666666666666</v>
      </c>
      <c r="BD18" s="9">
        <f t="shared" si="33"/>
        <v>0.31168831168831168</v>
      </c>
      <c r="BE18" s="9">
        <f t="shared" si="34"/>
        <v>0.49504950495049505</v>
      </c>
      <c r="BF18" s="9">
        <f t="shared" si="35"/>
        <v>0.10596026490066225</v>
      </c>
      <c r="BG18" s="9">
        <f t="shared" si="36"/>
        <v>0.10778443113772455</v>
      </c>
      <c r="BH18" s="9">
        <f t="shared" si="37"/>
        <v>-0.22162162162162163</v>
      </c>
      <c r="BI18" s="12">
        <f t="shared" si="38"/>
        <v>0.1609212596203731</v>
      </c>
      <c r="BJ18" s="13">
        <f t="shared" si="39"/>
        <v>0.1372255489021956</v>
      </c>
      <c r="BK18" s="1">
        <f t="shared" si="40"/>
        <v>11</v>
      </c>
      <c r="BL18" s="1">
        <f t="shared" si="41"/>
        <v>24</v>
      </c>
      <c r="BM18" s="1">
        <f t="shared" si="42"/>
        <v>50</v>
      </c>
      <c r="BN18" s="1">
        <f t="shared" si="43"/>
        <v>16</v>
      </c>
      <c r="BO18" s="1">
        <f t="shared" si="44"/>
        <v>18</v>
      </c>
      <c r="BP18" s="1">
        <f t="shared" si="45"/>
        <v>-41</v>
      </c>
      <c r="BQ18" s="19">
        <f t="shared" si="46"/>
        <v>13</v>
      </c>
      <c r="BR18" s="17">
        <f t="shared" si="47"/>
        <v>17</v>
      </c>
    </row>
    <row r="19" spans="1:70" x14ac:dyDescent="0.25">
      <c r="A19" t="s">
        <v>82</v>
      </c>
      <c r="B19">
        <v>670</v>
      </c>
      <c r="C19">
        <v>721</v>
      </c>
      <c r="D19">
        <v>759</v>
      </c>
      <c r="E19">
        <v>746</v>
      </c>
      <c r="F19">
        <v>760</v>
      </c>
      <c r="G19">
        <v>751</v>
      </c>
      <c r="H19">
        <v>820</v>
      </c>
      <c r="I19">
        <v>3</v>
      </c>
      <c r="J19">
        <v>4</v>
      </c>
      <c r="K19">
        <v>2</v>
      </c>
      <c r="L19">
        <v>10</v>
      </c>
      <c r="M19">
        <v>1</v>
      </c>
      <c r="N19">
        <v>3</v>
      </c>
      <c r="O19">
        <v>3</v>
      </c>
      <c r="P19">
        <v>667</v>
      </c>
      <c r="Q19">
        <v>717</v>
      </c>
      <c r="R19">
        <v>757</v>
      </c>
      <c r="S19">
        <v>736</v>
      </c>
      <c r="T19">
        <v>759</v>
      </c>
      <c r="U19">
        <v>748</v>
      </c>
      <c r="V19">
        <v>817</v>
      </c>
      <c r="W19" s="8">
        <f t="shared" si="0"/>
        <v>7.6119402985074622E-2</v>
      </c>
      <c r="X19" s="8">
        <f t="shared" si="1"/>
        <v>5.2704576976421634E-2</v>
      </c>
      <c r="Y19" s="8">
        <f t="shared" si="2"/>
        <v>-1.7127799736495388E-2</v>
      </c>
      <c r="Z19" s="8">
        <f t="shared" si="3"/>
        <v>1.876675603217158E-2</v>
      </c>
      <c r="AA19" s="8">
        <f t="shared" si="4"/>
        <v>-1.1842105263157895E-2</v>
      </c>
      <c r="AB19" s="8">
        <f t="shared" si="5"/>
        <v>9.1877496671105188E-2</v>
      </c>
      <c r="AC19" s="12">
        <f t="shared" si="6"/>
        <v>3.5083054610853287E-2</v>
      </c>
      <c r="AD19" s="12">
        <f t="shared" si="7"/>
        <v>3.5735666504296604E-2</v>
      </c>
      <c r="AE19" s="1">
        <f t="shared" si="8"/>
        <v>51</v>
      </c>
      <c r="AF19" s="1">
        <f t="shared" si="9"/>
        <v>38</v>
      </c>
      <c r="AG19" s="1">
        <f t="shared" si="10"/>
        <v>-13</v>
      </c>
      <c r="AH19" s="1">
        <f t="shared" si="11"/>
        <v>14</v>
      </c>
      <c r="AI19" s="1">
        <f t="shared" si="12"/>
        <v>-9</v>
      </c>
      <c r="AJ19" s="1">
        <f t="shared" si="13"/>
        <v>69</v>
      </c>
      <c r="AK19" s="17">
        <f t="shared" si="14"/>
        <v>25</v>
      </c>
      <c r="AL19" s="17">
        <f t="shared" si="15"/>
        <v>26</v>
      </c>
      <c r="AM19" s="1">
        <f t="shared" si="16"/>
        <v>0.33333333333333331</v>
      </c>
      <c r="AN19" s="1">
        <f t="shared" si="17"/>
        <v>-0.5</v>
      </c>
      <c r="AO19" s="1">
        <f t="shared" si="18"/>
        <v>4</v>
      </c>
      <c r="AP19" s="1">
        <f t="shared" si="19"/>
        <v>-0.9</v>
      </c>
      <c r="AQ19" s="1">
        <f t="shared" si="20"/>
        <v>2</v>
      </c>
      <c r="AR19" s="1">
        <f t="shared" si="21"/>
        <v>0</v>
      </c>
      <c r="AS19" s="12">
        <f t="shared" si="22"/>
        <v>0.8222222222222223</v>
      </c>
      <c r="AT19" s="12">
        <f t="shared" si="23"/>
        <v>0.16666666666666666</v>
      </c>
      <c r="AU19" s="1">
        <f t="shared" si="24"/>
        <v>1</v>
      </c>
      <c r="AV19" s="1">
        <f t="shared" si="25"/>
        <v>-2</v>
      </c>
      <c r="AW19" s="1">
        <f t="shared" si="26"/>
        <v>8</v>
      </c>
      <c r="AX19" s="1">
        <f t="shared" si="27"/>
        <v>-9</v>
      </c>
      <c r="AY19" s="1">
        <f t="shared" si="28"/>
        <v>2</v>
      </c>
      <c r="AZ19" s="1">
        <f t="shared" si="29"/>
        <v>0</v>
      </c>
      <c r="BA19" s="19">
        <f t="shared" si="30"/>
        <v>0</v>
      </c>
      <c r="BB19" s="19">
        <f t="shared" si="31"/>
        <v>0.5</v>
      </c>
      <c r="BC19" s="9">
        <f t="shared" si="32"/>
        <v>7.4962518740629688E-2</v>
      </c>
      <c r="BD19" s="9">
        <f t="shared" si="33"/>
        <v>5.5788005578800558E-2</v>
      </c>
      <c r="BE19" s="9">
        <f t="shared" si="34"/>
        <v>-2.7741083223249668E-2</v>
      </c>
      <c r="BF19" s="9">
        <f t="shared" si="35"/>
        <v>3.125E-2</v>
      </c>
      <c r="BG19" s="9">
        <f t="shared" si="36"/>
        <v>-1.4492753623188406E-2</v>
      </c>
      <c r="BH19" s="9">
        <f t="shared" si="37"/>
        <v>9.2245989304812828E-2</v>
      </c>
      <c r="BI19" s="12">
        <f t="shared" si="38"/>
        <v>3.5335446129634164E-2</v>
      </c>
      <c r="BJ19" s="13">
        <f t="shared" si="39"/>
        <v>4.3519002789400282E-2</v>
      </c>
      <c r="BK19" s="1">
        <f t="shared" si="40"/>
        <v>50</v>
      </c>
      <c r="BL19" s="1">
        <f t="shared" si="41"/>
        <v>40</v>
      </c>
      <c r="BM19" s="1">
        <f t="shared" si="42"/>
        <v>-21</v>
      </c>
      <c r="BN19" s="1">
        <f t="shared" si="43"/>
        <v>23</v>
      </c>
      <c r="BO19" s="1">
        <f t="shared" si="44"/>
        <v>-11</v>
      </c>
      <c r="BP19" s="1">
        <f t="shared" si="45"/>
        <v>69</v>
      </c>
      <c r="BQ19" s="19">
        <f t="shared" si="46"/>
        <v>25</v>
      </c>
      <c r="BR19" s="17">
        <f t="shared" si="47"/>
        <v>31.5</v>
      </c>
    </row>
    <row r="20" spans="1:70" x14ac:dyDescent="0.25">
      <c r="A20" t="s">
        <v>79</v>
      </c>
      <c r="B20">
        <v>690</v>
      </c>
      <c r="C20">
        <v>768</v>
      </c>
      <c r="D20">
        <v>796</v>
      </c>
      <c r="E20">
        <v>667</v>
      </c>
      <c r="F20">
        <v>904</v>
      </c>
      <c r="G20">
        <v>852</v>
      </c>
      <c r="H20">
        <v>839</v>
      </c>
      <c r="I20">
        <v>363</v>
      </c>
      <c r="J20">
        <v>376</v>
      </c>
      <c r="K20">
        <v>390</v>
      </c>
      <c r="L20">
        <v>386</v>
      </c>
      <c r="M20">
        <v>509</v>
      </c>
      <c r="N20">
        <v>475</v>
      </c>
      <c r="O20">
        <v>438</v>
      </c>
      <c r="P20">
        <v>327</v>
      </c>
      <c r="Q20">
        <v>392</v>
      </c>
      <c r="R20">
        <v>406</v>
      </c>
      <c r="S20">
        <v>281</v>
      </c>
      <c r="T20">
        <v>395</v>
      </c>
      <c r="U20">
        <v>377</v>
      </c>
      <c r="V20">
        <v>401</v>
      </c>
      <c r="W20" s="8">
        <f t="shared" si="0"/>
        <v>0.11304347826086956</v>
      </c>
      <c r="X20" s="8">
        <f t="shared" si="1"/>
        <v>3.6458333333333336E-2</v>
      </c>
      <c r="Y20" s="8">
        <f t="shared" si="2"/>
        <v>-0.1620603015075377</v>
      </c>
      <c r="Z20" s="8">
        <f t="shared" si="3"/>
        <v>0.35532233883058473</v>
      </c>
      <c r="AA20" s="8">
        <f t="shared" si="4"/>
        <v>-5.7522123893805309E-2</v>
      </c>
      <c r="AB20" s="8">
        <f t="shared" si="5"/>
        <v>-1.5258215962441314E-2</v>
      </c>
      <c r="AC20" s="12">
        <f t="shared" si="6"/>
        <v>4.4997251510167223E-2</v>
      </c>
      <c r="AD20" s="12">
        <f t="shared" si="7"/>
        <v>1.060005868544601E-2</v>
      </c>
      <c r="AE20" s="1">
        <f t="shared" si="8"/>
        <v>78</v>
      </c>
      <c r="AF20" s="1">
        <f t="shared" si="9"/>
        <v>28</v>
      </c>
      <c r="AG20" s="1">
        <f t="shared" si="10"/>
        <v>-129</v>
      </c>
      <c r="AH20" s="1">
        <f t="shared" si="11"/>
        <v>237</v>
      </c>
      <c r="AI20" s="1">
        <f t="shared" si="12"/>
        <v>-52</v>
      </c>
      <c r="AJ20" s="1">
        <f t="shared" si="13"/>
        <v>-13</v>
      </c>
      <c r="AK20" s="17">
        <f t="shared" si="14"/>
        <v>24.833333333333332</v>
      </c>
      <c r="AL20" s="17">
        <f t="shared" si="15"/>
        <v>7.5</v>
      </c>
      <c r="AM20" s="1">
        <f t="shared" si="16"/>
        <v>3.5812672176308541E-2</v>
      </c>
      <c r="AN20" s="1">
        <f t="shared" si="17"/>
        <v>3.7234042553191488E-2</v>
      </c>
      <c r="AO20" s="1">
        <f t="shared" si="18"/>
        <v>-1.0256410256410256E-2</v>
      </c>
      <c r="AP20" s="1">
        <f t="shared" si="19"/>
        <v>0.31865284974093266</v>
      </c>
      <c r="AQ20" s="1">
        <f t="shared" si="20"/>
        <v>-6.6797642436149315E-2</v>
      </c>
      <c r="AR20" s="1">
        <f t="shared" si="21"/>
        <v>-7.7894736842105267E-2</v>
      </c>
      <c r="AS20" s="12">
        <f t="shared" si="22"/>
        <v>3.9458462489294639E-2</v>
      </c>
      <c r="AT20" s="12">
        <f t="shared" si="23"/>
        <v>1.2778130959949141E-2</v>
      </c>
      <c r="AU20" s="1">
        <f t="shared" si="24"/>
        <v>13</v>
      </c>
      <c r="AV20" s="1">
        <f t="shared" si="25"/>
        <v>14</v>
      </c>
      <c r="AW20" s="1">
        <f t="shared" si="26"/>
        <v>-4</v>
      </c>
      <c r="AX20" s="1">
        <f t="shared" si="27"/>
        <v>123</v>
      </c>
      <c r="AY20" s="1">
        <f t="shared" si="28"/>
        <v>-34</v>
      </c>
      <c r="AZ20" s="1">
        <f t="shared" si="29"/>
        <v>-37</v>
      </c>
      <c r="BA20" s="19">
        <f t="shared" si="30"/>
        <v>12.5</v>
      </c>
      <c r="BB20" s="19">
        <f t="shared" si="31"/>
        <v>4.5</v>
      </c>
      <c r="BC20" s="9">
        <f t="shared" si="32"/>
        <v>0.19877675840978593</v>
      </c>
      <c r="BD20" s="9">
        <f t="shared" si="33"/>
        <v>3.5714285714285712E-2</v>
      </c>
      <c r="BE20" s="9">
        <f t="shared" si="34"/>
        <v>-0.30788177339901479</v>
      </c>
      <c r="BF20" s="9">
        <f t="shared" si="35"/>
        <v>0.40569395017793597</v>
      </c>
      <c r="BG20" s="9">
        <f t="shared" si="36"/>
        <v>-4.5569620253164557E-2</v>
      </c>
      <c r="BH20" s="9">
        <f t="shared" si="37"/>
        <v>6.3660477453580902E-2</v>
      </c>
      <c r="BI20" s="12">
        <f t="shared" si="38"/>
        <v>5.8399013017234852E-2</v>
      </c>
      <c r="BJ20" s="13">
        <f t="shared" si="39"/>
        <v>4.9687381583933307E-2</v>
      </c>
      <c r="BK20" s="1">
        <f t="shared" si="40"/>
        <v>65</v>
      </c>
      <c r="BL20" s="1">
        <f t="shared" si="41"/>
        <v>14</v>
      </c>
      <c r="BM20" s="1">
        <f t="shared" si="42"/>
        <v>-125</v>
      </c>
      <c r="BN20" s="1">
        <f t="shared" si="43"/>
        <v>114</v>
      </c>
      <c r="BO20" s="1">
        <f t="shared" si="44"/>
        <v>-18</v>
      </c>
      <c r="BP20" s="1">
        <f t="shared" si="45"/>
        <v>24</v>
      </c>
      <c r="BQ20" s="19">
        <f t="shared" si="46"/>
        <v>12.333333333333334</v>
      </c>
      <c r="BR20" s="17">
        <f t="shared" si="47"/>
        <v>19</v>
      </c>
    </row>
    <row r="21" spans="1:70" x14ac:dyDescent="0.25">
      <c r="A21" t="s">
        <v>91</v>
      </c>
      <c r="B21">
        <v>309</v>
      </c>
      <c r="C21">
        <v>307</v>
      </c>
      <c r="D21">
        <v>350</v>
      </c>
      <c r="E21">
        <v>336</v>
      </c>
      <c r="F21">
        <v>346</v>
      </c>
      <c r="G21">
        <v>386</v>
      </c>
      <c r="H21">
        <v>453</v>
      </c>
      <c r="I21">
        <v>277</v>
      </c>
      <c r="J21">
        <v>279</v>
      </c>
      <c r="K21">
        <v>315</v>
      </c>
      <c r="L21">
        <v>303</v>
      </c>
      <c r="M21">
        <v>308</v>
      </c>
      <c r="N21">
        <v>349</v>
      </c>
      <c r="O21">
        <v>413</v>
      </c>
      <c r="P21">
        <v>32</v>
      </c>
      <c r="Q21">
        <v>28</v>
      </c>
      <c r="R21">
        <v>35</v>
      </c>
      <c r="S21">
        <v>33</v>
      </c>
      <c r="T21">
        <v>38</v>
      </c>
      <c r="U21">
        <v>37</v>
      </c>
      <c r="V21">
        <v>40</v>
      </c>
      <c r="W21" s="8">
        <f t="shared" si="0"/>
        <v>-6.4724919093851136E-3</v>
      </c>
      <c r="X21" s="8">
        <f t="shared" si="1"/>
        <v>0.14006514657980457</v>
      </c>
      <c r="Y21" s="8">
        <f t="shared" si="2"/>
        <v>-0.04</v>
      </c>
      <c r="Z21" s="8">
        <f t="shared" si="3"/>
        <v>2.976190476190476E-2</v>
      </c>
      <c r="AA21" s="8">
        <f t="shared" si="4"/>
        <v>0.11560693641618497</v>
      </c>
      <c r="AB21" s="8">
        <f t="shared" si="5"/>
        <v>0.17357512953367876</v>
      </c>
      <c r="AC21" s="12">
        <f t="shared" si="6"/>
        <v>6.8756104230364656E-2</v>
      </c>
      <c r="AD21" s="12">
        <f t="shared" si="7"/>
        <v>7.2684420589044868E-2</v>
      </c>
      <c r="AE21" s="1">
        <f t="shared" si="8"/>
        <v>-2</v>
      </c>
      <c r="AF21" s="1">
        <f t="shared" si="9"/>
        <v>43</v>
      </c>
      <c r="AG21" s="1">
        <f t="shared" si="10"/>
        <v>-14</v>
      </c>
      <c r="AH21" s="1">
        <f t="shared" si="11"/>
        <v>10</v>
      </c>
      <c r="AI21" s="1">
        <f t="shared" si="12"/>
        <v>40</v>
      </c>
      <c r="AJ21" s="1">
        <f t="shared" si="13"/>
        <v>67</v>
      </c>
      <c r="AK21" s="17">
        <f t="shared" si="14"/>
        <v>24</v>
      </c>
      <c r="AL21" s="17">
        <f t="shared" si="15"/>
        <v>25</v>
      </c>
      <c r="AM21" s="1">
        <f t="shared" si="16"/>
        <v>7.2202166064981952E-3</v>
      </c>
      <c r="AN21" s="1">
        <f t="shared" si="17"/>
        <v>0.12903225806451613</v>
      </c>
      <c r="AO21" s="1">
        <f t="shared" si="18"/>
        <v>-3.8095238095238099E-2</v>
      </c>
      <c r="AP21" s="1">
        <f t="shared" si="19"/>
        <v>1.65016501650165E-2</v>
      </c>
      <c r="AQ21" s="1">
        <f t="shared" si="20"/>
        <v>0.13311688311688311</v>
      </c>
      <c r="AR21" s="1">
        <f t="shared" si="21"/>
        <v>0.18338108882521489</v>
      </c>
      <c r="AS21" s="12">
        <f t="shared" si="22"/>
        <v>7.1859476447148449E-2</v>
      </c>
      <c r="AT21" s="12">
        <f t="shared" si="23"/>
        <v>7.2766954114766302E-2</v>
      </c>
      <c r="AU21" s="1">
        <f t="shared" si="24"/>
        <v>2</v>
      </c>
      <c r="AV21" s="1">
        <f t="shared" si="25"/>
        <v>36</v>
      </c>
      <c r="AW21" s="1">
        <f t="shared" si="26"/>
        <v>-12</v>
      </c>
      <c r="AX21" s="1">
        <f t="shared" si="27"/>
        <v>5</v>
      </c>
      <c r="AY21" s="1">
        <f t="shared" si="28"/>
        <v>41</v>
      </c>
      <c r="AZ21" s="1">
        <f t="shared" si="29"/>
        <v>64</v>
      </c>
      <c r="BA21" s="19">
        <f t="shared" si="30"/>
        <v>22.666666666666668</v>
      </c>
      <c r="BB21" s="19">
        <f t="shared" si="31"/>
        <v>20.5</v>
      </c>
      <c r="BC21" s="9">
        <f t="shared" si="32"/>
        <v>-0.125</v>
      </c>
      <c r="BD21" s="9">
        <f t="shared" si="33"/>
        <v>0.25</v>
      </c>
      <c r="BE21" s="9">
        <f t="shared" si="34"/>
        <v>-5.7142857142857141E-2</v>
      </c>
      <c r="BF21" s="9">
        <f t="shared" si="35"/>
        <v>0.15151515151515152</v>
      </c>
      <c r="BG21" s="9">
        <f t="shared" si="36"/>
        <v>-2.6315789473684209E-2</v>
      </c>
      <c r="BH21" s="9">
        <f t="shared" si="37"/>
        <v>8.1081081081081086E-2</v>
      </c>
      <c r="BI21" s="12">
        <f t="shared" si="38"/>
        <v>4.5689597663281879E-2</v>
      </c>
      <c r="BJ21" s="13">
        <f t="shared" si="39"/>
        <v>2.7382645803698438E-2</v>
      </c>
      <c r="BK21" s="1">
        <f t="shared" si="40"/>
        <v>-4</v>
      </c>
      <c r="BL21" s="1">
        <f t="shared" si="41"/>
        <v>7</v>
      </c>
      <c r="BM21" s="1">
        <f t="shared" si="42"/>
        <v>-2</v>
      </c>
      <c r="BN21" s="1">
        <f t="shared" si="43"/>
        <v>5</v>
      </c>
      <c r="BO21" s="1">
        <f t="shared" si="44"/>
        <v>-1</v>
      </c>
      <c r="BP21" s="1">
        <f t="shared" si="45"/>
        <v>3</v>
      </c>
      <c r="BQ21" s="19">
        <f t="shared" si="46"/>
        <v>1.3333333333333333</v>
      </c>
      <c r="BR21" s="17">
        <f t="shared" si="47"/>
        <v>1</v>
      </c>
    </row>
    <row r="22" spans="1:70" x14ac:dyDescent="0.25">
      <c r="A22" t="s">
        <v>88</v>
      </c>
      <c r="B22">
        <v>421</v>
      </c>
      <c r="C22">
        <v>440</v>
      </c>
      <c r="D22">
        <v>490</v>
      </c>
      <c r="E22">
        <v>513</v>
      </c>
      <c r="F22">
        <v>505</v>
      </c>
      <c r="G22">
        <v>457</v>
      </c>
      <c r="H22">
        <v>561</v>
      </c>
      <c r="P22">
        <v>421</v>
      </c>
      <c r="Q22">
        <v>440</v>
      </c>
      <c r="R22">
        <v>490</v>
      </c>
      <c r="S22">
        <v>513</v>
      </c>
      <c r="T22">
        <v>505</v>
      </c>
      <c r="U22">
        <v>457</v>
      </c>
      <c r="V22">
        <v>561</v>
      </c>
      <c r="W22" s="8">
        <f t="shared" si="0"/>
        <v>4.5130641330166268E-2</v>
      </c>
      <c r="X22" s="8">
        <f t="shared" si="1"/>
        <v>0.11363636363636363</v>
      </c>
      <c r="Y22" s="8">
        <f t="shared" si="2"/>
        <v>4.6938775510204082E-2</v>
      </c>
      <c r="Z22" s="8">
        <f t="shared" si="3"/>
        <v>-1.5594541910331383E-2</v>
      </c>
      <c r="AA22" s="8">
        <f t="shared" si="4"/>
        <v>-9.5049504950495051E-2</v>
      </c>
      <c r="AB22" s="8">
        <f t="shared" si="5"/>
        <v>0.2275711159737418</v>
      </c>
      <c r="AC22" s="12">
        <f t="shared" si="6"/>
        <v>5.377214159827489E-2</v>
      </c>
      <c r="AD22" s="12">
        <f t="shared" si="7"/>
        <v>4.6034708420185172E-2</v>
      </c>
      <c r="AE22" s="1">
        <f t="shared" si="8"/>
        <v>19</v>
      </c>
      <c r="AF22" s="1">
        <f t="shared" si="9"/>
        <v>50</v>
      </c>
      <c r="AG22" s="1">
        <f t="shared" si="10"/>
        <v>23</v>
      </c>
      <c r="AH22" s="1">
        <f t="shared" si="11"/>
        <v>-8</v>
      </c>
      <c r="AI22" s="1">
        <f t="shared" si="12"/>
        <v>-48</v>
      </c>
      <c r="AJ22" s="1">
        <f t="shared" si="13"/>
        <v>104</v>
      </c>
      <c r="AK22" s="17">
        <f t="shared" si="14"/>
        <v>23.333333333333332</v>
      </c>
      <c r="AL22" s="17">
        <f t="shared" si="15"/>
        <v>21</v>
      </c>
      <c r="AM22" s="1" t="e">
        <f t="shared" si="16"/>
        <v>#DIV/0!</v>
      </c>
      <c r="AN22" s="1" t="e">
        <f t="shared" si="17"/>
        <v>#DIV/0!</v>
      </c>
      <c r="AO22" s="1" t="e">
        <f t="shared" si="18"/>
        <v>#DIV/0!</v>
      </c>
      <c r="AP22" s="1" t="e">
        <f t="shared" si="19"/>
        <v>#DIV/0!</v>
      </c>
      <c r="AQ22" s="1" t="e">
        <f t="shared" si="20"/>
        <v>#DIV/0!</v>
      </c>
      <c r="AR22" s="1" t="e">
        <f t="shared" si="21"/>
        <v>#DIV/0!</v>
      </c>
      <c r="AS22" s="12" t="e">
        <f t="shared" si="22"/>
        <v>#DIV/0!</v>
      </c>
      <c r="AT22" s="12" t="e">
        <f t="shared" si="23"/>
        <v>#DIV/0!</v>
      </c>
      <c r="AU22" s="1">
        <f t="shared" si="24"/>
        <v>0</v>
      </c>
      <c r="AV22" s="1">
        <f t="shared" si="25"/>
        <v>0</v>
      </c>
      <c r="AW22" s="1">
        <f t="shared" si="26"/>
        <v>0</v>
      </c>
      <c r="AX22" s="1">
        <f t="shared" si="27"/>
        <v>0</v>
      </c>
      <c r="AY22" s="1">
        <f t="shared" si="28"/>
        <v>0</v>
      </c>
      <c r="AZ22" s="1">
        <f t="shared" si="29"/>
        <v>0</v>
      </c>
      <c r="BA22" s="19">
        <f t="shared" si="30"/>
        <v>0</v>
      </c>
      <c r="BB22" s="19">
        <f t="shared" si="31"/>
        <v>0</v>
      </c>
      <c r="BC22" s="9">
        <f t="shared" si="32"/>
        <v>4.5130641330166268E-2</v>
      </c>
      <c r="BD22" s="9">
        <f t="shared" si="33"/>
        <v>0.11363636363636363</v>
      </c>
      <c r="BE22" s="9">
        <f t="shared" si="34"/>
        <v>4.6938775510204082E-2</v>
      </c>
      <c r="BF22" s="9">
        <f t="shared" si="35"/>
        <v>-1.5594541910331383E-2</v>
      </c>
      <c r="BG22" s="9">
        <f t="shared" si="36"/>
        <v>-9.5049504950495051E-2</v>
      </c>
      <c r="BH22" s="9">
        <f t="shared" si="37"/>
        <v>0.2275711159737418</v>
      </c>
      <c r="BI22" s="12">
        <f t="shared" si="38"/>
        <v>5.377214159827489E-2</v>
      </c>
      <c r="BJ22" s="13">
        <f t="shared" si="39"/>
        <v>4.6034708420185172E-2</v>
      </c>
      <c r="BK22" s="1">
        <f t="shared" si="40"/>
        <v>19</v>
      </c>
      <c r="BL22" s="1">
        <f t="shared" si="41"/>
        <v>50</v>
      </c>
      <c r="BM22" s="1">
        <f t="shared" si="42"/>
        <v>23</v>
      </c>
      <c r="BN22" s="1">
        <f t="shared" si="43"/>
        <v>-8</v>
      </c>
      <c r="BO22" s="1">
        <f t="shared" si="44"/>
        <v>-48</v>
      </c>
      <c r="BP22" s="1">
        <f t="shared" si="45"/>
        <v>104</v>
      </c>
      <c r="BQ22" s="19">
        <f t="shared" si="46"/>
        <v>23.333333333333332</v>
      </c>
      <c r="BR22" s="17">
        <f t="shared" si="47"/>
        <v>21</v>
      </c>
    </row>
    <row r="23" spans="1:70" x14ac:dyDescent="0.25">
      <c r="A23" t="s">
        <v>93</v>
      </c>
      <c r="B23">
        <v>299</v>
      </c>
      <c r="C23">
        <v>232</v>
      </c>
      <c r="D23">
        <v>296</v>
      </c>
      <c r="E23">
        <v>473</v>
      </c>
      <c r="F23">
        <v>352</v>
      </c>
      <c r="G23">
        <v>374</v>
      </c>
      <c r="H23">
        <v>424</v>
      </c>
      <c r="I23">
        <v>180</v>
      </c>
      <c r="J23">
        <v>143</v>
      </c>
      <c r="K23">
        <v>167</v>
      </c>
      <c r="L23">
        <v>289</v>
      </c>
      <c r="M23">
        <v>205</v>
      </c>
      <c r="N23">
        <v>206</v>
      </c>
      <c r="O23">
        <v>269</v>
      </c>
      <c r="P23">
        <v>119</v>
      </c>
      <c r="Q23">
        <v>89</v>
      </c>
      <c r="R23">
        <v>129</v>
      </c>
      <c r="S23">
        <v>184</v>
      </c>
      <c r="T23">
        <v>147</v>
      </c>
      <c r="U23">
        <v>168</v>
      </c>
      <c r="V23">
        <v>155</v>
      </c>
      <c r="W23" s="8">
        <f t="shared" si="0"/>
        <v>-0.22408026755852842</v>
      </c>
      <c r="X23" s="8">
        <f t="shared" si="1"/>
        <v>0.27586206896551724</v>
      </c>
      <c r="Y23" s="8">
        <f t="shared" si="2"/>
        <v>0.59797297297297303</v>
      </c>
      <c r="Z23" s="8">
        <f t="shared" si="3"/>
        <v>-0.2558139534883721</v>
      </c>
      <c r="AA23" s="8">
        <f t="shared" si="4"/>
        <v>6.25E-2</v>
      </c>
      <c r="AB23" s="8">
        <f t="shared" si="5"/>
        <v>0.13368983957219252</v>
      </c>
      <c r="AC23" s="12">
        <f t="shared" si="6"/>
        <v>9.8355110077297039E-2</v>
      </c>
      <c r="AD23" s="12">
        <f t="shared" si="7"/>
        <v>9.809491978609626E-2</v>
      </c>
      <c r="AE23" s="1">
        <f t="shared" si="8"/>
        <v>-67</v>
      </c>
      <c r="AF23" s="1">
        <f t="shared" si="9"/>
        <v>64</v>
      </c>
      <c r="AG23" s="1">
        <f t="shared" si="10"/>
        <v>177</v>
      </c>
      <c r="AH23" s="1">
        <f t="shared" si="11"/>
        <v>-121</v>
      </c>
      <c r="AI23" s="1">
        <f t="shared" si="12"/>
        <v>22</v>
      </c>
      <c r="AJ23" s="1">
        <f t="shared" si="13"/>
        <v>50</v>
      </c>
      <c r="AK23" s="17">
        <f t="shared" si="14"/>
        <v>20.833333333333332</v>
      </c>
      <c r="AL23" s="17">
        <f t="shared" si="15"/>
        <v>36</v>
      </c>
      <c r="AM23" s="1">
        <f t="shared" si="16"/>
        <v>-0.20555555555555555</v>
      </c>
      <c r="AN23" s="1">
        <f t="shared" si="17"/>
        <v>0.16783216783216784</v>
      </c>
      <c r="AO23" s="1">
        <f t="shared" si="18"/>
        <v>0.73053892215568861</v>
      </c>
      <c r="AP23" s="1">
        <f t="shared" si="19"/>
        <v>-0.29065743944636679</v>
      </c>
      <c r="AQ23" s="1">
        <f t="shared" si="20"/>
        <v>4.8780487804878049E-3</v>
      </c>
      <c r="AR23" s="1">
        <f t="shared" si="21"/>
        <v>0.30582524271844658</v>
      </c>
      <c r="AS23" s="12">
        <f t="shared" si="22"/>
        <v>0.11881023108081142</v>
      </c>
      <c r="AT23" s="12">
        <f t="shared" si="23"/>
        <v>8.6355108306327824E-2</v>
      </c>
      <c r="AU23" s="1">
        <f t="shared" si="24"/>
        <v>-37</v>
      </c>
      <c r="AV23" s="1">
        <f t="shared" si="25"/>
        <v>24</v>
      </c>
      <c r="AW23" s="1">
        <f t="shared" si="26"/>
        <v>122</v>
      </c>
      <c r="AX23" s="1">
        <f t="shared" si="27"/>
        <v>-84</v>
      </c>
      <c r="AY23" s="1">
        <f t="shared" si="28"/>
        <v>1</v>
      </c>
      <c r="AZ23" s="1">
        <f t="shared" si="29"/>
        <v>63</v>
      </c>
      <c r="BA23" s="19">
        <f t="shared" si="30"/>
        <v>14.833333333333334</v>
      </c>
      <c r="BB23" s="19">
        <f t="shared" si="31"/>
        <v>12.5</v>
      </c>
      <c r="BC23" s="9">
        <f t="shared" si="32"/>
        <v>-0.25210084033613445</v>
      </c>
      <c r="BD23" s="9">
        <f t="shared" si="33"/>
        <v>0.449438202247191</v>
      </c>
      <c r="BE23" s="9">
        <f t="shared" si="34"/>
        <v>0.4263565891472868</v>
      </c>
      <c r="BF23" s="9">
        <f t="shared" si="35"/>
        <v>-0.20108695652173914</v>
      </c>
      <c r="BG23" s="9">
        <f t="shared" si="36"/>
        <v>0.14285714285714285</v>
      </c>
      <c r="BH23" s="9">
        <f t="shared" si="37"/>
        <v>-7.7380952380952384E-2</v>
      </c>
      <c r="BI23" s="12">
        <f t="shared" si="38"/>
        <v>8.1347197502132443E-2</v>
      </c>
      <c r="BJ23" s="13">
        <f t="shared" si="39"/>
        <v>3.2738095238095233E-2</v>
      </c>
      <c r="BK23" s="1">
        <f t="shared" si="40"/>
        <v>-30</v>
      </c>
      <c r="BL23" s="1">
        <f t="shared" si="41"/>
        <v>40</v>
      </c>
      <c r="BM23" s="1">
        <f t="shared" si="42"/>
        <v>55</v>
      </c>
      <c r="BN23" s="1">
        <f t="shared" si="43"/>
        <v>-37</v>
      </c>
      <c r="BO23" s="1">
        <f t="shared" si="44"/>
        <v>21</v>
      </c>
      <c r="BP23" s="1">
        <f t="shared" si="45"/>
        <v>-13</v>
      </c>
      <c r="BQ23" s="19">
        <f t="shared" si="46"/>
        <v>6</v>
      </c>
      <c r="BR23" s="17">
        <f t="shared" si="47"/>
        <v>4</v>
      </c>
    </row>
    <row r="24" spans="1:70" x14ac:dyDescent="0.25">
      <c r="A24" t="s">
        <v>134</v>
      </c>
      <c r="B24">
        <v>113</v>
      </c>
      <c r="C24">
        <v>143</v>
      </c>
      <c r="D24">
        <v>132</v>
      </c>
      <c r="E24">
        <v>292</v>
      </c>
      <c r="F24">
        <v>250</v>
      </c>
      <c r="G24">
        <v>246</v>
      </c>
      <c r="H24">
        <v>233</v>
      </c>
      <c r="I24">
        <v>52</v>
      </c>
      <c r="J24">
        <v>66</v>
      </c>
      <c r="K24">
        <v>61</v>
      </c>
      <c r="L24">
        <v>153</v>
      </c>
      <c r="M24">
        <v>125</v>
      </c>
      <c r="N24">
        <v>118</v>
      </c>
      <c r="O24">
        <v>128</v>
      </c>
      <c r="P24">
        <v>61</v>
      </c>
      <c r="Q24">
        <v>77</v>
      </c>
      <c r="R24">
        <v>71</v>
      </c>
      <c r="S24">
        <v>139</v>
      </c>
      <c r="T24">
        <v>125</v>
      </c>
      <c r="U24">
        <v>128</v>
      </c>
      <c r="V24">
        <v>105</v>
      </c>
      <c r="W24" s="8">
        <f t="shared" si="0"/>
        <v>0.26548672566371684</v>
      </c>
      <c r="X24" s="8">
        <f t="shared" si="1"/>
        <v>-7.6923076923076927E-2</v>
      </c>
      <c r="Y24" s="8">
        <f t="shared" si="2"/>
        <v>1.2121212121212122</v>
      </c>
      <c r="Z24" s="8">
        <f t="shared" si="3"/>
        <v>-0.14383561643835616</v>
      </c>
      <c r="AA24" s="8">
        <f t="shared" si="4"/>
        <v>-1.6E-2</v>
      </c>
      <c r="AB24" s="8">
        <f t="shared" si="5"/>
        <v>-5.2845528455284556E-2</v>
      </c>
      <c r="AC24" s="12">
        <f t="shared" si="6"/>
        <v>0.19800061932803525</v>
      </c>
      <c r="AD24" s="12">
        <f t="shared" si="7"/>
        <v>-3.4422764227642275E-2</v>
      </c>
      <c r="AE24" s="1">
        <f t="shared" si="8"/>
        <v>30</v>
      </c>
      <c r="AF24" s="1">
        <f t="shared" si="9"/>
        <v>-11</v>
      </c>
      <c r="AG24" s="1">
        <f t="shared" si="10"/>
        <v>160</v>
      </c>
      <c r="AH24" s="1">
        <f t="shared" si="11"/>
        <v>-42</v>
      </c>
      <c r="AI24" s="1">
        <f t="shared" si="12"/>
        <v>-4</v>
      </c>
      <c r="AJ24" s="1">
        <f t="shared" si="13"/>
        <v>-13</v>
      </c>
      <c r="AK24" s="17">
        <f t="shared" si="14"/>
        <v>20</v>
      </c>
      <c r="AL24" s="17">
        <f t="shared" si="15"/>
        <v>-7.5</v>
      </c>
      <c r="AM24" s="1">
        <f t="shared" si="16"/>
        <v>0.26923076923076922</v>
      </c>
      <c r="AN24" s="1">
        <f t="shared" si="17"/>
        <v>-7.575757575757576E-2</v>
      </c>
      <c r="AO24" s="1">
        <f t="shared" si="18"/>
        <v>1.5081967213114753</v>
      </c>
      <c r="AP24" s="1">
        <f t="shared" si="19"/>
        <v>-0.18300653594771241</v>
      </c>
      <c r="AQ24" s="1">
        <f t="shared" si="20"/>
        <v>-5.6000000000000001E-2</v>
      </c>
      <c r="AR24" s="1">
        <f t="shared" si="21"/>
        <v>8.4745762711864403E-2</v>
      </c>
      <c r="AS24" s="12">
        <f t="shared" si="22"/>
        <v>0.25790152359147012</v>
      </c>
      <c r="AT24" s="12">
        <f t="shared" si="23"/>
        <v>1.4372881355932197E-2</v>
      </c>
      <c r="AU24" s="1">
        <f t="shared" si="24"/>
        <v>14</v>
      </c>
      <c r="AV24" s="1">
        <f t="shared" si="25"/>
        <v>-5</v>
      </c>
      <c r="AW24" s="1">
        <f t="shared" si="26"/>
        <v>92</v>
      </c>
      <c r="AX24" s="1">
        <f t="shared" si="27"/>
        <v>-28</v>
      </c>
      <c r="AY24" s="1">
        <f t="shared" si="28"/>
        <v>-7</v>
      </c>
      <c r="AZ24" s="1">
        <f t="shared" si="29"/>
        <v>10</v>
      </c>
      <c r="BA24" s="19">
        <f t="shared" si="30"/>
        <v>12.666666666666666</v>
      </c>
      <c r="BB24" s="19">
        <f t="shared" si="31"/>
        <v>2.5</v>
      </c>
      <c r="BC24" s="9">
        <f t="shared" si="32"/>
        <v>0.26229508196721313</v>
      </c>
      <c r="BD24" s="9">
        <f t="shared" si="33"/>
        <v>-7.792207792207792E-2</v>
      </c>
      <c r="BE24" s="9">
        <f t="shared" si="34"/>
        <v>0.95774647887323938</v>
      </c>
      <c r="BF24" s="9">
        <f t="shared" si="35"/>
        <v>-0.10071942446043165</v>
      </c>
      <c r="BG24" s="9">
        <f t="shared" si="36"/>
        <v>2.4E-2</v>
      </c>
      <c r="BH24" s="9">
        <f t="shared" si="37"/>
        <v>-0.1796875</v>
      </c>
      <c r="BI24" s="12">
        <f t="shared" si="38"/>
        <v>0.14761875974299046</v>
      </c>
      <c r="BJ24" s="13">
        <f t="shared" si="39"/>
        <v>-2.6961038961038963E-2</v>
      </c>
      <c r="BK24" s="1">
        <f t="shared" si="40"/>
        <v>16</v>
      </c>
      <c r="BL24" s="1">
        <f t="shared" si="41"/>
        <v>-6</v>
      </c>
      <c r="BM24" s="1">
        <f t="shared" si="42"/>
        <v>68</v>
      </c>
      <c r="BN24" s="1">
        <f t="shared" si="43"/>
        <v>-14</v>
      </c>
      <c r="BO24" s="1">
        <f t="shared" si="44"/>
        <v>3</v>
      </c>
      <c r="BP24" s="1">
        <f t="shared" si="45"/>
        <v>-23</v>
      </c>
      <c r="BQ24" s="19">
        <f t="shared" si="46"/>
        <v>7.333333333333333</v>
      </c>
      <c r="BR24" s="17">
        <f t="shared" si="47"/>
        <v>-1.5</v>
      </c>
    </row>
    <row r="25" spans="1:70" x14ac:dyDescent="0.25">
      <c r="A25" t="s">
        <v>155</v>
      </c>
      <c r="B25">
        <v>79</v>
      </c>
      <c r="C25">
        <v>117</v>
      </c>
      <c r="D25">
        <v>107</v>
      </c>
      <c r="E25">
        <v>227</v>
      </c>
      <c r="F25">
        <v>138</v>
      </c>
      <c r="G25">
        <v>196</v>
      </c>
      <c r="H25">
        <v>181</v>
      </c>
      <c r="I25">
        <v>38</v>
      </c>
      <c r="J25">
        <v>61</v>
      </c>
      <c r="K25">
        <v>54</v>
      </c>
      <c r="L25">
        <v>129</v>
      </c>
      <c r="M25">
        <v>73</v>
      </c>
      <c r="N25">
        <v>97</v>
      </c>
      <c r="O25">
        <v>88</v>
      </c>
      <c r="P25">
        <v>41</v>
      </c>
      <c r="Q25">
        <v>56</v>
      </c>
      <c r="R25">
        <v>53</v>
      </c>
      <c r="S25">
        <v>98</v>
      </c>
      <c r="T25">
        <v>65</v>
      </c>
      <c r="U25">
        <v>99</v>
      </c>
      <c r="V25">
        <v>93</v>
      </c>
      <c r="W25" s="8">
        <f t="shared" si="0"/>
        <v>0.48101265822784811</v>
      </c>
      <c r="X25" s="8">
        <f t="shared" si="1"/>
        <v>-8.5470085470085472E-2</v>
      </c>
      <c r="Y25" s="8">
        <f t="shared" si="2"/>
        <v>1.1214953271028036</v>
      </c>
      <c r="Z25" s="8">
        <f t="shared" si="3"/>
        <v>-0.39207048458149779</v>
      </c>
      <c r="AA25" s="8">
        <f t="shared" si="4"/>
        <v>0.42028985507246375</v>
      </c>
      <c r="AB25" s="8">
        <f t="shared" si="5"/>
        <v>-7.6530612244897961E-2</v>
      </c>
      <c r="AC25" s="12">
        <f t="shared" si="6"/>
        <v>0.24478777635110571</v>
      </c>
      <c r="AD25" s="12">
        <f t="shared" si="7"/>
        <v>0.17187962141378291</v>
      </c>
      <c r="AE25" s="1">
        <f t="shared" si="8"/>
        <v>38</v>
      </c>
      <c r="AF25" s="1">
        <f t="shared" si="9"/>
        <v>-10</v>
      </c>
      <c r="AG25" s="1">
        <f t="shared" si="10"/>
        <v>120</v>
      </c>
      <c r="AH25" s="1">
        <f t="shared" si="11"/>
        <v>-89</v>
      </c>
      <c r="AI25" s="1">
        <f t="shared" si="12"/>
        <v>58</v>
      </c>
      <c r="AJ25" s="1">
        <f t="shared" si="13"/>
        <v>-15</v>
      </c>
      <c r="AK25" s="17">
        <f t="shared" si="14"/>
        <v>17</v>
      </c>
      <c r="AL25" s="17">
        <f t="shared" si="15"/>
        <v>14</v>
      </c>
      <c r="AM25" s="1">
        <f t="shared" si="16"/>
        <v>0.60526315789473684</v>
      </c>
      <c r="AN25" s="1">
        <f t="shared" si="17"/>
        <v>-0.11475409836065574</v>
      </c>
      <c r="AO25" s="1">
        <f t="shared" si="18"/>
        <v>1.3888888888888888</v>
      </c>
      <c r="AP25" s="1">
        <f t="shared" si="19"/>
        <v>-0.43410852713178294</v>
      </c>
      <c r="AQ25" s="1">
        <f t="shared" si="20"/>
        <v>0.32876712328767121</v>
      </c>
      <c r="AR25" s="1">
        <f t="shared" si="21"/>
        <v>-9.2783505154639179E-2</v>
      </c>
      <c r="AS25" s="12">
        <f t="shared" si="22"/>
        <v>0.28021217323736985</v>
      </c>
      <c r="AT25" s="12">
        <f t="shared" si="23"/>
        <v>0.11799180906651602</v>
      </c>
      <c r="AU25" s="1">
        <f t="shared" si="24"/>
        <v>23</v>
      </c>
      <c r="AV25" s="1">
        <f t="shared" si="25"/>
        <v>-7</v>
      </c>
      <c r="AW25" s="1">
        <f t="shared" si="26"/>
        <v>75</v>
      </c>
      <c r="AX25" s="1">
        <f t="shared" si="27"/>
        <v>-56</v>
      </c>
      <c r="AY25" s="1">
        <f t="shared" si="28"/>
        <v>24</v>
      </c>
      <c r="AZ25" s="1">
        <f t="shared" si="29"/>
        <v>-9</v>
      </c>
      <c r="BA25" s="19">
        <f t="shared" si="30"/>
        <v>8.3333333333333339</v>
      </c>
      <c r="BB25" s="19">
        <f t="shared" si="31"/>
        <v>8</v>
      </c>
      <c r="BC25" s="9">
        <f t="shared" si="32"/>
        <v>0.36585365853658536</v>
      </c>
      <c r="BD25" s="9">
        <f t="shared" si="33"/>
        <v>-5.3571428571428568E-2</v>
      </c>
      <c r="BE25" s="9">
        <f t="shared" si="34"/>
        <v>0.84905660377358494</v>
      </c>
      <c r="BF25" s="9">
        <f t="shared" si="35"/>
        <v>-0.33673469387755101</v>
      </c>
      <c r="BG25" s="9">
        <f t="shared" si="36"/>
        <v>0.52307692307692311</v>
      </c>
      <c r="BH25" s="9">
        <f t="shared" si="37"/>
        <v>-6.0606060606060608E-2</v>
      </c>
      <c r="BI25" s="12">
        <f t="shared" si="38"/>
        <v>0.21451250038867556</v>
      </c>
      <c r="BJ25" s="13">
        <f t="shared" si="39"/>
        <v>0.15614111498257838</v>
      </c>
      <c r="BK25" s="1">
        <f t="shared" si="40"/>
        <v>15</v>
      </c>
      <c r="BL25" s="1">
        <f t="shared" si="41"/>
        <v>-3</v>
      </c>
      <c r="BM25" s="1">
        <f t="shared" si="42"/>
        <v>45</v>
      </c>
      <c r="BN25" s="1">
        <f t="shared" si="43"/>
        <v>-33</v>
      </c>
      <c r="BO25" s="1">
        <f t="shared" si="44"/>
        <v>34</v>
      </c>
      <c r="BP25" s="1">
        <f t="shared" si="45"/>
        <v>-6</v>
      </c>
      <c r="BQ25" s="19">
        <f t="shared" si="46"/>
        <v>8.6666666666666661</v>
      </c>
      <c r="BR25" s="17">
        <f t="shared" si="47"/>
        <v>6</v>
      </c>
    </row>
    <row r="26" spans="1:70" x14ac:dyDescent="0.25">
      <c r="A26" t="s">
        <v>128</v>
      </c>
      <c r="B26">
        <v>135</v>
      </c>
      <c r="C26">
        <v>173</v>
      </c>
      <c r="D26">
        <v>176</v>
      </c>
      <c r="E26">
        <v>151</v>
      </c>
      <c r="F26">
        <v>164</v>
      </c>
      <c r="G26">
        <v>185</v>
      </c>
      <c r="H26">
        <v>231</v>
      </c>
      <c r="I26">
        <v>74</v>
      </c>
      <c r="J26">
        <v>80</v>
      </c>
      <c r="K26">
        <v>79</v>
      </c>
      <c r="L26">
        <v>70</v>
      </c>
      <c r="M26">
        <v>78</v>
      </c>
      <c r="N26">
        <v>90</v>
      </c>
      <c r="O26">
        <v>115</v>
      </c>
      <c r="P26">
        <v>61</v>
      </c>
      <c r="Q26">
        <v>93</v>
      </c>
      <c r="R26">
        <v>97</v>
      </c>
      <c r="S26">
        <v>81</v>
      </c>
      <c r="T26">
        <v>86</v>
      </c>
      <c r="U26">
        <v>95</v>
      </c>
      <c r="V26">
        <v>116</v>
      </c>
      <c r="W26" s="8">
        <f t="shared" si="0"/>
        <v>0.2814814814814815</v>
      </c>
      <c r="X26" s="8">
        <f t="shared" si="1"/>
        <v>1.7341040462427744E-2</v>
      </c>
      <c r="Y26" s="8">
        <f t="shared" si="2"/>
        <v>-0.14204545454545456</v>
      </c>
      <c r="Z26" s="8">
        <f t="shared" si="3"/>
        <v>8.6092715231788075E-2</v>
      </c>
      <c r="AA26" s="8">
        <f t="shared" si="4"/>
        <v>0.12804878048780488</v>
      </c>
      <c r="AB26" s="8">
        <f t="shared" si="5"/>
        <v>0.24864864864864866</v>
      </c>
      <c r="AC26" s="12">
        <f t="shared" si="6"/>
        <v>0.10326120196111604</v>
      </c>
      <c r="AD26" s="12">
        <f t="shared" si="7"/>
        <v>0.10707074785979648</v>
      </c>
      <c r="AE26" s="1">
        <f t="shared" si="8"/>
        <v>38</v>
      </c>
      <c r="AF26" s="1">
        <f t="shared" si="9"/>
        <v>3</v>
      </c>
      <c r="AG26" s="1">
        <f t="shared" si="10"/>
        <v>-25</v>
      </c>
      <c r="AH26" s="1">
        <f t="shared" si="11"/>
        <v>13</v>
      </c>
      <c r="AI26" s="1">
        <f t="shared" si="12"/>
        <v>21</v>
      </c>
      <c r="AJ26" s="1">
        <f t="shared" si="13"/>
        <v>46</v>
      </c>
      <c r="AK26" s="17">
        <f t="shared" si="14"/>
        <v>16</v>
      </c>
      <c r="AL26" s="17">
        <f t="shared" si="15"/>
        <v>17</v>
      </c>
      <c r="AM26" s="1">
        <f t="shared" si="16"/>
        <v>8.1081081081081086E-2</v>
      </c>
      <c r="AN26" s="1">
        <f t="shared" si="17"/>
        <v>-1.2500000000000001E-2</v>
      </c>
      <c r="AO26" s="1">
        <f t="shared" si="18"/>
        <v>-0.11392405063291139</v>
      </c>
      <c r="AP26" s="1">
        <f t="shared" si="19"/>
        <v>0.11428571428571428</v>
      </c>
      <c r="AQ26" s="1">
        <f t="shared" si="20"/>
        <v>0.15384615384615385</v>
      </c>
      <c r="AR26" s="1">
        <f t="shared" si="21"/>
        <v>0.27777777777777779</v>
      </c>
      <c r="AS26" s="12">
        <f t="shared" si="22"/>
        <v>8.3427779392969262E-2</v>
      </c>
      <c r="AT26" s="12">
        <f t="shared" si="23"/>
        <v>9.7683397683397677E-2</v>
      </c>
      <c r="AU26" s="1">
        <f t="shared" si="24"/>
        <v>6</v>
      </c>
      <c r="AV26" s="1">
        <f t="shared" si="25"/>
        <v>-1</v>
      </c>
      <c r="AW26" s="1">
        <f t="shared" si="26"/>
        <v>-9</v>
      </c>
      <c r="AX26" s="1">
        <f t="shared" si="27"/>
        <v>8</v>
      </c>
      <c r="AY26" s="1">
        <f t="shared" si="28"/>
        <v>12</v>
      </c>
      <c r="AZ26" s="1">
        <f t="shared" si="29"/>
        <v>25</v>
      </c>
      <c r="BA26" s="19">
        <f t="shared" si="30"/>
        <v>6.833333333333333</v>
      </c>
      <c r="BB26" s="19">
        <f t="shared" si="31"/>
        <v>7</v>
      </c>
      <c r="BC26" s="9">
        <f t="shared" si="32"/>
        <v>0.52459016393442626</v>
      </c>
      <c r="BD26" s="9">
        <f t="shared" si="33"/>
        <v>4.3010752688172046E-2</v>
      </c>
      <c r="BE26" s="9">
        <f t="shared" si="34"/>
        <v>-0.16494845360824742</v>
      </c>
      <c r="BF26" s="9">
        <f t="shared" si="35"/>
        <v>6.1728395061728392E-2</v>
      </c>
      <c r="BG26" s="9">
        <f t="shared" si="36"/>
        <v>0.10465116279069768</v>
      </c>
      <c r="BH26" s="9">
        <f t="shared" si="37"/>
        <v>0.22105263157894736</v>
      </c>
      <c r="BI26" s="12">
        <f t="shared" si="38"/>
        <v>0.13168077540762071</v>
      </c>
      <c r="BJ26" s="13">
        <f t="shared" si="39"/>
        <v>8.3189778926213043E-2</v>
      </c>
      <c r="BK26" s="1">
        <f t="shared" si="40"/>
        <v>32</v>
      </c>
      <c r="BL26" s="1">
        <f t="shared" si="41"/>
        <v>4</v>
      </c>
      <c r="BM26" s="1">
        <f t="shared" si="42"/>
        <v>-16</v>
      </c>
      <c r="BN26" s="1">
        <f t="shared" si="43"/>
        <v>5</v>
      </c>
      <c r="BO26" s="1">
        <f t="shared" si="44"/>
        <v>9</v>
      </c>
      <c r="BP26" s="1">
        <f t="shared" si="45"/>
        <v>21</v>
      </c>
      <c r="BQ26" s="19">
        <f t="shared" si="46"/>
        <v>9.1666666666666661</v>
      </c>
      <c r="BR26" s="17">
        <f t="shared" si="47"/>
        <v>7</v>
      </c>
    </row>
    <row r="27" spans="1:70" x14ac:dyDescent="0.25">
      <c r="A27" t="s">
        <v>109</v>
      </c>
      <c r="B27">
        <v>203</v>
      </c>
      <c r="C27">
        <v>198</v>
      </c>
      <c r="D27">
        <v>217</v>
      </c>
      <c r="E27">
        <v>249</v>
      </c>
      <c r="F27">
        <v>277</v>
      </c>
      <c r="G27">
        <v>283</v>
      </c>
      <c r="H27">
        <v>297</v>
      </c>
      <c r="I27">
        <v>104</v>
      </c>
      <c r="J27">
        <v>97</v>
      </c>
      <c r="K27">
        <v>112</v>
      </c>
      <c r="L27">
        <v>126</v>
      </c>
      <c r="M27">
        <v>129</v>
      </c>
      <c r="N27">
        <v>139</v>
      </c>
      <c r="O27">
        <v>137</v>
      </c>
      <c r="P27">
        <v>99</v>
      </c>
      <c r="Q27">
        <v>101</v>
      </c>
      <c r="R27">
        <v>105</v>
      </c>
      <c r="S27">
        <v>123</v>
      </c>
      <c r="T27">
        <v>148</v>
      </c>
      <c r="U27">
        <v>144</v>
      </c>
      <c r="V27">
        <v>160</v>
      </c>
      <c r="W27" s="8">
        <f t="shared" si="0"/>
        <v>-2.4630541871921183E-2</v>
      </c>
      <c r="X27" s="8">
        <f t="shared" si="1"/>
        <v>9.5959595959595953E-2</v>
      </c>
      <c r="Y27" s="8">
        <f t="shared" si="2"/>
        <v>0.14746543778801843</v>
      </c>
      <c r="Z27" s="8">
        <f t="shared" si="3"/>
        <v>0.11244979919678715</v>
      </c>
      <c r="AA27" s="8">
        <f t="shared" si="4"/>
        <v>2.1660649819494584E-2</v>
      </c>
      <c r="AB27" s="8">
        <f t="shared" si="5"/>
        <v>4.9469964664310952E-2</v>
      </c>
      <c r="AC27" s="12">
        <f t="shared" si="6"/>
        <v>6.7062484259380981E-2</v>
      </c>
      <c r="AD27" s="12">
        <f t="shared" si="7"/>
        <v>7.2714780311953456E-2</v>
      </c>
      <c r="AE27" s="1">
        <f t="shared" si="8"/>
        <v>-5</v>
      </c>
      <c r="AF27" s="1">
        <f t="shared" si="9"/>
        <v>19</v>
      </c>
      <c r="AG27" s="1">
        <f t="shared" si="10"/>
        <v>32</v>
      </c>
      <c r="AH27" s="1">
        <f t="shared" si="11"/>
        <v>28</v>
      </c>
      <c r="AI27" s="1">
        <f t="shared" si="12"/>
        <v>6</v>
      </c>
      <c r="AJ27" s="1">
        <f t="shared" si="13"/>
        <v>14</v>
      </c>
      <c r="AK27" s="17">
        <f t="shared" si="14"/>
        <v>15.666666666666666</v>
      </c>
      <c r="AL27" s="17">
        <f t="shared" si="15"/>
        <v>16.5</v>
      </c>
      <c r="AM27" s="1">
        <f t="shared" si="16"/>
        <v>-6.7307692307692304E-2</v>
      </c>
      <c r="AN27" s="1">
        <f t="shared" si="17"/>
        <v>0.15463917525773196</v>
      </c>
      <c r="AO27" s="1">
        <f t="shared" si="18"/>
        <v>0.125</v>
      </c>
      <c r="AP27" s="1">
        <f t="shared" si="19"/>
        <v>2.3809523809523808E-2</v>
      </c>
      <c r="AQ27" s="1">
        <f t="shared" si="20"/>
        <v>7.7519379844961239E-2</v>
      </c>
      <c r="AR27" s="1">
        <f t="shared" si="21"/>
        <v>-1.4388489208633094E-2</v>
      </c>
      <c r="AS27" s="12">
        <f t="shared" si="22"/>
        <v>4.9878649565981932E-2</v>
      </c>
      <c r="AT27" s="12">
        <f t="shared" si="23"/>
        <v>5.0664451827242524E-2</v>
      </c>
      <c r="AU27" s="1">
        <f t="shared" si="24"/>
        <v>-7</v>
      </c>
      <c r="AV27" s="1">
        <f t="shared" si="25"/>
        <v>15</v>
      </c>
      <c r="AW27" s="1">
        <f t="shared" si="26"/>
        <v>14</v>
      </c>
      <c r="AX27" s="1">
        <f t="shared" si="27"/>
        <v>3</v>
      </c>
      <c r="AY27" s="1">
        <f t="shared" si="28"/>
        <v>10</v>
      </c>
      <c r="AZ27" s="1">
        <f t="shared" si="29"/>
        <v>-2</v>
      </c>
      <c r="BA27" s="19">
        <f t="shared" si="30"/>
        <v>5.5</v>
      </c>
      <c r="BB27" s="19">
        <f t="shared" si="31"/>
        <v>6.5</v>
      </c>
      <c r="BC27" s="9">
        <f t="shared" si="32"/>
        <v>2.0202020202020204E-2</v>
      </c>
      <c r="BD27" s="9">
        <f t="shared" si="33"/>
        <v>3.9603960396039604E-2</v>
      </c>
      <c r="BE27" s="9">
        <f t="shared" si="34"/>
        <v>0.17142857142857143</v>
      </c>
      <c r="BF27" s="9">
        <f t="shared" si="35"/>
        <v>0.2032520325203252</v>
      </c>
      <c r="BG27" s="9">
        <f t="shared" si="36"/>
        <v>-2.7027027027027029E-2</v>
      </c>
      <c r="BH27" s="9">
        <f t="shared" si="37"/>
        <v>0.1111111111111111</v>
      </c>
      <c r="BI27" s="12">
        <f t="shared" si="38"/>
        <v>8.6428444771840085E-2</v>
      </c>
      <c r="BJ27" s="13">
        <f t="shared" si="39"/>
        <v>7.5357535753575344E-2</v>
      </c>
      <c r="BK27" s="1">
        <f t="shared" si="40"/>
        <v>2</v>
      </c>
      <c r="BL27" s="1">
        <f t="shared" si="41"/>
        <v>4</v>
      </c>
      <c r="BM27" s="1">
        <f t="shared" si="42"/>
        <v>18</v>
      </c>
      <c r="BN27" s="1">
        <f t="shared" si="43"/>
        <v>25</v>
      </c>
      <c r="BO27" s="1">
        <f t="shared" si="44"/>
        <v>-4</v>
      </c>
      <c r="BP27" s="1">
        <f t="shared" si="45"/>
        <v>16</v>
      </c>
      <c r="BQ27" s="19">
        <f t="shared" si="46"/>
        <v>10.166666666666666</v>
      </c>
      <c r="BR27" s="17">
        <f t="shared" si="47"/>
        <v>10</v>
      </c>
    </row>
    <row r="28" spans="1:70" x14ac:dyDescent="0.25">
      <c r="A28" t="s">
        <v>137</v>
      </c>
      <c r="B28">
        <v>106</v>
      </c>
      <c r="C28">
        <v>107</v>
      </c>
      <c r="D28">
        <v>104</v>
      </c>
      <c r="E28">
        <v>124</v>
      </c>
      <c r="F28">
        <v>178</v>
      </c>
      <c r="G28">
        <v>192</v>
      </c>
      <c r="H28">
        <v>193</v>
      </c>
      <c r="I28">
        <v>51</v>
      </c>
      <c r="J28">
        <v>47</v>
      </c>
      <c r="K28">
        <v>41</v>
      </c>
      <c r="L28">
        <v>53</v>
      </c>
      <c r="M28">
        <v>79</v>
      </c>
      <c r="N28">
        <v>91</v>
      </c>
      <c r="O28">
        <v>87</v>
      </c>
      <c r="P28">
        <v>55</v>
      </c>
      <c r="Q28">
        <v>60</v>
      </c>
      <c r="R28">
        <v>63</v>
      </c>
      <c r="S28">
        <v>71</v>
      </c>
      <c r="T28">
        <v>99</v>
      </c>
      <c r="U28">
        <v>101</v>
      </c>
      <c r="V28">
        <v>106</v>
      </c>
      <c r="W28" s="8">
        <f t="shared" si="0"/>
        <v>9.433962264150943E-3</v>
      </c>
      <c r="X28" s="8">
        <f t="shared" si="1"/>
        <v>-2.8037383177570093E-2</v>
      </c>
      <c r="Y28" s="8">
        <f t="shared" si="2"/>
        <v>0.19230769230769232</v>
      </c>
      <c r="Z28" s="8">
        <f t="shared" si="3"/>
        <v>0.43548387096774194</v>
      </c>
      <c r="AA28" s="8">
        <f t="shared" si="4"/>
        <v>7.8651685393258425E-2</v>
      </c>
      <c r="AB28" s="8">
        <f t="shared" si="5"/>
        <v>5.208333333333333E-3</v>
      </c>
      <c r="AC28" s="12">
        <f t="shared" si="6"/>
        <v>0.11550802684810114</v>
      </c>
      <c r="AD28" s="12">
        <f t="shared" si="7"/>
        <v>4.4042823828704683E-2</v>
      </c>
      <c r="AE28" s="1">
        <f t="shared" si="8"/>
        <v>1</v>
      </c>
      <c r="AF28" s="1">
        <f t="shared" si="9"/>
        <v>-3</v>
      </c>
      <c r="AG28" s="1">
        <f t="shared" si="10"/>
        <v>20</v>
      </c>
      <c r="AH28" s="1">
        <f t="shared" si="11"/>
        <v>54</v>
      </c>
      <c r="AI28" s="1">
        <f t="shared" si="12"/>
        <v>14</v>
      </c>
      <c r="AJ28" s="1">
        <f t="shared" si="13"/>
        <v>1</v>
      </c>
      <c r="AK28" s="17">
        <f t="shared" si="14"/>
        <v>14.5</v>
      </c>
      <c r="AL28" s="17">
        <f t="shared" si="15"/>
        <v>7.5</v>
      </c>
      <c r="AM28" s="1">
        <f t="shared" si="16"/>
        <v>-7.8431372549019607E-2</v>
      </c>
      <c r="AN28" s="1">
        <f t="shared" si="17"/>
        <v>-0.1276595744680851</v>
      </c>
      <c r="AO28" s="1">
        <f t="shared" si="18"/>
        <v>0.29268292682926828</v>
      </c>
      <c r="AP28" s="1">
        <f t="shared" si="19"/>
        <v>0.49056603773584906</v>
      </c>
      <c r="AQ28" s="1">
        <f t="shared" si="20"/>
        <v>0.15189873417721519</v>
      </c>
      <c r="AR28" s="1">
        <f t="shared" si="21"/>
        <v>-4.3956043956043959E-2</v>
      </c>
      <c r="AS28" s="12">
        <f t="shared" si="22"/>
        <v>0.114183451294864</v>
      </c>
      <c r="AT28" s="12">
        <f t="shared" si="23"/>
        <v>5.3971345110585621E-2</v>
      </c>
      <c r="AU28" s="1">
        <f t="shared" si="24"/>
        <v>-4</v>
      </c>
      <c r="AV28" s="1">
        <f t="shared" si="25"/>
        <v>-6</v>
      </c>
      <c r="AW28" s="1">
        <f t="shared" si="26"/>
        <v>12</v>
      </c>
      <c r="AX28" s="1">
        <f t="shared" si="27"/>
        <v>26</v>
      </c>
      <c r="AY28" s="1">
        <f t="shared" si="28"/>
        <v>12</v>
      </c>
      <c r="AZ28" s="1">
        <f t="shared" si="29"/>
        <v>-4</v>
      </c>
      <c r="BA28" s="19">
        <f t="shared" si="30"/>
        <v>6</v>
      </c>
      <c r="BB28" s="19">
        <f t="shared" si="31"/>
        <v>4</v>
      </c>
      <c r="BC28" s="9">
        <f t="shared" si="32"/>
        <v>9.0909090909090912E-2</v>
      </c>
      <c r="BD28" s="9">
        <f t="shared" si="33"/>
        <v>0.05</v>
      </c>
      <c r="BE28" s="9">
        <f t="shared" si="34"/>
        <v>0.12698412698412698</v>
      </c>
      <c r="BF28" s="9">
        <f t="shared" si="35"/>
        <v>0.39436619718309857</v>
      </c>
      <c r="BG28" s="9">
        <f t="shared" si="36"/>
        <v>2.0202020202020204E-2</v>
      </c>
      <c r="BH28" s="9">
        <f t="shared" si="37"/>
        <v>4.9504950495049507E-2</v>
      </c>
      <c r="BI28" s="12">
        <f t="shared" si="38"/>
        <v>0.1219943976288977</v>
      </c>
      <c r="BJ28" s="13">
        <f t="shared" si="39"/>
        <v>7.0454545454545464E-2</v>
      </c>
      <c r="BK28" s="1">
        <f t="shared" si="40"/>
        <v>5</v>
      </c>
      <c r="BL28" s="1">
        <f t="shared" si="41"/>
        <v>3</v>
      </c>
      <c r="BM28" s="1">
        <f t="shared" si="42"/>
        <v>8</v>
      </c>
      <c r="BN28" s="1">
        <f t="shared" si="43"/>
        <v>28</v>
      </c>
      <c r="BO28" s="1">
        <f t="shared" si="44"/>
        <v>2</v>
      </c>
      <c r="BP28" s="1">
        <f t="shared" si="45"/>
        <v>5</v>
      </c>
      <c r="BQ28" s="19">
        <f t="shared" si="46"/>
        <v>8.5</v>
      </c>
      <c r="BR28" s="17">
        <f t="shared" si="47"/>
        <v>5</v>
      </c>
    </row>
    <row r="29" spans="1:70" x14ac:dyDescent="0.25">
      <c r="A29" t="s">
        <v>100</v>
      </c>
      <c r="B29">
        <v>245</v>
      </c>
      <c r="C29">
        <v>215</v>
      </c>
      <c r="D29">
        <v>217</v>
      </c>
      <c r="E29">
        <v>405</v>
      </c>
      <c r="F29">
        <v>349</v>
      </c>
      <c r="G29">
        <v>364</v>
      </c>
      <c r="H29">
        <v>329</v>
      </c>
      <c r="I29">
        <v>134</v>
      </c>
      <c r="J29">
        <v>116</v>
      </c>
      <c r="K29">
        <v>132</v>
      </c>
      <c r="L29">
        <v>226</v>
      </c>
      <c r="M29">
        <v>193</v>
      </c>
      <c r="N29">
        <v>212</v>
      </c>
      <c r="O29">
        <v>177</v>
      </c>
      <c r="P29">
        <v>111</v>
      </c>
      <c r="Q29">
        <v>99</v>
      </c>
      <c r="R29">
        <v>85</v>
      </c>
      <c r="S29">
        <v>179</v>
      </c>
      <c r="T29">
        <v>156</v>
      </c>
      <c r="U29">
        <v>152</v>
      </c>
      <c r="V29">
        <v>152</v>
      </c>
      <c r="W29" s="8">
        <f t="shared" si="0"/>
        <v>-0.12244897959183673</v>
      </c>
      <c r="X29" s="8">
        <f t="shared" si="1"/>
        <v>9.3023255813953487E-3</v>
      </c>
      <c r="Y29" s="8">
        <f t="shared" si="2"/>
        <v>0.86635944700460832</v>
      </c>
      <c r="Z29" s="8">
        <f t="shared" si="3"/>
        <v>-0.13827160493827159</v>
      </c>
      <c r="AA29" s="8">
        <f t="shared" si="4"/>
        <v>4.2979942693409739E-2</v>
      </c>
      <c r="AB29" s="8">
        <f t="shared" si="5"/>
        <v>-9.6153846153846159E-2</v>
      </c>
      <c r="AC29" s="12">
        <f t="shared" si="6"/>
        <v>9.3627880765909832E-2</v>
      </c>
      <c r="AD29" s="12">
        <f t="shared" si="7"/>
        <v>-4.3425760286225405E-2</v>
      </c>
      <c r="AE29" s="1">
        <f t="shared" si="8"/>
        <v>-30</v>
      </c>
      <c r="AF29" s="1">
        <f t="shared" si="9"/>
        <v>2</v>
      </c>
      <c r="AG29" s="1">
        <f t="shared" si="10"/>
        <v>188</v>
      </c>
      <c r="AH29" s="1">
        <f t="shared" si="11"/>
        <v>-56</v>
      </c>
      <c r="AI29" s="1">
        <f t="shared" si="12"/>
        <v>15</v>
      </c>
      <c r="AJ29" s="1">
        <f t="shared" si="13"/>
        <v>-35</v>
      </c>
      <c r="AK29" s="17">
        <f t="shared" si="14"/>
        <v>14</v>
      </c>
      <c r="AL29" s="17">
        <f t="shared" si="15"/>
        <v>-14</v>
      </c>
      <c r="AM29" s="1">
        <f t="shared" si="16"/>
        <v>-0.13432835820895522</v>
      </c>
      <c r="AN29" s="1">
        <f t="shared" si="17"/>
        <v>0.13793103448275862</v>
      </c>
      <c r="AO29" s="1">
        <f t="shared" si="18"/>
        <v>0.71212121212121215</v>
      </c>
      <c r="AP29" s="1">
        <f t="shared" si="19"/>
        <v>-0.14601769911504425</v>
      </c>
      <c r="AQ29" s="1">
        <f t="shared" si="20"/>
        <v>9.8445595854922283E-2</v>
      </c>
      <c r="AR29" s="1">
        <f t="shared" si="21"/>
        <v>-0.1650943396226415</v>
      </c>
      <c r="AS29" s="12">
        <f t="shared" si="22"/>
        <v>8.384290758537534E-2</v>
      </c>
      <c r="AT29" s="12">
        <f t="shared" si="23"/>
        <v>-1.7941381177016463E-2</v>
      </c>
      <c r="AU29" s="1">
        <f t="shared" si="24"/>
        <v>-18</v>
      </c>
      <c r="AV29" s="1">
        <f t="shared" si="25"/>
        <v>16</v>
      </c>
      <c r="AW29" s="1">
        <f t="shared" si="26"/>
        <v>94</v>
      </c>
      <c r="AX29" s="1">
        <f t="shared" si="27"/>
        <v>-33</v>
      </c>
      <c r="AY29" s="1">
        <f t="shared" si="28"/>
        <v>19</v>
      </c>
      <c r="AZ29" s="1">
        <f t="shared" si="29"/>
        <v>-35</v>
      </c>
      <c r="BA29" s="19">
        <f t="shared" si="30"/>
        <v>7.166666666666667</v>
      </c>
      <c r="BB29" s="19">
        <f t="shared" si="31"/>
        <v>-1</v>
      </c>
      <c r="BC29" s="9">
        <f t="shared" si="32"/>
        <v>-0.10810810810810811</v>
      </c>
      <c r="BD29" s="9">
        <f t="shared" si="33"/>
        <v>-0.14141414141414141</v>
      </c>
      <c r="BE29" s="9">
        <f t="shared" si="34"/>
        <v>1.1058823529411765</v>
      </c>
      <c r="BF29" s="9">
        <f t="shared" si="35"/>
        <v>-0.12849162011173185</v>
      </c>
      <c r="BG29" s="9">
        <f t="shared" si="36"/>
        <v>-2.564102564102564E-2</v>
      </c>
      <c r="BH29" s="9">
        <f t="shared" si="37"/>
        <v>0</v>
      </c>
      <c r="BI29" s="12">
        <f t="shared" si="38"/>
        <v>0.11703790961102824</v>
      </c>
      <c r="BJ29" s="13">
        <f t="shared" si="39"/>
        <v>-6.6874566874566874E-2</v>
      </c>
      <c r="BK29" s="1">
        <f t="shared" si="40"/>
        <v>-12</v>
      </c>
      <c r="BL29" s="1">
        <f t="shared" si="41"/>
        <v>-14</v>
      </c>
      <c r="BM29" s="1">
        <f t="shared" si="42"/>
        <v>94</v>
      </c>
      <c r="BN29" s="1">
        <f t="shared" si="43"/>
        <v>-23</v>
      </c>
      <c r="BO29" s="1">
        <f t="shared" si="44"/>
        <v>-4</v>
      </c>
      <c r="BP29" s="1">
        <f t="shared" si="45"/>
        <v>0</v>
      </c>
      <c r="BQ29" s="19">
        <f t="shared" si="46"/>
        <v>6.833333333333333</v>
      </c>
      <c r="BR29" s="17">
        <f t="shared" si="47"/>
        <v>-8</v>
      </c>
    </row>
    <row r="30" spans="1:70" x14ac:dyDescent="0.25">
      <c r="A30" t="s">
        <v>168</v>
      </c>
      <c r="B30">
        <v>66</v>
      </c>
      <c r="C30">
        <v>60</v>
      </c>
      <c r="D30">
        <v>41</v>
      </c>
      <c r="E30">
        <v>110</v>
      </c>
      <c r="F30">
        <v>104</v>
      </c>
      <c r="G30">
        <v>133</v>
      </c>
      <c r="H30">
        <v>148</v>
      </c>
      <c r="I30">
        <v>23</v>
      </c>
      <c r="J30">
        <v>19</v>
      </c>
      <c r="K30">
        <v>14</v>
      </c>
      <c r="L30">
        <v>57</v>
      </c>
      <c r="M30">
        <v>44</v>
      </c>
      <c r="N30">
        <v>52</v>
      </c>
      <c r="O30">
        <v>60</v>
      </c>
      <c r="P30">
        <v>43</v>
      </c>
      <c r="Q30">
        <v>41</v>
      </c>
      <c r="R30">
        <v>27</v>
      </c>
      <c r="S30">
        <v>53</v>
      </c>
      <c r="T30">
        <v>60</v>
      </c>
      <c r="U30">
        <v>81</v>
      </c>
      <c r="V30">
        <v>88</v>
      </c>
      <c r="W30" s="8">
        <f t="shared" si="0"/>
        <v>-9.0909090909090912E-2</v>
      </c>
      <c r="X30" s="8">
        <f t="shared" si="1"/>
        <v>-0.31666666666666665</v>
      </c>
      <c r="Y30" s="8">
        <f t="shared" si="2"/>
        <v>1.6829268292682926</v>
      </c>
      <c r="Z30" s="8">
        <f t="shared" si="3"/>
        <v>-5.4545454545454543E-2</v>
      </c>
      <c r="AA30" s="8">
        <f t="shared" si="4"/>
        <v>0.27884615384615385</v>
      </c>
      <c r="AB30" s="8">
        <f t="shared" si="5"/>
        <v>0.11278195488721804</v>
      </c>
      <c r="AC30" s="12">
        <f t="shared" si="6"/>
        <v>0.26873895431340877</v>
      </c>
      <c r="AD30" s="12">
        <f t="shared" si="7"/>
        <v>2.9118250170881745E-2</v>
      </c>
      <c r="AE30" s="1">
        <f t="shared" si="8"/>
        <v>-6</v>
      </c>
      <c r="AF30" s="1">
        <f t="shared" si="9"/>
        <v>-19</v>
      </c>
      <c r="AG30" s="1">
        <f t="shared" si="10"/>
        <v>69</v>
      </c>
      <c r="AH30" s="1">
        <f t="shared" si="11"/>
        <v>-6</v>
      </c>
      <c r="AI30" s="1">
        <f t="shared" si="12"/>
        <v>29</v>
      </c>
      <c r="AJ30" s="1">
        <f t="shared" si="13"/>
        <v>15</v>
      </c>
      <c r="AK30" s="17">
        <f t="shared" si="14"/>
        <v>13.666666666666666</v>
      </c>
      <c r="AL30" s="17">
        <f t="shared" si="15"/>
        <v>4.5</v>
      </c>
      <c r="AM30" s="1">
        <f t="shared" si="16"/>
        <v>-0.17391304347826086</v>
      </c>
      <c r="AN30" s="1">
        <f t="shared" si="17"/>
        <v>-0.26315789473684209</v>
      </c>
      <c r="AO30" s="1">
        <f t="shared" si="18"/>
        <v>3.0714285714285716</v>
      </c>
      <c r="AP30" s="1">
        <f t="shared" si="19"/>
        <v>-0.22807017543859648</v>
      </c>
      <c r="AQ30" s="1">
        <f t="shared" si="20"/>
        <v>0.18181818181818182</v>
      </c>
      <c r="AR30" s="1">
        <f t="shared" si="21"/>
        <v>0.15384615384615385</v>
      </c>
      <c r="AS30" s="12">
        <f t="shared" si="22"/>
        <v>0.45699196557320132</v>
      </c>
      <c r="AT30" s="12">
        <f t="shared" si="23"/>
        <v>-1.0033444816053505E-2</v>
      </c>
      <c r="AU30" s="1">
        <f t="shared" si="24"/>
        <v>-4</v>
      </c>
      <c r="AV30" s="1">
        <f t="shared" si="25"/>
        <v>-5</v>
      </c>
      <c r="AW30" s="1">
        <f t="shared" si="26"/>
        <v>43</v>
      </c>
      <c r="AX30" s="1">
        <f t="shared" si="27"/>
        <v>-13</v>
      </c>
      <c r="AY30" s="1">
        <f t="shared" si="28"/>
        <v>8</v>
      </c>
      <c r="AZ30" s="1">
        <f t="shared" si="29"/>
        <v>8</v>
      </c>
      <c r="BA30" s="19">
        <f t="shared" si="30"/>
        <v>6.166666666666667</v>
      </c>
      <c r="BB30" s="19">
        <f t="shared" si="31"/>
        <v>2</v>
      </c>
      <c r="BC30" s="9">
        <f t="shared" si="32"/>
        <v>-4.6511627906976744E-2</v>
      </c>
      <c r="BD30" s="9">
        <f t="shared" si="33"/>
        <v>-0.34146341463414637</v>
      </c>
      <c r="BE30" s="9">
        <f t="shared" si="34"/>
        <v>0.96296296296296291</v>
      </c>
      <c r="BF30" s="9">
        <f t="shared" si="35"/>
        <v>0.13207547169811321</v>
      </c>
      <c r="BG30" s="9">
        <f t="shared" si="36"/>
        <v>0.35</v>
      </c>
      <c r="BH30" s="9">
        <f t="shared" si="37"/>
        <v>8.6419753086419748E-2</v>
      </c>
      <c r="BI30" s="12">
        <f t="shared" si="38"/>
        <v>0.19058052420106208</v>
      </c>
      <c r="BJ30" s="13">
        <f t="shared" si="39"/>
        <v>0.10924761239226648</v>
      </c>
      <c r="BK30" s="1">
        <f t="shared" si="40"/>
        <v>-2</v>
      </c>
      <c r="BL30" s="1">
        <f t="shared" si="41"/>
        <v>-14</v>
      </c>
      <c r="BM30" s="1">
        <f t="shared" si="42"/>
        <v>26</v>
      </c>
      <c r="BN30" s="1">
        <f t="shared" si="43"/>
        <v>7</v>
      </c>
      <c r="BO30" s="1">
        <f t="shared" si="44"/>
        <v>21</v>
      </c>
      <c r="BP30" s="1">
        <f t="shared" si="45"/>
        <v>7</v>
      </c>
      <c r="BQ30" s="19">
        <f t="shared" si="46"/>
        <v>7.5</v>
      </c>
      <c r="BR30" s="17">
        <f t="shared" si="47"/>
        <v>7</v>
      </c>
    </row>
    <row r="31" spans="1:70" x14ac:dyDescent="0.25">
      <c r="A31" t="s">
        <v>89</v>
      </c>
      <c r="B31">
        <v>337</v>
      </c>
      <c r="C31">
        <v>430</v>
      </c>
      <c r="D31">
        <v>421</v>
      </c>
      <c r="E31">
        <v>335</v>
      </c>
      <c r="F31">
        <v>356</v>
      </c>
      <c r="G31">
        <v>360</v>
      </c>
      <c r="H31">
        <v>418</v>
      </c>
      <c r="I31">
        <v>171</v>
      </c>
      <c r="J31">
        <v>237</v>
      </c>
      <c r="K31">
        <v>223</v>
      </c>
      <c r="L31">
        <v>177</v>
      </c>
      <c r="M31">
        <v>187</v>
      </c>
      <c r="N31">
        <v>207</v>
      </c>
      <c r="O31">
        <v>226</v>
      </c>
      <c r="P31">
        <v>166</v>
      </c>
      <c r="Q31">
        <v>193</v>
      </c>
      <c r="R31">
        <v>198</v>
      </c>
      <c r="S31">
        <v>158</v>
      </c>
      <c r="T31">
        <v>169</v>
      </c>
      <c r="U31">
        <v>153</v>
      </c>
      <c r="V31">
        <v>192</v>
      </c>
      <c r="W31" s="8">
        <f t="shared" si="0"/>
        <v>0.27596439169139464</v>
      </c>
      <c r="X31" s="8">
        <f t="shared" si="1"/>
        <v>-2.0930232558139535E-2</v>
      </c>
      <c r="Y31" s="8">
        <f t="shared" si="2"/>
        <v>-0.20427553444180521</v>
      </c>
      <c r="Z31" s="8">
        <f t="shared" si="3"/>
        <v>6.2686567164179099E-2</v>
      </c>
      <c r="AA31" s="8">
        <f t="shared" si="4"/>
        <v>1.1235955056179775E-2</v>
      </c>
      <c r="AB31" s="8">
        <f t="shared" si="5"/>
        <v>0.16111111111111112</v>
      </c>
      <c r="AC31" s="12">
        <f t="shared" si="6"/>
        <v>4.7632043003819985E-2</v>
      </c>
      <c r="AD31" s="12">
        <f t="shared" si="7"/>
        <v>3.6961261110179437E-2</v>
      </c>
      <c r="AE31" s="1">
        <f t="shared" si="8"/>
        <v>93</v>
      </c>
      <c r="AF31" s="1">
        <f t="shared" si="9"/>
        <v>-9</v>
      </c>
      <c r="AG31" s="1">
        <f t="shared" si="10"/>
        <v>-86</v>
      </c>
      <c r="AH31" s="1">
        <f t="shared" si="11"/>
        <v>21</v>
      </c>
      <c r="AI31" s="1">
        <f t="shared" si="12"/>
        <v>4</v>
      </c>
      <c r="AJ31" s="1">
        <f t="shared" si="13"/>
        <v>58</v>
      </c>
      <c r="AK31" s="17">
        <f t="shared" si="14"/>
        <v>13.5</v>
      </c>
      <c r="AL31" s="17">
        <f t="shared" si="15"/>
        <v>12.5</v>
      </c>
      <c r="AM31" s="1">
        <f t="shared" si="16"/>
        <v>0.38596491228070173</v>
      </c>
      <c r="AN31" s="1">
        <f t="shared" si="17"/>
        <v>-5.9071729957805907E-2</v>
      </c>
      <c r="AO31" s="1">
        <f t="shared" si="18"/>
        <v>-0.20627802690582961</v>
      </c>
      <c r="AP31" s="1">
        <f t="shared" si="19"/>
        <v>5.6497175141242938E-2</v>
      </c>
      <c r="AQ31" s="1">
        <f t="shared" si="20"/>
        <v>0.10695187165775401</v>
      </c>
      <c r="AR31" s="1">
        <f t="shared" si="21"/>
        <v>9.1787439613526575E-2</v>
      </c>
      <c r="AS31" s="12">
        <f t="shared" si="22"/>
        <v>6.2641940304931629E-2</v>
      </c>
      <c r="AT31" s="12">
        <f t="shared" si="23"/>
        <v>7.4142307377384753E-2</v>
      </c>
      <c r="AU31" s="1">
        <f t="shared" si="24"/>
        <v>66</v>
      </c>
      <c r="AV31" s="1">
        <f t="shared" si="25"/>
        <v>-14</v>
      </c>
      <c r="AW31" s="1">
        <f t="shared" si="26"/>
        <v>-46</v>
      </c>
      <c r="AX31" s="1">
        <f t="shared" si="27"/>
        <v>10</v>
      </c>
      <c r="AY31" s="1">
        <f t="shared" si="28"/>
        <v>20</v>
      </c>
      <c r="AZ31" s="1">
        <f t="shared" si="29"/>
        <v>19</v>
      </c>
      <c r="BA31" s="19">
        <f t="shared" si="30"/>
        <v>9.1666666666666661</v>
      </c>
      <c r="BB31" s="19">
        <f t="shared" si="31"/>
        <v>14.5</v>
      </c>
      <c r="BC31" s="9">
        <f t="shared" si="32"/>
        <v>0.16265060240963855</v>
      </c>
      <c r="BD31" s="9">
        <f t="shared" si="33"/>
        <v>2.5906735751295335E-2</v>
      </c>
      <c r="BE31" s="9">
        <f t="shared" si="34"/>
        <v>-0.20202020202020202</v>
      </c>
      <c r="BF31" s="9">
        <f t="shared" si="35"/>
        <v>6.9620253164556958E-2</v>
      </c>
      <c r="BG31" s="9">
        <f t="shared" si="36"/>
        <v>-9.4674556213017749E-2</v>
      </c>
      <c r="BH31" s="9">
        <f t="shared" si="37"/>
        <v>0.25490196078431371</v>
      </c>
      <c r="BI31" s="12">
        <f t="shared" si="38"/>
        <v>3.6064132312764133E-2</v>
      </c>
      <c r="BJ31" s="13">
        <f t="shared" si="39"/>
        <v>4.7763494457926145E-2</v>
      </c>
      <c r="BK31" s="1">
        <f t="shared" si="40"/>
        <v>27</v>
      </c>
      <c r="BL31" s="1">
        <f t="shared" si="41"/>
        <v>5</v>
      </c>
      <c r="BM31" s="1">
        <f t="shared" si="42"/>
        <v>-40</v>
      </c>
      <c r="BN31" s="1">
        <f t="shared" si="43"/>
        <v>11</v>
      </c>
      <c r="BO31" s="1">
        <f t="shared" si="44"/>
        <v>-16</v>
      </c>
      <c r="BP31" s="1">
        <f t="shared" si="45"/>
        <v>39</v>
      </c>
      <c r="BQ31" s="19">
        <f t="shared" si="46"/>
        <v>4.333333333333333</v>
      </c>
      <c r="BR31" s="17">
        <f t="shared" si="47"/>
        <v>8</v>
      </c>
    </row>
    <row r="32" spans="1:70" x14ac:dyDescent="0.25">
      <c r="A32" t="s">
        <v>164</v>
      </c>
      <c r="B32">
        <v>69</v>
      </c>
      <c r="C32">
        <v>82</v>
      </c>
      <c r="D32">
        <v>107</v>
      </c>
      <c r="E32">
        <v>118</v>
      </c>
      <c r="F32">
        <v>120</v>
      </c>
      <c r="G32">
        <v>146</v>
      </c>
      <c r="H32">
        <v>149</v>
      </c>
      <c r="I32">
        <v>31</v>
      </c>
      <c r="J32">
        <v>35</v>
      </c>
      <c r="K32">
        <v>46</v>
      </c>
      <c r="L32">
        <v>45</v>
      </c>
      <c r="M32">
        <v>62</v>
      </c>
      <c r="N32">
        <v>71</v>
      </c>
      <c r="O32">
        <v>67</v>
      </c>
      <c r="P32">
        <v>38</v>
      </c>
      <c r="Q32">
        <v>47</v>
      </c>
      <c r="R32">
        <v>61</v>
      </c>
      <c r="S32">
        <v>73</v>
      </c>
      <c r="T32">
        <v>58</v>
      </c>
      <c r="U32">
        <v>75</v>
      </c>
      <c r="V32">
        <v>82</v>
      </c>
      <c r="W32" s="8">
        <f t="shared" si="0"/>
        <v>0.18840579710144928</v>
      </c>
      <c r="X32" s="8">
        <f t="shared" si="1"/>
        <v>0.3048780487804878</v>
      </c>
      <c r="Y32" s="8">
        <f t="shared" si="2"/>
        <v>0.10280373831775701</v>
      </c>
      <c r="Z32" s="8">
        <f t="shared" si="3"/>
        <v>1.6949152542372881E-2</v>
      </c>
      <c r="AA32" s="8">
        <f t="shared" si="4"/>
        <v>0.21666666666666667</v>
      </c>
      <c r="AB32" s="8">
        <f t="shared" si="5"/>
        <v>2.0547945205479451E-2</v>
      </c>
      <c r="AC32" s="12">
        <f t="shared" si="6"/>
        <v>0.14170855810236885</v>
      </c>
      <c r="AD32" s="12">
        <f t="shared" si="7"/>
        <v>0.14560476770960315</v>
      </c>
      <c r="AE32" s="1">
        <f t="shared" si="8"/>
        <v>13</v>
      </c>
      <c r="AF32" s="1">
        <f t="shared" si="9"/>
        <v>25</v>
      </c>
      <c r="AG32" s="1">
        <f t="shared" si="10"/>
        <v>11</v>
      </c>
      <c r="AH32" s="1">
        <f t="shared" si="11"/>
        <v>2</v>
      </c>
      <c r="AI32" s="1">
        <f t="shared" si="12"/>
        <v>26</v>
      </c>
      <c r="AJ32" s="1">
        <f t="shared" si="13"/>
        <v>3</v>
      </c>
      <c r="AK32" s="17">
        <f t="shared" si="14"/>
        <v>13.333333333333334</v>
      </c>
      <c r="AL32" s="17">
        <f t="shared" si="15"/>
        <v>12</v>
      </c>
      <c r="AM32" s="1">
        <f t="shared" si="16"/>
        <v>0.12903225806451613</v>
      </c>
      <c r="AN32" s="1">
        <f t="shared" si="17"/>
        <v>0.31428571428571428</v>
      </c>
      <c r="AO32" s="1">
        <f t="shared" si="18"/>
        <v>-2.1739130434782608E-2</v>
      </c>
      <c r="AP32" s="1">
        <f t="shared" si="19"/>
        <v>0.37777777777777777</v>
      </c>
      <c r="AQ32" s="1">
        <f t="shared" si="20"/>
        <v>0.14516129032258066</v>
      </c>
      <c r="AR32" s="1">
        <f t="shared" si="21"/>
        <v>-5.6338028169014086E-2</v>
      </c>
      <c r="AS32" s="12">
        <f t="shared" si="22"/>
        <v>0.14802998030779868</v>
      </c>
      <c r="AT32" s="12">
        <f t="shared" si="23"/>
        <v>0.13709677419354838</v>
      </c>
      <c r="AU32" s="1">
        <f t="shared" si="24"/>
        <v>4</v>
      </c>
      <c r="AV32" s="1">
        <f t="shared" si="25"/>
        <v>11</v>
      </c>
      <c r="AW32" s="1">
        <f t="shared" si="26"/>
        <v>-1</v>
      </c>
      <c r="AX32" s="1">
        <f t="shared" si="27"/>
        <v>17</v>
      </c>
      <c r="AY32" s="1">
        <f t="shared" si="28"/>
        <v>9</v>
      </c>
      <c r="AZ32" s="1">
        <f t="shared" si="29"/>
        <v>-4</v>
      </c>
      <c r="BA32" s="19">
        <f t="shared" si="30"/>
        <v>6</v>
      </c>
      <c r="BB32" s="19">
        <f t="shared" si="31"/>
        <v>6.5</v>
      </c>
      <c r="BC32" s="9">
        <f t="shared" si="32"/>
        <v>0.23684210526315788</v>
      </c>
      <c r="BD32" s="9">
        <f t="shared" si="33"/>
        <v>0.2978723404255319</v>
      </c>
      <c r="BE32" s="9">
        <f t="shared" si="34"/>
        <v>0.19672131147540983</v>
      </c>
      <c r="BF32" s="9">
        <f t="shared" si="35"/>
        <v>-0.20547945205479451</v>
      </c>
      <c r="BG32" s="9">
        <f t="shared" si="36"/>
        <v>0.29310344827586204</v>
      </c>
      <c r="BH32" s="9">
        <f t="shared" si="37"/>
        <v>9.3333333333333338E-2</v>
      </c>
      <c r="BI32" s="12">
        <f t="shared" si="38"/>
        <v>0.15206551445308342</v>
      </c>
      <c r="BJ32" s="13">
        <f t="shared" si="39"/>
        <v>0.21678170836928384</v>
      </c>
      <c r="BK32" s="1">
        <f t="shared" si="40"/>
        <v>9</v>
      </c>
      <c r="BL32" s="1">
        <f t="shared" si="41"/>
        <v>14</v>
      </c>
      <c r="BM32" s="1">
        <f t="shared" si="42"/>
        <v>12</v>
      </c>
      <c r="BN32" s="1">
        <f t="shared" si="43"/>
        <v>-15</v>
      </c>
      <c r="BO32" s="1">
        <f t="shared" si="44"/>
        <v>17</v>
      </c>
      <c r="BP32" s="1">
        <f t="shared" si="45"/>
        <v>7</v>
      </c>
      <c r="BQ32" s="19">
        <f t="shared" si="46"/>
        <v>7.333333333333333</v>
      </c>
      <c r="BR32" s="17">
        <f t="shared" si="47"/>
        <v>10.5</v>
      </c>
    </row>
    <row r="33" spans="1:70" x14ac:dyDescent="0.25">
      <c r="A33" t="s">
        <v>190</v>
      </c>
      <c r="B33">
        <v>43</v>
      </c>
      <c r="C33">
        <v>43</v>
      </c>
      <c r="D33">
        <v>67</v>
      </c>
      <c r="E33">
        <v>130</v>
      </c>
      <c r="F33">
        <v>144</v>
      </c>
      <c r="G33">
        <v>160</v>
      </c>
      <c r="H33">
        <v>122</v>
      </c>
      <c r="I33">
        <v>16</v>
      </c>
      <c r="J33">
        <v>19</v>
      </c>
      <c r="K33">
        <v>36</v>
      </c>
      <c r="L33">
        <v>65</v>
      </c>
      <c r="M33">
        <v>65</v>
      </c>
      <c r="N33">
        <v>92</v>
      </c>
      <c r="O33">
        <v>57</v>
      </c>
      <c r="P33">
        <v>27</v>
      </c>
      <c r="Q33">
        <v>24</v>
      </c>
      <c r="R33">
        <v>31</v>
      </c>
      <c r="S33">
        <v>65</v>
      </c>
      <c r="T33">
        <v>79</v>
      </c>
      <c r="U33">
        <v>68</v>
      </c>
      <c r="V33">
        <v>65</v>
      </c>
      <c r="W33" s="8">
        <f t="shared" si="0"/>
        <v>0</v>
      </c>
      <c r="X33" s="8">
        <f t="shared" si="1"/>
        <v>0.55813953488372092</v>
      </c>
      <c r="Y33" s="8">
        <f t="shared" si="2"/>
        <v>0.94029850746268662</v>
      </c>
      <c r="Z33" s="8">
        <f t="shared" si="3"/>
        <v>0.1076923076923077</v>
      </c>
      <c r="AA33" s="8">
        <f t="shared" si="4"/>
        <v>0.1111111111111111</v>
      </c>
      <c r="AB33" s="8">
        <f t="shared" si="5"/>
        <v>-0.23749999999999999</v>
      </c>
      <c r="AC33" s="12">
        <f t="shared" si="6"/>
        <v>0.24662357685830438</v>
      </c>
      <c r="AD33" s="12">
        <f t="shared" si="7"/>
        <v>0.1094017094017094</v>
      </c>
      <c r="AE33" s="1">
        <f t="shared" si="8"/>
        <v>0</v>
      </c>
      <c r="AF33" s="1">
        <f t="shared" si="9"/>
        <v>24</v>
      </c>
      <c r="AG33" s="1">
        <f t="shared" si="10"/>
        <v>63</v>
      </c>
      <c r="AH33" s="1">
        <f t="shared" si="11"/>
        <v>14</v>
      </c>
      <c r="AI33" s="1">
        <f t="shared" si="12"/>
        <v>16</v>
      </c>
      <c r="AJ33" s="1">
        <f t="shared" si="13"/>
        <v>-38</v>
      </c>
      <c r="AK33" s="17">
        <f t="shared" si="14"/>
        <v>13.166666666666666</v>
      </c>
      <c r="AL33" s="17">
        <f t="shared" si="15"/>
        <v>15</v>
      </c>
      <c r="AM33" s="1">
        <f t="shared" si="16"/>
        <v>0.1875</v>
      </c>
      <c r="AN33" s="1">
        <f t="shared" si="17"/>
        <v>0.89473684210526316</v>
      </c>
      <c r="AO33" s="1">
        <f t="shared" si="18"/>
        <v>0.80555555555555558</v>
      </c>
      <c r="AP33" s="1">
        <f t="shared" si="19"/>
        <v>0</v>
      </c>
      <c r="AQ33" s="1">
        <f t="shared" si="20"/>
        <v>0.41538461538461541</v>
      </c>
      <c r="AR33" s="1">
        <f t="shared" si="21"/>
        <v>-0.38043478260869568</v>
      </c>
      <c r="AS33" s="12">
        <f t="shared" si="22"/>
        <v>0.32045703840612311</v>
      </c>
      <c r="AT33" s="12">
        <f t="shared" si="23"/>
        <v>0.30144230769230773</v>
      </c>
      <c r="AU33" s="1">
        <f t="shared" si="24"/>
        <v>3</v>
      </c>
      <c r="AV33" s="1">
        <f t="shared" si="25"/>
        <v>17</v>
      </c>
      <c r="AW33" s="1">
        <f t="shared" si="26"/>
        <v>29</v>
      </c>
      <c r="AX33" s="1">
        <f t="shared" si="27"/>
        <v>0</v>
      </c>
      <c r="AY33" s="1">
        <f t="shared" si="28"/>
        <v>27</v>
      </c>
      <c r="AZ33" s="1">
        <f t="shared" si="29"/>
        <v>-35</v>
      </c>
      <c r="BA33" s="19">
        <f t="shared" si="30"/>
        <v>6.833333333333333</v>
      </c>
      <c r="BB33" s="19">
        <f t="shared" si="31"/>
        <v>10</v>
      </c>
      <c r="BC33" s="9">
        <f t="shared" si="32"/>
        <v>-0.1111111111111111</v>
      </c>
      <c r="BD33" s="9">
        <f t="shared" si="33"/>
        <v>0.29166666666666669</v>
      </c>
      <c r="BE33" s="9">
        <f t="shared" si="34"/>
        <v>1.096774193548387</v>
      </c>
      <c r="BF33" s="9">
        <f t="shared" si="35"/>
        <v>0.2153846153846154</v>
      </c>
      <c r="BG33" s="9">
        <f t="shared" si="36"/>
        <v>-0.13924050632911392</v>
      </c>
      <c r="BH33" s="9">
        <f t="shared" si="37"/>
        <v>-4.4117647058823532E-2</v>
      </c>
      <c r="BI33" s="12">
        <f t="shared" si="38"/>
        <v>0.21822603518343672</v>
      </c>
      <c r="BJ33" s="13">
        <f t="shared" si="39"/>
        <v>8.5633484162895929E-2</v>
      </c>
      <c r="BK33" s="1">
        <f t="shared" si="40"/>
        <v>-3</v>
      </c>
      <c r="BL33" s="1">
        <f t="shared" si="41"/>
        <v>7</v>
      </c>
      <c r="BM33" s="1">
        <f t="shared" si="42"/>
        <v>34</v>
      </c>
      <c r="BN33" s="1">
        <f t="shared" si="43"/>
        <v>14</v>
      </c>
      <c r="BO33" s="1">
        <f t="shared" si="44"/>
        <v>-11</v>
      </c>
      <c r="BP33" s="1">
        <f t="shared" si="45"/>
        <v>-3</v>
      </c>
      <c r="BQ33" s="19">
        <f t="shared" si="46"/>
        <v>6.333333333333333</v>
      </c>
      <c r="BR33" s="17">
        <f t="shared" si="47"/>
        <v>2</v>
      </c>
    </row>
    <row r="34" spans="1:70" x14ac:dyDescent="0.25">
      <c r="A34" t="s">
        <v>66</v>
      </c>
      <c r="B34">
        <v>1758</v>
      </c>
      <c r="C34">
        <v>1768</v>
      </c>
      <c r="D34">
        <v>1738</v>
      </c>
      <c r="E34">
        <v>1609</v>
      </c>
      <c r="F34">
        <v>1777</v>
      </c>
      <c r="G34">
        <v>1962</v>
      </c>
      <c r="H34">
        <v>1828</v>
      </c>
      <c r="I34">
        <v>983</v>
      </c>
      <c r="J34">
        <v>995</v>
      </c>
      <c r="K34">
        <v>985</v>
      </c>
      <c r="L34">
        <v>950</v>
      </c>
      <c r="M34">
        <v>973</v>
      </c>
      <c r="N34">
        <v>1089</v>
      </c>
      <c r="O34">
        <v>1006</v>
      </c>
      <c r="P34">
        <v>775</v>
      </c>
      <c r="Q34">
        <v>773</v>
      </c>
      <c r="R34">
        <v>753</v>
      </c>
      <c r="S34">
        <v>659</v>
      </c>
      <c r="T34">
        <v>804</v>
      </c>
      <c r="U34">
        <v>873</v>
      </c>
      <c r="V34">
        <v>822</v>
      </c>
      <c r="W34" s="8">
        <f t="shared" si="0"/>
        <v>5.6882821387940841E-3</v>
      </c>
      <c r="X34" s="8">
        <f t="shared" si="1"/>
        <v>-1.6968325791855202E-2</v>
      </c>
      <c r="Y34" s="8">
        <f t="shared" si="2"/>
        <v>-7.4223245109321059E-2</v>
      </c>
      <c r="Z34" s="8">
        <f t="shared" si="3"/>
        <v>0.10441267868241144</v>
      </c>
      <c r="AA34" s="8">
        <f t="shared" si="4"/>
        <v>0.10410804727068092</v>
      </c>
      <c r="AB34" s="8">
        <f t="shared" si="5"/>
        <v>-6.8297655453618752E-2</v>
      </c>
      <c r="AC34" s="12">
        <f t="shared" si="6"/>
        <v>9.1199636228485714E-3</v>
      </c>
      <c r="AD34" s="12">
        <f t="shared" si="7"/>
        <v>-5.6400218265305595E-3</v>
      </c>
      <c r="AE34" s="1">
        <f t="shared" si="8"/>
        <v>10</v>
      </c>
      <c r="AF34" s="1">
        <f t="shared" si="9"/>
        <v>-30</v>
      </c>
      <c r="AG34" s="1">
        <f t="shared" si="10"/>
        <v>-129</v>
      </c>
      <c r="AH34" s="1">
        <f t="shared" si="11"/>
        <v>168</v>
      </c>
      <c r="AI34" s="1">
        <f t="shared" si="12"/>
        <v>185</v>
      </c>
      <c r="AJ34" s="1">
        <f t="shared" si="13"/>
        <v>-134</v>
      </c>
      <c r="AK34" s="17">
        <f t="shared" si="14"/>
        <v>11.666666666666666</v>
      </c>
      <c r="AL34" s="17">
        <f t="shared" si="15"/>
        <v>-10</v>
      </c>
      <c r="AM34" s="1">
        <f t="shared" si="16"/>
        <v>1.2207527975584944E-2</v>
      </c>
      <c r="AN34" s="1">
        <f t="shared" si="17"/>
        <v>-1.0050251256281407E-2</v>
      </c>
      <c r="AO34" s="1">
        <f t="shared" si="18"/>
        <v>-3.553299492385787E-2</v>
      </c>
      <c r="AP34" s="1">
        <f t="shared" si="19"/>
        <v>2.4210526315789474E-2</v>
      </c>
      <c r="AQ34" s="1">
        <f t="shared" si="20"/>
        <v>0.11921891058581706</v>
      </c>
      <c r="AR34" s="1">
        <f t="shared" si="21"/>
        <v>-7.6216712580348941E-2</v>
      </c>
      <c r="AS34" s="12">
        <f t="shared" si="22"/>
        <v>5.6395010194505435E-3</v>
      </c>
      <c r="AT34" s="12">
        <f t="shared" si="23"/>
        <v>1.0786383596517683E-3</v>
      </c>
      <c r="AU34" s="1">
        <f t="shared" si="24"/>
        <v>12</v>
      </c>
      <c r="AV34" s="1">
        <f t="shared" si="25"/>
        <v>-10</v>
      </c>
      <c r="AW34" s="1">
        <f t="shared" si="26"/>
        <v>-35</v>
      </c>
      <c r="AX34" s="1">
        <f t="shared" si="27"/>
        <v>23</v>
      </c>
      <c r="AY34" s="1">
        <f t="shared" si="28"/>
        <v>116</v>
      </c>
      <c r="AZ34" s="1">
        <f t="shared" si="29"/>
        <v>-83</v>
      </c>
      <c r="BA34" s="19">
        <f t="shared" si="30"/>
        <v>3.8333333333333335</v>
      </c>
      <c r="BB34" s="19">
        <f t="shared" si="31"/>
        <v>1</v>
      </c>
      <c r="BC34" s="9">
        <f t="shared" si="32"/>
        <v>-2.5806451612903226E-3</v>
      </c>
      <c r="BD34" s="9">
        <f t="shared" si="33"/>
        <v>-2.5873221216041398E-2</v>
      </c>
      <c r="BE34" s="9">
        <f t="shared" si="34"/>
        <v>-0.1248339973439575</v>
      </c>
      <c r="BF34" s="9">
        <f t="shared" si="35"/>
        <v>0.22003034901365706</v>
      </c>
      <c r="BG34" s="9">
        <f t="shared" si="36"/>
        <v>8.5820895522388058E-2</v>
      </c>
      <c r="BH34" s="9">
        <f t="shared" si="37"/>
        <v>-5.8419243986254296E-2</v>
      </c>
      <c r="BI34" s="12">
        <f t="shared" si="38"/>
        <v>1.5690689471416934E-2</v>
      </c>
      <c r="BJ34" s="13">
        <f t="shared" si="39"/>
        <v>-1.4226933188665861E-2</v>
      </c>
      <c r="BK34" s="1">
        <f t="shared" si="40"/>
        <v>-2</v>
      </c>
      <c r="BL34" s="1">
        <f t="shared" si="41"/>
        <v>-20</v>
      </c>
      <c r="BM34" s="1">
        <f t="shared" si="42"/>
        <v>-94</v>
      </c>
      <c r="BN34" s="1">
        <f t="shared" si="43"/>
        <v>145</v>
      </c>
      <c r="BO34" s="1">
        <f t="shared" si="44"/>
        <v>69</v>
      </c>
      <c r="BP34" s="1">
        <f t="shared" si="45"/>
        <v>-51</v>
      </c>
      <c r="BQ34" s="19">
        <f t="shared" si="46"/>
        <v>7.833333333333333</v>
      </c>
      <c r="BR34" s="17">
        <f t="shared" si="47"/>
        <v>-11</v>
      </c>
    </row>
    <row r="35" spans="1:70" x14ac:dyDescent="0.25">
      <c r="A35" t="s">
        <v>159</v>
      </c>
      <c r="B35">
        <v>73</v>
      </c>
      <c r="C35">
        <v>88</v>
      </c>
      <c r="D35">
        <v>83</v>
      </c>
      <c r="E35">
        <v>115</v>
      </c>
      <c r="F35">
        <v>98</v>
      </c>
      <c r="G35">
        <v>95</v>
      </c>
      <c r="H35">
        <v>142</v>
      </c>
      <c r="I35">
        <v>41</v>
      </c>
      <c r="J35">
        <v>50</v>
      </c>
      <c r="K35">
        <v>39</v>
      </c>
      <c r="L35">
        <v>51</v>
      </c>
      <c r="M35">
        <v>65</v>
      </c>
      <c r="N35">
        <v>57</v>
      </c>
      <c r="O35">
        <v>79</v>
      </c>
      <c r="P35">
        <v>32</v>
      </c>
      <c r="Q35">
        <v>38</v>
      </c>
      <c r="R35">
        <v>44</v>
      </c>
      <c r="S35">
        <v>64</v>
      </c>
      <c r="T35">
        <v>33</v>
      </c>
      <c r="U35">
        <v>38</v>
      </c>
      <c r="V35">
        <v>63</v>
      </c>
      <c r="W35" s="8">
        <f t="shared" si="0"/>
        <v>0.20547945205479451</v>
      </c>
      <c r="X35" s="8">
        <f t="shared" si="1"/>
        <v>-5.6818181818181816E-2</v>
      </c>
      <c r="Y35" s="8">
        <f t="shared" si="2"/>
        <v>0.38554216867469882</v>
      </c>
      <c r="Z35" s="8">
        <f t="shared" si="3"/>
        <v>-0.14782608695652175</v>
      </c>
      <c r="AA35" s="8">
        <f t="shared" si="4"/>
        <v>-3.0612244897959183E-2</v>
      </c>
      <c r="AB35" s="8">
        <f t="shared" si="5"/>
        <v>0.49473684210526314</v>
      </c>
      <c r="AC35" s="12">
        <f t="shared" si="6"/>
        <v>0.14175032486034897</v>
      </c>
      <c r="AD35" s="12">
        <f t="shared" si="7"/>
        <v>8.7433603578417673E-2</v>
      </c>
      <c r="AE35" s="1">
        <f t="shared" si="8"/>
        <v>15</v>
      </c>
      <c r="AF35" s="1">
        <f t="shared" si="9"/>
        <v>-5</v>
      </c>
      <c r="AG35" s="1">
        <f t="shared" si="10"/>
        <v>32</v>
      </c>
      <c r="AH35" s="1">
        <f t="shared" si="11"/>
        <v>-17</v>
      </c>
      <c r="AI35" s="1">
        <f t="shared" si="12"/>
        <v>-3</v>
      </c>
      <c r="AJ35" s="1">
        <f t="shared" si="13"/>
        <v>47</v>
      </c>
      <c r="AK35" s="17">
        <f t="shared" si="14"/>
        <v>11.5</v>
      </c>
      <c r="AL35" s="17">
        <f t="shared" si="15"/>
        <v>6</v>
      </c>
      <c r="AM35" s="1">
        <f t="shared" si="16"/>
        <v>0.21951219512195122</v>
      </c>
      <c r="AN35" s="1">
        <f t="shared" si="17"/>
        <v>-0.22</v>
      </c>
      <c r="AO35" s="1">
        <f t="shared" si="18"/>
        <v>0.30769230769230771</v>
      </c>
      <c r="AP35" s="1">
        <f t="shared" si="19"/>
        <v>0.27450980392156865</v>
      </c>
      <c r="AQ35" s="1">
        <f t="shared" si="20"/>
        <v>-0.12307692307692308</v>
      </c>
      <c r="AR35" s="1">
        <f t="shared" si="21"/>
        <v>0.38596491228070173</v>
      </c>
      <c r="AS35" s="12">
        <f t="shared" si="22"/>
        <v>0.1407670493232677</v>
      </c>
      <c r="AT35" s="12">
        <f t="shared" si="23"/>
        <v>0.24701099952175992</v>
      </c>
      <c r="AU35" s="1">
        <f t="shared" si="24"/>
        <v>9</v>
      </c>
      <c r="AV35" s="1">
        <f t="shared" si="25"/>
        <v>-11</v>
      </c>
      <c r="AW35" s="1">
        <f t="shared" si="26"/>
        <v>12</v>
      </c>
      <c r="AX35" s="1">
        <f t="shared" si="27"/>
        <v>14</v>
      </c>
      <c r="AY35" s="1">
        <f t="shared" si="28"/>
        <v>-8</v>
      </c>
      <c r="AZ35" s="1">
        <f t="shared" si="29"/>
        <v>22</v>
      </c>
      <c r="BA35" s="19">
        <f t="shared" si="30"/>
        <v>6.333333333333333</v>
      </c>
      <c r="BB35" s="19">
        <f t="shared" si="31"/>
        <v>10.5</v>
      </c>
      <c r="BC35" s="9">
        <f t="shared" si="32"/>
        <v>0.1875</v>
      </c>
      <c r="BD35" s="9">
        <f t="shared" si="33"/>
        <v>0.15789473684210525</v>
      </c>
      <c r="BE35" s="9">
        <f t="shared" si="34"/>
        <v>0.45454545454545453</v>
      </c>
      <c r="BF35" s="9">
        <f t="shared" si="35"/>
        <v>-0.484375</v>
      </c>
      <c r="BG35" s="9">
        <f t="shared" si="36"/>
        <v>0.15151515151515152</v>
      </c>
      <c r="BH35" s="9">
        <f t="shared" si="37"/>
        <v>0.65789473684210531</v>
      </c>
      <c r="BI35" s="12">
        <f t="shared" si="38"/>
        <v>0.1874958466241361</v>
      </c>
      <c r="BJ35" s="13">
        <f t="shared" si="39"/>
        <v>0.17269736842105263</v>
      </c>
      <c r="BK35" s="1">
        <f t="shared" si="40"/>
        <v>6</v>
      </c>
      <c r="BL35" s="1">
        <f t="shared" si="41"/>
        <v>6</v>
      </c>
      <c r="BM35" s="1">
        <f t="shared" si="42"/>
        <v>20</v>
      </c>
      <c r="BN35" s="1">
        <f t="shared" si="43"/>
        <v>-31</v>
      </c>
      <c r="BO35" s="1">
        <f t="shared" si="44"/>
        <v>5</v>
      </c>
      <c r="BP35" s="1">
        <f t="shared" si="45"/>
        <v>25</v>
      </c>
      <c r="BQ35" s="19">
        <f t="shared" si="46"/>
        <v>5.166666666666667</v>
      </c>
      <c r="BR35" s="17">
        <f t="shared" si="47"/>
        <v>6</v>
      </c>
    </row>
    <row r="36" spans="1:70" x14ac:dyDescent="0.25">
      <c r="A36" t="s">
        <v>131</v>
      </c>
      <c r="B36">
        <v>129</v>
      </c>
      <c r="C36">
        <v>155</v>
      </c>
      <c r="D36">
        <v>196</v>
      </c>
      <c r="E36">
        <v>223</v>
      </c>
      <c r="F36">
        <v>224</v>
      </c>
      <c r="G36">
        <v>251</v>
      </c>
      <c r="H36">
        <v>197</v>
      </c>
      <c r="I36">
        <v>75</v>
      </c>
      <c r="J36">
        <v>79</v>
      </c>
      <c r="K36">
        <v>85</v>
      </c>
      <c r="L36">
        <v>113</v>
      </c>
      <c r="M36">
        <v>118</v>
      </c>
      <c r="N36">
        <v>117</v>
      </c>
      <c r="O36">
        <v>102</v>
      </c>
      <c r="P36">
        <v>54</v>
      </c>
      <c r="Q36">
        <v>76</v>
      </c>
      <c r="R36">
        <v>111</v>
      </c>
      <c r="S36">
        <v>110</v>
      </c>
      <c r="T36">
        <v>106</v>
      </c>
      <c r="U36">
        <v>134</v>
      </c>
      <c r="V36">
        <v>95</v>
      </c>
      <c r="W36" s="8">
        <f t="shared" si="0"/>
        <v>0.20155038759689922</v>
      </c>
      <c r="X36" s="8">
        <f t="shared" si="1"/>
        <v>0.26451612903225807</v>
      </c>
      <c r="Y36" s="8">
        <f t="shared" si="2"/>
        <v>0.13775510204081631</v>
      </c>
      <c r="Z36" s="8">
        <f t="shared" si="3"/>
        <v>4.4843049327354259E-3</v>
      </c>
      <c r="AA36" s="8">
        <f t="shared" si="4"/>
        <v>0.12053571428571429</v>
      </c>
      <c r="AB36" s="8">
        <f t="shared" si="5"/>
        <v>-0.2151394422310757</v>
      </c>
      <c r="AC36" s="12">
        <f t="shared" si="6"/>
        <v>8.5617032609557941E-2</v>
      </c>
      <c r="AD36" s="12">
        <f t="shared" si="7"/>
        <v>0.12914540816326531</v>
      </c>
      <c r="AE36" s="1">
        <f t="shared" si="8"/>
        <v>26</v>
      </c>
      <c r="AF36" s="1">
        <f t="shared" si="9"/>
        <v>41</v>
      </c>
      <c r="AG36" s="1">
        <f t="shared" si="10"/>
        <v>27</v>
      </c>
      <c r="AH36" s="1">
        <f t="shared" si="11"/>
        <v>1</v>
      </c>
      <c r="AI36" s="1">
        <f t="shared" si="12"/>
        <v>27</v>
      </c>
      <c r="AJ36" s="1">
        <f t="shared" si="13"/>
        <v>-54</v>
      </c>
      <c r="AK36" s="17">
        <f t="shared" si="14"/>
        <v>11.333333333333334</v>
      </c>
      <c r="AL36" s="17">
        <f t="shared" si="15"/>
        <v>26.5</v>
      </c>
      <c r="AM36" s="1">
        <f t="shared" si="16"/>
        <v>5.3333333333333337E-2</v>
      </c>
      <c r="AN36" s="1">
        <f t="shared" si="17"/>
        <v>7.5949367088607597E-2</v>
      </c>
      <c r="AO36" s="1">
        <f t="shared" si="18"/>
        <v>0.32941176470588235</v>
      </c>
      <c r="AP36" s="1">
        <f t="shared" si="19"/>
        <v>4.4247787610619468E-2</v>
      </c>
      <c r="AQ36" s="1">
        <f t="shared" si="20"/>
        <v>-8.4745762711864406E-3</v>
      </c>
      <c r="AR36" s="1">
        <f t="shared" si="21"/>
        <v>-0.12820512820512819</v>
      </c>
      <c r="AS36" s="12">
        <f t="shared" si="22"/>
        <v>6.1043758043688022E-2</v>
      </c>
      <c r="AT36" s="12">
        <f t="shared" si="23"/>
        <v>4.8790560471976399E-2</v>
      </c>
      <c r="AU36" s="1">
        <f t="shared" si="24"/>
        <v>4</v>
      </c>
      <c r="AV36" s="1">
        <f t="shared" si="25"/>
        <v>6</v>
      </c>
      <c r="AW36" s="1">
        <f t="shared" si="26"/>
        <v>28</v>
      </c>
      <c r="AX36" s="1">
        <f t="shared" si="27"/>
        <v>5</v>
      </c>
      <c r="AY36" s="1">
        <f t="shared" si="28"/>
        <v>-1</v>
      </c>
      <c r="AZ36" s="1">
        <f t="shared" si="29"/>
        <v>-15</v>
      </c>
      <c r="BA36" s="19">
        <f t="shared" si="30"/>
        <v>4.5</v>
      </c>
      <c r="BB36" s="19">
        <f t="shared" si="31"/>
        <v>4.5</v>
      </c>
      <c r="BC36" s="9">
        <f t="shared" si="32"/>
        <v>0.40740740740740738</v>
      </c>
      <c r="BD36" s="9">
        <f t="shared" si="33"/>
        <v>0.46052631578947367</v>
      </c>
      <c r="BE36" s="9">
        <f t="shared" si="34"/>
        <v>-9.0090090090090089E-3</v>
      </c>
      <c r="BF36" s="9">
        <f t="shared" si="35"/>
        <v>-3.6363636363636362E-2</v>
      </c>
      <c r="BG36" s="9">
        <f t="shared" si="36"/>
        <v>0.26415094339622641</v>
      </c>
      <c r="BH36" s="9">
        <f t="shared" si="37"/>
        <v>-0.29104477611940299</v>
      </c>
      <c r="BI36" s="12">
        <f t="shared" si="38"/>
        <v>0.13261120751684319</v>
      </c>
      <c r="BJ36" s="13">
        <f t="shared" si="39"/>
        <v>0.12757096719360872</v>
      </c>
      <c r="BK36" s="1">
        <f t="shared" si="40"/>
        <v>22</v>
      </c>
      <c r="BL36" s="1">
        <f t="shared" si="41"/>
        <v>35</v>
      </c>
      <c r="BM36" s="1">
        <f t="shared" si="42"/>
        <v>-1</v>
      </c>
      <c r="BN36" s="1">
        <f t="shared" si="43"/>
        <v>-4</v>
      </c>
      <c r="BO36" s="1">
        <f t="shared" si="44"/>
        <v>28</v>
      </c>
      <c r="BP36" s="1">
        <f t="shared" si="45"/>
        <v>-39</v>
      </c>
      <c r="BQ36" s="19">
        <f t="shared" si="46"/>
        <v>6.833333333333333</v>
      </c>
      <c r="BR36" s="17">
        <f t="shared" si="47"/>
        <v>10.5</v>
      </c>
    </row>
    <row r="37" spans="1:70" x14ac:dyDescent="0.25">
      <c r="A37" t="s">
        <v>123</v>
      </c>
      <c r="B37">
        <v>148</v>
      </c>
      <c r="C37">
        <v>175</v>
      </c>
      <c r="D37">
        <v>203</v>
      </c>
      <c r="E37">
        <v>241</v>
      </c>
      <c r="F37">
        <v>222</v>
      </c>
      <c r="G37">
        <v>202</v>
      </c>
      <c r="H37">
        <v>214</v>
      </c>
      <c r="I37">
        <v>71</v>
      </c>
      <c r="J37">
        <v>95</v>
      </c>
      <c r="K37">
        <v>106</v>
      </c>
      <c r="L37">
        <v>129</v>
      </c>
      <c r="M37">
        <v>126</v>
      </c>
      <c r="N37">
        <v>94</v>
      </c>
      <c r="O37">
        <v>98</v>
      </c>
      <c r="P37">
        <v>77</v>
      </c>
      <c r="Q37">
        <v>80</v>
      </c>
      <c r="R37">
        <v>97</v>
      </c>
      <c r="S37">
        <v>112</v>
      </c>
      <c r="T37">
        <v>96</v>
      </c>
      <c r="U37">
        <v>108</v>
      </c>
      <c r="V37">
        <v>116</v>
      </c>
      <c r="W37" s="8">
        <f t="shared" si="0"/>
        <v>0.18243243243243243</v>
      </c>
      <c r="X37" s="8">
        <f t="shared" si="1"/>
        <v>0.16</v>
      </c>
      <c r="Y37" s="8">
        <f t="shared" si="2"/>
        <v>0.18719211822660098</v>
      </c>
      <c r="Z37" s="8">
        <f t="shared" si="3"/>
        <v>-7.8838174273858919E-2</v>
      </c>
      <c r="AA37" s="8">
        <f t="shared" si="4"/>
        <v>-9.0090090090090086E-2</v>
      </c>
      <c r="AB37" s="8">
        <f t="shared" si="5"/>
        <v>5.9405940594059403E-2</v>
      </c>
      <c r="AC37" s="12">
        <f t="shared" si="6"/>
        <v>7.0017037814857283E-2</v>
      </c>
      <c r="AD37" s="12">
        <f t="shared" si="7"/>
        <v>0.1097029702970297</v>
      </c>
      <c r="AE37" s="1">
        <f t="shared" si="8"/>
        <v>27</v>
      </c>
      <c r="AF37" s="1">
        <f t="shared" si="9"/>
        <v>28</v>
      </c>
      <c r="AG37" s="1">
        <f t="shared" si="10"/>
        <v>38</v>
      </c>
      <c r="AH37" s="1">
        <f t="shared" si="11"/>
        <v>-19</v>
      </c>
      <c r="AI37" s="1">
        <f t="shared" si="12"/>
        <v>-20</v>
      </c>
      <c r="AJ37" s="1">
        <f t="shared" si="13"/>
        <v>12</v>
      </c>
      <c r="AK37" s="17">
        <f t="shared" si="14"/>
        <v>11</v>
      </c>
      <c r="AL37" s="17">
        <f t="shared" si="15"/>
        <v>19.5</v>
      </c>
      <c r="AM37" s="1">
        <f t="shared" si="16"/>
        <v>0.3380281690140845</v>
      </c>
      <c r="AN37" s="1">
        <f t="shared" si="17"/>
        <v>0.11578947368421053</v>
      </c>
      <c r="AO37" s="1">
        <f t="shared" si="18"/>
        <v>0.21698113207547171</v>
      </c>
      <c r="AP37" s="1">
        <f t="shared" si="19"/>
        <v>-2.3255813953488372E-2</v>
      </c>
      <c r="AQ37" s="1">
        <f t="shared" si="20"/>
        <v>-0.25396825396825395</v>
      </c>
      <c r="AR37" s="1">
        <f t="shared" si="21"/>
        <v>4.2553191489361701E-2</v>
      </c>
      <c r="AS37" s="12">
        <f t="shared" si="22"/>
        <v>7.2687983056897679E-2</v>
      </c>
      <c r="AT37" s="12">
        <f t="shared" si="23"/>
        <v>7.9171332586786103E-2</v>
      </c>
      <c r="AU37" s="1">
        <f t="shared" si="24"/>
        <v>24</v>
      </c>
      <c r="AV37" s="1">
        <f t="shared" si="25"/>
        <v>11</v>
      </c>
      <c r="AW37" s="1">
        <f t="shared" si="26"/>
        <v>23</v>
      </c>
      <c r="AX37" s="1">
        <f t="shared" si="27"/>
        <v>-3</v>
      </c>
      <c r="AY37" s="1">
        <f t="shared" si="28"/>
        <v>-32</v>
      </c>
      <c r="AZ37" s="1">
        <f t="shared" si="29"/>
        <v>4</v>
      </c>
      <c r="BA37" s="19">
        <f t="shared" si="30"/>
        <v>4.5</v>
      </c>
      <c r="BB37" s="19">
        <f t="shared" si="31"/>
        <v>7.5</v>
      </c>
      <c r="BC37" s="9">
        <f t="shared" si="32"/>
        <v>3.896103896103896E-2</v>
      </c>
      <c r="BD37" s="9">
        <f t="shared" si="33"/>
        <v>0.21249999999999999</v>
      </c>
      <c r="BE37" s="9">
        <f t="shared" si="34"/>
        <v>0.15463917525773196</v>
      </c>
      <c r="BF37" s="9">
        <f t="shared" si="35"/>
        <v>-0.14285714285714285</v>
      </c>
      <c r="BG37" s="9">
        <f t="shared" si="36"/>
        <v>0.125</v>
      </c>
      <c r="BH37" s="9">
        <f t="shared" si="37"/>
        <v>7.407407407407407E-2</v>
      </c>
      <c r="BI37" s="12">
        <f t="shared" si="38"/>
        <v>7.7052857572617026E-2</v>
      </c>
      <c r="BJ37" s="13">
        <f t="shared" si="39"/>
        <v>9.9537037037037035E-2</v>
      </c>
      <c r="BK37" s="1">
        <f t="shared" si="40"/>
        <v>3</v>
      </c>
      <c r="BL37" s="1">
        <f t="shared" si="41"/>
        <v>17</v>
      </c>
      <c r="BM37" s="1">
        <f t="shared" si="42"/>
        <v>15</v>
      </c>
      <c r="BN37" s="1">
        <f t="shared" si="43"/>
        <v>-16</v>
      </c>
      <c r="BO37" s="1">
        <f t="shared" si="44"/>
        <v>12</v>
      </c>
      <c r="BP37" s="1">
        <f t="shared" si="45"/>
        <v>8</v>
      </c>
      <c r="BQ37" s="19">
        <f t="shared" si="46"/>
        <v>6.5</v>
      </c>
      <c r="BR37" s="17">
        <f t="shared" si="47"/>
        <v>10</v>
      </c>
    </row>
    <row r="38" spans="1:70" x14ac:dyDescent="0.25">
      <c r="A38" t="s">
        <v>107</v>
      </c>
      <c r="B38">
        <v>215</v>
      </c>
      <c r="C38">
        <v>258</v>
      </c>
      <c r="D38">
        <v>235</v>
      </c>
      <c r="E38">
        <v>268</v>
      </c>
      <c r="F38">
        <v>295</v>
      </c>
      <c r="G38">
        <v>281</v>
      </c>
      <c r="H38">
        <v>280</v>
      </c>
      <c r="I38">
        <v>133</v>
      </c>
      <c r="J38">
        <v>154</v>
      </c>
      <c r="K38">
        <v>144</v>
      </c>
      <c r="L38">
        <v>157</v>
      </c>
      <c r="M38">
        <v>165</v>
      </c>
      <c r="N38">
        <v>154</v>
      </c>
      <c r="O38">
        <v>157</v>
      </c>
      <c r="P38">
        <v>82</v>
      </c>
      <c r="Q38">
        <v>104</v>
      </c>
      <c r="R38">
        <v>91</v>
      </c>
      <c r="S38">
        <v>111</v>
      </c>
      <c r="T38">
        <v>130</v>
      </c>
      <c r="U38">
        <v>127</v>
      </c>
      <c r="V38">
        <v>123</v>
      </c>
      <c r="W38" s="8">
        <f t="shared" si="0"/>
        <v>0.2</v>
      </c>
      <c r="X38" s="8">
        <f t="shared" si="1"/>
        <v>-8.9147286821705432E-2</v>
      </c>
      <c r="Y38" s="8">
        <f t="shared" si="2"/>
        <v>0.14042553191489363</v>
      </c>
      <c r="Z38" s="8">
        <f t="shared" si="3"/>
        <v>0.10074626865671642</v>
      </c>
      <c r="AA38" s="8">
        <f t="shared" si="4"/>
        <v>-4.7457627118644069E-2</v>
      </c>
      <c r="AB38" s="8">
        <f t="shared" si="5"/>
        <v>-3.5587188612099642E-3</v>
      </c>
      <c r="AC38" s="12">
        <f t="shared" si="6"/>
        <v>5.0168027961675098E-2</v>
      </c>
      <c r="AD38" s="12">
        <f t="shared" si="7"/>
        <v>4.8593774897753225E-2</v>
      </c>
      <c r="AE38" s="1">
        <f t="shared" si="8"/>
        <v>43</v>
      </c>
      <c r="AF38" s="1">
        <f t="shared" si="9"/>
        <v>-23</v>
      </c>
      <c r="AG38" s="1">
        <f t="shared" si="10"/>
        <v>33</v>
      </c>
      <c r="AH38" s="1">
        <f t="shared" si="11"/>
        <v>27</v>
      </c>
      <c r="AI38" s="1">
        <f t="shared" si="12"/>
        <v>-14</v>
      </c>
      <c r="AJ38" s="1">
        <f t="shared" si="13"/>
        <v>-1</v>
      </c>
      <c r="AK38" s="17">
        <f t="shared" si="14"/>
        <v>10.833333333333334</v>
      </c>
      <c r="AL38" s="17">
        <f t="shared" si="15"/>
        <v>13</v>
      </c>
      <c r="AM38" s="1">
        <f t="shared" si="16"/>
        <v>0.15789473684210525</v>
      </c>
      <c r="AN38" s="1">
        <f t="shared" si="17"/>
        <v>-6.4935064935064929E-2</v>
      </c>
      <c r="AO38" s="1">
        <f t="shared" si="18"/>
        <v>9.0277777777777776E-2</v>
      </c>
      <c r="AP38" s="1">
        <f t="shared" si="19"/>
        <v>5.0955414012738856E-2</v>
      </c>
      <c r="AQ38" s="1">
        <f t="shared" si="20"/>
        <v>-6.6666666666666666E-2</v>
      </c>
      <c r="AR38" s="1">
        <f t="shared" si="21"/>
        <v>1.948051948051948E-2</v>
      </c>
      <c r="AS38" s="12">
        <f t="shared" si="22"/>
        <v>3.1167786085234961E-2</v>
      </c>
      <c r="AT38" s="12">
        <f t="shared" si="23"/>
        <v>3.5217966746629165E-2</v>
      </c>
      <c r="AU38" s="1">
        <f t="shared" si="24"/>
        <v>21</v>
      </c>
      <c r="AV38" s="1">
        <f t="shared" si="25"/>
        <v>-10</v>
      </c>
      <c r="AW38" s="1">
        <f t="shared" si="26"/>
        <v>13</v>
      </c>
      <c r="AX38" s="1">
        <f t="shared" si="27"/>
        <v>8</v>
      </c>
      <c r="AY38" s="1">
        <f t="shared" si="28"/>
        <v>-11</v>
      </c>
      <c r="AZ38" s="1">
        <f t="shared" si="29"/>
        <v>3</v>
      </c>
      <c r="BA38" s="19">
        <f t="shared" si="30"/>
        <v>4</v>
      </c>
      <c r="BB38" s="19">
        <f t="shared" si="31"/>
        <v>5.5</v>
      </c>
      <c r="BC38" s="9">
        <f t="shared" si="32"/>
        <v>0.26829268292682928</v>
      </c>
      <c r="BD38" s="9">
        <f t="shared" si="33"/>
        <v>-0.125</v>
      </c>
      <c r="BE38" s="9">
        <f t="shared" si="34"/>
        <v>0.21978021978021978</v>
      </c>
      <c r="BF38" s="9">
        <f t="shared" si="35"/>
        <v>0.17117117117117117</v>
      </c>
      <c r="BG38" s="9">
        <f t="shared" si="36"/>
        <v>-2.3076923076923078E-2</v>
      </c>
      <c r="BH38" s="9">
        <f t="shared" si="37"/>
        <v>-3.1496062992125984E-2</v>
      </c>
      <c r="BI38" s="12">
        <f t="shared" si="38"/>
        <v>7.9945181301528528E-2</v>
      </c>
      <c r="BJ38" s="13">
        <f t="shared" si="39"/>
        <v>7.4047124047124047E-2</v>
      </c>
      <c r="BK38" s="1">
        <f t="shared" si="40"/>
        <v>22</v>
      </c>
      <c r="BL38" s="1">
        <f t="shared" si="41"/>
        <v>-13</v>
      </c>
      <c r="BM38" s="1">
        <f t="shared" si="42"/>
        <v>20</v>
      </c>
      <c r="BN38" s="1">
        <f t="shared" si="43"/>
        <v>19</v>
      </c>
      <c r="BO38" s="1">
        <f t="shared" si="44"/>
        <v>-3</v>
      </c>
      <c r="BP38" s="1">
        <f t="shared" si="45"/>
        <v>-4</v>
      </c>
      <c r="BQ38" s="19">
        <f t="shared" si="46"/>
        <v>6.833333333333333</v>
      </c>
      <c r="BR38" s="17">
        <f t="shared" si="47"/>
        <v>8</v>
      </c>
    </row>
    <row r="39" spans="1:70" x14ac:dyDescent="0.25">
      <c r="A39" t="s">
        <v>106</v>
      </c>
      <c r="B39">
        <v>215</v>
      </c>
      <c r="C39">
        <v>240</v>
      </c>
      <c r="D39">
        <v>248</v>
      </c>
      <c r="E39">
        <v>189</v>
      </c>
      <c r="F39">
        <v>196</v>
      </c>
      <c r="G39">
        <v>267</v>
      </c>
      <c r="H39">
        <v>277</v>
      </c>
      <c r="I39">
        <v>98</v>
      </c>
      <c r="J39">
        <v>107</v>
      </c>
      <c r="K39">
        <v>100</v>
      </c>
      <c r="L39">
        <v>90</v>
      </c>
      <c r="M39">
        <v>98</v>
      </c>
      <c r="N39">
        <v>123</v>
      </c>
      <c r="O39">
        <v>115</v>
      </c>
      <c r="P39">
        <v>117</v>
      </c>
      <c r="Q39">
        <v>133</v>
      </c>
      <c r="R39">
        <v>148</v>
      </c>
      <c r="S39">
        <v>99</v>
      </c>
      <c r="T39">
        <v>98</v>
      </c>
      <c r="U39">
        <v>144</v>
      </c>
      <c r="V39">
        <v>162</v>
      </c>
      <c r="W39" s="8">
        <f t="shared" si="0"/>
        <v>0.11627906976744186</v>
      </c>
      <c r="X39" s="8">
        <f t="shared" si="1"/>
        <v>3.3333333333333333E-2</v>
      </c>
      <c r="Y39" s="8">
        <f t="shared" si="2"/>
        <v>-0.23790322580645162</v>
      </c>
      <c r="Z39" s="8">
        <f t="shared" si="3"/>
        <v>3.7037037037037035E-2</v>
      </c>
      <c r="AA39" s="8">
        <f t="shared" si="4"/>
        <v>0.36224489795918369</v>
      </c>
      <c r="AB39" s="8">
        <f t="shared" si="5"/>
        <v>3.7453183520599252E-2</v>
      </c>
      <c r="AC39" s="12">
        <f t="shared" si="6"/>
        <v>5.8074049301857257E-2</v>
      </c>
      <c r="AD39" s="12">
        <f t="shared" si="7"/>
        <v>3.7245110278818147E-2</v>
      </c>
      <c r="AE39" s="1">
        <f t="shared" si="8"/>
        <v>25</v>
      </c>
      <c r="AF39" s="1">
        <f t="shared" si="9"/>
        <v>8</v>
      </c>
      <c r="AG39" s="1">
        <f t="shared" si="10"/>
        <v>-59</v>
      </c>
      <c r="AH39" s="1">
        <f t="shared" si="11"/>
        <v>7</v>
      </c>
      <c r="AI39" s="1">
        <f t="shared" si="12"/>
        <v>71</v>
      </c>
      <c r="AJ39" s="1">
        <f t="shared" si="13"/>
        <v>10</v>
      </c>
      <c r="AK39" s="17">
        <f t="shared" si="14"/>
        <v>10.333333333333334</v>
      </c>
      <c r="AL39" s="17">
        <f t="shared" si="15"/>
        <v>9</v>
      </c>
      <c r="AM39" s="1">
        <f t="shared" si="16"/>
        <v>9.1836734693877556E-2</v>
      </c>
      <c r="AN39" s="1">
        <f t="shared" si="17"/>
        <v>-6.5420560747663545E-2</v>
      </c>
      <c r="AO39" s="1">
        <f t="shared" si="18"/>
        <v>-0.1</v>
      </c>
      <c r="AP39" s="1">
        <f t="shared" si="19"/>
        <v>8.8888888888888892E-2</v>
      </c>
      <c r="AQ39" s="1">
        <f t="shared" si="20"/>
        <v>0.25510204081632654</v>
      </c>
      <c r="AR39" s="1">
        <f t="shared" si="21"/>
        <v>-6.5040650406504072E-2</v>
      </c>
      <c r="AS39" s="12">
        <f t="shared" si="22"/>
        <v>3.422774220748756E-2</v>
      </c>
      <c r="AT39" s="12">
        <f t="shared" si="23"/>
        <v>1.192411924119241E-2</v>
      </c>
      <c r="AU39" s="1">
        <f t="shared" si="24"/>
        <v>9</v>
      </c>
      <c r="AV39" s="1">
        <f t="shared" si="25"/>
        <v>-7</v>
      </c>
      <c r="AW39" s="1">
        <f t="shared" si="26"/>
        <v>-10</v>
      </c>
      <c r="AX39" s="1">
        <f t="shared" si="27"/>
        <v>8</v>
      </c>
      <c r="AY39" s="1">
        <f t="shared" si="28"/>
        <v>25</v>
      </c>
      <c r="AZ39" s="1">
        <f t="shared" si="29"/>
        <v>-8</v>
      </c>
      <c r="BA39" s="19">
        <f t="shared" si="30"/>
        <v>2.8333333333333335</v>
      </c>
      <c r="BB39" s="19">
        <f t="shared" si="31"/>
        <v>0.5</v>
      </c>
      <c r="BC39" s="9">
        <f t="shared" si="32"/>
        <v>0.13675213675213677</v>
      </c>
      <c r="BD39" s="9">
        <f t="shared" si="33"/>
        <v>0.11278195488721804</v>
      </c>
      <c r="BE39" s="9">
        <f t="shared" si="34"/>
        <v>-0.33108108108108109</v>
      </c>
      <c r="BF39" s="9">
        <f t="shared" si="35"/>
        <v>-1.0101010101010102E-2</v>
      </c>
      <c r="BG39" s="9">
        <f t="shared" si="36"/>
        <v>0.46938775510204084</v>
      </c>
      <c r="BH39" s="9">
        <f t="shared" si="37"/>
        <v>0.125</v>
      </c>
      <c r="BI39" s="12">
        <f t="shared" si="38"/>
        <v>8.3789959259884084E-2</v>
      </c>
      <c r="BJ39" s="13">
        <f t="shared" si="39"/>
        <v>0.11889097744360902</v>
      </c>
      <c r="BK39" s="1">
        <f t="shared" si="40"/>
        <v>16</v>
      </c>
      <c r="BL39" s="1">
        <f t="shared" si="41"/>
        <v>15</v>
      </c>
      <c r="BM39" s="1">
        <f t="shared" si="42"/>
        <v>-49</v>
      </c>
      <c r="BN39" s="1">
        <f t="shared" si="43"/>
        <v>-1</v>
      </c>
      <c r="BO39" s="1">
        <f t="shared" si="44"/>
        <v>46</v>
      </c>
      <c r="BP39" s="1">
        <f t="shared" si="45"/>
        <v>18</v>
      </c>
      <c r="BQ39" s="19">
        <f t="shared" si="46"/>
        <v>7.5</v>
      </c>
      <c r="BR39" s="17">
        <f t="shared" si="47"/>
        <v>15.5</v>
      </c>
    </row>
    <row r="40" spans="1:70" x14ac:dyDescent="0.25">
      <c r="A40" t="s">
        <v>156</v>
      </c>
      <c r="B40">
        <v>76</v>
      </c>
      <c r="C40">
        <v>102</v>
      </c>
      <c r="D40">
        <v>128</v>
      </c>
      <c r="E40">
        <v>117</v>
      </c>
      <c r="F40">
        <v>151</v>
      </c>
      <c r="G40">
        <v>148</v>
      </c>
      <c r="H40">
        <v>138</v>
      </c>
      <c r="I40">
        <v>41</v>
      </c>
      <c r="J40">
        <v>60</v>
      </c>
      <c r="K40">
        <v>67</v>
      </c>
      <c r="L40">
        <v>73</v>
      </c>
      <c r="M40">
        <v>90</v>
      </c>
      <c r="N40">
        <v>72</v>
      </c>
      <c r="O40">
        <v>88</v>
      </c>
      <c r="P40">
        <v>35</v>
      </c>
      <c r="Q40">
        <v>42</v>
      </c>
      <c r="R40">
        <v>61</v>
      </c>
      <c r="S40">
        <v>44</v>
      </c>
      <c r="T40">
        <v>61</v>
      </c>
      <c r="U40">
        <v>76</v>
      </c>
      <c r="V40">
        <v>50</v>
      </c>
      <c r="W40" s="8">
        <f t="shared" si="0"/>
        <v>0.34210526315789475</v>
      </c>
      <c r="X40" s="8">
        <f t="shared" si="1"/>
        <v>0.25490196078431371</v>
      </c>
      <c r="Y40" s="8">
        <f t="shared" si="2"/>
        <v>-8.59375E-2</v>
      </c>
      <c r="Z40" s="8">
        <f t="shared" si="3"/>
        <v>0.29059829059829062</v>
      </c>
      <c r="AA40" s="8">
        <f t="shared" si="4"/>
        <v>-1.9867549668874173E-2</v>
      </c>
      <c r="AB40" s="8">
        <f t="shared" si="5"/>
        <v>-6.7567567567567571E-2</v>
      </c>
      <c r="AC40" s="12">
        <f t="shared" si="6"/>
        <v>0.1190388162173429</v>
      </c>
      <c r="AD40" s="12">
        <f t="shared" si="7"/>
        <v>0.11751720555771976</v>
      </c>
      <c r="AE40" s="1">
        <f t="shared" si="8"/>
        <v>26</v>
      </c>
      <c r="AF40" s="1">
        <f t="shared" si="9"/>
        <v>26</v>
      </c>
      <c r="AG40" s="1">
        <f t="shared" si="10"/>
        <v>-11</v>
      </c>
      <c r="AH40" s="1">
        <f t="shared" si="11"/>
        <v>34</v>
      </c>
      <c r="AI40" s="1">
        <f t="shared" si="12"/>
        <v>-3</v>
      </c>
      <c r="AJ40" s="1">
        <f t="shared" si="13"/>
        <v>-10</v>
      </c>
      <c r="AK40" s="17">
        <f t="shared" si="14"/>
        <v>10.333333333333334</v>
      </c>
      <c r="AL40" s="17">
        <f t="shared" si="15"/>
        <v>11.5</v>
      </c>
      <c r="AM40" s="1">
        <f t="shared" si="16"/>
        <v>0.46341463414634149</v>
      </c>
      <c r="AN40" s="1">
        <f t="shared" si="17"/>
        <v>0.11666666666666667</v>
      </c>
      <c r="AO40" s="1">
        <f t="shared" si="18"/>
        <v>8.9552238805970144E-2</v>
      </c>
      <c r="AP40" s="1">
        <f t="shared" si="19"/>
        <v>0.23287671232876711</v>
      </c>
      <c r="AQ40" s="1">
        <f t="shared" si="20"/>
        <v>-0.2</v>
      </c>
      <c r="AR40" s="1">
        <f t="shared" si="21"/>
        <v>0.22222222222222221</v>
      </c>
      <c r="AS40" s="12">
        <f t="shared" si="22"/>
        <v>0.15412207902832795</v>
      </c>
      <c r="AT40" s="12">
        <f t="shared" si="23"/>
        <v>0.16944444444444445</v>
      </c>
      <c r="AU40" s="1">
        <f t="shared" si="24"/>
        <v>19</v>
      </c>
      <c r="AV40" s="1">
        <f t="shared" si="25"/>
        <v>7</v>
      </c>
      <c r="AW40" s="1">
        <f t="shared" si="26"/>
        <v>6</v>
      </c>
      <c r="AX40" s="1">
        <f t="shared" si="27"/>
        <v>17</v>
      </c>
      <c r="AY40" s="1">
        <f t="shared" si="28"/>
        <v>-18</v>
      </c>
      <c r="AZ40" s="1">
        <f t="shared" si="29"/>
        <v>16</v>
      </c>
      <c r="BA40" s="19">
        <f t="shared" si="30"/>
        <v>7.833333333333333</v>
      </c>
      <c r="BB40" s="19">
        <f t="shared" si="31"/>
        <v>11.5</v>
      </c>
      <c r="BC40" s="9">
        <f t="shared" si="32"/>
        <v>0.2</v>
      </c>
      <c r="BD40" s="9">
        <f t="shared" si="33"/>
        <v>0.45238095238095238</v>
      </c>
      <c r="BE40" s="9">
        <f t="shared" si="34"/>
        <v>-0.27868852459016391</v>
      </c>
      <c r="BF40" s="9">
        <f t="shared" si="35"/>
        <v>0.38636363636363635</v>
      </c>
      <c r="BG40" s="9">
        <f t="shared" si="36"/>
        <v>0.24590163934426229</v>
      </c>
      <c r="BH40" s="9">
        <f t="shared" si="37"/>
        <v>-0.34210526315789475</v>
      </c>
      <c r="BI40" s="12">
        <f t="shared" si="38"/>
        <v>0.11064207339013206</v>
      </c>
      <c r="BJ40" s="13">
        <f t="shared" si="39"/>
        <v>0.22295081967213115</v>
      </c>
      <c r="BK40" s="1">
        <f t="shared" si="40"/>
        <v>7</v>
      </c>
      <c r="BL40" s="1">
        <f t="shared" si="41"/>
        <v>19</v>
      </c>
      <c r="BM40" s="1">
        <f t="shared" si="42"/>
        <v>-17</v>
      </c>
      <c r="BN40" s="1">
        <f t="shared" si="43"/>
        <v>17</v>
      </c>
      <c r="BO40" s="1">
        <f t="shared" si="44"/>
        <v>15</v>
      </c>
      <c r="BP40" s="1">
        <f t="shared" si="45"/>
        <v>-26</v>
      </c>
      <c r="BQ40" s="19">
        <f t="shared" si="46"/>
        <v>2.5</v>
      </c>
      <c r="BR40" s="17">
        <f t="shared" si="47"/>
        <v>11</v>
      </c>
    </row>
    <row r="41" spans="1:70" x14ac:dyDescent="0.25">
      <c r="A41" t="s">
        <v>85</v>
      </c>
      <c r="B41">
        <v>583</v>
      </c>
      <c r="C41">
        <v>663</v>
      </c>
      <c r="D41">
        <v>670</v>
      </c>
      <c r="E41">
        <v>562</v>
      </c>
      <c r="F41">
        <v>639</v>
      </c>
      <c r="G41">
        <v>620</v>
      </c>
      <c r="H41">
        <v>644</v>
      </c>
      <c r="I41">
        <v>262</v>
      </c>
      <c r="J41">
        <v>298</v>
      </c>
      <c r="K41">
        <v>270</v>
      </c>
      <c r="L41">
        <v>238</v>
      </c>
      <c r="M41">
        <v>290</v>
      </c>
      <c r="N41">
        <v>246</v>
      </c>
      <c r="O41">
        <v>239</v>
      </c>
      <c r="P41">
        <v>321</v>
      </c>
      <c r="Q41">
        <v>365</v>
      </c>
      <c r="R41">
        <v>400</v>
      </c>
      <c r="S41">
        <v>324</v>
      </c>
      <c r="T41">
        <v>349</v>
      </c>
      <c r="U41">
        <v>374</v>
      </c>
      <c r="V41">
        <v>405</v>
      </c>
      <c r="W41" s="8">
        <f t="shared" si="0"/>
        <v>0.137221269296741</v>
      </c>
      <c r="X41" s="8">
        <f t="shared" si="1"/>
        <v>1.0558069381598794E-2</v>
      </c>
      <c r="Y41" s="8">
        <f t="shared" si="2"/>
        <v>-0.16119402985074627</v>
      </c>
      <c r="Z41" s="8">
        <f t="shared" si="3"/>
        <v>0.13701067615658363</v>
      </c>
      <c r="AA41" s="8">
        <f t="shared" si="4"/>
        <v>-2.9733959311424099E-2</v>
      </c>
      <c r="AB41" s="8">
        <f t="shared" si="5"/>
        <v>3.870967741935484E-2</v>
      </c>
      <c r="AC41" s="12">
        <f t="shared" si="6"/>
        <v>2.2095283848684647E-2</v>
      </c>
      <c r="AD41" s="12">
        <f t="shared" si="7"/>
        <v>2.4633873400476819E-2</v>
      </c>
      <c r="AE41" s="1">
        <f t="shared" si="8"/>
        <v>80</v>
      </c>
      <c r="AF41" s="1">
        <f t="shared" si="9"/>
        <v>7</v>
      </c>
      <c r="AG41" s="1">
        <f t="shared" si="10"/>
        <v>-108</v>
      </c>
      <c r="AH41" s="1">
        <f t="shared" si="11"/>
        <v>77</v>
      </c>
      <c r="AI41" s="1">
        <f t="shared" si="12"/>
        <v>-19</v>
      </c>
      <c r="AJ41" s="1">
        <f t="shared" si="13"/>
        <v>24</v>
      </c>
      <c r="AK41" s="17">
        <f t="shared" si="14"/>
        <v>10.166666666666666</v>
      </c>
      <c r="AL41" s="17">
        <f t="shared" si="15"/>
        <v>15.5</v>
      </c>
      <c r="AM41" s="1">
        <f t="shared" si="16"/>
        <v>0.13740458015267176</v>
      </c>
      <c r="AN41" s="1">
        <f t="shared" si="17"/>
        <v>-9.3959731543624164E-2</v>
      </c>
      <c r="AO41" s="1">
        <f t="shared" si="18"/>
        <v>-0.11851851851851852</v>
      </c>
      <c r="AP41" s="1">
        <f t="shared" si="19"/>
        <v>0.21848739495798319</v>
      </c>
      <c r="AQ41" s="1">
        <f t="shared" si="20"/>
        <v>-0.15172413793103448</v>
      </c>
      <c r="AR41" s="1">
        <f t="shared" si="21"/>
        <v>-2.8455284552845527E-2</v>
      </c>
      <c r="AS41" s="12">
        <f t="shared" si="22"/>
        <v>-6.1276162392279567E-3</v>
      </c>
      <c r="AT41" s="12">
        <f t="shared" si="23"/>
        <v>-6.1207508048234847E-2</v>
      </c>
      <c r="AU41" s="1">
        <f t="shared" si="24"/>
        <v>36</v>
      </c>
      <c r="AV41" s="1">
        <f t="shared" si="25"/>
        <v>-28</v>
      </c>
      <c r="AW41" s="1">
        <f t="shared" si="26"/>
        <v>-32</v>
      </c>
      <c r="AX41" s="1">
        <f t="shared" si="27"/>
        <v>52</v>
      </c>
      <c r="AY41" s="1">
        <f t="shared" si="28"/>
        <v>-44</v>
      </c>
      <c r="AZ41" s="1">
        <f t="shared" si="29"/>
        <v>-7</v>
      </c>
      <c r="BA41" s="19">
        <f t="shared" si="30"/>
        <v>-3.8333333333333335</v>
      </c>
      <c r="BB41" s="19">
        <f t="shared" si="31"/>
        <v>-17.5</v>
      </c>
      <c r="BC41" s="9">
        <f t="shared" si="32"/>
        <v>0.13707165109034267</v>
      </c>
      <c r="BD41" s="9">
        <f t="shared" si="33"/>
        <v>9.5890410958904104E-2</v>
      </c>
      <c r="BE41" s="9">
        <f t="shared" si="34"/>
        <v>-0.19</v>
      </c>
      <c r="BF41" s="9">
        <f t="shared" si="35"/>
        <v>7.716049382716049E-2</v>
      </c>
      <c r="BG41" s="9">
        <f t="shared" si="36"/>
        <v>7.1633237822349566E-2</v>
      </c>
      <c r="BH41" s="9">
        <f t="shared" si="37"/>
        <v>8.2887700534759357E-2</v>
      </c>
      <c r="BI41" s="12">
        <f t="shared" si="38"/>
        <v>4.5773915705586032E-2</v>
      </c>
      <c r="BJ41" s="13">
        <f t="shared" si="39"/>
        <v>8.002409718095993E-2</v>
      </c>
      <c r="BK41" s="1">
        <f t="shared" si="40"/>
        <v>44</v>
      </c>
      <c r="BL41" s="1">
        <f t="shared" si="41"/>
        <v>35</v>
      </c>
      <c r="BM41" s="1">
        <f t="shared" si="42"/>
        <v>-76</v>
      </c>
      <c r="BN41" s="1">
        <f t="shared" si="43"/>
        <v>25</v>
      </c>
      <c r="BO41" s="1">
        <f t="shared" si="44"/>
        <v>25</v>
      </c>
      <c r="BP41" s="1">
        <f t="shared" si="45"/>
        <v>31</v>
      </c>
      <c r="BQ41" s="19">
        <f t="shared" si="46"/>
        <v>14</v>
      </c>
      <c r="BR41" s="17">
        <f t="shared" si="47"/>
        <v>28</v>
      </c>
    </row>
    <row r="42" spans="1:70" x14ac:dyDescent="0.25">
      <c r="A42" t="s">
        <v>189</v>
      </c>
      <c r="B42">
        <v>43</v>
      </c>
      <c r="C42">
        <v>62</v>
      </c>
      <c r="D42">
        <v>64</v>
      </c>
      <c r="E42">
        <v>71</v>
      </c>
      <c r="F42">
        <v>59</v>
      </c>
      <c r="G42">
        <v>77</v>
      </c>
      <c r="H42">
        <v>102</v>
      </c>
      <c r="I42">
        <v>24</v>
      </c>
      <c r="J42">
        <v>33</v>
      </c>
      <c r="K42">
        <v>41</v>
      </c>
      <c r="L42">
        <v>41</v>
      </c>
      <c r="M42">
        <v>37</v>
      </c>
      <c r="N42">
        <v>40</v>
      </c>
      <c r="O42">
        <v>51</v>
      </c>
      <c r="P42">
        <v>19</v>
      </c>
      <c r="Q42">
        <v>29</v>
      </c>
      <c r="R42">
        <v>23</v>
      </c>
      <c r="S42">
        <v>30</v>
      </c>
      <c r="T42">
        <v>22</v>
      </c>
      <c r="U42">
        <v>37</v>
      </c>
      <c r="V42">
        <v>51</v>
      </c>
      <c r="W42" s="8">
        <f t="shared" si="0"/>
        <v>0.44186046511627908</v>
      </c>
      <c r="X42" s="8">
        <f t="shared" si="1"/>
        <v>3.2258064516129031E-2</v>
      </c>
      <c r="Y42" s="8">
        <f t="shared" si="2"/>
        <v>0.109375</v>
      </c>
      <c r="Z42" s="8">
        <f t="shared" si="3"/>
        <v>-0.16901408450704225</v>
      </c>
      <c r="AA42" s="8">
        <f t="shared" si="4"/>
        <v>0.30508474576271188</v>
      </c>
      <c r="AB42" s="8">
        <f t="shared" si="5"/>
        <v>0.32467532467532467</v>
      </c>
      <c r="AC42" s="12">
        <f t="shared" si="6"/>
        <v>0.17403991926056706</v>
      </c>
      <c r="AD42" s="12">
        <f t="shared" si="7"/>
        <v>0.20722987288135594</v>
      </c>
      <c r="AE42" s="1">
        <f t="shared" si="8"/>
        <v>19</v>
      </c>
      <c r="AF42" s="1">
        <f t="shared" si="9"/>
        <v>2</v>
      </c>
      <c r="AG42" s="1">
        <f t="shared" si="10"/>
        <v>7</v>
      </c>
      <c r="AH42" s="1">
        <f t="shared" si="11"/>
        <v>-12</v>
      </c>
      <c r="AI42" s="1">
        <f t="shared" si="12"/>
        <v>18</v>
      </c>
      <c r="AJ42" s="1">
        <f t="shared" si="13"/>
        <v>25</v>
      </c>
      <c r="AK42" s="17">
        <f t="shared" si="14"/>
        <v>9.8333333333333339</v>
      </c>
      <c r="AL42" s="17">
        <f t="shared" si="15"/>
        <v>12.5</v>
      </c>
      <c r="AM42" s="1">
        <f t="shared" si="16"/>
        <v>0.375</v>
      </c>
      <c r="AN42" s="1">
        <f t="shared" si="17"/>
        <v>0.24242424242424243</v>
      </c>
      <c r="AO42" s="1">
        <f t="shared" si="18"/>
        <v>0</v>
      </c>
      <c r="AP42" s="1">
        <f t="shared" si="19"/>
        <v>-9.7560975609756101E-2</v>
      </c>
      <c r="AQ42" s="1">
        <f t="shared" si="20"/>
        <v>8.1081081081081086E-2</v>
      </c>
      <c r="AR42" s="1">
        <f t="shared" si="21"/>
        <v>0.27500000000000002</v>
      </c>
      <c r="AS42" s="12">
        <f t="shared" si="22"/>
        <v>0.14599072464926124</v>
      </c>
      <c r="AT42" s="12">
        <f t="shared" si="23"/>
        <v>0.16175266175266176</v>
      </c>
      <c r="AU42" s="1">
        <f t="shared" si="24"/>
        <v>9</v>
      </c>
      <c r="AV42" s="1">
        <f t="shared" si="25"/>
        <v>8</v>
      </c>
      <c r="AW42" s="1">
        <f t="shared" si="26"/>
        <v>0</v>
      </c>
      <c r="AX42" s="1">
        <f t="shared" si="27"/>
        <v>-4</v>
      </c>
      <c r="AY42" s="1">
        <f t="shared" si="28"/>
        <v>3</v>
      </c>
      <c r="AZ42" s="1">
        <f t="shared" si="29"/>
        <v>11</v>
      </c>
      <c r="BA42" s="19">
        <f t="shared" si="30"/>
        <v>4.5</v>
      </c>
      <c r="BB42" s="19">
        <f t="shared" si="31"/>
        <v>5.5</v>
      </c>
      <c r="BC42" s="9">
        <f t="shared" si="32"/>
        <v>0.52631578947368418</v>
      </c>
      <c r="BD42" s="9">
        <f t="shared" si="33"/>
        <v>-0.20689655172413793</v>
      </c>
      <c r="BE42" s="9">
        <f t="shared" si="34"/>
        <v>0.30434782608695654</v>
      </c>
      <c r="BF42" s="9">
        <f t="shared" si="35"/>
        <v>-0.26666666666666666</v>
      </c>
      <c r="BG42" s="9">
        <f t="shared" si="36"/>
        <v>0.68181818181818177</v>
      </c>
      <c r="BH42" s="9">
        <f t="shared" si="37"/>
        <v>0.3783783783783784</v>
      </c>
      <c r="BI42" s="12">
        <f t="shared" si="38"/>
        <v>0.23621615956106604</v>
      </c>
      <c r="BJ42" s="13">
        <f t="shared" si="39"/>
        <v>0.34136310223266747</v>
      </c>
      <c r="BK42" s="1">
        <f t="shared" si="40"/>
        <v>10</v>
      </c>
      <c r="BL42" s="1">
        <f t="shared" si="41"/>
        <v>-6</v>
      </c>
      <c r="BM42" s="1">
        <f t="shared" si="42"/>
        <v>7</v>
      </c>
      <c r="BN42" s="1">
        <f t="shared" si="43"/>
        <v>-8</v>
      </c>
      <c r="BO42" s="1">
        <f t="shared" si="44"/>
        <v>15</v>
      </c>
      <c r="BP42" s="1">
        <f t="shared" si="45"/>
        <v>14</v>
      </c>
      <c r="BQ42" s="19">
        <f t="shared" si="46"/>
        <v>5.333333333333333</v>
      </c>
      <c r="BR42" s="17">
        <f t="shared" si="47"/>
        <v>8.5</v>
      </c>
    </row>
    <row r="43" spans="1:70" x14ac:dyDescent="0.25">
      <c r="A43" t="s">
        <v>120</v>
      </c>
      <c r="B43">
        <v>150</v>
      </c>
      <c r="C43">
        <v>176</v>
      </c>
      <c r="D43">
        <v>165</v>
      </c>
      <c r="E43">
        <v>154</v>
      </c>
      <c r="F43">
        <v>174</v>
      </c>
      <c r="G43">
        <v>184</v>
      </c>
      <c r="H43">
        <v>208</v>
      </c>
      <c r="I43">
        <v>90</v>
      </c>
      <c r="J43">
        <v>103</v>
      </c>
      <c r="K43">
        <v>98</v>
      </c>
      <c r="L43">
        <v>91</v>
      </c>
      <c r="M43">
        <v>102</v>
      </c>
      <c r="N43">
        <v>119</v>
      </c>
      <c r="O43">
        <v>129</v>
      </c>
      <c r="P43">
        <v>60</v>
      </c>
      <c r="Q43">
        <v>73</v>
      </c>
      <c r="R43">
        <v>67</v>
      </c>
      <c r="S43">
        <v>63</v>
      </c>
      <c r="T43">
        <v>72</v>
      </c>
      <c r="U43">
        <v>65</v>
      </c>
      <c r="V43">
        <v>79</v>
      </c>
      <c r="W43" s="8">
        <f t="shared" si="0"/>
        <v>0.17333333333333334</v>
      </c>
      <c r="X43" s="8">
        <f t="shared" si="1"/>
        <v>-6.25E-2</v>
      </c>
      <c r="Y43" s="8">
        <f t="shared" si="2"/>
        <v>-6.6666666666666666E-2</v>
      </c>
      <c r="Z43" s="8">
        <f t="shared" si="3"/>
        <v>0.12987012987012986</v>
      </c>
      <c r="AA43" s="8">
        <f t="shared" si="4"/>
        <v>5.7471264367816091E-2</v>
      </c>
      <c r="AB43" s="8">
        <f t="shared" si="5"/>
        <v>0.13043478260869565</v>
      </c>
      <c r="AC43" s="12">
        <f t="shared" si="6"/>
        <v>6.0323807252218052E-2</v>
      </c>
      <c r="AD43" s="12">
        <f t="shared" si="7"/>
        <v>9.3670697118972968E-2</v>
      </c>
      <c r="AE43" s="1">
        <f t="shared" si="8"/>
        <v>26</v>
      </c>
      <c r="AF43" s="1">
        <f t="shared" si="9"/>
        <v>-11</v>
      </c>
      <c r="AG43" s="1">
        <f t="shared" si="10"/>
        <v>-11</v>
      </c>
      <c r="AH43" s="1">
        <f t="shared" si="11"/>
        <v>20</v>
      </c>
      <c r="AI43" s="1">
        <f t="shared" si="12"/>
        <v>10</v>
      </c>
      <c r="AJ43" s="1">
        <f t="shared" si="13"/>
        <v>24</v>
      </c>
      <c r="AK43" s="17">
        <f t="shared" si="14"/>
        <v>9.6666666666666661</v>
      </c>
      <c r="AL43" s="17">
        <f t="shared" si="15"/>
        <v>15</v>
      </c>
      <c r="AM43" s="1">
        <f t="shared" si="16"/>
        <v>0.14444444444444443</v>
      </c>
      <c r="AN43" s="1">
        <f t="shared" si="17"/>
        <v>-4.8543689320388349E-2</v>
      </c>
      <c r="AO43" s="1">
        <f t="shared" si="18"/>
        <v>-7.1428571428571425E-2</v>
      </c>
      <c r="AP43" s="1">
        <f t="shared" si="19"/>
        <v>0.12087912087912088</v>
      </c>
      <c r="AQ43" s="1">
        <f t="shared" si="20"/>
        <v>0.16666666666666666</v>
      </c>
      <c r="AR43" s="1">
        <f t="shared" si="21"/>
        <v>8.4033613445378158E-2</v>
      </c>
      <c r="AS43" s="12">
        <f t="shared" si="22"/>
        <v>6.6008597447775055E-2</v>
      </c>
      <c r="AT43" s="12">
        <f t="shared" si="23"/>
        <v>0.10245636716224951</v>
      </c>
      <c r="AU43" s="1">
        <f t="shared" si="24"/>
        <v>13</v>
      </c>
      <c r="AV43" s="1">
        <f t="shared" si="25"/>
        <v>-5</v>
      </c>
      <c r="AW43" s="1">
        <f t="shared" si="26"/>
        <v>-7</v>
      </c>
      <c r="AX43" s="1">
        <f t="shared" si="27"/>
        <v>11</v>
      </c>
      <c r="AY43" s="1">
        <f t="shared" si="28"/>
        <v>17</v>
      </c>
      <c r="AZ43" s="1">
        <f t="shared" si="29"/>
        <v>10</v>
      </c>
      <c r="BA43" s="19">
        <f t="shared" si="30"/>
        <v>6.5</v>
      </c>
      <c r="BB43" s="19">
        <f t="shared" si="31"/>
        <v>10.5</v>
      </c>
      <c r="BC43" s="9">
        <f t="shared" si="32"/>
        <v>0.21666666666666667</v>
      </c>
      <c r="BD43" s="9">
        <f t="shared" si="33"/>
        <v>-8.2191780821917804E-2</v>
      </c>
      <c r="BE43" s="9">
        <f t="shared" si="34"/>
        <v>-5.9701492537313432E-2</v>
      </c>
      <c r="BF43" s="9">
        <f t="shared" si="35"/>
        <v>0.14285714285714285</v>
      </c>
      <c r="BG43" s="9">
        <f t="shared" si="36"/>
        <v>-9.7222222222222224E-2</v>
      </c>
      <c r="BH43" s="9">
        <f t="shared" si="37"/>
        <v>0.2153846153846154</v>
      </c>
      <c r="BI43" s="12">
        <f t="shared" si="38"/>
        <v>5.5965488221161909E-2</v>
      </c>
      <c r="BJ43" s="13">
        <f t="shared" si="39"/>
        <v>4.1577825159914712E-2</v>
      </c>
      <c r="BK43" s="1">
        <f t="shared" si="40"/>
        <v>13</v>
      </c>
      <c r="BL43" s="1">
        <f t="shared" si="41"/>
        <v>-6</v>
      </c>
      <c r="BM43" s="1">
        <f t="shared" si="42"/>
        <v>-4</v>
      </c>
      <c r="BN43" s="1">
        <f t="shared" si="43"/>
        <v>9</v>
      </c>
      <c r="BO43" s="1">
        <f t="shared" si="44"/>
        <v>-7</v>
      </c>
      <c r="BP43" s="1">
        <f t="shared" si="45"/>
        <v>14</v>
      </c>
      <c r="BQ43" s="19">
        <f t="shared" si="46"/>
        <v>3.1666666666666665</v>
      </c>
      <c r="BR43" s="17">
        <f t="shared" si="47"/>
        <v>2.5</v>
      </c>
    </row>
    <row r="44" spans="1:70" x14ac:dyDescent="0.25">
      <c r="A44" t="s">
        <v>104</v>
      </c>
      <c r="B44">
        <v>228</v>
      </c>
      <c r="C44">
        <v>226</v>
      </c>
      <c r="D44">
        <v>237</v>
      </c>
      <c r="E44">
        <v>269</v>
      </c>
      <c r="F44">
        <v>243</v>
      </c>
      <c r="G44">
        <v>264</v>
      </c>
      <c r="H44">
        <v>284</v>
      </c>
      <c r="I44">
        <v>143</v>
      </c>
      <c r="J44">
        <v>133</v>
      </c>
      <c r="K44">
        <v>156</v>
      </c>
      <c r="L44">
        <v>141</v>
      </c>
      <c r="M44">
        <v>143</v>
      </c>
      <c r="N44">
        <v>157</v>
      </c>
      <c r="O44">
        <v>171</v>
      </c>
      <c r="P44">
        <v>85</v>
      </c>
      <c r="Q44">
        <v>93</v>
      </c>
      <c r="R44">
        <v>81</v>
      </c>
      <c r="S44">
        <v>128</v>
      </c>
      <c r="T44">
        <v>100</v>
      </c>
      <c r="U44">
        <v>107</v>
      </c>
      <c r="V44">
        <v>113</v>
      </c>
      <c r="W44" s="8">
        <f t="shared" si="0"/>
        <v>-8.771929824561403E-3</v>
      </c>
      <c r="X44" s="8">
        <f t="shared" si="1"/>
        <v>4.8672566371681415E-2</v>
      </c>
      <c r="Y44" s="8">
        <f t="shared" si="2"/>
        <v>0.13502109704641349</v>
      </c>
      <c r="Z44" s="8">
        <f t="shared" si="3"/>
        <v>-9.6654275092936809E-2</v>
      </c>
      <c r="AA44" s="8">
        <f t="shared" si="4"/>
        <v>8.6419753086419748E-2</v>
      </c>
      <c r="AB44" s="8">
        <f t="shared" si="5"/>
        <v>7.575757575757576E-2</v>
      </c>
      <c r="AC44" s="12">
        <f t="shared" si="6"/>
        <v>4.0074131224098697E-2</v>
      </c>
      <c r="AD44" s="12">
        <f t="shared" si="7"/>
        <v>6.2215071064628591E-2</v>
      </c>
      <c r="AE44" s="1">
        <f t="shared" si="8"/>
        <v>-2</v>
      </c>
      <c r="AF44" s="1">
        <f t="shared" si="9"/>
        <v>11</v>
      </c>
      <c r="AG44" s="1">
        <f t="shared" si="10"/>
        <v>32</v>
      </c>
      <c r="AH44" s="1">
        <f t="shared" si="11"/>
        <v>-26</v>
      </c>
      <c r="AI44" s="1">
        <f t="shared" si="12"/>
        <v>21</v>
      </c>
      <c r="AJ44" s="1">
        <f t="shared" si="13"/>
        <v>20</v>
      </c>
      <c r="AK44" s="17">
        <f t="shared" si="14"/>
        <v>9.3333333333333339</v>
      </c>
      <c r="AL44" s="17">
        <f t="shared" si="15"/>
        <v>15.5</v>
      </c>
      <c r="AM44" s="1">
        <f t="shared" si="16"/>
        <v>-6.9930069930069935E-2</v>
      </c>
      <c r="AN44" s="1">
        <f t="shared" si="17"/>
        <v>0.17293233082706766</v>
      </c>
      <c r="AO44" s="1">
        <f t="shared" si="18"/>
        <v>-9.6153846153846159E-2</v>
      </c>
      <c r="AP44" s="1">
        <f t="shared" si="19"/>
        <v>1.4184397163120567E-2</v>
      </c>
      <c r="AQ44" s="1">
        <f t="shared" si="20"/>
        <v>9.7902097902097904E-2</v>
      </c>
      <c r="AR44" s="1">
        <f t="shared" si="21"/>
        <v>8.9171974522292988E-2</v>
      </c>
      <c r="AS44" s="12">
        <f t="shared" si="22"/>
        <v>3.4684480721777176E-2</v>
      </c>
      <c r="AT44" s="12">
        <f t="shared" si="23"/>
        <v>5.1678185842706774E-2</v>
      </c>
      <c r="AU44" s="1">
        <f t="shared" si="24"/>
        <v>-10</v>
      </c>
      <c r="AV44" s="1">
        <f t="shared" si="25"/>
        <v>23</v>
      </c>
      <c r="AW44" s="1">
        <f t="shared" si="26"/>
        <v>-15</v>
      </c>
      <c r="AX44" s="1">
        <f t="shared" si="27"/>
        <v>2</v>
      </c>
      <c r="AY44" s="1">
        <f t="shared" si="28"/>
        <v>14</v>
      </c>
      <c r="AZ44" s="1">
        <f t="shared" si="29"/>
        <v>14</v>
      </c>
      <c r="BA44" s="19">
        <f t="shared" si="30"/>
        <v>4.666666666666667</v>
      </c>
      <c r="BB44" s="19">
        <f t="shared" si="31"/>
        <v>8</v>
      </c>
      <c r="BC44" s="9">
        <f t="shared" si="32"/>
        <v>9.4117647058823528E-2</v>
      </c>
      <c r="BD44" s="9">
        <f t="shared" si="33"/>
        <v>-0.12903225806451613</v>
      </c>
      <c r="BE44" s="9">
        <f t="shared" si="34"/>
        <v>0.58024691358024694</v>
      </c>
      <c r="BF44" s="9">
        <f t="shared" si="35"/>
        <v>-0.21875</v>
      </c>
      <c r="BG44" s="9">
        <f t="shared" si="36"/>
        <v>7.0000000000000007E-2</v>
      </c>
      <c r="BH44" s="9">
        <f t="shared" si="37"/>
        <v>5.6074766355140186E-2</v>
      </c>
      <c r="BI44" s="12">
        <f t="shared" si="38"/>
        <v>7.5442844821615757E-2</v>
      </c>
      <c r="BJ44" s="13">
        <f t="shared" si="39"/>
        <v>6.30373831775701E-2</v>
      </c>
      <c r="BK44" s="1">
        <f t="shared" si="40"/>
        <v>8</v>
      </c>
      <c r="BL44" s="1">
        <f t="shared" si="41"/>
        <v>-12</v>
      </c>
      <c r="BM44" s="1">
        <f t="shared" si="42"/>
        <v>47</v>
      </c>
      <c r="BN44" s="1">
        <f t="shared" si="43"/>
        <v>-28</v>
      </c>
      <c r="BO44" s="1">
        <f t="shared" si="44"/>
        <v>7</v>
      </c>
      <c r="BP44" s="1">
        <f t="shared" si="45"/>
        <v>6</v>
      </c>
      <c r="BQ44" s="19">
        <f t="shared" si="46"/>
        <v>4.666666666666667</v>
      </c>
      <c r="BR44" s="17">
        <f t="shared" si="47"/>
        <v>6.5</v>
      </c>
    </row>
    <row r="45" spans="1:70" x14ac:dyDescent="0.25">
      <c r="A45" t="s">
        <v>119</v>
      </c>
      <c r="B45">
        <v>151</v>
      </c>
      <c r="C45">
        <v>159</v>
      </c>
      <c r="D45">
        <v>213</v>
      </c>
      <c r="E45">
        <v>202</v>
      </c>
      <c r="F45">
        <v>225</v>
      </c>
      <c r="G45">
        <v>235</v>
      </c>
      <c r="H45">
        <v>207</v>
      </c>
      <c r="I45">
        <v>94</v>
      </c>
      <c r="J45">
        <v>93</v>
      </c>
      <c r="K45">
        <v>122</v>
      </c>
      <c r="L45">
        <v>112</v>
      </c>
      <c r="M45">
        <v>126</v>
      </c>
      <c r="N45">
        <v>130</v>
      </c>
      <c r="O45">
        <v>121</v>
      </c>
      <c r="P45">
        <v>57</v>
      </c>
      <c r="Q45">
        <v>66</v>
      </c>
      <c r="R45">
        <v>91</v>
      </c>
      <c r="S45">
        <v>90</v>
      </c>
      <c r="T45">
        <v>99</v>
      </c>
      <c r="U45">
        <v>105</v>
      </c>
      <c r="V45">
        <v>86</v>
      </c>
      <c r="W45" s="8">
        <f t="shared" si="0"/>
        <v>5.2980132450331126E-2</v>
      </c>
      <c r="X45" s="8">
        <f t="shared" si="1"/>
        <v>0.33962264150943394</v>
      </c>
      <c r="Y45" s="8">
        <f t="shared" si="2"/>
        <v>-5.1643192488262914E-2</v>
      </c>
      <c r="Z45" s="8">
        <f t="shared" si="3"/>
        <v>0.11386138613861387</v>
      </c>
      <c r="AA45" s="8">
        <f t="shared" si="4"/>
        <v>4.4444444444444446E-2</v>
      </c>
      <c r="AB45" s="8">
        <f t="shared" si="5"/>
        <v>-0.11914893617021277</v>
      </c>
      <c r="AC45" s="12">
        <f t="shared" si="6"/>
        <v>6.3352745980724615E-2</v>
      </c>
      <c r="AD45" s="12">
        <f t="shared" si="7"/>
        <v>4.8712288447387786E-2</v>
      </c>
      <c r="AE45" s="1">
        <f t="shared" si="8"/>
        <v>8</v>
      </c>
      <c r="AF45" s="1">
        <f t="shared" si="9"/>
        <v>54</v>
      </c>
      <c r="AG45" s="1">
        <f t="shared" si="10"/>
        <v>-11</v>
      </c>
      <c r="AH45" s="1">
        <f t="shared" si="11"/>
        <v>23</v>
      </c>
      <c r="AI45" s="1">
        <f t="shared" si="12"/>
        <v>10</v>
      </c>
      <c r="AJ45" s="1">
        <f t="shared" si="13"/>
        <v>-28</v>
      </c>
      <c r="AK45" s="17">
        <f t="shared" si="14"/>
        <v>9.3333333333333339</v>
      </c>
      <c r="AL45" s="17">
        <f t="shared" si="15"/>
        <v>9</v>
      </c>
      <c r="AM45" s="1">
        <f t="shared" si="16"/>
        <v>-1.0638297872340425E-2</v>
      </c>
      <c r="AN45" s="1">
        <f t="shared" si="17"/>
        <v>0.31182795698924731</v>
      </c>
      <c r="AO45" s="1">
        <f t="shared" si="18"/>
        <v>-8.1967213114754092E-2</v>
      </c>
      <c r="AP45" s="1">
        <f t="shared" si="19"/>
        <v>0.125</v>
      </c>
      <c r="AQ45" s="1">
        <f t="shared" si="20"/>
        <v>3.1746031746031744E-2</v>
      </c>
      <c r="AR45" s="1">
        <f t="shared" si="21"/>
        <v>-6.9230769230769235E-2</v>
      </c>
      <c r="AS45" s="12">
        <f t="shared" si="22"/>
        <v>5.1122951419569219E-2</v>
      </c>
      <c r="AT45" s="12">
        <f t="shared" si="23"/>
        <v>1.055386693684566E-2</v>
      </c>
      <c r="AU45" s="1">
        <f t="shared" si="24"/>
        <v>-1</v>
      </c>
      <c r="AV45" s="1">
        <f t="shared" si="25"/>
        <v>29</v>
      </c>
      <c r="AW45" s="1">
        <f t="shared" si="26"/>
        <v>-10</v>
      </c>
      <c r="AX45" s="1">
        <f t="shared" si="27"/>
        <v>14</v>
      </c>
      <c r="AY45" s="1">
        <f t="shared" si="28"/>
        <v>4</v>
      </c>
      <c r="AZ45" s="1">
        <f t="shared" si="29"/>
        <v>-9</v>
      </c>
      <c r="BA45" s="19">
        <f t="shared" si="30"/>
        <v>4.5</v>
      </c>
      <c r="BB45" s="19">
        <f t="shared" si="31"/>
        <v>1.5</v>
      </c>
      <c r="BC45" s="9">
        <f t="shared" si="32"/>
        <v>0.15789473684210525</v>
      </c>
      <c r="BD45" s="9">
        <f t="shared" si="33"/>
        <v>0.37878787878787878</v>
      </c>
      <c r="BE45" s="9">
        <f t="shared" si="34"/>
        <v>-1.098901098901099E-2</v>
      </c>
      <c r="BF45" s="9">
        <f t="shared" si="35"/>
        <v>0.1</v>
      </c>
      <c r="BG45" s="9">
        <f t="shared" si="36"/>
        <v>6.0606060606060608E-2</v>
      </c>
      <c r="BH45" s="9">
        <f t="shared" si="37"/>
        <v>-0.18095238095238095</v>
      </c>
      <c r="BI45" s="12">
        <f t="shared" si="38"/>
        <v>8.4224547382442116E-2</v>
      </c>
      <c r="BJ45" s="13">
        <f t="shared" si="39"/>
        <v>8.0303030303030307E-2</v>
      </c>
      <c r="BK45" s="1">
        <f t="shared" si="40"/>
        <v>9</v>
      </c>
      <c r="BL45" s="1">
        <f t="shared" si="41"/>
        <v>25</v>
      </c>
      <c r="BM45" s="1">
        <f t="shared" si="42"/>
        <v>-1</v>
      </c>
      <c r="BN45" s="1">
        <f t="shared" si="43"/>
        <v>9</v>
      </c>
      <c r="BO45" s="1">
        <f t="shared" si="44"/>
        <v>6</v>
      </c>
      <c r="BP45" s="1">
        <f t="shared" si="45"/>
        <v>-19</v>
      </c>
      <c r="BQ45" s="19">
        <f t="shared" si="46"/>
        <v>4.833333333333333</v>
      </c>
      <c r="BR45" s="17">
        <f t="shared" si="47"/>
        <v>7.5</v>
      </c>
    </row>
    <row r="46" spans="1:70" x14ac:dyDescent="0.25">
      <c r="A46" t="s">
        <v>141</v>
      </c>
      <c r="B46">
        <v>96</v>
      </c>
      <c r="C46">
        <v>108</v>
      </c>
      <c r="D46">
        <v>135</v>
      </c>
      <c r="E46">
        <v>154</v>
      </c>
      <c r="F46">
        <v>144</v>
      </c>
      <c r="G46">
        <v>179</v>
      </c>
      <c r="H46">
        <v>151</v>
      </c>
      <c r="I46">
        <v>41</v>
      </c>
      <c r="J46">
        <v>46</v>
      </c>
      <c r="K46">
        <v>70</v>
      </c>
      <c r="L46">
        <v>80</v>
      </c>
      <c r="M46">
        <v>75</v>
      </c>
      <c r="N46">
        <v>93</v>
      </c>
      <c r="O46">
        <v>67</v>
      </c>
      <c r="P46">
        <v>55</v>
      </c>
      <c r="Q46">
        <v>62</v>
      </c>
      <c r="R46">
        <v>65</v>
      </c>
      <c r="S46">
        <v>74</v>
      </c>
      <c r="T46">
        <v>69</v>
      </c>
      <c r="U46">
        <v>86</v>
      </c>
      <c r="V46">
        <v>84</v>
      </c>
      <c r="W46" s="8">
        <f t="shared" si="0"/>
        <v>0.125</v>
      </c>
      <c r="X46" s="8">
        <f t="shared" si="1"/>
        <v>0.25</v>
      </c>
      <c r="Y46" s="8">
        <f t="shared" si="2"/>
        <v>0.14074074074074075</v>
      </c>
      <c r="Z46" s="8">
        <f t="shared" si="3"/>
        <v>-6.4935064935064929E-2</v>
      </c>
      <c r="AA46" s="8">
        <f t="shared" si="4"/>
        <v>0.24305555555555555</v>
      </c>
      <c r="AB46" s="8">
        <f t="shared" si="5"/>
        <v>-0.15642458100558659</v>
      </c>
      <c r="AC46" s="12">
        <f t="shared" si="6"/>
        <v>8.9572775059274121E-2</v>
      </c>
      <c r="AD46" s="12">
        <f t="shared" si="7"/>
        <v>0.13287037037037036</v>
      </c>
      <c r="AE46" s="1">
        <f t="shared" si="8"/>
        <v>12</v>
      </c>
      <c r="AF46" s="1">
        <f t="shared" si="9"/>
        <v>27</v>
      </c>
      <c r="AG46" s="1">
        <f t="shared" si="10"/>
        <v>19</v>
      </c>
      <c r="AH46" s="1">
        <f t="shared" si="11"/>
        <v>-10</v>
      </c>
      <c r="AI46" s="1">
        <f t="shared" si="12"/>
        <v>35</v>
      </c>
      <c r="AJ46" s="1">
        <f t="shared" si="13"/>
        <v>-28</v>
      </c>
      <c r="AK46" s="17">
        <f t="shared" si="14"/>
        <v>9.1666666666666661</v>
      </c>
      <c r="AL46" s="17">
        <f t="shared" si="15"/>
        <v>15.5</v>
      </c>
      <c r="AM46" s="1">
        <f t="shared" si="16"/>
        <v>0.12195121951219512</v>
      </c>
      <c r="AN46" s="1">
        <f t="shared" si="17"/>
        <v>0.52173913043478259</v>
      </c>
      <c r="AO46" s="1">
        <f t="shared" si="18"/>
        <v>0.14285714285714285</v>
      </c>
      <c r="AP46" s="1">
        <f t="shared" si="19"/>
        <v>-6.25E-2</v>
      </c>
      <c r="AQ46" s="1">
        <f t="shared" si="20"/>
        <v>0.24</v>
      </c>
      <c r="AR46" s="1">
        <f t="shared" si="21"/>
        <v>-0.27956989247311825</v>
      </c>
      <c r="AS46" s="12">
        <f t="shared" si="22"/>
        <v>0.11407960005516704</v>
      </c>
      <c r="AT46" s="12">
        <f t="shared" si="23"/>
        <v>0.13240418118466898</v>
      </c>
      <c r="AU46" s="1">
        <f t="shared" si="24"/>
        <v>5</v>
      </c>
      <c r="AV46" s="1">
        <f t="shared" si="25"/>
        <v>24</v>
      </c>
      <c r="AW46" s="1">
        <f t="shared" si="26"/>
        <v>10</v>
      </c>
      <c r="AX46" s="1">
        <f t="shared" si="27"/>
        <v>-5</v>
      </c>
      <c r="AY46" s="1">
        <f t="shared" si="28"/>
        <v>18</v>
      </c>
      <c r="AZ46" s="1">
        <f t="shared" si="29"/>
        <v>-26</v>
      </c>
      <c r="BA46" s="19">
        <f t="shared" si="30"/>
        <v>4.333333333333333</v>
      </c>
      <c r="BB46" s="19">
        <f t="shared" si="31"/>
        <v>7.5</v>
      </c>
      <c r="BC46" s="9">
        <f t="shared" si="32"/>
        <v>0.12727272727272726</v>
      </c>
      <c r="BD46" s="9">
        <f t="shared" si="33"/>
        <v>4.8387096774193547E-2</v>
      </c>
      <c r="BE46" s="9">
        <f t="shared" si="34"/>
        <v>0.13846153846153847</v>
      </c>
      <c r="BF46" s="9">
        <f t="shared" si="35"/>
        <v>-6.7567567567567571E-2</v>
      </c>
      <c r="BG46" s="9">
        <f t="shared" si="36"/>
        <v>0.24637681159420291</v>
      </c>
      <c r="BH46" s="9">
        <f t="shared" si="37"/>
        <v>-2.3255813953488372E-2</v>
      </c>
      <c r="BI46" s="12">
        <f t="shared" si="38"/>
        <v>7.8279132096934378E-2</v>
      </c>
      <c r="BJ46" s="13">
        <f t="shared" si="39"/>
        <v>8.782991202346041E-2</v>
      </c>
      <c r="BK46" s="1">
        <f t="shared" si="40"/>
        <v>7</v>
      </c>
      <c r="BL46" s="1">
        <f t="shared" si="41"/>
        <v>3</v>
      </c>
      <c r="BM46" s="1">
        <f t="shared" si="42"/>
        <v>9</v>
      </c>
      <c r="BN46" s="1">
        <f t="shared" si="43"/>
        <v>-5</v>
      </c>
      <c r="BO46" s="1">
        <f t="shared" si="44"/>
        <v>17</v>
      </c>
      <c r="BP46" s="1">
        <f t="shared" si="45"/>
        <v>-2</v>
      </c>
      <c r="BQ46" s="19">
        <f t="shared" si="46"/>
        <v>4.833333333333333</v>
      </c>
      <c r="BR46" s="17">
        <f t="shared" si="47"/>
        <v>5</v>
      </c>
    </row>
    <row r="47" spans="1:70" x14ac:dyDescent="0.25">
      <c r="A47" t="s">
        <v>236</v>
      </c>
      <c r="B47">
        <v>21</v>
      </c>
      <c r="C47">
        <v>36</v>
      </c>
      <c r="D47">
        <v>27</v>
      </c>
      <c r="E47">
        <v>60</v>
      </c>
      <c r="F47">
        <v>35</v>
      </c>
      <c r="G47">
        <v>75</v>
      </c>
      <c r="H47">
        <v>73</v>
      </c>
      <c r="I47">
        <v>13</v>
      </c>
      <c r="J47">
        <v>21</v>
      </c>
      <c r="K47">
        <v>8</v>
      </c>
      <c r="L47">
        <v>24</v>
      </c>
      <c r="M47">
        <v>10</v>
      </c>
      <c r="N47">
        <v>29</v>
      </c>
      <c r="O47">
        <v>28</v>
      </c>
      <c r="P47">
        <v>8</v>
      </c>
      <c r="Q47">
        <v>15</v>
      </c>
      <c r="R47">
        <v>19</v>
      </c>
      <c r="S47">
        <v>36</v>
      </c>
      <c r="T47">
        <v>25</v>
      </c>
      <c r="U47">
        <v>46</v>
      </c>
      <c r="V47">
        <v>45</v>
      </c>
      <c r="W47" s="8">
        <f t="shared" si="0"/>
        <v>0.7142857142857143</v>
      </c>
      <c r="X47" s="8">
        <f t="shared" si="1"/>
        <v>-0.25</v>
      </c>
      <c r="Y47" s="8">
        <f t="shared" si="2"/>
        <v>1.2222222222222223</v>
      </c>
      <c r="Z47" s="8">
        <f t="shared" si="3"/>
        <v>-0.41666666666666669</v>
      </c>
      <c r="AA47" s="8">
        <f t="shared" si="4"/>
        <v>1.1428571428571428</v>
      </c>
      <c r="AB47" s="8">
        <f t="shared" si="5"/>
        <v>-2.6666666666666668E-2</v>
      </c>
      <c r="AC47" s="12">
        <f t="shared" si="6"/>
        <v>0.39767195767195768</v>
      </c>
      <c r="AD47" s="12">
        <f t="shared" si="7"/>
        <v>0.34380952380952379</v>
      </c>
      <c r="AE47" s="1">
        <f t="shared" si="8"/>
        <v>15</v>
      </c>
      <c r="AF47" s="1">
        <f t="shared" si="9"/>
        <v>-9</v>
      </c>
      <c r="AG47" s="1">
        <f t="shared" si="10"/>
        <v>33</v>
      </c>
      <c r="AH47" s="1">
        <f t="shared" si="11"/>
        <v>-25</v>
      </c>
      <c r="AI47" s="1">
        <f t="shared" si="12"/>
        <v>40</v>
      </c>
      <c r="AJ47" s="1">
        <f t="shared" si="13"/>
        <v>-2</v>
      </c>
      <c r="AK47" s="17">
        <f t="shared" si="14"/>
        <v>8.6666666666666661</v>
      </c>
      <c r="AL47" s="17">
        <f t="shared" si="15"/>
        <v>6.5</v>
      </c>
      <c r="AM47" s="1">
        <f t="shared" si="16"/>
        <v>0.61538461538461542</v>
      </c>
      <c r="AN47" s="1">
        <f t="shared" si="17"/>
        <v>-0.61904761904761907</v>
      </c>
      <c r="AO47" s="1">
        <f t="shared" si="18"/>
        <v>2</v>
      </c>
      <c r="AP47" s="1">
        <f t="shared" si="19"/>
        <v>-0.58333333333333337</v>
      </c>
      <c r="AQ47" s="1">
        <f t="shared" si="20"/>
        <v>1.9</v>
      </c>
      <c r="AR47" s="1">
        <f t="shared" si="21"/>
        <v>-3.4482758620689655E-2</v>
      </c>
      <c r="AS47" s="12">
        <f t="shared" si="22"/>
        <v>0.54642015073049555</v>
      </c>
      <c r="AT47" s="12">
        <f t="shared" si="23"/>
        <v>0.29045092838196285</v>
      </c>
      <c r="AU47" s="1">
        <f t="shared" si="24"/>
        <v>8</v>
      </c>
      <c r="AV47" s="1">
        <f t="shared" si="25"/>
        <v>-13</v>
      </c>
      <c r="AW47" s="1">
        <f t="shared" si="26"/>
        <v>16</v>
      </c>
      <c r="AX47" s="1">
        <f t="shared" si="27"/>
        <v>-14</v>
      </c>
      <c r="AY47" s="1">
        <f t="shared" si="28"/>
        <v>19</v>
      </c>
      <c r="AZ47" s="1">
        <f t="shared" si="29"/>
        <v>-1</v>
      </c>
      <c r="BA47" s="19">
        <f t="shared" si="30"/>
        <v>2.5</v>
      </c>
      <c r="BB47" s="19">
        <f t="shared" si="31"/>
        <v>3.5</v>
      </c>
      <c r="BC47" s="9">
        <f t="shared" si="32"/>
        <v>0.875</v>
      </c>
      <c r="BD47" s="9">
        <f t="shared" si="33"/>
        <v>0.26666666666666666</v>
      </c>
      <c r="BE47" s="9">
        <f t="shared" si="34"/>
        <v>0.89473684210526316</v>
      </c>
      <c r="BF47" s="9">
        <f t="shared" si="35"/>
        <v>-0.30555555555555558</v>
      </c>
      <c r="BG47" s="9">
        <f t="shared" si="36"/>
        <v>0.84</v>
      </c>
      <c r="BH47" s="9">
        <f t="shared" si="37"/>
        <v>-2.1739130434782608E-2</v>
      </c>
      <c r="BI47" s="12">
        <f t="shared" si="38"/>
        <v>0.42485147046359861</v>
      </c>
      <c r="BJ47" s="13">
        <f t="shared" si="39"/>
        <v>0.55333333333333323</v>
      </c>
      <c r="BK47" s="1">
        <f t="shared" si="40"/>
        <v>7</v>
      </c>
      <c r="BL47" s="1">
        <f t="shared" si="41"/>
        <v>4</v>
      </c>
      <c r="BM47" s="1">
        <f t="shared" si="42"/>
        <v>17</v>
      </c>
      <c r="BN47" s="1">
        <f t="shared" si="43"/>
        <v>-11</v>
      </c>
      <c r="BO47" s="1">
        <f t="shared" si="44"/>
        <v>21</v>
      </c>
      <c r="BP47" s="1">
        <f t="shared" si="45"/>
        <v>-1</v>
      </c>
      <c r="BQ47" s="19">
        <f t="shared" si="46"/>
        <v>6.166666666666667</v>
      </c>
      <c r="BR47" s="17">
        <f t="shared" si="47"/>
        <v>5.5</v>
      </c>
    </row>
    <row r="48" spans="1:70" x14ac:dyDescent="0.25">
      <c r="A48" t="s">
        <v>129</v>
      </c>
      <c r="B48">
        <v>133</v>
      </c>
      <c r="C48">
        <v>142</v>
      </c>
      <c r="D48">
        <v>151</v>
      </c>
      <c r="E48">
        <v>180</v>
      </c>
      <c r="F48">
        <v>180</v>
      </c>
      <c r="G48">
        <v>178</v>
      </c>
      <c r="H48">
        <v>184</v>
      </c>
      <c r="I48">
        <v>83</v>
      </c>
      <c r="J48">
        <v>84</v>
      </c>
      <c r="K48">
        <v>105</v>
      </c>
      <c r="L48">
        <v>125</v>
      </c>
      <c r="M48">
        <v>125</v>
      </c>
      <c r="N48">
        <v>120</v>
      </c>
      <c r="O48">
        <v>119</v>
      </c>
      <c r="P48">
        <v>50</v>
      </c>
      <c r="Q48">
        <v>58</v>
      </c>
      <c r="R48">
        <v>46</v>
      </c>
      <c r="S48">
        <v>55</v>
      </c>
      <c r="T48">
        <v>55</v>
      </c>
      <c r="U48">
        <v>58</v>
      </c>
      <c r="V48">
        <v>65</v>
      </c>
      <c r="W48" s="8">
        <f t="shared" si="0"/>
        <v>6.7669172932330823E-2</v>
      </c>
      <c r="X48" s="8">
        <f t="shared" si="1"/>
        <v>6.3380281690140844E-2</v>
      </c>
      <c r="Y48" s="8">
        <f t="shared" si="2"/>
        <v>0.19205298013245034</v>
      </c>
      <c r="Z48" s="8">
        <f t="shared" si="3"/>
        <v>0</v>
      </c>
      <c r="AA48" s="8">
        <f t="shared" si="4"/>
        <v>-1.1111111111111112E-2</v>
      </c>
      <c r="AB48" s="8">
        <f t="shared" si="5"/>
        <v>3.3707865168539325E-2</v>
      </c>
      <c r="AC48" s="12">
        <f t="shared" si="6"/>
        <v>5.761653146872503E-2</v>
      </c>
      <c r="AD48" s="12">
        <f t="shared" si="7"/>
        <v>4.8544073429340084E-2</v>
      </c>
      <c r="AE48" s="1">
        <f t="shared" si="8"/>
        <v>9</v>
      </c>
      <c r="AF48" s="1">
        <f t="shared" si="9"/>
        <v>9</v>
      </c>
      <c r="AG48" s="1">
        <f t="shared" si="10"/>
        <v>29</v>
      </c>
      <c r="AH48" s="1">
        <f t="shared" si="11"/>
        <v>0</v>
      </c>
      <c r="AI48" s="1">
        <f t="shared" si="12"/>
        <v>-2</v>
      </c>
      <c r="AJ48" s="1">
        <f t="shared" si="13"/>
        <v>6</v>
      </c>
      <c r="AK48" s="17">
        <f t="shared" si="14"/>
        <v>8.5</v>
      </c>
      <c r="AL48" s="17">
        <f t="shared" si="15"/>
        <v>7.5</v>
      </c>
      <c r="AM48" s="1">
        <f t="shared" si="16"/>
        <v>1.2048192771084338E-2</v>
      </c>
      <c r="AN48" s="1">
        <f t="shared" si="17"/>
        <v>0.25</v>
      </c>
      <c r="AO48" s="1">
        <f t="shared" si="18"/>
        <v>0.19047619047619047</v>
      </c>
      <c r="AP48" s="1">
        <f t="shared" si="19"/>
        <v>0</v>
      </c>
      <c r="AQ48" s="1">
        <f t="shared" si="20"/>
        <v>-0.04</v>
      </c>
      <c r="AR48" s="1">
        <f t="shared" si="21"/>
        <v>-8.3333333333333332E-3</v>
      </c>
      <c r="AS48" s="12">
        <f t="shared" si="22"/>
        <v>6.7365174985656903E-2</v>
      </c>
      <c r="AT48" s="12">
        <f t="shared" si="23"/>
        <v>6.024096385542169E-3</v>
      </c>
      <c r="AU48" s="1">
        <f t="shared" si="24"/>
        <v>1</v>
      </c>
      <c r="AV48" s="1">
        <f t="shared" si="25"/>
        <v>21</v>
      </c>
      <c r="AW48" s="1">
        <f t="shared" si="26"/>
        <v>20</v>
      </c>
      <c r="AX48" s="1">
        <f t="shared" si="27"/>
        <v>0</v>
      </c>
      <c r="AY48" s="1">
        <f t="shared" si="28"/>
        <v>-5</v>
      </c>
      <c r="AZ48" s="1">
        <f t="shared" si="29"/>
        <v>-1</v>
      </c>
      <c r="BA48" s="19">
        <f t="shared" si="30"/>
        <v>6</v>
      </c>
      <c r="BB48" s="19">
        <f t="shared" si="31"/>
        <v>0.5</v>
      </c>
      <c r="BC48" s="9">
        <f t="shared" si="32"/>
        <v>0.16</v>
      </c>
      <c r="BD48" s="9">
        <f t="shared" si="33"/>
        <v>-0.20689655172413793</v>
      </c>
      <c r="BE48" s="9">
        <f t="shared" si="34"/>
        <v>0.19565217391304349</v>
      </c>
      <c r="BF48" s="9">
        <f t="shared" si="35"/>
        <v>0</v>
      </c>
      <c r="BG48" s="9">
        <f t="shared" si="36"/>
        <v>5.4545454545454543E-2</v>
      </c>
      <c r="BH48" s="9">
        <f t="shared" si="37"/>
        <v>0.1206896551724138</v>
      </c>
      <c r="BI48" s="12">
        <f t="shared" si="38"/>
        <v>5.3998455317795652E-2</v>
      </c>
      <c r="BJ48" s="13">
        <f t="shared" si="39"/>
        <v>8.761755485893416E-2</v>
      </c>
      <c r="BK48" s="1">
        <f t="shared" si="40"/>
        <v>8</v>
      </c>
      <c r="BL48" s="1">
        <f t="shared" si="41"/>
        <v>-12</v>
      </c>
      <c r="BM48" s="1">
        <f t="shared" si="42"/>
        <v>9</v>
      </c>
      <c r="BN48" s="1">
        <f t="shared" si="43"/>
        <v>0</v>
      </c>
      <c r="BO48" s="1">
        <f t="shared" si="44"/>
        <v>3</v>
      </c>
      <c r="BP48" s="1">
        <f t="shared" si="45"/>
        <v>7</v>
      </c>
      <c r="BQ48" s="19">
        <f t="shared" si="46"/>
        <v>2.5</v>
      </c>
      <c r="BR48" s="17">
        <f t="shared" si="47"/>
        <v>5</v>
      </c>
    </row>
    <row r="49" spans="1:70" x14ac:dyDescent="0.25">
      <c r="A49" t="s">
        <v>195</v>
      </c>
      <c r="B49">
        <v>39</v>
      </c>
      <c r="C49">
        <v>48</v>
      </c>
      <c r="D49">
        <v>55</v>
      </c>
      <c r="E49">
        <v>65</v>
      </c>
      <c r="F49">
        <v>62</v>
      </c>
      <c r="G49">
        <v>65</v>
      </c>
      <c r="H49">
        <v>89</v>
      </c>
      <c r="I49">
        <v>13</v>
      </c>
      <c r="J49">
        <v>26</v>
      </c>
      <c r="K49">
        <v>33</v>
      </c>
      <c r="L49">
        <v>31</v>
      </c>
      <c r="M49">
        <v>34</v>
      </c>
      <c r="N49">
        <v>35</v>
      </c>
      <c r="O49">
        <v>41</v>
      </c>
      <c r="P49">
        <v>26</v>
      </c>
      <c r="Q49">
        <v>22</v>
      </c>
      <c r="R49">
        <v>22</v>
      </c>
      <c r="S49">
        <v>34</v>
      </c>
      <c r="T49">
        <v>28</v>
      </c>
      <c r="U49">
        <v>30</v>
      </c>
      <c r="V49">
        <v>48</v>
      </c>
      <c r="W49" s="8">
        <f t="shared" si="0"/>
        <v>0.23076923076923078</v>
      </c>
      <c r="X49" s="8">
        <f t="shared" si="1"/>
        <v>0.14583333333333334</v>
      </c>
      <c r="Y49" s="8">
        <f t="shared" si="2"/>
        <v>0.18181818181818182</v>
      </c>
      <c r="Z49" s="8">
        <f t="shared" si="3"/>
        <v>-4.6153846153846156E-2</v>
      </c>
      <c r="AA49" s="8">
        <f t="shared" si="4"/>
        <v>4.8387096774193547E-2</v>
      </c>
      <c r="AB49" s="8">
        <f t="shared" si="5"/>
        <v>0.36923076923076925</v>
      </c>
      <c r="AC49" s="12">
        <f t="shared" si="6"/>
        <v>0.15498079429531042</v>
      </c>
      <c r="AD49" s="12">
        <f t="shared" si="7"/>
        <v>0.16382575757575757</v>
      </c>
      <c r="AE49" s="1">
        <f t="shared" si="8"/>
        <v>9</v>
      </c>
      <c r="AF49" s="1">
        <f t="shared" si="9"/>
        <v>7</v>
      </c>
      <c r="AG49" s="1">
        <f t="shared" si="10"/>
        <v>10</v>
      </c>
      <c r="AH49" s="1">
        <f t="shared" si="11"/>
        <v>-3</v>
      </c>
      <c r="AI49" s="1">
        <f t="shared" si="12"/>
        <v>3</v>
      </c>
      <c r="AJ49" s="1">
        <f t="shared" si="13"/>
        <v>24</v>
      </c>
      <c r="AK49" s="17">
        <f t="shared" si="14"/>
        <v>8.3333333333333339</v>
      </c>
      <c r="AL49" s="17">
        <f t="shared" si="15"/>
        <v>8</v>
      </c>
      <c r="AM49" s="1">
        <f t="shared" si="16"/>
        <v>1</v>
      </c>
      <c r="AN49" s="1">
        <f t="shared" si="17"/>
        <v>0.26923076923076922</v>
      </c>
      <c r="AO49" s="1">
        <f t="shared" si="18"/>
        <v>-6.0606060606060608E-2</v>
      </c>
      <c r="AP49" s="1">
        <f t="shared" si="19"/>
        <v>9.6774193548387094E-2</v>
      </c>
      <c r="AQ49" s="1">
        <f t="shared" si="20"/>
        <v>2.9411764705882353E-2</v>
      </c>
      <c r="AR49" s="1">
        <f t="shared" si="21"/>
        <v>0.17142857142857143</v>
      </c>
      <c r="AS49" s="12">
        <f t="shared" si="22"/>
        <v>0.25103987305125824</v>
      </c>
      <c r="AT49" s="12">
        <f t="shared" si="23"/>
        <v>0.13410138248847925</v>
      </c>
      <c r="AU49" s="1">
        <f t="shared" si="24"/>
        <v>13</v>
      </c>
      <c r="AV49" s="1">
        <f t="shared" si="25"/>
        <v>7</v>
      </c>
      <c r="AW49" s="1">
        <f t="shared" si="26"/>
        <v>-2</v>
      </c>
      <c r="AX49" s="1">
        <f t="shared" si="27"/>
        <v>3</v>
      </c>
      <c r="AY49" s="1">
        <f t="shared" si="28"/>
        <v>1</v>
      </c>
      <c r="AZ49" s="1">
        <f t="shared" si="29"/>
        <v>6</v>
      </c>
      <c r="BA49" s="19">
        <f t="shared" si="30"/>
        <v>4.666666666666667</v>
      </c>
      <c r="BB49" s="19">
        <f t="shared" si="31"/>
        <v>4.5</v>
      </c>
      <c r="BC49" s="9">
        <f t="shared" si="32"/>
        <v>-0.15384615384615385</v>
      </c>
      <c r="BD49" s="9">
        <f t="shared" si="33"/>
        <v>0</v>
      </c>
      <c r="BE49" s="9">
        <f t="shared" si="34"/>
        <v>0.54545454545454541</v>
      </c>
      <c r="BF49" s="9">
        <f t="shared" si="35"/>
        <v>-0.17647058823529413</v>
      </c>
      <c r="BG49" s="9">
        <f t="shared" si="36"/>
        <v>7.1428571428571425E-2</v>
      </c>
      <c r="BH49" s="9">
        <f t="shared" si="37"/>
        <v>0.6</v>
      </c>
      <c r="BI49" s="12">
        <f t="shared" si="38"/>
        <v>0.14776106246694479</v>
      </c>
      <c r="BJ49" s="13">
        <f t="shared" si="39"/>
        <v>3.5714285714285712E-2</v>
      </c>
      <c r="BK49" s="1">
        <f t="shared" si="40"/>
        <v>-4</v>
      </c>
      <c r="BL49" s="1">
        <f t="shared" si="41"/>
        <v>0</v>
      </c>
      <c r="BM49" s="1">
        <f t="shared" si="42"/>
        <v>12</v>
      </c>
      <c r="BN49" s="1">
        <f t="shared" si="43"/>
        <v>-6</v>
      </c>
      <c r="BO49" s="1">
        <f t="shared" si="44"/>
        <v>2</v>
      </c>
      <c r="BP49" s="1">
        <f t="shared" si="45"/>
        <v>18</v>
      </c>
      <c r="BQ49" s="19">
        <f t="shared" si="46"/>
        <v>3.6666666666666665</v>
      </c>
      <c r="BR49" s="17">
        <f t="shared" si="47"/>
        <v>1</v>
      </c>
    </row>
    <row r="50" spans="1:70" x14ac:dyDescent="0.25">
      <c r="A50" t="s">
        <v>205</v>
      </c>
      <c r="B50">
        <v>33</v>
      </c>
      <c r="C50">
        <v>44</v>
      </c>
      <c r="D50">
        <v>30</v>
      </c>
      <c r="E50">
        <v>202</v>
      </c>
      <c r="F50">
        <v>290</v>
      </c>
      <c r="G50">
        <v>129</v>
      </c>
      <c r="H50">
        <v>80</v>
      </c>
      <c r="I50">
        <v>18</v>
      </c>
      <c r="J50">
        <v>20</v>
      </c>
      <c r="K50">
        <v>9</v>
      </c>
      <c r="L50">
        <v>128</v>
      </c>
      <c r="M50">
        <v>186</v>
      </c>
      <c r="N50">
        <v>64</v>
      </c>
      <c r="O50">
        <v>48</v>
      </c>
      <c r="P50">
        <v>15</v>
      </c>
      <c r="Q50">
        <v>24</v>
      </c>
      <c r="R50">
        <v>21</v>
      </c>
      <c r="S50">
        <v>74</v>
      </c>
      <c r="T50">
        <v>104</v>
      </c>
      <c r="U50">
        <v>65</v>
      </c>
      <c r="V50">
        <v>32</v>
      </c>
      <c r="W50" s="8">
        <f t="shared" si="0"/>
        <v>0.33333333333333331</v>
      </c>
      <c r="X50" s="8">
        <f t="shared" si="1"/>
        <v>-0.31818181818181818</v>
      </c>
      <c r="Y50" s="8">
        <f t="shared" si="2"/>
        <v>5.7333333333333334</v>
      </c>
      <c r="Z50" s="8">
        <f t="shared" si="3"/>
        <v>0.43564356435643564</v>
      </c>
      <c r="AA50" s="8">
        <f t="shared" si="4"/>
        <v>-0.55517241379310345</v>
      </c>
      <c r="AB50" s="8">
        <f t="shared" si="5"/>
        <v>-0.37984496124031009</v>
      </c>
      <c r="AC50" s="12">
        <f t="shared" si="6"/>
        <v>0.87485183963464508</v>
      </c>
      <c r="AD50" s="12">
        <f t="shared" si="7"/>
        <v>7.575757575757569E-3</v>
      </c>
      <c r="AE50" s="1">
        <f t="shared" si="8"/>
        <v>11</v>
      </c>
      <c r="AF50" s="1">
        <f t="shared" si="9"/>
        <v>-14</v>
      </c>
      <c r="AG50" s="1">
        <f t="shared" si="10"/>
        <v>172</v>
      </c>
      <c r="AH50" s="1">
        <f t="shared" si="11"/>
        <v>88</v>
      </c>
      <c r="AI50" s="1">
        <f t="shared" si="12"/>
        <v>-161</v>
      </c>
      <c r="AJ50" s="1">
        <f t="shared" si="13"/>
        <v>-49</v>
      </c>
      <c r="AK50" s="17">
        <f t="shared" si="14"/>
        <v>7.833333333333333</v>
      </c>
      <c r="AL50" s="17">
        <f t="shared" si="15"/>
        <v>-1.5</v>
      </c>
      <c r="AM50" s="1">
        <f t="shared" si="16"/>
        <v>0.1111111111111111</v>
      </c>
      <c r="AN50" s="1">
        <f t="shared" si="17"/>
        <v>-0.55000000000000004</v>
      </c>
      <c r="AO50" s="1">
        <f t="shared" si="18"/>
        <v>13.222222222222221</v>
      </c>
      <c r="AP50" s="1">
        <f t="shared" si="19"/>
        <v>0.453125</v>
      </c>
      <c r="AQ50" s="1">
        <f t="shared" si="20"/>
        <v>-0.65591397849462363</v>
      </c>
      <c r="AR50" s="1">
        <f t="shared" si="21"/>
        <v>-0.25</v>
      </c>
      <c r="AS50" s="12">
        <f t="shared" si="22"/>
        <v>2.0550907258064517</v>
      </c>
      <c r="AT50" s="12">
        <f t="shared" si="23"/>
        <v>-6.9444444444444448E-2</v>
      </c>
      <c r="AU50" s="1">
        <f t="shared" si="24"/>
        <v>2</v>
      </c>
      <c r="AV50" s="1">
        <f t="shared" si="25"/>
        <v>-11</v>
      </c>
      <c r="AW50" s="1">
        <f t="shared" si="26"/>
        <v>119</v>
      </c>
      <c r="AX50" s="1">
        <f t="shared" si="27"/>
        <v>58</v>
      </c>
      <c r="AY50" s="1">
        <f t="shared" si="28"/>
        <v>-122</v>
      </c>
      <c r="AZ50" s="1">
        <f t="shared" si="29"/>
        <v>-16</v>
      </c>
      <c r="BA50" s="19">
        <f t="shared" si="30"/>
        <v>5</v>
      </c>
      <c r="BB50" s="19">
        <f t="shared" si="31"/>
        <v>-4.5</v>
      </c>
      <c r="BC50" s="9">
        <f t="shared" si="32"/>
        <v>0.6</v>
      </c>
      <c r="BD50" s="9">
        <f t="shared" si="33"/>
        <v>-0.125</v>
      </c>
      <c r="BE50" s="9">
        <f t="shared" si="34"/>
        <v>2.5238095238095237</v>
      </c>
      <c r="BF50" s="9">
        <f t="shared" si="35"/>
        <v>0.40540540540540543</v>
      </c>
      <c r="BG50" s="9">
        <f t="shared" si="36"/>
        <v>-0.375</v>
      </c>
      <c r="BH50" s="9">
        <f t="shared" si="37"/>
        <v>-0.50769230769230766</v>
      </c>
      <c r="BI50" s="12">
        <f t="shared" si="38"/>
        <v>0.42025377025377025</v>
      </c>
      <c r="BJ50" s="13">
        <f t="shared" si="39"/>
        <v>0.14020270270270274</v>
      </c>
      <c r="BK50" s="1">
        <f t="shared" si="40"/>
        <v>9</v>
      </c>
      <c r="BL50" s="1">
        <f t="shared" si="41"/>
        <v>-3</v>
      </c>
      <c r="BM50" s="1">
        <f t="shared" si="42"/>
        <v>53</v>
      </c>
      <c r="BN50" s="1">
        <f t="shared" si="43"/>
        <v>30</v>
      </c>
      <c r="BO50" s="1">
        <f t="shared" si="44"/>
        <v>-39</v>
      </c>
      <c r="BP50" s="1">
        <f t="shared" si="45"/>
        <v>-33</v>
      </c>
      <c r="BQ50" s="19">
        <f t="shared" si="46"/>
        <v>2.8333333333333335</v>
      </c>
      <c r="BR50" s="17">
        <f t="shared" si="47"/>
        <v>3</v>
      </c>
    </row>
    <row r="51" spans="1:70" x14ac:dyDescent="0.25">
      <c r="A51" t="s">
        <v>239</v>
      </c>
      <c r="B51">
        <v>21</v>
      </c>
      <c r="C51">
        <v>32</v>
      </c>
      <c r="D51">
        <v>51</v>
      </c>
      <c r="E51">
        <v>61</v>
      </c>
      <c r="F51">
        <v>72</v>
      </c>
      <c r="G51">
        <v>81</v>
      </c>
      <c r="H51">
        <v>68</v>
      </c>
      <c r="I51">
        <v>11</v>
      </c>
      <c r="J51">
        <v>18</v>
      </c>
      <c r="K51">
        <v>23</v>
      </c>
      <c r="L51">
        <v>38</v>
      </c>
      <c r="M51">
        <v>35</v>
      </c>
      <c r="N51">
        <v>40</v>
      </c>
      <c r="O51">
        <v>36</v>
      </c>
      <c r="P51">
        <v>10</v>
      </c>
      <c r="Q51">
        <v>14</v>
      </c>
      <c r="R51">
        <v>28</v>
      </c>
      <c r="S51">
        <v>23</v>
      </c>
      <c r="T51">
        <v>37</v>
      </c>
      <c r="U51">
        <v>41</v>
      </c>
      <c r="V51">
        <v>32</v>
      </c>
      <c r="W51" s="8">
        <f t="shared" si="0"/>
        <v>0.52380952380952384</v>
      </c>
      <c r="X51" s="8">
        <f t="shared" si="1"/>
        <v>0.59375</v>
      </c>
      <c r="Y51" s="8">
        <f t="shared" si="2"/>
        <v>0.19607843137254902</v>
      </c>
      <c r="Z51" s="8">
        <f t="shared" si="3"/>
        <v>0.18032786885245902</v>
      </c>
      <c r="AA51" s="8">
        <f t="shared" si="4"/>
        <v>0.125</v>
      </c>
      <c r="AB51" s="8">
        <f t="shared" si="5"/>
        <v>-0.16049382716049382</v>
      </c>
      <c r="AC51" s="12">
        <f t="shared" si="6"/>
        <v>0.24307866614567297</v>
      </c>
      <c r="AD51" s="12">
        <f t="shared" si="7"/>
        <v>0.18820315011250402</v>
      </c>
      <c r="AE51" s="1">
        <f t="shared" si="8"/>
        <v>11</v>
      </c>
      <c r="AF51" s="1">
        <f t="shared" si="9"/>
        <v>19</v>
      </c>
      <c r="AG51" s="1">
        <f t="shared" si="10"/>
        <v>10</v>
      </c>
      <c r="AH51" s="1">
        <f t="shared" si="11"/>
        <v>11</v>
      </c>
      <c r="AI51" s="1">
        <f t="shared" si="12"/>
        <v>9</v>
      </c>
      <c r="AJ51" s="1">
        <f t="shared" si="13"/>
        <v>-13</v>
      </c>
      <c r="AK51" s="17">
        <f t="shared" si="14"/>
        <v>7.833333333333333</v>
      </c>
      <c r="AL51" s="17">
        <f t="shared" si="15"/>
        <v>10.5</v>
      </c>
      <c r="AM51" s="1">
        <f t="shared" si="16"/>
        <v>0.63636363636363635</v>
      </c>
      <c r="AN51" s="1">
        <f t="shared" si="17"/>
        <v>0.27777777777777779</v>
      </c>
      <c r="AO51" s="1">
        <f t="shared" si="18"/>
        <v>0.65217391304347827</v>
      </c>
      <c r="AP51" s="1">
        <f t="shared" si="19"/>
        <v>-7.8947368421052627E-2</v>
      </c>
      <c r="AQ51" s="1">
        <f t="shared" si="20"/>
        <v>0.14285714285714285</v>
      </c>
      <c r="AR51" s="1">
        <f t="shared" si="21"/>
        <v>-0.1</v>
      </c>
      <c r="AS51" s="12">
        <f t="shared" si="22"/>
        <v>0.25503751693683041</v>
      </c>
      <c r="AT51" s="12">
        <f t="shared" si="23"/>
        <v>0.21031746031746032</v>
      </c>
      <c r="AU51" s="1">
        <f t="shared" si="24"/>
        <v>7</v>
      </c>
      <c r="AV51" s="1">
        <f t="shared" si="25"/>
        <v>5</v>
      </c>
      <c r="AW51" s="1">
        <f t="shared" si="26"/>
        <v>15</v>
      </c>
      <c r="AX51" s="1">
        <f t="shared" si="27"/>
        <v>-3</v>
      </c>
      <c r="AY51" s="1">
        <f t="shared" si="28"/>
        <v>5</v>
      </c>
      <c r="AZ51" s="1">
        <f t="shared" si="29"/>
        <v>-4</v>
      </c>
      <c r="BA51" s="19">
        <f t="shared" si="30"/>
        <v>4.166666666666667</v>
      </c>
      <c r="BB51" s="19">
        <f t="shared" si="31"/>
        <v>5</v>
      </c>
      <c r="BC51" s="9">
        <f t="shared" si="32"/>
        <v>0.4</v>
      </c>
      <c r="BD51" s="9">
        <f t="shared" si="33"/>
        <v>1</v>
      </c>
      <c r="BE51" s="9">
        <f t="shared" si="34"/>
        <v>-0.17857142857142858</v>
      </c>
      <c r="BF51" s="9">
        <f t="shared" si="35"/>
        <v>0.60869565217391308</v>
      </c>
      <c r="BG51" s="9">
        <f t="shared" si="36"/>
        <v>0.10810810810810811</v>
      </c>
      <c r="BH51" s="9">
        <f t="shared" si="37"/>
        <v>-0.21951219512195122</v>
      </c>
      <c r="BI51" s="12">
        <f t="shared" si="38"/>
        <v>0.2864533560981069</v>
      </c>
      <c r="BJ51" s="13">
        <f t="shared" si="39"/>
        <v>0.25405405405405407</v>
      </c>
      <c r="BK51" s="1">
        <f t="shared" si="40"/>
        <v>4</v>
      </c>
      <c r="BL51" s="1">
        <f t="shared" si="41"/>
        <v>14</v>
      </c>
      <c r="BM51" s="1">
        <f t="shared" si="42"/>
        <v>-5</v>
      </c>
      <c r="BN51" s="1">
        <f t="shared" si="43"/>
        <v>14</v>
      </c>
      <c r="BO51" s="1">
        <f t="shared" si="44"/>
        <v>4</v>
      </c>
      <c r="BP51" s="1">
        <f t="shared" si="45"/>
        <v>-9</v>
      </c>
      <c r="BQ51" s="19">
        <f t="shared" si="46"/>
        <v>3.6666666666666665</v>
      </c>
      <c r="BR51" s="17">
        <f t="shared" si="47"/>
        <v>4</v>
      </c>
    </row>
    <row r="52" spans="1:70" x14ac:dyDescent="0.25">
      <c r="A52" t="s">
        <v>102</v>
      </c>
      <c r="B52">
        <v>235</v>
      </c>
      <c r="C52">
        <v>227</v>
      </c>
      <c r="D52">
        <v>233</v>
      </c>
      <c r="E52">
        <v>251</v>
      </c>
      <c r="F52">
        <v>266</v>
      </c>
      <c r="G52">
        <v>250</v>
      </c>
      <c r="H52">
        <v>281</v>
      </c>
      <c r="P52">
        <v>235</v>
      </c>
      <c r="Q52">
        <v>227</v>
      </c>
      <c r="R52">
        <v>233</v>
      </c>
      <c r="S52">
        <v>251</v>
      </c>
      <c r="T52">
        <v>266</v>
      </c>
      <c r="U52">
        <v>250</v>
      </c>
      <c r="V52">
        <v>281</v>
      </c>
      <c r="W52" s="8">
        <f t="shared" si="0"/>
        <v>-3.4042553191489362E-2</v>
      </c>
      <c r="X52" s="8">
        <f t="shared" si="1"/>
        <v>2.643171806167401E-2</v>
      </c>
      <c r="Y52" s="8">
        <f t="shared" si="2"/>
        <v>7.7253218884120178E-2</v>
      </c>
      <c r="Z52" s="8">
        <f t="shared" si="3"/>
        <v>5.9760956175298807E-2</v>
      </c>
      <c r="AA52" s="8">
        <f t="shared" si="4"/>
        <v>-6.0150375939849621E-2</v>
      </c>
      <c r="AB52" s="8">
        <f t="shared" si="5"/>
        <v>0.124</v>
      </c>
      <c r="AC52" s="12">
        <f t="shared" si="6"/>
        <v>3.2208827331625667E-2</v>
      </c>
      <c r="AD52" s="12">
        <f t="shared" si="7"/>
        <v>4.3096337118486414E-2</v>
      </c>
      <c r="AE52" s="1">
        <f t="shared" si="8"/>
        <v>-8</v>
      </c>
      <c r="AF52" s="1">
        <f t="shared" si="9"/>
        <v>6</v>
      </c>
      <c r="AG52" s="1">
        <f t="shared" si="10"/>
        <v>18</v>
      </c>
      <c r="AH52" s="1">
        <f t="shared" si="11"/>
        <v>15</v>
      </c>
      <c r="AI52" s="1">
        <f t="shared" si="12"/>
        <v>-16</v>
      </c>
      <c r="AJ52" s="1">
        <f t="shared" si="13"/>
        <v>31</v>
      </c>
      <c r="AK52" s="17">
        <f t="shared" si="14"/>
        <v>7.666666666666667</v>
      </c>
      <c r="AL52" s="17">
        <f t="shared" si="15"/>
        <v>10.5</v>
      </c>
      <c r="AM52" s="1" t="e">
        <f t="shared" si="16"/>
        <v>#DIV/0!</v>
      </c>
      <c r="AN52" s="1" t="e">
        <f t="shared" si="17"/>
        <v>#DIV/0!</v>
      </c>
      <c r="AO52" s="1" t="e">
        <f t="shared" si="18"/>
        <v>#DIV/0!</v>
      </c>
      <c r="AP52" s="1" t="e">
        <f t="shared" si="19"/>
        <v>#DIV/0!</v>
      </c>
      <c r="AQ52" s="1" t="e">
        <f t="shared" si="20"/>
        <v>#DIV/0!</v>
      </c>
      <c r="AR52" s="1" t="e">
        <f t="shared" si="21"/>
        <v>#DIV/0!</v>
      </c>
      <c r="AS52" s="12" t="e">
        <f t="shared" si="22"/>
        <v>#DIV/0!</v>
      </c>
      <c r="AT52" s="12" t="e">
        <f t="shared" si="23"/>
        <v>#DIV/0!</v>
      </c>
      <c r="AU52" s="1">
        <f t="shared" si="24"/>
        <v>0</v>
      </c>
      <c r="AV52" s="1">
        <f t="shared" si="25"/>
        <v>0</v>
      </c>
      <c r="AW52" s="1">
        <f t="shared" si="26"/>
        <v>0</v>
      </c>
      <c r="AX52" s="1">
        <f t="shared" si="27"/>
        <v>0</v>
      </c>
      <c r="AY52" s="1">
        <f t="shared" si="28"/>
        <v>0</v>
      </c>
      <c r="AZ52" s="1">
        <f t="shared" si="29"/>
        <v>0</v>
      </c>
      <c r="BA52" s="19">
        <f t="shared" si="30"/>
        <v>0</v>
      </c>
      <c r="BB52" s="19">
        <f t="shared" si="31"/>
        <v>0</v>
      </c>
      <c r="BC52" s="9">
        <f t="shared" si="32"/>
        <v>-3.4042553191489362E-2</v>
      </c>
      <c r="BD52" s="9">
        <f t="shared" si="33"/>
        <v>2.643171806167401E-2</v>
      </c>
      <c r="BE52" s="9">
        <f t="shared" si="34"/>
        <v>7.7253218884120178E-2</v>
      </c>
      <c r="BF52" s="9">
        <f t="shared" si="35"/>
        <v>5.9760956175298807E-2</v>
      </c>
      <c r="BG52" s="9">
        <f t="shared" si="36"/>
        <v>-6.0150375939849621E-2</v>
      </c>
      <c r="BH52" s="9">
        <f t="shared" si="37"/>
        <v>0.124</v>
      </c>
      <c r="BI52" s="12">
        <f t="shared" si="38"/>
        <v>3.2208827331625667E-2</v>
      </c>
      <c r="BJ52" s="13">
        <f t="shared" si="39"/>
        <v>4.3096337118486414E-2</v>
      </c>
      <c r="BK52" s="1">
        <f t="shared" si="40"/>
        <v>-8</v>
      </c>
      <c r="BL52" s="1">
        <f t="shared" si="41"/>
        <v>6</v>
      </c>
      <c r="BM52" s="1">
        <f t="shared" si="42"/>
        <v>18</v>
      </c>
      <c r="BN52" s="1">
        <f t="shared" si="43"/>
        <v>15</v>
      </c>
      <c r="BO52" s="1">
        <f t="shared" si="44"/>
        <v>-16</v>
      </c>
      <c r="BP52" s="1">
        <f t="shared" si="45"/>
        <v>31</v>
      </c>
      <c r="BQ52" s="19">
        <f t="shared" si="46"/>
        <v>7.666666666666667</v>
      </c>
      <c r="BR52" s="17">
        <f t="shared" si="47"/>
        <v>10.5</v>
      </c>
    </row>
    <row r="53" spans="1:70" x14ac:dyDescent="0.25">
      <c r="A53" t="s">
        <v>257</v>
      </c>
      <c r="B53">
        <v>18</v>
      </c>
      <c r="C53">
        <v>2</v>
      </c>
      <c r="D53">
        <v>52</v>
      </c>
      <c r="E53">
        <v>135</v>
      </c>
      <c r="F53">
        <v>71</v>
      </c>
      <c r="G53">
        <v>57</v>
      </c>
      <c r="H53">
        <v>63</v>
      </c>
      <c r="I53">
        <v>7</v>
      </c>
      <c r="J53">
        <v>1</v>
      </c>
      <c r="K53">
        <v>25</v>
      </c>
      <c r="L53">
        <v>78</v>
      </c>
      <c r="M53">
        <v>34</v>
      </c>
      <c r="N53">
        <v>30</v>
      </c>
      <c r="O53">
        <v>31</v>
      </c>
      <c r="P53">
        <v>11</v>
      </c>
      <c r="Q53">
        <v>1</v>
      </c>
      <c r="R53">
        <v>27</v>
      </c>
      <c r="S53">
        <v>57</v>
      </c>
      <c r="T53">
        <v>37</v>
      </c>
      <c r="U53">
        <v>27</v>
      </c>
      <c r="V53">
        <v>32</v>
      </c>
      <c r="W53" s="8">
        <f t="shared" si="0"/>
        <v>-0.88888888888888884</v>
      </c>
      <c r="X53" s="8">
        <f t="shared" si="1"/>
        <v>25</v>
      </c>
      <c r="Y53" s="8">
        <f t="shared" si="2"/>
        <v>1.5961538461538463</v>
      </c>
      <c r="Z53" s="8">
        <f t="shared" si="3"/>
        <v>-0.47407407407407409</v>
      </c>
      <c r="AA53" s="8">
        <f t="shared" si="4"/>
        <v>-0.19718309859154928</v>
      </c>
      <c r="AB53" s="8">
        <f t="shared" si="5"/>
        <v>0.10526315789473684</v>
      </c>
      <c r="AC53" s="12">
        <f t="shared" si="6"/>
        <v>4.1902118237490118</v>
      </c>
      <c r="AD53" s="12">
        <f t="shared" si="7"/>
        <v>-4.5959970348406237E-2</v>
      </c>
      <c r="AE53" s="1">
        <f t="shared" si="8"/>
        <v>-16</v>
      </c>
      <c r="AF53" s="1">
        <f t="shared" si="9"/>
        <v>50</v>
      </c>
      <c r="AG53" s="1">
        <f t="shared" si="10"/>
        <v>83</v>
      </c>
      <c r="AH53" s="1">
        <f t="shared" si="11"/>
        <v>-64</v>
      </c>
      <c r="AI53" s="1">
        <f t="shared" si="12"/>
        <v>-14</v>
      </c>
      <c r="AJ53" s="1">
        <f t="shared" si="13"/>
        <v>6</v>
      </c>
      <c r="AK53" s="17">
        <f t="shared" si="14"/>
        <v>7.5</v>
      </c>
      <c r="AL53" s="17">
        <f t="shared" si="15"/>
        <v>-4</v>
      </c>
      <c r="AM53" s="1">
        <f t="shared" si="16"/>
        <v>-0.8571428571428571</v>
      </c>
      <c r="AN53" s="1">
        <f t="shared" si="17"/>
        <v>24</v>
      </c>
      <c r="AO53" s="1">
        <f t="shared" si="18"/>
        <v>2.12</v>
      </c>
      <c r="AP53" s="1">
        <f t="shared" si="19"/>
        <v>-0.5641025641025641</v>
      </c>
      <c r="AQ53" s="1">
        <f t="shared" si="20"/>
        <v>-0.11764705882352941</v>
      </c>
      <c r="AR53" s="1">
        <f t="shared" si="21"/>
        <v>3.3333333333333333E-2</v>
      </c>
      <c r="AS53" s="12">
        <f t="shared" si="22"/>
        <v>4.1024068088773973</v>
      </c>
      <c r="AT53" s="12">
        <f t="shared" si="23"/>
        <v>-4.2156862745098042E-2</v>
      </c>
      <c r="AU53" s="1">
        <f t="shared" si="24"/>
        <v>-6</v>
      </c>
      <c r="AV53" s="1">
        <f t="shared" si="25"/>
        <v>24</v>
      </c>
      <c r="AW53" s="1">
        <f t="shared" si="26"/>
        <v>53</v>
      </c>
      <c r="AX53" s="1">
        <f t="shared" si="27"/>
        <v>-44</v>
      </c>
      <c r="AY53" s="1">
        <f t="shared" si="28"/>
        <v>-4</v>
      </c>
      <c r="AZ53" s="1">
        <f t="shared" si="29"/>
        <v>1</v>
      </c>
      <c r="BA53" s="19">
        <f t="shared" si="30"/>
        <v>4</v>
      </c>
      <c r="BB53" s="19">
        <f t="shared" si="31"/>
        <v>-1.5</v>
      </c>
      <c r="BC53" s="9">
        <f t="shared" si="32"/>
        <v>-0.90909090909090906</v>
      </c>
      <c r="BD53" s="9">
        <f t="shared" si="33"/>
        <v>26</v>
      </c>
      <c r="BE53" s="9">
        <f t="shared" si="34"/>
        <v>1.1111111111111112</v>
      </c>
      <c r="BF53" s="9">
        <f t="shared" si="35"/>
        <v>-0.35087719298245612</v>
      </c>
      <c r="BG53" s="9">
        <f t="shared" si="36"/>
        <v>-0.27027027027027029</v>
      </c>
      <c r="BH53" s="9">
        <f t="shared" si="37"/>
        <v>0.18518518518518517</v>
      </c>
      <c r="BI53" s="12">
        <f t="shared" si="38"/>
        <v>4.2943429873254439</v>
      </c>
      <c r="BJ53" s="13">
        <f t="shared" si="39"/>
        <v>-4.2542542542542555E-2</v>
      </c>
      <c r="BK53" s="1">
        <f t="shared" si="40"/>
        <v>-10</v>
      </c>
      <c r="BL53" s="1">
        <f t="shared" si="41"/>
        <v>26</v>
      </c>
      <c r="BM53" s="1">
        <f t="shared" si="42"/>
        <v>30</v>
      </c>
      <c r="BN53" s="1">
        <f t="shared" si="43"/>
        <v>-20</v>
      </c>
      <c r="BO53" s="1">
        <f t="shared" si="44"/>
        <v>-10</v>
      </c>
      <c r="BP53" s="1">
        <f t="shared" si="45"/>
        <v>5</v>
      </c>
      <c r="BQ53" s="19">
        <f t="shared" si="46"/>
        <v>3.5</v>
      </c>
      <c r="BR53" s="17">
        <f t="shared" si="47"/>
        <v>-2.5</v>
      </c>
    </row>
    <row r="54" spans="1:70" x14ac:dyDescent="0.25">
      <c r="A54" t="s">
        <v>139</v>
      </c>
      <c r="B54">
        <v>100</v>
      </c>
      <c r="C54">
        <v>122</v>
      </c>
      <c r="D54">
        <v>106</v>
      </c>
      <c r="E54">
        <v>139</v>
      </c>
      <c r="F54">
        <v>122</v>
      </c>
      <c r="G54">
        <v>147</v>
      </c>
      <c r="H54">
        <v>143</v>
      </c>
      <c r="I54">
        <v>50</v>
      </c>
      <c r="J54">
        <v>56</v>
      </c>
      <c r="K54">
        <v>53</v>
      </c>
      <c r="L54">
        <v>72</v>
      </c>
      <c r="M54">
        <v>44</v>
      </c>
      <c r="N54">
        <v>58</v>
      </c>
      <c r="O54">
        <v>55</v>
      </c>
      <c r="P54">
        <v>50</v>
      </c>
      <c r="Q54">
        <v>66</v>
      </c>
      <c r="R54">
        <v>53</v>
      </c>
      <c r="S54">
        <v>67</v>
      </c>
      <c r="T54">
        <v>78</v>
      </c>
      <c r="U54">
        <v>89</v>
      </c>
      <c r="V54">
        <v>88</v>
      </c>
      <c r="W54" s="8">
        <f t="shared" si="0"/>
        <v>0.22</v>
      </c>
      <c r="X54" s="8">
        <f t="shared" si="1"/>
        <v>-0.13114754098360656</v>
      </c>
      <c r="Y54" s="8">
        <f t="shared" si="2"/>
        <v>0.31132075471698112</v>
      </c>
      <c r="Z54" s="8">
        <f t="shared" si="3"/>
        <v>-0.1223021582733813</v>
      </c>
      <c r="AA54" s="8">
        <f t="shared" si="4"/>
        <v>0.20491803278688525</v>
      </c>
      <c r="AB54" s="8">
        <f t="shared" si="5"/>
        <v>-2.7210884353741496E-2</v>
      </c>
      <c r="AC54" s="12">
        <f t="shared" si="6"/>
        <v>7.5929700648856166E-2</v>
      </c>
      <c r="AD54" s="12">
        <f t="shared" si="7"/>
        <v>8.8853574216571876E-2</v>
      </c>
      <c r="AE54" s="1">
        <f t="shared" si="8"/>
        <v>22</v>
      </c>
      <c r="AF54" s="1">
        <f t="shared" si="9"/>
        <v>-16</v>
      </c>
      <c r="AG54" s="1">
        <f t="shared" si="10"/>
        <v>33</v>
      </c>
      <c r="AH54" s="1">
        <f t="shared" si="11"/>
        <v>-17</v>
      </c>
      <c r="AI54" s="1">
        <f t="shared" si="12"/>
        <v>25</v>
      </c>
      <c r="AJ54" s="1">
        <f t="shared" si="13"/>
        <v>-4</v>
      </c>
      <c r="AK54" s="17">
        <f t="shared" si="14"/>
        <v>7.166666666666667</v>
      </c>
      <c r="AL54" s="17">
        <f t="shared" si="15"/>
        <v>9</v>
      </c>
      <c r="AM54" s="1">
        <f t="shared" si="16"/>
        <v>0.12</v>
      </c>
      <c r="AN54" s="1">
        <f t="shared" si="17"/>
        <v>-5.3571428571428568E-2</v>
      </c>
      <c r="AO54" s="1">
        <f t="shared" si="18"/>
        <v>0.35849056603773582</v>
      </c>
      <c r="AP54" s="1">
        <f t="shared" si="19"/>
        <v>-0.3888888888888889</v>
      </c>
      <c r="AQ54" s="1">
        <f t="shared" si="20"/>
        <v>0.31818181818181818</v>
      </c>
      <c r="AR54" s="1">
        <f t="shared" si="21"/>
        <v>-5.1724137931034482E-2</v>
      </c>
      <c r="AS54" s="12">
        <f t="shared" si="22"/>
        <v>5.0414654804700344E-2</v>
      </c>
      <c r="AT54" s="12">
        <f t="shared" si="23"/>
        <v>3.4137931034482753E-2</v>
      </c>
      <c r="AU54" s="1">
        <f t="shared" si="24"/>
        <v>6</v>
      </c>
      <c r="AV54" s="1">
        <f t="shared" si="25"/>
        <v>-3</v>
      </c>
      <c r="AW54" s="1">
        <f t="shared" si="26"/>
        <v>19</v>
      </c>
      <c r="AX54" s="1">
        <f t="shared" si="27"/>
        <v>-28</v>
      </c>
      <c r="AY54" s="1">
        <f t="shared" si="28"/>
        <v>14</v>
      </c>
      <c r="AZ54" s="1">
        <f t="shared" si="29"/>
        <v>-3</v>
      </c>
      <c r="BA54" s="19">
        <f t="shared" si="30"/>
        <v>0.83333333333333337</v>
      </c>
      <c r="BB54" s="19">
        <f t="shared" si="31"/>
        <v>1.5</v>
      </c>
      <c r="BC54" s="9">
        <f t="shared" si="32"/>
        <v>0.32</v>
      </c>
      <c r="BD54" s="9">
        <f t="shared" si="33"/>
        <v>-0.19696969696969696</v>
      </c>
      <c r="BE54" s="9">
        <f t="shared" si="34"/>
        <v>0.26415094339622641</v>
      </c>
      <c r="BF54" s="9">
        <f t="shared" si="35"/>
        <v>0.16417910447761194</v>
      </c>
      <c r="BG54" s="9">
        <f t="shared" si="36"/>
        <v>0.14102564102564102</v>
      </c>
      <c r="BH54" s="9">
        <f t="shared" si="37"/>
        <v>-1.1235955056179775E-2</v>
      </c>
      <c r="BI54" s="12">
        <f t="shared" si="38"/>
        <v>0.11352500614560042</v>
      </c>
      <c r="BJ54" s="13">
        <f t="shared" si="39"/>
        <v>0.15260237275162647</v>
      </c>
      <c r="BK54" s="1">
        <f t="shared" si="40"/>
        <v>16</v>
      </c>
      <c r="BL54" s="1">
        <f t="shared" si="41"/>
        <v>-13</v>
      </c>
      <c r="BM54" s="1">
        <f t="shared" si="42"/>
        <v>14</v>
      </c>
      <c r="BN54" s="1">
        <f t="shared" si="43"/>
        <v>11</v>
      </c>
      <c r="BO54" s="1">
        <f t="shared" si="44"/>
        <v>11</v>
      </c>
      <c r="BP54" s="1">
        <f t="shared" si="45"/>
        <v>-1</v>
      </c>
      <c r="BQ54" s="19">
        <f t="shared" si="46"/>
        <v>6.333333333333333</v>
      </c>
      <c r="BR54" s="17">
        <f t="shared" si="47"/>
        <v>11</v>
      </c>
    </row>
    <row r="55" spans="1:70" x14ac:dyDescent="0.25">
      <c r="A55" t="s">
        <v>108</v>
      </c>
      <c r="B55">
        <v>210</v>
      </c>
      <c r="C55">
        <v>220</v>
      </c>
      <c r="D55">
        <v>203</v>
      </c>
      <c r="E55">
        <v>223</v>
      </c>
      <c r="F55">
        <v>216</v>
      </c>
      <c r="G55">
        <v>248</v>
      </c>
      <c r="H55">
        <v>252</v>
      </c>
      <c r="I55">
        <v>126</v>
      </c>
      <c r="J55">
        <v>135</v>
      </c>
      <c r="K55">
        <v>120</v>
      </c>
      <c r="L55">
        <v>124</v>
      </c>
      <c r="M55">
        <v>142</v>
      </c>
      <c r="N55">
        <v>150</v>
      </c>
      <c r="O55">
        <v>168</v>
      </c>
      <c r="P55">
        <v>84</v>
      </c>
      <c r="Q55">
        <v>85</v>
      </c>
      <c r="R55">
        <v>83</v>
      </c>
      <c r="S55">
        <v>99</v>
      </c>
      <c r="T55">
        <v>74</v>
      </c>
      <c r="U55">
        <v>98</v>
      </c>
      <c r="V55">
        <v>84</v>
      </c>
      <c r="W55" s="8">
        <f t="shared" si="0"/>
        <v>4.7619047619047616E-2</v>
      </c>
      <c r="X55" s="8">
        <f t="shared" si="1"/>
        <v>-7.7272727272727271E-2</v>
      </c>
      <c r="Y55" s="8">
        <f t="shared" si="2"/>
        <v>9.8522167487684734E-2</v>
      </c>
      <c r="Z55" s="8">
        <f t="shared" si="3"/>
        <v>-3.1390134529147982E-2</v>
      </c>
      <c r="AA55" s="8">
        <f t="shared" si="4"/>
        <v>0.14814814814814814</v>
      </c>
      <c r="AB55" s="8">
        <f t="shared" si="5"/>
        <v>1.6129032258064516E-2</v>
      </c>
      <c r="AC55" s="12">
        <f t="shared" si="6"/>
        <v>3.3625922285178293E-2</v>
      </c>
      <c r="AD55" s="12">
        <f t="shared" si="7"/>
        <v>3.1874039938556066E-2</v>
      </c>
      <c r="AE55" s="1">
        <f t="shared" si="8"/>
        <v>10</v>
      </c>
      <c r="AF55" s="1">
        <f t="shared" si="9"/>
        <v>-17</v>
      </c>
      <c r="AG55" s="1">
        <f t="shared" si="10"/>
        <v>20</v>
      </c>
      <c r="AH55" s="1">
        <f t="shared" si="11"/>
        <v>-7</v>
      </c>
      <c r="AI55" s="1">
        <f t="shared" si="12"/>
        <v>32</v>
      </c>
      <c r="AJ55" s="1">
        <f t="shared" si="13"/>
        <v>4</v>
      </c>
      <c r="AK55" s="17">
        <f t="shared" si="14"/>
        <v>7</v>
      </c>
      <c r="AL55" s="17">
        <f t="shared" si="15"/>
        <v>7</v>
      </c>
      <c r="AM55" s="1">
        <f t="shared" si="16"/>
        <v>7.1428571428571425E-2</v>
      </c>
      <c r="AN55" s="1">
        <f t="shared" si="17"/>
        <v>-0.1111111111111111</v>
      </c>
      <c r="AO55" s="1">
        <f t="shared" si="18"/>
        <v>3.3333333333333333E-2</v>
      </c>
      <c r="AP55" s="1">
        <f t="shared" si="19"/>
        <v>0.14516129032258066</v>
      </c>
      <c r="AQ55" s="1">
        <f t="shared" si="20"/>
        <v>5.6338028169014086E-2</v>
      </c>
      <c r="AR55" s="1">
        <f t="shared" si="21"/>
        <v>0.12</v>
      </c>
      <c r="AS55" s="12">
        <f t="shared" si="22"/>
        <v>5.2525018690398072E-2</v>
      </c>
      <c r="AT55" s="12">
        <f t="shared" si="23"/>
        <v>6.3883299798792759E-2</v>
      </c>
      <c r="AU55" s="1">
        <f t="shared" si="24"/>
        <v>9</v>
      </c>
      <c r="AV55" s="1">
        <f t="shared" si="25"/>
        <v>-15</v>
      </c>
      <c r="AW55" s="1">
        <f t="shared" si="26"/>
        <v>4</v>
      </c>
      <c r="AX55" s="1">
        <f t="shared" si="27"/>
        <v>18</v>
      </c>
      <c r="AY55" s="1">
        <f t="shared" si="28"/>
        <v>8</v>
      </c>
      <c r="AZ55" s="1">
        <f t="shared" si="29"/>
        <v>18</v>
      </c>
      <c r="BA55" s="19">
        <f t="shared" si="30"/>
        <v>7</v>
      </c>
      <c r="BB55" s="19">
        <f t="shared" si="31"/>
        <v>8.5</v>
      </c>
      <c r="BC55" s="9">
        <f t="shared" si="32"/>
        <v>1.1904761904761904E-2</v>
      </c>
      <c r="BD55" s="9">
        <f t="shared" si="33"/>
        <v>-2.3529411764705882E-2</v>
      </c>
      <c r="BE55" s="9">
        <f t="shared" si="34"/>
        <v>0.19277108433734941</v>
      </c>
      <c r="BF55" s="9">
        <f t="shared" si="35"/>
        <v>-0.25252525252525254</v>
      </c>
      <c r="BG55" s="9">
        <f t="shared" si="36"/>
        <v>0.32432432432432434</v>
      </c>
      <c r="BH55" s="9">
        <f t="shared" si="37"/>
        <v>-0.14285714285714285</v>
      </c>
      <c r="BI55" s="12">
        <f t="shared" si="38"/>
        <v>1.8348060569889062E-2</v>
      </c>
      <c r="BJ55" s="13">
        <f t="shared" si="39"/>
        <v>-5.812324929971989E-3</v>
      </c>
      <c r="BK55" s="1">
        <f t="shared" si="40"/>
        <v>1</v>
      </c>
      <c r="BL55" s="1">
        <f t="shared" si="41"/>
        <v>-2</v>
      </c>
      <c r="BM55" s="1">
        <f t="shared" si="42"/>
        <v>16</v>
      </c>
      <c r="BN55" s="1">
        <f t="shared" si="43"/>
        <v>-25</v>
      </c>
      <c r="BO55" s="1">
        <f t="shared" si="44"/>
        <v>24</v>
      </c>
      <c r="BP55" s="1">
        <f t="shared" si="45"/>
        <v>-14</v>
      </c>
      <c r="BQ55" s="19">
        <f t="shared" si="46"/>
        <v>0</v>
      </c>
      <c r="BR55" s="17">
        <f t="shared" si="47"/>
        <v>-0.5</v>
      </c>
    </row>
    <row r="56" spans="1:70" x14ac:dyDescent="0.25">
      <c r="A56" t="s">
        <v>116</v>
      </c>
      <c r="B56">
        <v>161</v>
      </c>
      <c r="C56">
        <v>140</v>
      </c>
      <c r="D56">
        <v>136</v>
      </c>
      <c r="E56">
        <v>157</v>
      </c>
      <c r="F56">
        <v>175</v>
      </c>
      <c r="G56">
        <v>164</v>
      </c>
      <c r="H56">
        <v>203</v>
      </c>
      <c r="I56">
        <v>50</v>
      </c>
      <c r="J56">
        <v>35</v>
      </c>
      <c r="K56">
        <v>50</v>
      </c>
      <c r="L56">
        <v>62</v>
      </c>
      <c r="M56">
        <v>59</v>
      </c>
      <c r="N56">
        <v>63</v>
      </c>
      <c r="O56">
        <v>61</v>
      </c>
      <c r="P56">
        <v>111</v>
      </c>
      <c r="Q56">
        <v>105</v>
      </c>
      <c r="R56">
        <v>86</v>
      </c>
      <c r="S56">
        <v>95</v>
      </c>
      <c r="T56">
        <v>116</v>
      </c>
      <c r="U56">
        <v>101</v>
      </c>
      <c r="V56">
        <v>142</v>
      </c>
      <c r="W56" s="8">
        <f t="shared" si="0"/>
        <v>-0.13043478260869565</v>
      </c>
      <c r="X56" s="8">
        <f t="shared" si="1"/>
        <v>-2.8571428571428571E-2</v>
      </c>
      <c r="Y56" s="8">
        <f t="shared" si="2"/>
        <v>0.15441176470588236</v>
      </c>
      <c r="Z56" s="8">
        <f t="shared" si="3"/>
        <v>0.11464968152866242</v>
      </c>
      <c r="AA56" s="8">
        <f t="shared" si="4"/>
        <v>-6.2857142857142861E-2</v>
      </c>
      <c r="AB56" s="8">
        <f t="shared" si="5"/>
        <v>0.23780487804878048</v>
      </c>
      <c r="AC56" s="12">
        <f t="shared" si="6"/>
        <v>4.7500495041009692E-2</v>
      </c>
      <c r="AD56" s="12">
        <f t="shared" si="7"/>
        <v>4.3039126478616935E-2</v>
      </c>
      <c r="AE56" s="1">
        <f t="shared" si="8"/>
        <v>-21</v>
      </c>
      <c r="AF56" s="1">
        <f t="shared" si="9"/>
        <v>-4</v>
      </c>
      <c r="AG56" s="1">
        <f t="shared" si="10"/>
        <v>21</v>
      </c>
      <c r="AH56" s="1">
        <f t="shared" si="11"/>
        <v>18</v>
      </c>
      <c r="AI56" s="1">
        <f t="shared" si="12"/>
        <v>-11</v>
      </c>
      <c r="AJ56" s="1">
        <f t="shared" si="13"/>
        <v>39</v>
      </c>
      <c r="AK56" s="17">
        <f t="shared" si="14"/>
        <v>7</v>
      </c>
      <c r="AL56" s="17">
        <f t="shared" si="15"/>
        <v>7</v>
      </c>
      <c r="AM56" s="1">
        <f t="shared" si="16"/>
        <v>-0.3</v>
      </c>
      <c r="AN56" s="1">
        <f t="shared" si="17"/>
        <v>0.42857142857142855</v>
      </c>
      <c r="AO56" s="1">
        <f t="shared" si="18"/>
        <v>0.24</v>
      </c>
      <c r="AP56" s="1">
        <f t="shared" si="19"/>
        <v>-4.8387096774193547E-2</v>
      </c>
      <c r="AQ56" s="1">
        <f t="shared" si="20"/>
        <v>6.7796610169491525E-2</v>
      </c>
      <c r="AR56" s="1">
        <f t="shared" si="21"/>
        <v>-3.1746031746031744E-2</v>
      </c>
      <c r="AS56" s="12">
        <f t="shared" si="22"/>
        <v>5.9372485036782462E-2</v>
      </c>
      <c r="AT56" s="12">
        <f t="shared" si="23"/>
        <v>1.802528921172989E-2</v>
      </c>
      <c r="AU56" s="1">
        <f t="shared" si="24"/>
        <v>-15</v>
      </c>
      <c r="AV56" s="1">
        <f t="shared" si="25"/>
        <v>15</v>
      </c>
      <c r="AW56" s="1">
        <f t="shared" si="26"/>
        <v>12</v>
      </c>
      <c r="AX56" s="1">
        <f t="shared" si="27"/>
        <v>-3</v>
      </c>
      <c r="AY56" s="1">
        <f t="shared" si="28"/>
        <v>4</v>
      </c>
      <c r="AZ56" s="1">
        <f t="shared" si="29"/>
        <v>-2</v>
      </c>
      <c r="BA56" s="19">
        <f t="shared" si="30"/>
        <v>1.8333333333333333</v>
      </c>
      <c r="BB56" s="19">
        <f t="shared" si="31"/>
        <v>1</v>
      </c>
      <c r="BC56" s="9">
        <f t="shared" si="32"/>
        <v>-5.4054054054054057E-2</v>
      </c>
      <c r="BD56" s="9">
        <f t="shared" si="33"/>
        <v>-0.18095238095238095</v>
      </c>
      <c r="BE56" s="9">
        <f t="shared" si="34"/>
        <v>0.10465116279069768</v>
      </c>
      <c r="BF56" s="9">
        <f t="shared" si="35"/>
        <v>0.22105263157894736</v>
      </c>
      <c r="BG56" s="9">
        <f t="shared" si="36"/>
        <v>-0.12931034482758622</v>
      </c>
      <c r="BH56" s="9">
        <f t="shared" si="37"/>
        <v>0.40594059405940597</v>
      </c>
      <c r="BI56" s="12">
        <f t="shared" si="38"/>
        <v>6.1221268099171632E-2</v>
      </c>
      <c r="BJ56" s="13">
        <f t="shared" si="39"/>
        <v>2.5298554368321818E-2</v>
      </c>
      <c r="BK56" s="1">
        <f t="shared" si="40"/>
        <v>-6</v>
      </c>
      <c r="BL56" s="1">
        <f t="shared" si="41"/>
        <v>-19</v>
      </c>
      <c r="BM56" s="1">
        <f t="shared" si="42"/>
        <v>9</v>
      </c>
      <c r="BN56" s="1">
        <f t="shared" si="43"/>
        <v>21</v>
      </c>
      <c r="BO56" s="1">
        <f t="shared" si="44"/>
        <v>-15</v>
      </c>
      <c r="BP56" s="1">
        <f t="shared" si="45"/>
        <v>41</v>
      </c>
      <c r="BQ56" s="19">
        <f t="shared" si="46"/>
        <v>5.166666666666667</v>
      </c>
      <c r="BR56" s="17">
        <f t="shared" si="47"/>
        <v>1.5</v>
      </c>
    </row>
    <row r="57" spans="1:70" x14ac:dyDescent="0.25">
      <c r="A57" t="s">
        <v>194</v>
      </c>
      <c r="B57">
        <v>41</v>
      </c>
      <c r="C57">
        <v>37</v>
      </c>
      <c r="D57">
        <v>60</v>
      </c>
      <c r="E57">
        <v>57</v>
      </c>
      <c r="F57">
        <v>54</v>
      </c>
      <c r="G57">
        <v>63</v>
      </c>
      <c r="H57">
        <v>83</v>
      </c>
      <c r="I57">
        <v>20</v>
      </c>
      <c r="J57">
        <v>19</v>
      </c>
      <c r="K57">
        <v>37</v>
      </c>
      <c r="L57">
        <v>33</v>
      </c>
      <c r="M57">
        <v>22</v>
      </c>
      <c r="N57">
        <v>34</v>
      </c>
      <c r="O57">
        <v>38</v>
      </c>
      <c r="P57">
        <v>21</v>
      </c>
      <c r="Q57">
        <v>18</v>
      </c>
      <c r="R57">
        <v>23</v>
      </c>
      <c r="S57">
        <v>24</v>
      </c>
      <c r="T57">
        <v>32</v>
      </c>
      <c r="U57">
        <v>29</v>
      </c>
      <c r="V57">
        <v>45</v>
      </c>
      <c r="W57" s="8">
        <f t="shared" si="0"/>
        <v>-9.7560975609756101E-2</v>
      </c>
      <c r="X57" s="8">
        <f t="shared" si="1"/>
        <v>0.6216216216216216</v>
      </c>
      <c r="Y57" s="8">
        <f t="shared" si="2"/>
        <v>-0.05</v>
      </c>
      <c r="Z57" s="8">
        <f t="shared" si="3"/>
        <v>-5.2631578947368418E-2</v>
      </c>
      <c r="AA57" s="8">
        <f t="shared" si="4"/>
        <v>0.16666666666666666</v>
      </c>
      <c r="AB57" s="8">
        <f t="shared" si="5"/>
        <v>0.31746031746031744</v>
      </c>
      <c r="AC57" s="12">
        <f t="shared" si="6"/>
        <v>0.15092600853191354</v>
      </c>
      <c r="AD57" s="12">
        <f t="shared" si="7"/>
        <v>5.8333333333333334E-2</v>
      </c>
      <c r="AE57" s="1">
        <f t="shared" si="8"/>
        <v>-4</v>
      </c>
      <c r="AF57" s="1">
        <f t="shared" si="9"/>
        <v>23</v>
      </c>
      <c r="AG57" s="1">
        <f t="shared" si="10"/>
        <v>-3</v>
      </c>
      <c r="AH57" s="1">
        <f t="shared" si="11"/>
        <v>-3</v>
      </c>
      <c r="AI57" s="1">
        <f t="shared" si="12"/>
        <v>9</v>
      </c>
      <c r="AJ57" s="1">
        <f t="shared" si="13"/>
        <v>20</v>
      </c>
      <c r="AK57" s="17">
        <f t="shared" si="14"/>
        <v>7</v>
      </c>
      <c r="AL57" s="17">
        <f t="shared" si="15"/>
        <v>3</v>
      </c>
      <c r="AM57" s="1">
        <f t="shared" si="16"/>
        <v>-0.05</v>
      </c>
      <c r="AN57" s="1">
        <f t="shared" si="17"/>
        <v>0.94736842105263153</v>
      </c>
      <c r="AO57" s="1">
        <f t="shared" si="18"/>
        <v>-0.10810810810810811</v>
      </c>
      <c r="AP57" s="1">
        <f t="shared" si="19"/>
        <v>-0.33333333333333331</v>
      </c>
      <c r="AQ57" s="1">
        <f t="shared" si="20"/>
        <v>0.54545454545454541</v>
      </c>
      <c r="AR57" s="1">
        <f t="shared" si="21"/>
        <v>0.11764705882352941</v>
      </c>
      <c r="AS57" s="12">
        <f t="shared" si="22"/>
        <v>0.18650476398154414</v>
      </c>
      <c r="AT57" s="12">
        <f t="shared" si="23"/>
        <v>3.3823529411764711E-2</v>
      </c>
      <c r="AU57" s="1">
        <f t="shared" si="24"/>
        <v>-1</v>
      </c>
      <c r="AV57" s="1">
        <f t="shared" si="25"/>
        <v>18</v>
      </c>
      <c r="AW57" s="1">
        <f t="shared" si="26"/>
        <v>-4</v>
      </c>
      <c r="AX57" s="1">
        <f t="shared" si="27"/>
        <v>-11</v>
      </c>
      <c r="AY57" s="1">
        <f t="shared" si="28"/>
        <v>12</v>
      </c>
      <c r="AZ57" s="1">
        <f t="shared" si="29"/>
        <v>4</v>
      </c>
      <c r="BA57" s="19">
        <f t="shared" si="30"/>
        <v>3</v>
      </c>
      <c r="BB57" s="19">
        <f t="shared" si="31"/>
        <v>1.5</v>
      </c>
      <c r="BC57" s="9">
        <f t="shared" si="32"/>
        <v>-0.14285714285714285</v>
      </c>
      <c r="BD57" s="9">
        <f t="shared" si="33"/>
        <v>0.27777777777777779</v>
      </c>
      <c r="BE57" s="9">
        <f t="shared" si="34"/>
        <v>4.3478260869565216E-2</v>
      </c>
      <c r="BF57" s="9">
        <f t="shared" si="35"/>
        <v>0.33333333333333331</v>
      </c>
      <c r="BG57" s="9">
        <f t="shared" si="36"/>
        <v>-9.375E-2</v>
      </c>
      <c r="BH57" s="9">
        <f t="shared" si="37"/>
        <v>0.55172413793103448</v>
      </c>
      <c r="BI57" s="12">
        <f t="shared" si="38"/>
        <v>0.16161772784242798</v>
      </c>
      <c r="BJ57" s="13">
        <f t="shared" si="39"/>
        <v>0.16062801932367149</v>
      </c>
      <c r="BK57" s="1">
        <f t="shared" si="40"/>
        <v>-3</v>
      </c>
      <c r="BL57" s="1">
        <f t="shared" si="41"/>
        <v>5</v>
      </c>
      <c r="BM57" s="1">
        <f t="shared" si="42"/>
        <v>1</v>
      </c>
      <c r="BN57" s="1">
        <f t="shared" si="43"/>
        <v>8</v>
      </c>
      <c r="BO57" s="1">
        <f t="shared" si="44"/>
        <v>-3</v>
      </c>
      <c r="BP57" s="1">
        <f t="shared" si="45"/>
        <v>16</v>
      </c>
      <c r="BQ57" s="19">
        <f t="shared" si="46"/>
        <v>4</v>
      </c>
      <c r="BR57" s="17">
        <f t="shared" si="47"/>
        <v>3</v>
      </c>
    </row>
    <row r="58" spans="1:70" x14ac:dyDescent="0.25">
      <c r="A58" t="s">
        <v>324</v>
      </c>
      <c r="B58">
        <v>9</v>
      </c>
      <c r="C58">
        <v>16</v>
      </c>
      <c r="D58">
        <v>11</v>
      </c>
      <c r="E58">
        <v>2455</v>
      </c>
      <c r="F58">
        <v>726</v>
      </c>
      <c r="G58">
        <v>150</v>
      </c>
      <c r="H58">
        <v>47</v>
      </c>
      <c r="I58">
        <v>4</v>
      </c>
      <c r="J58">
        <v>11</v>
      </c>
      <c r="K58">
        <v>5</v>
      </c>
      <c r="L58">
        <v>1650</v>
      </c>
      <c r="M58">
        <v>446</v>
      </c>
      <c r="N58">
        <v>83</v>
      </c>
      <c r="O58">
        <v>25</v>
      </c>
      <c r="P58">
        <v>5</v>
      </c>
      <c r="Q58">
        <v>5</v>
      </c>
      <c r="R58">
        <v>6</v>
      </c>
      <c r="S58">
        <v>805</v>
      </c>
      <c r="T58">
        <v>280</v>
      </c>
      <c r="U58">
        <v>67</v>
      </c>
      <c r="V58">
        <v>22</v>
      </c>
      <c r="W58" s="8">
        <f t="shared" si="0"/>
        <v>0.77777777777777779</v>
      </c>
      <c r="X58" s="8">
        <f t="shared" si="1"/>
        <v>-0.3125</v>
      </c>
      <c r="Y58" s="8">
        <f t="shared" si="2"/>
        <v>222.18181818181819</v>
      </c>
      <c r="Z58" s="8">
        <f t="shared" si="3"/>
        <v>-0.70427698574338082</v>
      </c>
      <c r="AA58" s="8">
        <f t="shared" si="4"/>
        <v>-0.79338842975206614</v>
      </c>
      <c r="AB58" s="8">
        <f t="shared" si="5"/>
        <v>-0.68666666666666665</v>
      </c>
      <c r="AC58" s="12">
        <f t="shared" si="6"/>
        <v>36.74379397957231</v>
      </c>
      <c r="AD58" s="12">
        <f t="shared" si="7"/>
        <v>-0.49958333333333332</v>
      </c>
      <c r="AE58" s="1">
        <f t="shared" si="8"/>
        <v>7</v>
      </c>
      <c r="AF58" s="1">
        <f t="shared" si="9"/>
        <v>-5</v>
      </c>
      <c r="AG58" s="1">
        <f t="shared" si="10"/>
        <v>2444</v>
      </c>
      <c r="AH58" s="1">
        <f t="shared" si="11"/>
        <v>-1729</v>
      </c>
      <c r="AI58" s="1">
        <f t="shared" si="12"/>
        <v>-576</v>
      </c>
      <c r="AJ58" s="1">
        <f t="shared" si="13"/>
        <v>-103</v>
      </c>
      <c r="AK58" s="17">
        <f t="shared" si="14"/>
        <v>6.333333333333333</v>
      </c>
      <c r="AL58" s="17">
        <f t="shared" si="15"/>
        <v>-54</v>
      </c>
      <c r="AM58" s="1">
        <f t="shared" si="16"/>
        <v>1.75</v>
      </c>
      <c r="AN58" s="1">
        <f t="shared" si="17"/>
        <v>-0.54545454545454541</v>
      </c>
      <c r="AO58" s="1">
        <f t="shared" si="18"/>
        <v>329</v>
      </c>
      <c r="AP58" s="1">
        <f t="shared" si="19"/>
        <v>-0.72969696969696973</v>
      </c>
      <c r="AQ58" s="1">
        <f t="shared" si="20"/>
        <v>-0.81390134529147984</v>
      </c>
      <c r="AR58" s="1">
        <f t="shared" si="21"/>
        <v>-0.6987951807228916</v>
      </c>
      <c r="AS58" s="12">
        <f t="shared" si="22"/>
        <v>54.660358659805688</v>
      </c>
      <c r="AT58" s="12">
        <f t="shared" si="23"/>
        <v>-0.6221248630887185</v>
      </c>
      <c r="AU58" s="1">
        <f t="shared" si="24"/>
        <v>7</v>
      </c>
      <c r="AV58" s="1">
        <f t="shared" si="25"/>
        <v>-6</v>
      </c>
      <c r="AW58" s="1">
        <f t="shared" si="26"/>
        <v>1645</v>
      </c>
      <c r="AX58" s="1">
        <f t="shared" si="27"/>
        <v>-1204</v>
      </c>
      <c r="AY58" s="1">
        <f t="shared" si="28"/>
        <v>-363</v>
      </c>
      <c r="AZ58" s="1">
        <f t="shared" si="29"/>
        <v>-58</v>
      </c>
      <c r="BA58" s="19">
        <f t="shared" si="30"/>
        <v>3.5</v>
      </c>
      <c r="BB58" s="19">
        <f t="shared" si="31"/>
        <v>-32</v>
      </c>
      <c r="BC58" s="9">
        <f t="shared" si="32"/>
        <v>0</v>
      </c>
      <c r="BD58" s="9">
        <f t="shared" si="33"/>
        <v>0.2</v>
      </c>
      <c r="BE58" s="9">
        <f t="shared" si="34"/>
        <v>133.16666666666666</v>
      </c>
      <c r="BF58" s="9">
        <f t="shared" si="35"/>
        <v>-0.65217391304347827</v>
      </c>
      <c r="BG58" s="9">
        <f t="shared" si="36"/>
        <v>-0.76071428571428568</v>
      </c>
      <c r="BH58" s="9">
        <f t="shared" si="37"/>
        <v>-0.67164179104477617</v>
      </c>
      <c r="BI58" s="12">
        <f t="shared" si="38"/>
        <v>21.880356112810688</v>
      </c>
      <c r="BJ58" s="13">
        <f t="shared" si="39"/>
        <v>-0.32608695652173914</v>
      </c>
      <c r="BK58" s="1">
        <f t="shared" si="40"/>
        <v>0</v>
      </c>
      <c r="BL58" s="1">
        <f t="shared" si="41"/>
        <v>1</v>
      </c>
      <c r="BM58" s="1">
        <f t="shared" si="42"/>
        <v>799</v>
      </c>
      <c r="BN58" s="1">
        <f t="shared" si="43"/>
        <v>-525</v>
      </c>
      <c r="BO58" s="1">
        <f t="shared" si="44"/>
        <v>-213</v>
      </c>
      <c r="BP58" s="1">
        <f t="shared" si="45"/>
        <v>-45</v>
      </c>
      <c r="BQ58" s="19">
        <f t="shared" si="46"/>
        <v>2.8333333333333335</v>
      </c>
      <c r="BR58" s="17">
        <f t="shared" si="47"/>
        <v>-22.5</v>
      </c>
    </row>
    <row r="59" spans="1:70" x14ac:dyDescent="0.25">
      <c r="A59" t="s">
        <v>86</v>
      </c>
      <c r="B59">
        <v>479</v>
      </c>
      <c r="C59">
        <v>457</v>
      </c>
      <c r="D59">
        <v>507</v>
      </c>
      <c r="E59">
        <v>497</v>
      </c>
      <c r="F59">
        <v>537</v>
      </c>
      <c r="G59">
        <v>508</v>
      </c>
      <c r="H59">
        <v>516</v>
      </c>
      <c r="I59">
        <v>222</v>
      </c>
      <c r="J59">
        <v>193</v>
      </c>
      <c r="K59">
        <v>224</v>
      </c>
      <c r="L59">
        <v>242</v>
      </c>
      <c r="M59">
        <v>250</v>
      </c>
      <c r="N59">
        <v>251</v>
      </c>
      <c r="O59">
        <v>236</v>
      </c>
      <c r="P59">
        <v>257</v>
      </c>
      <c r="Q59">
        <v>264</v>
      </c>
      <c r="R59">
        <v>283</v>
      </c>
      <c r="S59">
        <v>255</v>
      </c>
      <c r="T59">
        <v>287</v>
      </c>
      <c r="U59">
        <v>257</v>
      </c>
      <c r="V59">
        <v>280</v>
      </c>
      <c r="W59" s="8">
        <f t="shared" si="0"/>
        <v>-4.5929018789144051E-2</v>
      </c>
      <c r="X59" s="8">
        <f t="shared" si="1"/>
        <v>0.10940919037199125</v>
      </c>
      <c r="Y59" s="8">
        <f t="shared" si="2"/>
        <v>-1.9723865877712032E-2</v>
      </c>
      <c r="Z59" s="8">
        <f t="shared" si="3"/>
        <v>8.0482897384305835E-2</v>
      </c>
      <c r="AA59" s="8">
        <f t="shared" si="4"/>
        <v>-5.4003724394785846E-2</v>
      </c>
      <c r="AB59" s="8">
        <f t="shared" si="5"/>
        <v>1.5748031496062992E-2</v>
      </c>
      <c r="AC59" s="12">
        <f t="shared" si="6"/>
        <v>1.4330585031786356E-2</v>
      </c>
      <c r="AD59" s="12">
        <f t="shared" si="7"/>
        <v>-1.9879171908245181E-3</v>
      </c>
      <c r="AE59" s="1">
        <f t="shared" si="8"/>
        <v>-22</v>
      </c>
      <c r="AF59" s="1">
        <f t="shared" si="9"/>
        <v>50</v>
      </c>
      <c r="AG59" s="1">
        <f t="shared" si="10"/>
        <v>-10</v>
      </c>
      <c r="AH59" s="1">
        <f t="shared" si="11"/>
        <v>40</v>
      </c>
      <c r="AI59" s="1">
        <f t="shared" si="12"/>
        <v>-29</v>
      </c>
      <c r="AJ59" s="1">
        <f t="shared" si="13"/>
        <v>8</v>
      </c>
      <c r="AK59" s="17">
        <f t="shared" si="14"/>
        <v>6.166666666666667</v>
      </c>
      <c r="AL59" s="17">
        <f t="shared" si="15"/>
        <v>-1</v>
      </c>
      <c r="AM59" s="1">
        <f t="shared" si="16"/>
        <v>-0.13063063063063063</v>
      </c>
      <c r="AN59" s="1">
        <f t="shared" si="17"/>
        <v>0.16062176165803108</v>
      </c>
      <c r="AO59" s="1">
        <f t="shared" si="18"/>
        <v>8.0357142857142863E-2</v>
      </c>
      <c r="AP59" s="1">
        <f t="shared" si="19"/>
        <v>3.3057851239669422E-2</v>
      </c>
      <c r="AQ59" s="1">
        <f t="shared" si="20"/>
        <v>4.0000000000000001E-3</v>
      </c>
      <c r="AR59" s="1">
        <f t="shared" si="21"/>
        <v>-5.9760956175298807E-2</v>
      </c>
      <c r="AS59" s="12">
        <f t="shared" si="22"/>
        <v>1.4607528158152324E-2</v>
      </c>
      <c r="AT59" s="12">
        <f t="shared" si="23"/>
        <v>1.8528925619834713E-2</v>
      </c>
      <c r="AU59" s="1">
        <f t="shared" si="24"/>
        <v>-29</v>
      </c>
      <c r="AV59" s="1">
        <f t="shared" si="25"/>
        <v>31</v>
      </c>
      <c r="AW59" s="1">
        <f t="shared" si="26"/>
        <v>18</v>
      </c>
      <c r="AX59" s="1">
        <f t="shared" si="27"/>
        <v>8</v>
      </c>
      <c r="AY59" s="1">
        <f t="shared" si="28"/>
        <v>1</v>
      </c>
      <c r="AZ59" s="1">
        <f t="shared" si="29"/>
        <v>-15</v>
      </c>
      <c r="BA59" s="19">
        <f t="shared" si="30"/>
        <v>2.3333333333333335</v>
      </c>
      <c r="BB59" s="19">
        <f t="shared" si="31"/>
        <v>4.5</v>
      </c>
      <c r="BC59" s="9">
        <f t="shared" si="32"/>
        <v>2.7237354085603113E-2</v>
      </c>
      <c r="BD59" s="9">
        <f t="shared" si="33"/>
        <v>7.1969696969696975E-2</v>
      </c>
      <c r="BE59" s="9">
        <f t="shared" si="34"/>
        <v>-9.8939929328621903E-2</v>
      </c>
      <c r="BF59" s="9">
        <f t="shared" si="35"/>
        <v>0.12549019607843137</v>
      </c>
      <c r="BG59" s="9">
        <f t="shared" si="36"/>
        <v>-0.10452961672473868</v>
      </c>
      <c r="BH59" s="9">
        <f t="shared" si="37"/>
        <v>8.9494163424124515E-2</v>
      </c>
      <c r="BI59" s="12">
        <f t="shared" si="38"/>
        <v>1.8453644084082569E-2</v>
      </c>
      <c r="BJ59" s="13">
        <f t="shared" si="39"/>
        <v>4.9603525527650044E-2</v>
      </c>
      <c r="BK59" s="1">
        <f t="shared" si="40"/>
        <v>7</v>
      </c>
      <c r="BL59" s="1">
        <f t="shared" si="41"/>
        <v>19</v>
      </c>
      <c r="BM59" s="1">
        <f t="shared" si="42"/>
        <v>-28</v>
      </c>
      <c r="BN59" s="1">
        <f t="shared" si="43"/>
        <v>32</v>
      </c>
      <c r="BO59" s="1">
        <f t="shared" si="44"/>
        <v>-30</v>
      </c>
      <c r="BP59" s="1">
        <f t="shared" si="45"/>
        <v>23</v>
      </c>
      <c r="BQ59" s="19">
        <f t="shared" si="46"/>
        <v>3.8333333333333335</v>
      </c>
      <c r="BR59" s="17">
        <f t="shared" si="47"/>
        <v>13</v>
      </c>
    </row>
    <row r="60" spans="1:70" x14ac:dyDescent="0.25">
      <c r="A60" t="s">
        <v>167</v>
      </c>
      <c r="B60">
        <v>67</v>
      </c>
      <c r="C60">
        <v>78</v>
      </c>
      <c r="D60">
        <v>85</v>
      </c>
      <c r="E60">
        <v>62</v>
      </c>
      <c r="F60">
        <v>102</v>
      </c>
      <c r="G60">
        <v>83</v>
      </c>
      <c r="H60">
        <v>104</v>
      </c>
      <c r="I60">
        <v>40</v>
      </c>
      <c r="J60">
        <v>45</v>
      </c>
      <c r="K60">
        <v>49</v>
      </c>
      <c r="L60">
        <v>32</v>
      </c>
      <c r="M60">
        <v>53</v>
      </c>
      <c r="N60">
        <v>47</v>
      </c>
      <c r="O60">
        <v>49</v>
      </c>
      <c r="P60">
        <v>27</v>
      </c>
      <c r="Q60">
        <v>33</v>
      </c>
      <c r="R60">
        <v>36</v>
      </c>
      <c r="S60">
        <v>30</v>
      </c>
      <c r="T60">
        <v>49</v>
      </c>
      <c r="U60">
        <v>36</v>
      </c>
      <c r="V60">
        <v>55</v>
      </c>
      <c r="W60" s="8">
        <f t="shared" si="0"/>
        <v>0.16417910447761194</v>
      </c>
      <c r="X60" s="8">
        <f t="shared" si="1"/>
        <v>8.9743589743589744E-2</v>
      </c>
      <c r="Y60" s="8">
        <f t="shared" si="2"/>
        <v>-0.27058823529411763</v>
      </c>
      <c r="Z60" s="8">
        <f t="shared" si="3"/>
        <v>0.64516129032258063</v>
      </c>
      <c r="AA60" s="8">
        <f t="shared" si="4"/>
        <v>-0.18627450980392157</v>
      </c>
      <c r="AB60" s="8">
        <f t="shared" si="5"/>
        <v>0.25301204819277107</v>
      </c>
      <c r="AC60" s="12">
        <f t="shared" si="6"/>
        <v>0.11587221460641901</v>
      </c>
      <c r="AD60" s="12">
        <f t="shared" si="7"/>
        <v>0.12696134711060084</v>
      </c>
      <c r="AE60" s="1">
        <f t="shared" si="8"/>
        <v>11</v>
      </c>
      <c r="AF60" s="1">
        <f t="shared" si="9"/>
        <v>7</v>
      </c>
      <c r="AG60" s="1">
        <f t="shared" si="10"/>
        <v>-23</v>
      </c>
      <c r="AH60" s="1">
        <f t="shared" si="11"/>
        <v>40</v>
      </c>
      <c r="AI60" s="1">
        <f t="shared" si="12"/>
        <v>-19</v>
      </c>
      <c r="AJ60" s="1">
        <f t="shared" si="13"/>
        <v>21</v>
      </c>
      <c r="AK60" s="17">
        <f t="shared" si="14"/>
        <v>6.166666666666667</v>
      </c>
      <c r="AL60" s="17">
        <f t="shared" si="15"/>
        <v>9</v>
      </c>
      <c r="AM60" s="1">
        <f t="shared" si="16"/>
        <v>0.125</v>
      </c>
      <c r="AN60" s="1">
        <f t="shared" si="17"/>
        <v>8.8888888888888892E-2</v>
      </c>
      <c r="AO60" s="1">
        <f t="shared" si="18"/>
        <v>-0.34693877551020408</v>
      </c>
      <c r="AP60" s="1">
        <f t="shared" si="19"/>
        <v>0.65625</v>
      </c>
      <c r="AQ60" s="1">
        <f t="shared" si="20"/>
        <v>-0.11320754716981132</v>
      </c>
      <c r="AR60" s="1">
        <f t="shared" si="21"/>
        <v>4.2553191489361701E-2</v>
      </c>
      <c r="AS60" s="12">
        <f t="shared" si="22"/>
        <v>7.542429294970586E-2</v>
      </c>
      <c r="AT60" s="12">
        <f t="shared" si="23"/>
        <v>6.5721040189125293E-2</v>
      </c>
      <c r="AU60" s="1">
        <f t="shared" si="24"/>
        <v>5</v>
      </c>
      <c r="AV60" s="1">
        <f t="shared" si="25"/>
        <v>4</v>
      </c>
      <c r="AW60" s="1">
        <f t="shared" si="26"/>
        <v>-17</v>
      </c>
      <c r="AX60" s="1">
        <f t="shared" si="27"/>
        <v>21</v>
      </c>
      <c r="AY60" s="1">
        <f t="shared" si="28"/>
        <v>-6</v>
      </c>
      <c r="AZ60" s="1">
        <f t="shared" si="29"/>
        <v>2</v>
      </c>
      <c r="BA60" s="19">
        <f t="shared" si="30"/>
        <v>1.5</v>
      </c>
      <c r="BB60" s="19">
        <f t="shared" si="31"/>
        <v>3</v>
      </c>
      <c r="BC60" s="9">
        <f t="shared" si="32"/>
        <v>0.22222222222222221</v>
      </c>
      <c r="BD60" s="9">
        <f t="shared" si="33"/>
        <v>9.0909090909090912E-2</v>
      </c>
      <c r="BE60" s="9">
        <f t="shared" si="34"/>
        <v>-0.16666666666666666</v>
      </c>
      <c r="BF60" s="9">
        <f t="shared" si="35"/>
        <v>0.6333333333333333</v>
      </c>
      <c r="BG60" s="9">
        <f t="shared" si="36"/>
        <v>-0.26530612244897961</v>
      </c>
      <c r="BH60" s="9">
        <f t="shared" si="37"/>
        <v>0.52777777777777779</v>
      </c>
      <c r="BI60" s="12">
        <f t="shared" si="38"/>
        <v>0.17371160585446299</v>
      </c>
      <c r="BJ60" s="13">
        <f t="shared" si="39"/>
        <v>0.15656565656565657</v>
      </c>
      <c r="BK60" s="1">
        <f t="shared" si="40"/>
        <v>6</v>
      </c>
      <c r="BL60" s="1">
        <f t="shared" si="41"/>
        <v>3</v>
      </c>
      <c r="BM60" s="1">
        <f t="shared" si="42"/>
        <v>-6</v>
      </c>
      <c r="BN60" s="1">
        <f t="shared" si="43"/>
        <v>19</v>
      </c>
      <c r="BO60" s="1">
        <f t="shared" si="44"/>
        <v>-13</v>
      </c>
      <c r="BP60" s="1">
        <f t="shared" si="45"/>
        <v>19</v>
      </c>
      <c r="BQ60" s="19">
        <f t="shared" si="46"/>
        <v>4.666666666666667</v>
      </c>
      <c r="BR60" s="17">
        <f t="shared" si="47"/>
        <v>4.5</v>
      </c>
    </row>
    <row r="61" spans="1:70" x14ac:dyDescent="0.25">
      <c r="A61" t="s">
        <v>124</v>
      </c>
      <c r="B61">
        <v>147</v>
      </c>
      <c r="C61">
        <v>162</v>
      </c>
      <c r="D61">
        <v>191</v>
      </c>
      <c r="E61">
        <v>146</v>
      </c>
      <c r="F61">
        <v>145</v>
      </c>
      <c r="G61">
        <v>142</v>
      </c>
      <c r="H61">
        <v>183</v>
      </c>
      <c r="I61">
        <v>95</v>
      </c>
      <c r="J61">
        <v>87</v>
      </c>
      <c r="K61">
        <v>99</v>
      </c>
      <c r="L61">
        <v>98</v>
      </c>
      <c r="M61">
        <v>84</v>
      </c>
      <c r="N61">
        <v>80</v>
      </c>
      <c r="O61">
        <v>98</v>
      </c>
      <c r="P61">
        <v>52</v>
      </c>
      <c r="Q61">
        <v>75</v>
      </c>
      <c r="R61">
        <v>92</v>
      </c>
      <c r="S61">
        <v>48</v>
      </c>
      <c r="T61">
        <v>61</v>
      </c>
      <c r="U61">
        <v>62</v>
      </c>
      <c r="V61">
        <v>85</v>
      </c>
      <c r="W61" s="8">
        <f t="shared" si="0"/>
        <v>0.10204081632653061</v>
      </c>
      <c r="X61" s="8">
        <f t="shared" si="1"/>
        <v>0.17901234567901234</v>
      </c>
      <c r="Y61" s="8">
        <f t="shared" si="2"/>
        <v>-0.2356020942408377</v>
      </c>
      <c r="Z61" s="8">
        <f t="shared" si="3"/>
        <v>-6.8493150684931503E-3</v>
      </c>
      <c r="AA61" s="8">
        <f t="shared" si="4"/>
        <v>-2.0689655172413793E-2</v>
      </c>
      <c r="AB61" s="8">
        <f t="shared" si="5"/>
        <v>0.28873239436619719</v>
      </c>
      <c r="AC61" s="12">
        <f t="shared" si="6"/>
        <v>5.1107415314999259E-2</v>
      </c>
      <c r="AD61" s="12">
        <f t="shared" si="7"/>
        <v>4.7595750629018732E-2</v>
      </c>
      <c r="AE61" s="1">
        <f t="shared" si="8"/>
        <v>15</v>
      </c>
      <c r="AF61" s="1">
        <f t="shared" si="9"/>
        <v>29</v>
      </c>
      <c r="AG61" s="1">
        <f t="shared" si="10"/>
        <v>-45</v>
      </c>
      <c r="AH61" s="1">
        <f t="shared" si="11"/>
        <v>-1</v>
      </c>
      <c r="AI61" s="1">
        <f t="shared" si="12"/>
        <v>-3</v>
      </c>
      <c r="AJ61" s="1">
        <f t="shared" si="13"/>
        <v>41</v>
      </c>
      <c r="AK61" s="17">
        <f t="shared" si="14"/>
        <v>6</v>
      </c>
      <c r="AL61" s="17">
        <f t="shared" si="15"/>
        <v>7</v>
      </c>
      <c r="AM61" s="1">
        <f t="shared" si="16"/>
        <v>-8.4210526315789472E-2</v>
      </c>
      <c r="AN61" s="1">
        <f t="shared" si="17"/>
        <v>0.13793103448275862</v>
      </c>
      <c r="AO61" s="1">
        <f t="shared" si="18"/>
        <v>-1.0101010101010102E-2</v>
      </c>
      <c r="AP61" s="1">
        <f t="shared" si="19"/>
        <v>-0.14285714285714285</v>
      </c>
      <c r="AQ61" s="1">
        <f t="shared" si="20"/>
        <v>-4.7619047619047616E-2</v>
      </c>
      <c r="AR61" s="1">
        <f t="shared" si="21"/>
        <v>0.22500000000000001</v>
      </c>
      <c r="AS61" s="12">
        <f t="shared" si="22"/>
        <v>1.3023884598294766E-2</v>
      </c>
      <c r="AT61" s="12">
        <f t="shared" si="23"/>
        <v>-2.886002886002886E-2</v>
      </c>
      <c r="AU61" s="1">
        <f t="shared" si="24"/>
        <v>-8</v>
      </c>
      <c r="AV61" s="1">
        <f t="shared" si="25"/>
        <v>12</v>
      </c>
      <c r="AW61" s="1">
        <f t="shared" si="26"/>
        <v>-1</v>
      </c>
      <c r="AX61" s="1">
        <f t="shared" si="27"/>
        <v>-14</v>
      </c>
      <c r="AY61" s="1">
        <f t="shared" si="28"/>
        <v>-4</v>
      </c>
      <c r="AZ61" s="1">
        <f t="shared" si="29"/>
        <v>18</v>
      </c>
      <c r="BA61" s="19">
        <f t="shared" si="30"/>
        <v>0.5</v>
      </c>
      <c r="BB61" s="19">
        <f t="shared" si="31"/>
        <v>-2.5</v>
      </c>
      <c r="BC61" s="9">
        <f t="shared" si="32"/>
        <v>0.44230769230769229</v>
      </c>
      <c r="BD61" s="9">
        <f t="shared" si="33"/>
        <v>0.22666666666666666</v>
      </c>
      <c r="BE61" s="9">
        <f t="shared" si="34"/>
        <v>-0.47826086956521741</v>
      </c>
      <c r="BF61" s="9">
        <f t="shared" si="35"/>
        <v>0.27083333333333331</v>
      </c>
      <c r="BG61" s="9">
        <f t="shared" si="36"/>
        <v>1.6393442622950821E-2</v>
      </c>
      <c r="BH61" s="9">
        <f t="shared" si="37"/>
        <v>0.37096774193548387</v>
      </c>
      <c r="BI61" s="12">
        <f t="shared" si="38"/>
        <v>0.14148466788348493</v>
      </c>
      <c r="BJ61" s="13">
        <f t="shared" si="39"/>
        <v>0.24874999999999997</v>
      </c>
      <c r="BK61" s="1">
        <f t="shared" si="40"/>
        <v>23</v>
      </c>
      <c r="BL61" s="1">
        <f t="shared" si="41"/>
        <v>17</v>
      </c>
      <c r="BM61" s="1">
        <f t="shared" si="42"/>
        <v>-44</v>
      </c>
      <c r="BN61" s="1">
        <f t="shared" si="43"/>
        <v>13</v>
      </c>
      <c r="BO61" s="1">
        <f t="shared" si="44"/>
        <v>1</v>
      </c>
      <c r="BP61" s="1">
        <f t="shared" si="45"/>
        <v>23</v>
      </c>
      <c r="BQ61" s="19">
        <f t="shared" si="46"/>
        <v>5.5</v>
      </c>
      <c r="BR61" s="17">
        <f t="shared" si="47"/>
        <v>15</v>
      </c>
    </row>
    <row r="62" spans="1:70" x14ac:dyDescent="0.25">
      <c r="A62" t="s">
        <v>147</v>
      </c>
      <c r="B62">
        <v>88</v>
      </c>
      <c r="C62">
        <v>119</v>
      </c>
      <c r="D62">
        <v>110</v>
      </c>
      <c r="E62">
        <v>124</v>
      </c>
      <c r="F62">
        <v>99</v>
      </c>
      <c r="G62">
        <v>110</v>
      </c>
      <c r="H62">
        <v>122</v>
      </c>
      <c r="I62">
        <v>47</v>
      </c>
      <c r="J62">
        <v>60</v>
      </c>
      <c r="K62">
        <v>56</v>
      </c>
      <c r="L62">
        <v>63</v>
      </c>
      <c r="M62">
        <v>52</v>
      </c>
      <c r="N62">
        <v>55</v>
      </c>
      <c r="O62">
        <v>68</v>
      </c>
      <c r="P62">
        <v>41</v>
      </c>
      <c r="Q62">
        <v>59</v>
      </c>
      <c r="R62">
        <v>54</v>
      </c>
      <c r="S62">
        <v>61</v>
      </c>
      <c r="T62">
        <v>47</v>
      </c>
      <c r="U62">
        <v>55</v>
      </c>
      <c r="V62">
        <v>54</v>
      </c>
      <c r="W62" s="8">
        <f t="shared" si="0"/>
        <v>0.35227272727272729</v>
      </c>
      <c r="X62" s="8">
        <f t="shared" si="1"/>
        <v>-7.5630252100840331E-2</v>
      </c>
      <c r="Y62" s="8">
        <f t="shared" si="2"/>
        <v>0.12727272727272726</v>
      </c>
      <c r="Z62" s="8">
        <f t="shared" si="3"/>
        <v>-0.20161290322580644</v>
      </c>
      <c r="AA62" s="8">
        <f t="shared" si="4"/>
        <v>0.1111111111111111</v>
      </c>
      <c r="AB62" s="8">
        <f t="shared" si="5"/>
        <v>0.10909090909090909</v>
      </c>
      <c r="AC62" s="12">
        <f t="shared" si="6"/>
        <v>7.0417386570137991E-2</v>
      </c>
      <c r="AD62" s="12">
        <f t="shared" si="7"/>
        <v>0.11010101010101009</v>
      </c>
      <c r="AE62" s="1">
        <f t="shared" si="8"/>
        <v>31</v>
      </c>
      <c r="AF62" s="1">
        <f t="shared" si="9"/>
        <v>-9</v>
      </c>
      <c r="AG62" s="1">
        <f t="shared" si="10"/>
        <v>14</v>
      </c>
      <c r="AH62" s="1">
        <f t="shared" si="11"/>
        <v>-25</v>
      </c>
      <c r="AI62" s="1">
        <f t="shared" si="12"/>
        <v>11</v>
      </c>
      <c r="AJ62" s="1">
        <f t="shared" si="13"/>
        <v>12</v>
      </c>
      <c r="AK62" s="17">
        <f t="shared" si="14"/>
        <v>5.666666666666667</v>
      </c>
      <c r="AL62" s="17">
        <f t="shared" si="15"/>
        <v>11.5</v>
      </c>
      <c r="AM62" s="1">
        <f t="shared" si="16"/>
        <v>0.27659574468085107</v>
      </c>
      <c r="AN62" s="1">
        <f t="shared" si="17"/>
        <v>-6.6666666666666666E-2</v>
      </c>
      <c r="AO62" s="1">
        <f t="shared" si="18"/>
        <v>0.125</v>
      </c>
      <c r="AP62" s="1">
        <f t="shared" si="19"/>
        <v>-0.17460317460317459</v>
      </c>
      <c r="AQ62" s="1">
        <f t="shared" si="20"/>
        <v>5.7692307692307696E-2</v>
      </c>
      <c r="AR62" s="1">
        <f t="shared" si="21"/>
        <v>0.23636363636363636</v>
      </c>
      <c r="AS62" s="12">
        <f t="shared" si="22"/>
        <v>7.5730307911158978E-2</v>
      </c>
      <c r="AT62" s="12">
        <f t="shared" si="23"/>
        <v>9.1346153846153855E-2</v>
      </c>
      <c r="AU62" s="1">
        <f t="shared" si="24"/>
        <v>13</v>
      </c>
      <c r="AV62" s="1">
        <f t="shared" si="25"/>
        <v>-4</v>
      </c>
      <c r="AW62" s="1">
        <f t="shared" si="26"/>
        <v>7</v>
      </c>
      <c r="AX62" s="1">
        <f t="shared" si="27"/>
        <v>-11</v>
      </c>
      <c r="AY62" s="1">
        <f t="shared" si="28"/>
        <v>3</v>
      </c>
      <c r="AZ62" s="1">
        <f t="shared" si="29"/>
        <v>13</v>
      </c>
      <c r="BA62" s="19">
        <f t="shared" si="30"/>
        <v>3.5</v>
      </c>
      <c r="BB62" s="19">
        <f t="shared" si="31"/>
        <v>5</v>
      </c>
      <c r="BC62" s="9">
        <f t="shared" si="32"/>
        <v>0.43902439024390244</v>
      </c>
      <c r="BD62" s="9">
        <f t="shared" si="33"/>
        <v>-8.4745762711864403E-2</v>
      </c>
      <c r="BE62" s="9">
        <f t="shared" si="34"/>
        <v>0.12962962962962962</v>
      </c>
      <c r="BF62" s="9">
        <f t="shared" si="35"/>
        <v>-0.22950819672131148</v>
      </c>
      <c r="BG62" s="9">
        <f t="shared" si="36"/>
        <v>0.1702127659574468</v>
      </c>
      <c r="BH62" s="9">
        <f t="shared" si="37"/>
        <v>-1.8181818181818181E-2</v>
      </c>
      <c r="BI62" s="12">
        <f t="shared" si="38"/>
        <v>6.7738501369330795E-2</v>
      </c>
      <c r="BJ62" s="13">
        <f t="shared" si="39"/>
        <v>5.5723905723905724E-2</v>
      </c>
      <c r="BK62" s="1">
        <f t="shared" si="40"/>
        <v>18</v>
      </c>
      <c r="BL62" s="1">
        <f t="shared" si="41"/>
        <v>-5</v>
      </c>
      <c r="BM62" s="1">
        <f t="shared" si="42"/>
        <v>7</v>
      </c>
      <c r="BN62" s="1">
        <f t="shared" si="43"/>
        <v>-14</v>
      </c>
      <c r="BO62" s="1">
        <f t="shared" si="44"/>
        <v>8</v>
      </c>
      <c r="BP62" s="1">
        <f t="shared" si="45"/>
        <v>-1</v>
      </c>
      <c r="BQ62" s="19">
        <f t="shared" si="46"/>
        <v>2.1666666666666665</v>
      </c>
      <c r="BR62" s="17">
        <f t="shared" si="47"/>
        <v>3</v>
      </c>
    </row>
    <row r="63" spans="1:70" x14ac:dyDescent="0.25">
      <c r="A63" t="s">
        <v>216</v>
      </c>
      <c r="B63">
        <v>27</v>
      </c>
      <c r="C63">
        <v>29</v>
      </c>
      <c r="D63">
        <v>41</v>
      </c>
      <c r="E63">
        <v>62</v>
      </c>
      <c r="F63">
        <v>64</v>
      </c>
      <c r="G63">
        <v>77</v>
      </c>
      <c r="H63">
        <v>60</v>
      </c>
      <c r="I63">
        <v>21</v>
      </c>
      <c r="J63">
        <v>14</v>
      </c>
      <c r="K63">
        <v>26</v>
      </c>
      <c r="L63">
        <v>29</v>
      </c>
      <c r="M63">
        <v>39</v>
      </c>
      <c r="N63">
        <v>45</v>
      </c>
      <c r="O63">
        <v>39</v>
      </c>
      <c r="P63">
        <v>6</v>
      </c>
      <c r="Q63">
        <v>15</v>
      </c>
      <c r="R63">
        <v>15</v>
      </c>
      <c r="S63">
        <v>33</v>
      </c>
      <c r="T63">
        <v>25</v>
      </c>
      <c r="U63">
        <v>32</v>
      </c>
      <c r="V63">
        <v>21</v>
      </c>
      <c r="W63" s="8">
        <f t="shared" si="0"/>
        <v>7.407407407407407E-2</v>
      </c>
      <c r="X63" s="8">
        <f t="shared" si="1"/>
        <v>0.41379310344827586</v>
      </c>
      <c r="Y63" s="8">
        <f t="shared" si="2"/>
        <v>0.51219512195121952</v>
      </c>
      <c r="Z63" s="8">
        <f t="shared" si="3"/>
        <v>3.2258064516129031E-2</v>
      </c>
      <c r="AA63" s="8">
        <f t="shared" si="4"/>
        <v>0.203125</v>
      </c>
      <c r="AB63" s="8">
        <f t="shared" si="5"/>
        <v>-0.22077922077922077</v>
      </c>
      <c r="AC63" s="12">
        <f t="shared" si="6"/>
        <v>0.16911102386841295</v>
      </c>
      <c r="AD63" s="12">
        <f t="shared" si="7"/>
        <v>0.13859953703703703</v>
      </c>
      <c r="AE63" s="1">
        <f t="shared" si="8"/>
        <v>2</v>
      </c>
      <c r="AF63" s="1">
        <f t="shared" si="9"/>
        <v>12</v>
      </c>
      <c r="AG63" s="1">
        <f t="shared" si="10"/>
        <v>21</v>
      </c>
      <c r="AH63" s="1">
        <f t="shared" si="11"/>
        <v>2</v>
      </c>
      <c r="AI63" s="1">
        <f t="shared" si="12"/>
        <v>13</v>
      </c>
      <c r="AJ63" s="1">
        <f t="shared" si="13"/>
        <v>-17</v>
      </c>
      <c r="AK63" s="17">
        <f t="shared" si="14"/>
        <v>5.5</v>
      </c>
      <c r="AL63" s="17">
        <f t="shared" si="15"/>
        <v>7</v>
      </c>
      <c r="AM63" s="1">
        <f t="shared" si="16"/>
        <v>-0.33333333333333331</v>
      </c>
      <c r="AN63" s="1">
        <f t="shared" si="17"/>
        <v>0.8571428571428571</v>
      </c>
      <c r="AO63" s="1">
        <f t="shared" si="18"/>
        <v>0.11538461538461539</v>
      </c>
      <c r="AP63" s="1">
        <f t="shared" si="19"/>
        <v>0.34482758620689657</v>
      </c>
      <c r="AQ63" s="1">
        <f t="shared" si="20"/>
        <v>0.15384615384615385</v>
      </c>
      <c r="AR63" s="1">
        <f t="shared" si="21"/>
        <v>-0.13333333333333333</v>
      </c>
      <c r="AS63" s="12">
        <f t="shared" si="22"/>
        <v>0.16742242431897605</v>
      </c>
      <c r="AT63" s="12">
        <f t="shared" si="23"/>
        <v>0.13461538461538464</v>
      </c>
      <c r="AU63" s="1">
        <f t="shared" si="24"/>
        <v>-7</v>
      </c>
      <c r="AV63" s="1">
        <f t="shared" si="25"/>
        <v>12</v>
      </c>
      <c r="AW63" s="1">
        <f t="shared" si="26"/>
        <v>3</v>
      </c>
      <c r="AX63" s="1">
        <f t="shared" si="27"/>
        <v>10</v>
      </c>
      <c r="AY63" s="1">
        <f t="shared" si="28"/>
        <v>6</v>
      </c>
      <c r="AZ63" s="1">
        <f t="shared" si="29"/>
        <v>-6</v>
      </c>
      <c r="BA63" s="19">
        <f t="shared" si="30"/>
        <v>3</v>
      </c>
      <c r="BB63" s="19">
        <f t="shared" si="31"/>
        <v>4.5</v>
      </c>
      <c r="BC63" s="9">
        <f t="shared" si="32"/>
        <v>1.5</v>
      </c>
      <c r="BD63" s="9">
        <f t="shared" si="33"/>
        <v>0</v>
      </c>
      <c r="BE63" s="9">
        <f t="shared" si="34"/>
        <v>1.2</v>
      </c>
      <c r="BF63" s="9">
        <f t="shared" si="35"/>
        <v>-0.24242424242424243</v>
      </c>
      <c r="BG63" s="9">
        <f t="shared" si="36"/>
        <v>0.28000000000000003</v>
      </c>
      <c r="BH63" s="9">
        <f t="shared" si="37"/>
        <v>-0.34375</v>
      </c>
      <c r="BI63" s="12">
        <f t="shared" si="38"/>
        <v>0.39897095959595968</v>
      </c>
      <c r="BJ63" s="13">
        <f t="shared" si="39"/>
        <v>0.14000000000000001</v>
      </c>
      <c r="BK63" s="1">
        <f t="shared" si="40"/>
        <v>9</v>
      </c>
      <c r="BL63" s="1">
        <f t="shared" si="41"/>
        <v>0</v>
      </c>
      <c r="BM63" s="1">
        <f t="shared" si="42"/>
        <v>18</v>
      </c>
      <c r="BN63" s="1">
        <f t="shared" si="43"/>
        <v>-8</v>
      </c>
      <c r="BO63" s="1">
        <f t="shared" si="44"/>
        <v>7</v>
      </c>
      <c r="BP63" s="1">
        <f t="shared" si="45"/>
        <v>-11</v>
      </c>
      <c r="BQ63" s="19">
        <f t="shared" si="46"/>
        <v>2.5</v>
      </c>
      <c r="BR63" s="17">
        <f t="shared" si="47"/>
        <v>3.5</v>
      </c>
    </row>
    <row r="64" spans="1:70" x14ac:dyDescent="0.25">
      <c r="A64" t="s">
        <v>153</v>
      </c>
      <c r="B64">
        <v>80</v>
      </c>
      <c r="C64">
        <v>97</v>
      </c>
      <c r="D64">
        <v>93</v>
      </c>
      <c r="E64">
        <v>96</v>
      </c>
      <c r="F64">
        <v>120</v>
      </c>
      <c r="G64">
        <v>113</v>
      </c>
      <c r="H64">
        <v>112</v>
      </c>
      <c r="I64">
        <v>51</v>
      </c>
      <c r="J64">
        <v>45</v>
      </c>
      <c r="K64">
        <v>38</v>
      </c>
      <c r="L64">
        <v>48</v>
      </c>
      <c r="M64">
        <v>64</v>
      </c>
      <c r="N64">
        <v>63</v>
      </c>
      <c r="O64">
        <v>66</v>
      </c>
      <c r="P64">
        <v>29</v>
      </c>
      <c r="Q64">
        <v>52</v>
      </c>
      <c r="R64">
        <v>55</v>
      </c>
      <c r="S64">
        <v>48</v>
      </c>
      <c r="T64">
        <v>56</v>
      </c>
      <c r="U64">
        <v>50</v>
      </c>
      <c r="V64">
        <v>46</v>
      </c>
      <c r="W64" s="8">
        <f t="shared" si="0"/>
        <v>0.21249999999999999</v>
      </c>
      <c r="X64" s="8">
        <f t="shared" si="1"/>
        <v>-4.1237113402061855E-2</v>
      </c>
      <c r="Y64" s="8">
        <f t="shared" si="2"/>
        <v>3.2258064516129031E-2</v>
      </c>
      <c r="Z64" s="8">
        <f t="shared" si="3"/>
        <v>0.25</v>
      </c>
      <c r="AA64" s="8">
        <f t="shared" si="4"/>
        <v>-5.8333333333333334E-2</v>
      </c>
      <c r="AB64" s="8">
        <f t="shared" si="5"/>
        <v>-8.8495575221238937E-3</v>
      </c>
      <c r="AC64" s="12">
        <f t="shared" si="6"/>
        <v>6.438967670976832E-2</v>
      </c>
      <c r="AD64" s="12">
        <f t="shared" si="7"/>
        <v>1.1704253497002569E-2</v>
      </c>
      <c r="AE64" s="1">
        <f t="shared" si="8"/>
        <v>17</v>
      </c>
      <c r="AF64" s="1">
        <f t="shared" si="9"/>
        <v>-4</v>
      </c>
      <c r="AG64" s="1">
        <f t="shared" si="10"/>
        <v>3</v>
      </c>
      <c r="AH64" s="1">
        <f t="shared" si="11"/>
        <v>24</v>
      </c>
      <c r="AI64" s="1">
        <f t="shared" si="12"/>
        <v>-7</v>
      </c>
      <c r="AJ64" s="1">
        <f t="shared" si="13"/>
        <v>-1</v>
      </c>
      <c r="AK64" s="17">
        <f t="shared" si="14"/>
        <v>5.333333333333333</v>
      </c>
      <c r="AL64" s="17">
        <f t="shared" si="15"/>
        <v>1</v>
      </c>
      <c r="AM64" s="1">
        <f t="shared" si="16"/>
        <v>-0.11764705882352941</v>
      </c>
      <c r="AN64" s="1">
        <f t="shared" si="17"/>
        <v>-0.15555555555555556</v>
      </c>
      <c r="AO64" s="1">
        <f t="shared" si="18"/>
        <v>0.26315789473684209</v>
      </c>
      <c r="AP64" s="1">
        <f t="shared" si="19"/>
        <v>0.33333333333333331</v>
      </c>
      <c r="AQ64" s="1">
        <f t="shared" si="20"/>
        <v>-1.5625E-2</v>
      </c>
      <c r="AR64" s="1">
        <f t="shared" si="21"/>
        <v>4.7619047619047616E-2</v>
      </c>
      <c r="AS64" s="12">
        <f t="shared" si="22"/>
        <v>5.9213776885023002E-2</v>
      </c>
      <c r="AT64" s="12">
        <f t="shared" si="23"/>
        <v>1.5997023809523808E-2</v>
      </c>
      <c r="AU64" s="1">
        <f t="shared" si="24"/>
        <v>-6</v>
      </c>
      <c r="AV64" s="1">
        <f t="shared" si="25"/>
        <v>-7</v>
      </c>
      <c r="AW64" s="1">
        <f t="shared" si="26"/>
        <v>10</v>
      </c>
      <c r="AX64" s="1">
        <f t="shared" si="27"/>
        <v>16</v>
      </c>
      <c r="AY64" s="1">
        <f t="shared" si="28"/>
        <v>-1</v>
      </c>
      <c r="AZ64" s="1">
        <f t="shared" si="29"/>
        <v>3</v>
      </c>
      <c r="BA64" s="19">
        <f t="shared" si="30"/>
        <v>2.5</v>
      </c>
      <c r="BB64" s="19">
        <f t="shared" si="31"/>
        <v>1</v>
      </c>
      <c r="BC64" s="9">
        <f t="shared" si="32"/>
        <v>0.7931034482758621</v>
      </c>
      <c r="BD64" s="9">
        <f t="shared" si="33"/>
        <v>5.7692307692307696E-2</v>
      </c>
      <c r="BE64" s="9">
        <f t="shared" si="34"/>
        <v>-0.12727272727272726</v>
      </c>
      <c r="BF64" s="9">
        <f t="shared" si="35"/>
        <v>0.16666666666666666</v>
      </c>
      <c r="BG64" s="9">
        <f t="shared" si="36"/>
        <v>-0.10714285714285714</v>
      </c>
      <c r="BH64" s="9">
        <f t="shared" si="37"/>
        <v>-0.08</v>
      </c>
      <c r="BI64" s="12">
        <f t="shared" si="38"/>
        <v>0.11717447303654203</v>
      </c>
      <c r="BJ64" s="13">
        <f t="shared" si="39"/>
        <v>-1.1153846153846153E-2</v>
      </c>
      <c r="BK64" s="1">
        <f t="shared" si="40"/>
        <v>23</v>
      </c>
      <c r="BL64" s="1">
        <f t="shared" si="41"/>
        <v>3</v>
      </c>
      <c r="BM64" s="1">
        <f t="shared" si="42"/>
        <v>-7</v>
      </c>
      <c r="BN64" s="1">
        <f t="shared" si="43"/>
        <v>8</v>
      </c>
      <c r="BO64" s="1">
        <f t="shared" si="44"/>
        <v>-6</v>
      </c>
      <c r="BP64" s="1">
        <f t="shared" si="45"/>
        <v>-4</v>
      </c>
      <c r="BQ64" s="19">
        <f t="shared" si="46"/>
        <v>2.8333333333333335</v>
      </c>
      <c r="BR64" s="17">
        <f t="shared" si="47"/>
        <v>-0.5</v>
      </c>
    </row>
    <row r="65" spans="1:70" x14ac:dyDescent="0.25">
      <c r="A65" t="s">
        <v>234</v>
      </c>
      <c r="B65">
        <v>22</v>
      </c>
      <c r="C65">
        <v>27</v>
      </c>
      <c r="D65">
        <v>26</v>
      </c>
      <c r="E65">
        <v>42</v>
      </c>
      <c r="F65">
        <v>34</v>
      </c>
      <c r="G65">
        <v>37</v>
      </c>
      <c r="H65">
        <v>54</v>
      </c>
      <c r="I65">
        <v>12</v>
      </c>
      <c r="J65">
        <v>8</v>
      </c>
      <c r="K65">
        <v>11</v>
      </c>
      <c r="L65">
        <v>23</v>
      </c>
      <c r="M65">
        <v>18</v>
      </c>
      <c r="N65">
        <v>16</v>
      </c>
      <c r="O65">
        <v>34</v>
      </c>
      <c r="P65">
        <v>10</v>
      </c>
      <c r="Q65">
        <v>19</v>
      </c>
      <c r="R65">
        <v>15</v>
      </c>
      <c r="S65">
        <v>19</v>
      </c>
      <c r="T65">
        <v>16</v>
      </c>
      <c r="U65">
        <v>21</v>
      </c>
      <c r="V65">
        <v>20</v>
      </c>
      <c r="W65" s="8">
        <f t="shared" si="0"/>
        <v>0.22727272727272727</v>
      </c>
      <c r="X65" s="8">
        <f t="shared" si="1"/>
        <v>-3.7037037037037035E-2</v>
      </c>
      <c r="Y65" s="8">
        <f t="shared" si="2"/>
        <v>0.61538461538461542</v>
      </c>
      <c r="Z65" s="8">
        <f t="shared" si="3"/>
        <v>-0.19047619047619047</v>
      </c>
      <c r="AA65" s="8">
        <f t="shared" si="4"/>
        <v>8.8235294117647065E-2</v>
      </c>
      <c r="AB65" s="8">
        <f t="shared" si="5"/>
        <v>0.45945945945945948</v>
      </c>
      <c r="AC65" s="12">
        <f t="shared" si="6"/>
        <v>0.1938064781202036</v>
      </c>
      <c r="AD65" s="12">
        <f t="shared" si="7"/>
        <v>0.15775401069518719</v>
      </c>
      <c r="AE65" s="1">
        <f t="shared" si="8"/>
        <v>5</v>
      </c>
      <c r="AF65" s="1">
        <f t="shared" si="9"/>
        <v>-1</v>
      </c>
      <c r="AG65" s="1">
        <f t="shared" si="10"/>
        <v>16</v>
      </c>
      <c r="AH65" s="1">
        <f t="shared" si="11"/>
        <v>-8</v>
      </c>
      <c r="AI65" s="1">
        <f t="shared" si="12"/>
        <v>3</v>
      </c>
      <c r="AJ65" s="1">
        <f t="shared" si="13"/>
        <v>17</v>
      </c>
      <c r="AK65" s="17">
        <f t="shared" si="14"/>
        <v>5.333333333333333</v>
      </c>
      <c r="AL65" s="17">
        <f t="shared" si="15"/>
        <v>4</v>
      </c>
      <c r="AM65" s="1">
        <f t="shared" si="16"/>
        <v>-0.33333333333333331</v>
      </c>
      <c r="AN65" s="1">
        <f t="shared" si="17"/>
        <v>0.375</v>
      </c>
      <c r="AO65" s="1">
        <f t="shared" si="18"/>
        <v>1.0909090909090908</v>
      </c>
      <c r="AP65" s="1">
        <f t="shared" si="19"/>
        <v>-0.21739130434782608</v>
      </c>
      <c r="AQ65" s="1">
        <f t="shared" si="20"/>
        <v>-0.1111111111111111</v>
      </c>
      <c r="AR65" s="1">
        <f t="shared" si="21"/>
        <v>1.125</v>
      </c>
      <c r="AS65" s="12">
        <f t="shared" si="22"/>
        <v>0.32151222368613674</v>
      </c>
      <c r="AT65" s="12">
        <f t="shared" si="23"/>
        <v>0.13194444444444445</v>
      </c>
      <c r="AU65" s="1">
        <f t="shared" si="24"/>
        <v>-4</v>
      </c>
      <c r="AV65" s="1">
        <f t="shared" si="25"/>
        <v>3</v>
      </c>
      <c r="AW65" s="1">
        <f t="shared" si="26"/>
        <v>12</v>
      </c>
      <c r="AX65" s="1">
        <f t="shared" si="27"/>
        <v>-5</v>
      </c>
      <c r="AY65" s="1">
        <f t="shared" si="28"/>
        <v>-2</v>
      </c>
      <c r="AZ65" s="1">
        <f t="shared" si="29"/>
        <v>18</v>
      </c>
      <c r="BA65" s="19">
        <f t="shared" si="30"/>
        <v>3.6666666666666665</v>
      </c>
      <c r="BB65" s="19">
        <f t="shared" si="31"/>
        <v>0.5</v>
      </c>
      <c r="BC65" s="9">
        <f t="shared" si="32"/>
        <v>0.9</v>
      </c>
      <c r="BD65" s="9">
        <f t="shared" si="33"/>
        <v>-0.21052631578947367</v>
      </c>
      <c r="BE65" s="9">
        <f t="shared" si="34"/>
        <v>0.26666666666666666</v>
      </c>
      <c r="BF65" s="9">
        <f t="shared" si="35"/>
        <v>-0.15789473684210525</v>
      </c>
      <c r="BG65" s="9">
        <f t="shared" si="36"/>
        <v>0.3125</v>
      </c>
      <c r="BH65" s="9">
        <f t="shared" si="37"/>
        <v>-4.7619047619047616E-2</v>
      </c>
      <c r="BI65" s="12">
        <f t="shared" si="38"/>
        <v>0.17718776106934001</v>
      </c>
      <c r="BJ65" s="13">
        <f t="shared" si="39"/>
        <v>0.10952380952380952</v>
      </c>
      <c r="BK65" s="1">
        <f t="shared" si="40"/>
        <v>9</v>
      </c>
      <c r="BL65" s="1">
        <f t="shared" si="41"/>
        <v>-4</v>
      </c>
      <c r="BM65" s="1">
        <f t="shared" si="42"/>
        <v>4</v>
      </c>
      <c r="BN65" s="1">
        <f t="shared" si="43"/>
        <v>-3</v>
      </c>
      <c r="BO65" s="1">
        <f t="shared" si="44"/>
        <v>5</v>
      </c>
      <c r="BP65" s="1">
        <f t="shared" si="45"/>
        <v>-1</v>
      </c>
      <c r="BQ65" s="19">
        <f t="shared" si="46"/>
        <v>1.6666666666666667</v>
      </c>
      <c r="BR65" s="17">
        <f t="shared" si="47"/>
        <v>1.5</v>
      </c>
    </row>
    <row r="66" spans="1:70" x14ac:dyDescent="0.25">
      <c r="A66" t="s">
        <v>98</v>
      </c>
      <c r="B66">
        <v>261</v>
      </c>
      <c r="C66">
        <v>269</v>
      </c>
      <c r="D66">
        <v>318</v>
      </c>
      <c r="E66">
        <v>318</v>
      </c>
      <c r="F66">
        <v>289</v>
      </c>
      <c r="G66">
        <v>293</v>
      </c>
      <c r="H66">
        <v>291</v>
      </c>
      <c r="M66">
        <v>1</v>
      </c>
      <c r="P66">
        <v>261</v>
      </c>
      <c r="Q66">
        <v>269</v>
      </c>
      <c r="R66">
        <v>318</v>
      </c>
      <c r="S66">
        <v>318</v>
      </c>
      <c r="T66">
        <v>288</v>
      </c>
      <c r="U66">
        <v>293</v>
      </c>
      <c r="V66">
        <v>291</v>
      </c>
      <c r="W66" s="8">
        <f t="shared" ref="W66:W129" si="48">+(C66-B66)/B66</f>
        <v>3.0651340996168581E-2</v>
      </c>
      <c r="X66" s="8">
        <f t="shared" ref="X66:X129" si="49">+(D66-C66)/C66</f>
        <v>0.18215613382899629</v>
      </c>
      <c r="Y66" s="8">
        <f t="shared" ref="Y66:Y129" si="50">+(E66-D66)/D66</f>
        <v>0</v>
      </c>
      <c r="Z66" s="8">
        <f t="shared" ref="Z66:Z129" si="51">+(F66-E66)/E66</f>
        <v>-9.1194968553459113E-2</v>
      </c>
      <c r="AA66" s="8">
        <f t="shared" ref="AA66:AA129" si="52">+(G66-F66)/F66</f>
        <v>1.384083044982699E-2</v>
      </c>
      <c r="AB66" s="8">
        <f t="shared" ref="AB66:AB129" si="53">+(H66-G66)/G66</f>
        <v>-6.8259385665529011E-3</v>
      </c>
      <c r="AC66" s="12">
        <f t="shared" ref="AC66:AC129" si="54">+AVERAGE(W66:AB66)</f>
        <v>2.1437899692496643E-2</v>
      </c>
      <c r="AD66" s="12">
        <f t="shared" ref="AD66:AD129" si="55">MEDIAN(W66:AB66)</f>
        <v>6.920415224913495E-3</v>
      </c>
      <c r="AE66" s="1">
        <f t="shared" ref="AE66:AE129" si="56">C66-B66</f>
        <v>8</v>
      </c>
      <c r="AF66" s="1">
        <f t="shared" ref="AF66:AF129" si="57">D66-C66</f>
        <v>49</v>
      </c>
      <c r="AG66" s="1">
        <f t="shared" ref="AG66:AG129" si="58">E66-D66</f>
        <v>0</v>
      </c>
      <c r="AH66" s="1">
        <f t="shared" ref="AH66:AH129" si="59">F66-E66</f>
        <v>-29</v>
      </c>
      <c r="AI66" s="1">
        <f t="shared" ref="AI66:AI129" si="60">G66-F66</f>
        <v>4</v>
      </c>
      <c r="AJ66" s="1">
        <f t="shared" ref="AJ66:AJ129" si="61">H66-G66</f>
        <v>-2</v>
      </c>
      <c r="AK66" s="17">
        <f t="shared" ref="AK66:AK129" si="62">+AVERAGE(AE66:AJ66)</f>
        <v>5</v>
      </c>
      <c r="AL66" s="17">
        <f t="shared" ref="AL66:AL129" si="63">+MEDIAN(AE66:AJ66)</f>
        <v>2</v>
      </c>
      <c r="AM66" s="1" t="e">
        <f t="shared" ref="AM66:AM129" si="64">+(J66-I66)/I66</f>
        <v>#DIV/0!</v>
      </c>
      <c r="AN66" s="1" t="e">
        <f t="shared" ref="AN66:AN129" si="65">+(K66-J66)/J66</f>
        <v>#DIV/0!</v>
      </c>
      <c r="AO66" s="1" t="e">
        <f t="shared" ref="AO66:AO129" si="66">+(L66-K66)/K66</f>
        <v>#DIV/0!</v>
      </c>
      <c r="AP66" s="1" t="e">
        <f t="shared" ref="AP66:AP129" si="67">+(M66-L66)/L66</f>
        <v>#DIV/0!</v>
      </c>
      <c r="AQ66" s="1">
        <f t="shared" ref="AQ66:AQ129" si="68">+(N66-M66)/M66</f>
        <v>-1</v>
      </c>
      <c r="AR66" s="1" t="e">
        <f t="shared" ref="AR66:AR129" si="69">+(O66-N66)/N66</f>
        <v>#DIV/0!</v>
      </c>
      <c r="AS66" s="12" t="e">
        <f t="shared" ref="AS66:AS129" si="70">+AVERAGE(AM66:AR66)</f>
        <v>#DIV/0!</v>
      </c>
      <c r="AT66" s="12" t="e">
        <f t="shared" ref="AT66:AT129" si="71">+MEDIAN(AM66:AR66)</f>
        <v>#DIV/0!</v>
      </c>
      <c r="AU66" s="1">
        <f t="shared" ref="AU66:AU129" si="72">J66-I66</f>
        <v>0</v>
      </c>
      <c r="AV66" s="1">
        <f t="shared" ref="AV66:AV129" si="73">K66-J66</f>
        <v>0</v>
      </c>
      <c r="AW66" s="1">
        <f t="shared" ref="AW66:AW129" si="74">L66-K66</f>
        <v>0</v>
      </c>
      <c r="AX66" s="1">
        <f t="shared" ref="AX66:AX129" si="75">M66-L66</f>
        <v>1</v>
      </c>
      <c r="AY66" s="1">
        <f t="shared" ref="AY66:AY129" si="76">N66-M66</f>
        <v>-1</v>
      </c>
      <c r="AZ66" s="1">
        <f t="shared" ref="AZ66:AZ129" si="77">O66-N66</f>
        <v>0</v>
      </c>
      <c r="BA66" s="19">
        <f t="shared" ref="BA66:BA129" si="78">+AVERAGE(AU66:AZ66)</f>
        <v>0</v>
      </c>
      <c r="BB66" s="19">
        <f t="shared" ref="BB66:BB129" si="79">MEDIAN(AU66:AZ66)</f>
        <v>0</v>
      </c>
      <c r="BC66" s="9">
        <f t="shared" ref="BC66:BC129" si="80">+(Q66-P66)/P66</f>
        <v>3.0651340996168581E-2</v>
      </c>
      <c r="BD66" s="9">
        <f t="shared" ref="BD66:BD129" si="81">+(R66-Q66)/Q66</f>
        <v>0.18215613382899629</v>
      </c>
      <c r="BE66" s="9">
        <f t="shared" ref="BE66:BE129" si="82">+(S66-R66)/R66</f>
        <v>0</v>
      </c>
      <c r="BF66" s="9">
        <f t="shared" ref="BF66:BF129" si="83">+(T66-S66)/S66</f>
        <v>-9.4339622641509441E-2</v>
      </c>
      <c r="BG66" s="9">
        <f t="shared" ref="BG66:BG129" si="84">+(U66-T66)/T66</f>
        <v>1.7361111111111112E-2</v>
      </c>
      <c r="BH66" s="9">
        <f t="shared" ref="BH66:BH129" si="85">+(V66-U66)/U66</f>
        <v>-6.8259385665529011E-3</v>
      </c>
      <c r="BI66" s="12">
        <f t="shared" ref="BI66:BI129" si="86">+AVERAGE(BC66:BH66)</f>
        <v>2.1500504121368943E-2</v>
      </c>
      <c r="BJ66" s="13">
        <f t="shared" ref="BJ66:BJ129" si="87">MEDIAN(BC66:BH66)</f>
        <v>8.6805555555555559E-3</v>
      </c>
      <c r="BK66" s="1">
        <f t="shared" ref="BK66:BK129" si="88">+Q66-P66</f>
        <v>8</v>
      </c>
      <c r="BL66" s="1">
        <f t="shared" ref="BL66:BL129" si="89">+R66-Q66</f>
        <v>49</v>
      </c>
      <c r="BM66" s="1">
        <f t="shared" ref="BM66:BM129" si="90">+S66-R66</f>
        <v>0</v>
      </c>
      <c r="BN66" s="1">
        <f t="shared" ref="BN66:BN129" si="91">+T66-S66</f>
        <v>-30</v>
      </c>
      <c r="BO66" s="1">
        <f t="shared" ref="BO66:BO129" si="92">+U66-T66</f>
        <v>5</v>
      </c>
      <c r="BP66" s="1">
        <f t="shared" ref="BP66:BP129" si="93">+V66-U66</f>
        <v>-2</v>
      </c>
      <c r="BQ66" s="19">
        <f t="shared" ref="BQ66:BQ129" si="94">+AVERAGE(BK66:BP66)</f>
        <v>5</v>
      </c>
      <c r="BR66" s="17">
        <f t="shared" ref="BR66:BR129" si="95">MEDIAN(BK66:BP66)</f>
        <v>2.5</v>
      </c>
    </row>
    <row r="67" spans="1:70" x14ac:dyDescent="0.25">
      <c r="A67" t="s">
        <v>77</v>
      </c>
      <c r="B67">
        <v>767</v>
      </c>
      <c r="C67">
        <v>871</v>
      </c>
      <c r="D67">
        <v>972</v>
      </c>
      <c r="E67">
        <v>930</v>
      </c>
      <c r="F67">
        <v>1033</v>
      </c>
      <c r="G67">
        <v>1014</v>
      </c>
      <c r="H67">
        <v>796</v>
      </c>
      <c r="I67">
        <v>400</v>
      </c>
      <c r="J67">
        <v>454</v>
      </c>
      <c r="K67">
        <v>508</v>
      </c>
      <c r="L67">
        <v>518</v>
      </c>
      <c r="M67">
        <v>550</v>
      </c>
      <c r="N67">
        <v>578</v>
      </c>
      <c r="O67">
        <v>421</v>
      </c>
      <c r="P67">
        <v>367</v>
      </c>
      <c r="Q67">
        <v>417</v>
      </c>
      <c r="R67">
        <v>464</v>
      </c>
      <c r="S67">
        <v>412</v>
      </c>
      <c r="T67">
        <v>483</v>
      </c>
      <c r="U67">
        <v>436</v>
      </c>
      <c r="V67">
        <v>375</v>
      </c>
      <c r="W67" s="8">
        <f t="shared" si="48"/>
        <v>0.13559322033898305</v>
      </c>
      <c r="X67" s="8">
        <f t="shared" si="49"/>
        <v>0.11595866819747416</v>
      </c>
      <c r="Y67" s="8">
        <f t="shared" si="50"/>
        <v>-4.3209876543209874E-2</v>
      </c>
      <c r="Z67" s="8">
        <f t="shared" si="51"/>
        <v>0.11075268817204301</v>
      </c>
      <c r="AA67" s="8">
        <f t="shared" si="52"/>
        <v>-1.8393030009680542E-2</v>
      </c>
      <c r="AB67" s="8">
        <f t="shared" si="53"/>
        <v>-0.21499013806706113</v>
      </c>
      <c r="AC67" s="12">
        <f t="shared" si="54"/>
        <v>1.4285255348091441E-2</v>
      </c>
      <c r="AD67" s="12">
        <f t="shared" si="55"/>
        <v>4.6179829081181234E-2</v>
      </c>
      <c r="AE67" s="1">
        <f t="shared" si="56"/>
        <v>104</v>
      </c>
      <c r="AF67" s="1">
        <f t="shared" si="57"/>
        <v>101</v>
      </c>
      <c r="AG67" s="1">
        <f t="shared" si="58"/>
        <v>-42</v>
      </c>
      <c r="AH67" s="1">
        <f t="shared" si="59"/>
        <v>103</v>
      </c>
      <c r="AI67" s="1">
        <f t="shared" si="60"/>
        <v>-19</v>
      </c>
      <c r="AJ67" s="1">
        <f t="shared" si="61"/>
        <v>-218</v>
      </c>
      <c r="AK67" s="17">
        <f t="shared" si="62"/>
        <v>4.833333333333333</v>
      </c>
      <c r="AL67" s="17">
        <f t="shared" si="63"/>
        <v>41</v>
      </c>
      <c r="AM67" s="1">
        <f t="shared" si="64"/>
        <v>0.13500000000000001</v>
      </c>
      <c r="AN67" s="1">
        <f t="shared" si="65"/>
        <v>0.11894273127753303</v>
      </c>
      <c r="AO67" s="1">
        <f t="shared" si="66"/>
        <v>1.968503937007874E-2</v>
      </c>
      <c r="AP67" s="1">
        <f t="shared" si="67"/>
        <v>6.1776061776061778E-2</v>
      </c>
      <c r="AQ67" s="1">
        <f t="shared" si="68"/>
        <v>5.0909090909090911E-2</v>
      </c>
      <c r="AR67" s="1">
        <f t="shared" si="69"/>
        <v>-0.27162629757785467</v>
      </c>
      <c r="AS67" s="12">
        <f t="shared" si="70"/>
        <v>1.9114437625818298E-2</v>
      </c>
      <c r="AT67" s="12">
        <f t="shared" si="71"/>
        <v>5.6342576342576348E-2</v>
      </c>
      <c r="AU67" s="1">
        <f t="shared" si="72"/>
        <v>54</v>
      </c>
      <c r="AV67" s="1">
        <f t="shared" si="73"/>
        <v>54</v>
      </c>
      <c r="AW67" s="1">
        <f t="shared" si="74"/>
        <v>10</v>
      </c>
      <c r="AX67" s="1">
        <f t="shared" si="75"/>
        <v>32</v>
      </c>
      <c r="AY67" s="1">
        <f t="shared" si="76"/>
        <v>28</v>
      </c>
      <c r="AZ67" s="1">
        <f t="shared" si="77"/>
        <v>-157</v>
      </c>
      <c r="BA67" s="19">
        <f t="shared" si="78"/>
        <v>3.5</v>
      </c>
      <c r="BB67" s="19">
        <f t="shared" si="79"/>
        <v>30</v>
      </c>
      <c r="BC67" s="9">
        <f t="shared" si="80"/>
        <v>0.13623978201634879</v>
      </c>
      <c r="BD67" s="9">
        <f t="shared" si="81"/>
        <v>0.11270983213429256</v>
      </c>
      <c r="BE67" s="9">
        <f t="shared" si="82"/>
        <v>-0.11206896551724138</v>
      </c>
      <c r="BF67" s="9">
        <f t="shared" si="83"/>
        <v>0.17233009708737865</v>
      </c>
      <c r="BG67" s="9">
        <f t="shared" si="84"/>
        <v>-9.7308488612836433E-2</v>
      </c>
      <c r="BH67" s="9">
        <f t="shared" si="85"/>
        <v>-0.13990825688073394</v>
      </c>
      <c r="BI67" s="12">
        <f t="shared" si="86"/>
        <v>1.1999000037868043E-2</v>
      </c>
      <c r="BJ67" s="13">
        <f t="shared" si="87"/>
        <v>7.70067176072807E-3</v>
      </c>
      <c r="BK67" s="1">
        <f t="shared" si="88"/>
        <v>50</v>
      </c>
      <c r="BL67" s="1">
        <f t="shared" si="89"/>
        <v>47</v>
      </c>
      <c r="BM67" s="1">
        <f t="shared" si="90"/>
        <v>-52</v>
      </c>
      <c r="BN67" s="1">
        <f t="shared" si="91"/>
        <v>71</v>
      </c>
      <c r="BO67" s="1">
        <f t="shared" si="92"/>
        <v>-47</v>
      </c>
      <c r="BP67" s="1">
        <f t="shared" si="93"/>
        <v>-61</v>
      </c>
      <c r="BQ67" s="19">
        <f t="shared" si="94"/>
        <v>1.3333333333333333</v>
      </c>
      <c r="BR67" s="17">
        <f t="shared" si="95"/>
        <v>0</v>
      </c>
    </row>
    <row r="68" spans="1:70" x14ac:dyDescent="0.25">
      <c r="A68" t="s">
        <v>436</v>
      </c>
      <c r="B68">
        <v>3</v>
      </c>
      <c r="C68">
        <v>12</v>
      </c>
      <c r="D68">
        <v>11</v>
      </c>
      <c r="E68">
        <v>18</v>
      </c>
      <c r="F68">
        <v>24</v>
      </c>
      <c r="G68">
        <v>32</v>
      </c>
      <c r="H68">
        <v>32</v>
      </c>
      <c r="I68">
        <v>1</v>
      </c>
      <c r="J68">
        <v>8</v>
      </c>
      <c r="K68">
        <v>7</v>
      </c>
      <c r="L68">
        <v>8</v>
      </c>
      <c r="M68">
        <v>10</v>
      </c>
      <c r="N68">
        <v>13</v>
      </c>
      <c r="O68">
        <v>13</v>
      </c>
      <c r="P68">
        <v>2</v>
      </c>
      <c r="Q68">
        <v>4</v>
      </c>
      <c r="R68">
        <v>4</v>
      </c>
      <c r="S68">
        <v>10</v>
      </c>
      <c r="T68">
        <v>14</v>
      </c>
      <c r="U68">
        <v>19</v>
      </c>
      <c r="V68">
        <v>19</v>
      </c>
      <c r="W68" s="8">
        <f t="shared" si="48"/>
        <v>3</v>
      </c>
      <c r="X68" s="8">
        <f t="shared" si="49"/>
        <v>-8.3333333333333329E-2</v>
      </c>
      <c r="Y68" s="8">
        <f t="shared" si="50"/>
        <v>0.63636363636363635</v>
      </c>
      <c r="Z68" s="8">
        <f t="shared" si="51"/>
        <v>0.33333333333333331</v>
      </c>
      <c r="AA68" s="8">
        <f t="shared" si="52"/>
        <v>0.33333333333333331</v>
      </c>
      <c r="AB68" s="8">
        <f t="shared" si="53"/>
        <v>0</v>
      </c>
      <c r="AC68" s="12">
        <f t="shared" si="54"/>
        <v>0.70328282828282829</v>
      </c>
      <c r="AD68" s="12">
        <f t="shared" si="55"/>
        <v>0.33333333333333331</v>
      </c>
      <c r="AE68" s="1">
        <f t="shared" si="56"/>
        <v>9</v>
      </c>
      <c r="AF68" s="1">
        <f t="shared" si="57"/>
        <v>-1</v>
      </c>
      <c r="AG68" s="1">
        <f t="shared" si="58"/>
        <v>7</v>
      </c>
      <c r="AH68" s="1">
        <f t="shared" si="59"/>
        <v>6</v>
      </c>
      <c r="AI68" s="1">
        <f t="shared" si="60"/>
        <v>8</v>
      </c>
      <c r="AJ68" s="1">
        <f t="shared" si="61"/>
        <v>0</v>
      </c>
      <c r="AK68" s="17">
        <f t="shared" si="62"/>
        <v>4.833333333333333</v>
      </c>
      <c r="AL68" s="17">
        <f t="shared" si="63"/>
        <v>6.5</v>
      </c>
      <c r="AM68" s="1">
        <f t="shared" si="64"/>
        <v>7</v>
      </c>
      <c r="AN68" s="1">
        <f t="shared" si="65"/>
        <v>-0.125</v>
      </c>
      <c r="AO68" s="1">
        <f t="shared" si="66"/>
        <v>0.14285714285714285</v>
      </c>
      <c r="AP68" s="1">
        <f t="shared" si="67"/>
        <v>0.25</v>
      </c>
      <c r="AQ68" s="1">
        <f t="shared" si="68"/>
        <v>0.3</v>
      </c>
      <c r="AR68" s="1">
        <f t="shared" si="69"/>
        <v>0</v>
      </c>
      <c r="AS68" s="12">
        <f t="shared" si="70"/>
        <v>1.2613095238095238</v>
      </c>
      <c r="AT68" s="12">
        <f t="shared" si="71"/>
        <v>0.19642857142857142</v>
      </c>
      <c r="AU68" s="1">
        <f t="shared" si="72"/>
        <v>7</v>
      </c>
      <c r="AV68" s="1">
        <f t="shared" si="73"/>
        <v>-1</v>
      </c>
      <c r="AW68" s="1">
        <f t="shared" si="74"/>
        <v>1</v>
      </c>
      <c r="AX68" s="1">
        <f t="shared" si="75"/>
        <v>2</v>
      </c>
      <c r="AY68" s="1">
        <f t="shared" si="76"/>
        <v>3</v>
      </c>
      <c r="AZ68" s="1">
        <f t="shared" si="77"/>
        <v>0</v>
      </c>
      <c r="BA68" s="19">
        <f t="shared" si="78"/>
        <v>2</v>
      </c>
      <c r="BB68" s="19">
        <f t="shared" si="79"/>
        <v>1.5</v>
      </c>
      <c r="BC68" s="9">
        <f t="shared" si="80"/>
        <v>1</v>
      </c>
      <c r="BD68" s="9">
        <f t="shared" si="81"/>
        <v>0</v>
      </c>
      <c r="BE68" s="9">
        <f t="shared" si="82"/>
        <v>1.5</v>
      </c>
      <c r="BF68" s="9">
        <f t="shared" si="83"/>
        <v>0.4</v>
      </c>
      <c r="BG68" s="9">
        <f t="shared" si="84"/>
        <v>0.35714285714285715</v>
      </c>
      <c r="BH68" s="9">
        <f t="shared" si="85"/>
        <v>0</v>
      </c>
      <c r="BI68" s="12">
        <f t="shared" si="86"/>
        <v>0.54285714285714282</v>
      </c>
      <c r="BJ68" s="13">
        <f t="shared" si="87"/>
        <v>0.37857142857142856</v>
      </c>
      <c r="BK68" s="1">
        <f t="shared" si="88"/>
        <v>2</v>
      </c>
      <c r="BL68" s="1">
        <f t="shared" si="89"/>
        <v>0</v>
      </c>
      <c r="BM68" s="1">
        <f t="shared" si="90"/>
        <v>6</v>
      </c>
      <c r="BN68" s="1">
        <f t="shared" si="91"/>
        <v>4</v>
      </c>
      <c r="BO68" s="1">
        <f t="shared" si="92"/>
        <v>5</v>
      </c>
      <c r="BP68" s="1">
        <f t="shared" si="93"/>
        <v>0</v>
      </c>
      <c r="BQ68" s="19">
        <f t="shared" si="94"/>
        <v>2.8333333333333335</v>
      </c>
      <c r="BR68" s="17">
        <f t="shared" si="95"/>
        <v>3</v>
      </c>
    </row>
    <row r="69" spans="1:70" x14ac:dyDescent="0.25">
      <c r="A69" t="s">
        <v>272</v>
      </c>
      <c r="B69">
        <v>15</v>
      </c>
      <c r="C69">
        <v>23</v>
      </c>
      <c r="D69">
        <v>27</v>
      </c>
      <c r="E69">
        <v>28</v>
      </c>
      <c r="F69">
        <v>37</v>
      </c>
      <c r="G69">
        <v>38</v>
      </c>
      <c r="H69">
        <v>42</v>
      </c>
      <c r="P69">
        <v>15</v>
      </c>
      <c r="Q69">
        <v>23</v>
      </c>
      <c r="R69">
        <v>27</v>
      </c>
      <c r="S69">
        <v>28</v>
      </c>
      <c r="T69">
        <v>37</v>
      </c>
      <c r="U69">
        <v>38</v>
      </c>
      <c r="V69">
        <v>42</v>
      </c>
      <c r="W69" s="8">
        <f t="shared" si="48"/>
        <v>0.53333333333333333</v>
      </c>
      <c r="X69" s="8">
        <f t="shared" si="49"/>
        <v>0.17391304347826086</v>
      </c>
      <c r="Y69" s="8">
        <f t="shared" si="50"/>
        <v>3.7037037037037035E-2</v>
      </c>
      <c r="Z69" s="8">
        <f t="shared" si="51"/>
        <v>0.32142857142857145</v>
      </c>
      <c r="AA69" s="8">
        <f t="shared" si="52"/>
        <v>2.7027027027027029E-2</v>
      </c>
      <c r="AB69" s="8">
        <f t="shared" si="53"/>
        <v>0.10526315789473684</v>
      </c>
      <c r="AC69" s="12">
        <f t="shared" si="54"/>
        <v>0.19966702836649439</v>
      </c>
      <c r="AD69" s="12">
        <f t="shared" si="55"/>
        <v>0.13958810068649885</v>
      </c>
      <c r="AE69" s="1">
        <f t="shared" si="56"/>
        <v>8</v>
      </c>
      <c r="AF69" s="1">
        <f t="shared" si="57"/>
        <v>4</v>
      </c>
      <c r="AG69" s="1">
        <f t="shared" si="58"/>
        <v>1</v>
      </c>
      <c r="AH69" s="1">
        <f t="shared" si="59"/>
        <v>9</v>
      </c>
      <c r="AI69" s="1">
        <f t="shared" si="60"/>
        <v>1</v>
      </c>
      <c r="AJ69" s="1">
        <f t="shared" si="61"/>
        <v>4</v>
      </c>
      <c r="AK69" s="17">
        <f t="shared" si="62"/>
        <v>4.5</v>
      </c>
      <c r="AL69" s="17">
        <f t="shared" si="63"/>
        <v>4</v>
      </c>
      <c r="AM69" s="1" t="e">
        <f t="shared" si="64"/>
        <v>#DIV/0!</v>
      </c>
      <c r="AN69" s="1" t="e">
        <f t="shared" si="65"/>
        <v>#DIV/0!</v>
      </c>
      <c r="AO69" s="1" t="e">
        <f t="shared" si="66"/>
        <v>#DIV/0!</v>
      </c>
      <c r="AP69" s="1" t="e">
        <f t="shared" si="67"/>
        <v>#DIV/0!</v>
      </c>
      <c r="AQ69" s="1" t="e">
        <f t="shared" si="68"/>
        <v>#DIV/0!</v>
      </c>
      <c r="AR69" s="1" t="e">
        <f t="shared" si="69"/>
        <v>#DIV/0!</v>
      </c>
      <c r="AS69" s="12" t="e">
        <f t="shared" si="70"/>
        <v>#DIV/0!</v>
      </c>
      <c r="AT69" s="12" t="e">
        <f t="shared" si="71"/>
        <v>#DIV/0!</v>
      </c>
      <c r="AU69" s="1">
        <f t="shared" si="72"/>
        <v>0</v>
      </c>
      <c r="AV69" s="1">
        <f t="shared" si="73"/>
        <v>0</v>
      </c>
      <c r="AW69" s="1">
        <f t="shared" si="74"/>
        <v>0</v>
      </c>
      <c r="AX69" s="1">
        <f t="shared" si="75"/>
        <v>0</v>
      </c>
      <c r="AY69" s="1">
        <f t="shared" si="76"/>
        <v>0</v>
      </c>
      <c r="AZ69" s="1">
        <f t="shared" si="77"/>
        <v>0</v>
      </c>
      <c r="BA69" s="19">
        <f t="shared" si="78"/>
        <v>0</v>
      </c>
      <c r="BB69" s="19">
        <f t="shared" si="79"/>
        <v>0</v>
      </c>
      <c r="BC69" s="9">
        <f t="shared" si="80"/>
        <v>0.53333333333333333</v>
      </c>
      <c r="BD69" s="9">
        <f t="shared" si="81"/>
        <v>0.17391304347826086</v>
      </c>
      <c r="BE69" s="9">
        <f t="shared" si="82"/>
        <v>3.7037037037037035E-2</v>
      </c>
      <c r="BF69" s="9">
        <f t="shared" si="83"/>
        <v>0.32142857142857145</v>
      </c>
      <c r="BG69" s="9">
        <f t="shared" si="84"/>
        <v>2.7027027027027029E-2</v>
      </c>
      <c r="BH69" s="9">
        <f t="shared" si="85"/>
        <v>0.10526315789473684</v>
      </c>
      <c r="BI69" s="12">
        <f t="shared" si="86"/>
        <v>0.19966702836649439</v>
      </c>
      <c r="BJ69" s="13">
        <f t="shared" si="87"/>
        <v>0.13958810068649885</v>
      </c>
      <c r="BK69" s="1">
        <f t="shared" si="88"/>
        <v>8</v>
      </c>
      <c r="BL69" s="1">
        <f t="shared" si="89"/>
        <v>4</v>
      </c>
      <c r="BM69" s="1">
        <f t="shared" si="90"/>
        <v>1</v>
      </c>
      <c r="BN69" s="1">
        <f t="shared" si="91"/>
        <v>9</v>
      </c>
      <c r="BO69" s="1">
        <f t="shared" si="92"/>
        <v>1</v>
      </c>
      <c r="BP69" s="1">
        <f t="shared" si="93"/>
        <v>4</v>
      </c>
      <c r="BQ69" s="19">
        <f t="shared" si="94"/>
        <v>4.5</v>
      </c>
      <c r="BR69" s="17">
        <f t="shared" si="95"/>
        <v>4</v>
      </c>
    </row>
    <row r="70" spans="1:70" x14ac:dyDescent="0.25">
      <c r="A70" t="s">
        <v>314</v>
      </c>
      <c r="B70">
        <v>10</v>
      </c>
      <c r="C70">
        <v>15</v>
      </c>
      <c r="D70">
        <v>26</v>
      </c>
      <c r="E70">
        <v>28</v>
      </c>
      <c r="F70">
        <v>39</v>
      </c>
      <c r="G70">
        <v>28</v>
      </c>
      <c r="H70">
        <v>37</v>
      </c>
      <c r="I70">
        <v>8</v>
      </c>
      <c r="J70">
        <v>6</v>
      </c>
      <c r="K70">
        <v>18</v>
      </c>
      <c r="L70">
        <v>13</v>
      </c>
      <c r="M70">
        <v>17</v>
      </c>
      <c r="N70">
        <v>9</v>
      </c>
      <c r="O70">
        <v>15</v>
      </c>
      <c r="P70">
        <v>2</v>
      </c>
      <c r="Q70">
        <v>9</v>
      </c>
      <c r="R70">
        <v>8</v>
      </c>
      <c r="S70">
        <v>15</v>
      </c>
      <c r="T70">
        <v>22</v>
      </c>
      <c r="U70">
        <v>19</v>
      </c>
      <c r="V70">
        <v>22</v>
      </c>
      <c r="W70" s="8">
        <f t="shared" si="48"/>
        <v>0.5</v>
      </c>
      <c r="X70" s="8">
        <f t="shared" si="49"/>
        <v>0.73333333333333328</v>
      </c>
      <c r="Y70" s="8">
        <f t="shared" si="50"/>
        <v>7.6923076923076927E-2</v>
      </c>
      <c r="Z70" s="8">
        <f t="shared" si="51"/>
        <v>0.39285714285714285</v>
      </c>
      <c r="AA70" s="8">
        <f t="shared" si="52"/>
        <v>-0.28205128205128205</v>
      </c>
      <c r="AB70" s="8">
        <f t="shared" si="53"/>
        <v>0.32142857142857145</v>
      </c>
      <c r="AC70" s="12">
        <f t="shared" si="54"/>
        <v>0.29041514041514038</v>
      </c>
      <c r="AD70" s="12">
        <f t="shared" si="55"/>
        <v>0.35714285714285715</v>
      </c>
      <c r="AE70" s="1">
        <f t="shared" si="56"/>
        <v>5</v>
      </c>
      <c r="AF70" s="1">
        <f t="shared" si="57"/>
        <v>11</v>
      </c>
      <c r="AG70" s="1">
        <f t="shared" si="58"/>
        <v>2</v>
      </c>
      <c r="AH70" s="1">
        <f t="shared" si="59"/>
        <v>11</v>
      </c>
      <c r="AI70" s="1">
        <f t="shared" si="60"/>
        <v>-11</v>
      </c>
      <c r="AJ70" s="1">
        <f t="shared" si="61"/>
        <v>9</v>
      </c>
      <c r="AK70" s="17">
        <f t="shared" si="62"/>
        <v>4.5</v>
      </c>
      <c r="AL70" s="17">
        <f t="shared" si="63"/>
        <v>7</v>
      </c>
      <c r="AM70" s="1">
        <f t="shared" si="64"/>
        <v>-0.25</v>
      </c>
      <c r="AN70" s="1">
        <f t="shared" si="65"/>
        <v>2</v>
      </c>
      <c r="AO70" s="1">
        <f t="shared" si="66"/>
        <v>-0.27777777777777779</v>
      </c>
      <c r="AP70" s="1">
        <f t="shared" si="67"/>
        <v>0.30769230769230771</v>
      </c>
      <c r="AQ70" s="1">
        <f t="shared" si="68"/>
        <v>-0.47058823529411764</v>
      </c>
      <c r="AR70" s="1">
        <f t="shared" si="69"/>
        <v>0.66666666666666663</v>
      </c>
      <c r="AS70" s="12">
        <f t="shared" si="70"/>
        <v>0.32933216021451317</v>
      </c>
      <c r="AT70" s="12">
        <f t="shared" si="71"/>
        <v>2.8846153846153855E-2</v>
      </c>
      <c r="AU70" s="1">
        <f t="shared" si="72"/>
        <v>-2</v>
      </c>
      <c r="AV70" s="1">
        <f t="shared" si="73"/>
        <v>12</v>
      </c>
      <c r="AW70" s="1">
        <f t="shared" si="74"/>
        <v>-5</v>
      </c>
      <c r="AX70" s="1">
        <f t="shared" si="75"/>
        <v>4</v>
      </c>
      <c r="AY70" s="1">
        <f t="shared" si="76"/>
        <v>-8</v>
      </c>
      <c r="AZ70" s="1">
        <f t="shared" si="77"/>
        <v>6</v>
      </c>
      <c r="BA70" s="19">
        <f t="shared" si="78"/>
        <v>1.1666666666666667</v>
      </c>
      <c r="BB70" s="19">
        <f t="shared" si="79"/>
        <v>1</v>
      </c>
      <c r="BC70" s="9">
        <f t="shared" si="80"/>
        <v>3.5</v>
      </c>
      <c r="BD70" s="9">
        <f t="shared" si="81"/>
        <v>-0.1111111111111111</v>
      </c>
      <c r="BE70" s="9">
        <f t="shared" si="82"/>
        <v>0.875</v>
      </c>
      <c r="BF70" s="9">
        <f t="shared" si="83"/>
        <v>0.46666666666666667</v>
      </c>
      <c r="BG70" s="9">
        <f t="shared" si="84"/>
        <v>-0.13636363636363635</v>
      </c>
      <c r="BH70" s="9">
        <f t="shared" si="85"/>
        <v>0.15789473684210525</v>
      </c>
      <c r="BI70" s="12">
        <f t="shared" si="86"/>
        <v>0.79201444267233745</v>
      </c>
      <c r="BJ70" s="13">
        <f t="shared" si="87"/>
        <v>0.31228070175438594</v>
      </c>
      <c r="BK70" s="1">
        <f t="shared" si="88"/>
        <v>7</v>
      </c>
      <c r="BL70" s="1">
        <f t="shared" si="89"/>
        <v>-1</v>
      </c>
      <c r="BM70" s="1">
        <f t="shared" si="90"/>
        <v>7</v>
      </c>
      <c r="BN70" s="1">
        <f t="shared" si="91"/>
        <v>7</v>
      </c>
      <c r="BO70" s="1">
        <f t="shared" si="92"/>
        <v>-3</v>
      </c>
      <c r="BP70" s="1">
        <f t="shared" si="93"/>
        <v>3</v>
      </c>
      <c r="BQ70" s="19">
        <f t="shared" si="94"/>
        <v>3.3333333333333335</v>
      </c>
      <c r="BR70" s="17">
        <f t="shared" si="95"/>
        <v>5</v>
      </c>
    </row>
    <row r="71" spans="1:70" x14ac:dyDescent="0.25">
      <c r="A71" t="s">
        <v>69</v>
      </c>
      <c r="B71">
        <v>1487</v>
      </c>
      <c r="C71">
        <v>1490</v>
      </c>
      <c r="D71">
        <v>1586</v>
      </c>
      <c r="E71">
        <v>1521</v>
      </c>
      <c r="F71">
        <v>1312</v>
      </c>
      <c r="G71">
        <v>1563</v>
      </c>
      <c r="H71">
        <v>1513</v>
      </c>
      <c r="I71">
        <v>853</v>
      </c>
      <c r="J71">
        <v>878</v>
      </c>
      <c r="K71">
        <v>893</v>
      </c>
      <c r="L71">
        <v>865</v>
      </c>
      <c r="M71">
        <v>765</v>
      </c>
      <c r="N71">
        <v>838</v>
      </c>
      <c r="O71">
        <v>838</v>
      </c>
      <c r="P71">
        <v>634</v>
      </c>
      <c r="Q71">
        <v>612</v>
      </c>
      <c r="R71">
        <v>693</v>
      </c>
      <c r="S71">
        <v>656</v>
      </c>
      <c r="T71">
        <v>547</v>
      </c>
      <c r="U71">
        <v>725</v>
      </c>
      <c r="V71">
        <v>675</v>
      </c>
      <c r="W71" s="8">
        <f t="shared" si="48"/>
        <v>2.0174848688634837E-3</v>
      </c>
      <c r="X71" s="8">
        <f t="shared" si="49"/>
        <v>6.4429530201342289E-2</v>
      </c>
      <c r="Y71" s="8">
        <f t="shared" si="50"/>
        <v>-4.0983606557377046E-2</v>
      </c>
      <c r="Z71" s="8">
        <f t="shared" si="51"/>
        <v>-0.13740959894806049</v>
      </c>
      <c r="AA71" s="8">
        <f t="shared" si="52"/>
        <v>0.1913109756097561</v>
      </c>
      <c r="AB71" s="8">
        <f t="shared" si="53"/>
        <v>-3.1989763275751759E-2</v>
      </c>
      <c r="AC71" s="12">
        <f t="shared" si="54"/>
        <v>7.8958369831287623E-3</v>
      </c>
      <c r="AD71" s="12">
        <f t="shared" si="55"/>
        <v>-1.4986139203444139E-2</v>
      </c>
      <c r="AE71" s="1">
        <f t="shared" si="56"/>
        <v>3</v>
      </c>
      <c r="AF71" s="1">
        <f t="shared" si="57"/>
        <v>96</v>
      </c>
      <c r="AG71" s="1">
        <f t="shared" si="58"/>
        <v>-65</v>
      </c>
      <c r="AH71" s="1">
        <f t="shared" si="59"/>
        <v>-209</v>
      </c>
      <c r="AI71" s="1">
        <f t="shared" si="60"/>
        <v>251</v>
      </c>
      <c r="AJ71" s="1">
        <f t="shared" si="61"/>
        <v>-50</v>
      </c>
      <c r="AK71" s="17">
        <f t="shared" si="62"/>
        <v>4.333333333333333</v>
      </c>
      <c r="AL71" s="17">
        <f t="shared" si="63"/>
        <v>-23.5</v>
      </c>
      <c r="AM71" s="1">
        <f t="shared" si="64"/>
        <v>2.9308323563892145E-2</v>
      </c>
      <c r="AN71" s="1">
        <f t="shared" si="65"/>
        <v>1.7084282460136675E-2</v>
      </c>
      <c r="AO71" s="1">
        <f t="shared" si="66"/>
        <v>-3.1354983202687571E-2</v>
      </c>
      <c r="AP71" s="1">
        <f t="shared" si="67"/>
        <v>-0.11560693641618497</v>
      </c>
      <c r="AQ71" s="1">
        <f t="shared" si="68"/>
        <v>9.5424836601307184E-2</v>
      </c>
      <c r="AR71" s="1">
        <f t="shared" si="69"/>
        <v>0</v>
      </c>
      <c r="AS71" s="12">
        <f t="shared" si="70"/>
        <v>-8.5741283225609E-4</v>
      </c>
      <c r="AT71" s="12">
        <f t="shared" si="71"/>
        <v>8.5421412300683373E-3</v>
      </c>
      <c r="AU71" s="1">
        <f t="shared" si="72"/>
        <v>25</v>
      </c>
      <c r="AV71" s="1">
        <f t="shared" si="73"/>
        <v>15</v>
      </c>
      <c r="AW71" s="1">
        <f t="shared" si="74"/>
        <v>-28</v>
      </c>
      <c r="AX71" s="1">
        <f t="shared" si="75"/>
        <v>-100</v>
      </c>
      <c r="AY71" s="1">
        <f t="shared" si="76"/>
        <v>73</v>
      </c>
      <c r="AZ71" s="1">
        <f t="shared" si="77"/>
        <v>0</v>
      </c>
      <c r="BA71" s="19">
        <f t="shared" si="78"/>
        <v>-2.5</v>
      </c>
      <c r="BB71" s="19">
        <f t="shared" si="79"/>
        <v>7.5</v>
      </c>
      <c r="BC71" s="9">
        <f t="shared" si="80"/>
        <v>-3.4700315457413249E-2</v>
      </c>
      <c r="BD71" s="9">
        <f t="shared" si="81"/>
        <v>0.13235294117647059</v>
      </c>
      <c r="BE71" s="9">
        <f t="shared" si="82"/>
        <v>-5.3391053391053392E-2</v>
      </c>
      <c r="BF71" s="9">
        <f t="shared" si="83"/>
        <v>-0.16615853658536586</v>
      </c>
      <c r="BG71" s="9">
        <f t="shared" si="84"/>
        <v>0.32541133455210236</v>
      </c>
      <c r="BH71" s="9">
        <f t="shared" si="85"/>
        <v>-6.8965517241379309E-2</v>
      </c>
      <c r="BI71" s="12">
        <f t="shared" si="86"/>
        <v>2.2424808842226859E-2</v>
      </c>
      <c r="BJ71" s="13">
        <f t="shared" si="87"/>
        <v>-4.4045684424233317E-2</v>
      </c>
      <c r="BK71" s="1">
        <f t="shared" si="88"/>
        <v>-22</v>
      </c>
      <c r="BL71" s="1">
        <f t="shared" si="89"/>
        <v>81</v>
      </c>
      <c r="BM71" s="1">
        <f t="shared" si="90"/>
        <v>-37</v>
      </c>
      <c r="BN71" s="1">
        <f t="shared" si="91"/>
        <v>-109</v>
      </c>
      <c r="BO71" s="1">
        <f t="shared" si="92"/>
        <v>178</v>
      </c>
      <c r="BP71" s="1">
        <f t="shared" si="93"/>
        <v>-50</v>
      </c>
      <c r="BQ71" s="19">
        <f t="shared" si="94"/>
        <v>6.833333333333333</v>
      </c>
      <c r="BR71" s="17">
        <f t="shared" si="95"/>
        <v>-29.5</v>
      </c>
    </row>
    <row r="72" spans="1:70" x14ac:dyDescent="0.25">
      <c r="A72" t="s">
        <v>154</v>
      </c>
      <c r="B72">
        <v>80</v>
      </c>
      <c r="C72">
        <v>66</v>
      </c>
      <c r="D72">
        <v>72</v>
      </c>
      <c r="E72">
        <v>119</v>
      </c>
      <c r="F72">
        <v>107</v>
      </c>
      <c r="G72">
        <v>95</v>
      </c>
      <c r="H72">
        <v>106</v>
      </c>
      <c r="I72">
        <v>17</v>
      </c>
      <c r="J72">
        <v>12</v>
      </c>
      <c r="K72">
        <v>15</v>
      </c>
      <c r="L72">
        <v>36</v>
      </c>
      <c r="M72">
        <v>29</v>
      </c>
      <c r="N72">
        <v>21</v>
      </c>
      <c r="O72">
        <v>18</v>
      </c>
      <c r="P72">
        <v>63</v>
      </c>
      <c r="Q72">
        <v>54</v>
      </c>
      <c r="R72">
        <v>57</v>
      </c>
      <c r="S72">
        <v>83</v>
      </c>
      <c r="T72">
        <v>78</v>
      </c>
      <c r="U72">
        <v>74</v>
      </c>
      <c r="V72">
        <v>88</v>
      </c>
      <c r="W72" s="8">
        <f t="shared" si="48"/>
        <v>-0.17499999999999999</v>
      </c>
      <c r="X72" s="8">
        <f t="shared" si="49"/>
        <v>9.0909090909090912E-2</v>
      </c>
      <c r="Y72" s="8">
        <f t="shared" si="50"/>
        <v>0.65277777777777779</v>
      </c>
      <c r="Z72" s="8">
        <f t="shared" si="51"/>
        <v>-0.10084033613445378</v>
      </c>
      <c r="AA72" s="8">
        <f t="shared" si="52"/>
        <v>-0.11214953271028037</v>
      </c>
      <c r="AB72" s="8">
        <f t="shared" si="53"/>
        <v>0.11578947368421053</v>
      </c>
      <c r="AC72" s="12">
        <f t="shared" si="54"/>
        <v>7.8581078921057521E-2</v>
      </c>
      <c r="AD72" s="12">
        <f t="shared" si="55"/>
        <v>-4.9656226126814362E-3</v>
      </c>
      <c r="AE72" s="1">
        <f t="shared" si="56"/>
        <v>-14</v>
      </c>
      <c r="AF72" s="1">
        <f t="shared" si="57"/>
        <v>6</v>
      </c>
      <c r="AG72" s="1">
        <f t="shared" si="58"/>
        <v>47</v>
      </c>
      <c r="AH72" s="1">
        <f t="shared" si="59"/>
        <v>-12</v>
      </c>
      <c r="AI72" s="1">
        <f t="shared" si="60"/>
        <v>-12</v>
      </c>
      <c r="AJ72" s="1">
        <f t="shared" si="61"/>
        <v>11</v>
      </c>
      <c r="AK72" s="17">
        <f t="shared" si="62"/>
        <v>4.333333333333333</v>
      </c>
      <c r="AL72" s="17">
        <f t="shared" si="63"/>
        <v>-3</v>
      </c>
      <c r="AM72" s="1">
        <f t="shared" si="64"/>
        <v>-0.29411764705882354</v>
      </c>
      <c r="AN72" s="1">
        <f t="shared" si="65"/>
        <v>0.25</v>
      </c>
      <c r="AO72" s="1">
        <f t="shared" si="66"/>
        <v>1.4</v>
      </c>
      <c r="AP72" s="1">
        <f t="shared" si="67"/>
        <v>-0.19444444444444445</v>
      </c>
      <c r="AQ72" s="1">
        <f t="shared" si="68"/>
        <v>-0.27586206896551724</v>
      </c>
      <c r="AR72" s="1">
        <f t="shared" si="69"/>
        <v>-0.14285714285714285</v>
      </c>
      <c r="AS72" s="12">
        <f t="shared" si="70"/>
        <v>0.12378644944567863</v>
      </c>
      <c r="AT72" s="12">
        <f t="shared" si="71"/>
        <v>-0.16865079365079366</v>
      </c>
      <c r="AU72" s="1">
        <f t="shared" si="72"/>
        <v>-5</v>
      </c>
      <c r="AV72" s="1">
        <f t="shared" si="73"/>
        <v>3</v>
      </c>
      <c r="AW72" s="1">
        <f t="shared" si="74"/>
        <v>21</v>
      </c>
      <c r="AX72" s="1">
        <f t="shared" si="75"/>
        <v>-7</v>
      </c>
      <c r="AY72" s="1">
        <f t="shared" si="76"/>
        <v>-8</v>
      </c>
      <c r="AZ72" s="1">
        <f t="shared" si="77"/>
        <v>-3</v>
      </c>
      <c r="BA72" s="19">
        <f t="shared" si="78"/>
        <v>0.16666666666666666</v>
      </c>
      <c r="BB72" s="19">
        <f t="shared" si="79"/>
        <v>-4</v>
      </c>
      <c r="BC72" s="9">
        <f t="shared" si="80"/>
        <v>-0.14285714285714285</v>
      </c>
      <c r="BD72" s="9">
        <f t="shared" si="81"/>
        <v>5.5555555555555552E-2</v>
      </c>
      <c r="BE72" s="9">
        <f t="shared" si="82"/>
        <v>0.45614035087719296</v>
      </c>
      <c r="BF72" s="9">
        <f t="shared" si="83"/>
        <v>-6.0240963855421686E-2</v>
      </c>
      <c r="BG72" s="9">
        <f t="shared" si="84"/>
        <v>-5.128205128205128E-2</v>
      </c>
      <c r="BH72" s="9">
        <f t="shared" si="85"/>
        <v>0.1891891891891892</v>
      </c>
      <c r="BI72" s="12">
        <f t="shared" si="86"/>
        <v>7.4417489604553647E-2</v>
      </c>
      <c r="BJ72" s="13">
        <f t="shared" si="87"/>
        <v>2.1367521367521361E-3</v>
      </c>
      <c r="BK72" s="1">
        <f t="shared" si="88"/>
        <v>-9</v>
      </c>
      <c r="BL72" s="1">
        <f t="shared" si="89"/>
        <v>3</v>
      </c>
      <c r="BM72" s="1">
        <f t="shared" si="90"/>
        <v>26</v>
      </c>
      <c r="BN72" s="1">
        <f t="shared" si="91"/>
        <v>-5</v>
      </c>
      <c r="BO72" s="1">
        <f t="shared" si="92"/>
        <v>-4</v>
      </c>
      <c r="BP72" s="1">
        <f t="shared" si="93"/>
        <v>14</v>
      </c>
      <c r="BQ72" s="19">
        <f t="shared" si="94"/>
        <v>4.166666666666667</v>
      </c>
      <c r="BR72" s="17">
        <f t="shared" si="95"/>
        <v>-0.5</v>
      </c>
    </row>
    <row r="73" spans="1:70" x14ac:dyDescent="0.25">
      <c r="A73" t="s">
        <v>210</v>
      </c>
      <c r="B73">
        <v>30</v>
      </c>
      <c r="C73">
        <v>44</v>
      </c>
      <c r="D73">
        <v>49</v>
      </c>
      <c r="E73">
        <v>47</v>
      </c>
      <c r="F73">
        <v>54</v>
      </c>
      <c r="G73">
        <v>57</v>
      </c>
      <c r="H73">
        <v>56</v>
      </c>
      <c r="I73">
        <v>15</v>
      </c>
      <c r="J73">
        <v>21</v>
      </c>
      <c r="K73">
        <v>26</v>
      </c>
      <c r="L73">
        <v>23</v>
      </c>
      <c r="M73">
        <v>26</v>
      </c>
      <c r="N73">
        <v>29</v>
      </c>
      <c r="O73">
        <v>23</v>
      </c>
      <c r="P73">
        <v>15</v>
      </c>
      <c r="Q73">
        <v>23</v>
      </c>
      <c r="R73">
        <v>23</v>
      </c>
      <c r="S73">
        <v>24</v>
      </c>
      <c r="T73">
        <v>28</v>
      </c>
      <c r="U73">
        <v>28</v>
      </c>
      <c r="V73">
        <v>33</v>
      </c>
      <c r="W73" s="8">
        <f t="shared" si="48"/>
        <v>0.46666666666666667</v>
      </c>
      <c r="X73" s="8">
        <f t="shared" si="49"/>
        <v>0.11363636363636363</v>
      </c>
      <c r="Y73" s="8">
        <f t="shared" si="50"/>
        <v>-4.0816326530612242E-2</v>
      </c>
      <c r="Z73" s="8">
        <f t="shared" si="51"/>
        <v>0.14893617021276595</v>
      </c>
      <c r="AA73" s="8">
        <f t="shared" si="52"/>
        <v>5.5555555555555552E-2</v>
      </c>
      <c r="AB73" s="8">
        <f t="shared" si="53"/>
        <v>-1.7543859649122806E-2</v>
      </c>
      <c r="AC73" s="12">
        <f t="shared" si="54"/>
        <v>0.12107242831526947</v>
      </c>
      <c r="AD73" s="12">
        <f t="shared" si="55"/>
        <v>8.4595959595959586E-2</v>
      </c>
      <c r="AE73" s="1">
        <f t="shared" si="56"/>
        <v>14</v>
      </c>
      <c r="AF73" s="1">
        <f t="shared" si="57"/>
        <v>5</v>
      </c>
      <c r="AG73" s="1">
        <f t="shared" si="58"/>
        <v>-2</v>
      </c>
      <c r="AH73" s="1">
        <f t="shared" si="59"/>
        <v>7</v>
      </c>
      <c r="AI73" s="1">
        <f t="shared" si="60"/>
        <v>3</v>
      </c>
      <c r="AJ73" s="1">
        <f t="shared" si="61"/>
        <v>-1</v>
      </c>
      <c r="AK73" s="17">
        <f t="shared" si="62"/>
        <v>4.333333333333333</v>
      </c>
      <c r="AL73" s="17">
        <f t="shared" si="63"/>
        <v>4</v>
      </c>
      <c r="AM73" s="1">
        <f t="shared" si="64"/>
        <v>0.4</v>
      </c>
      <c r="AN73" s="1">
        <f t="shared" si="65"/>
        <v>0.23809523809523808</v>
      </c>
      <c r="AO73" s="1">
        <f t="shared" si="66"/>
        <v>-0.11538461538461539</v>
      </c>
      <c r="AP73" s="1">
        <f t="shared" si="67"/>
        <v>0.13043478260869565</v>
      </c>
      <c r="AQ73" s="1">
        <f t="shared" si="68"/>
        <v>0.11538461538461539</v>
      </c>
      <c r="AR73" s="1">
        <f t="shared" si="69"/>
        <v>-0.20689655172413793</v>
      </c>
      <c r="AS73" s="12">
        <f t="shared" si="70"/>
        <v>9.3605578163299299E-2</v>
      </c>
      <c r="AT73" s="12">
        <f t="shared" si="71"/>
        <v>0.12290969899665552</v>
      </c>
      <c r="AU73" s="1">
        <f t="shared" si="72"/>
        <v>6</v>
      </c>
      <c r="AV73" s="1">
        <f t="shared" si="73"/>
        <v>5</v>
      </c>
      <c r="AW73" s="1">
        <f t="shared" si="74"/>
        <v>-3</v>
      </c>
      <c r="AX73" s="1">
        <f t="shared" si="75"/>
        <v>3</v>
      </c>
      <c r="AY73" s="1">
        <f t="shared" si="76"/>
        <v>3</v>
      </c>
      <c r="AZ73" s="1">
        <f t="shared" si="77"/>
        <v>-6</v>
      </c>
      <c r="BA73" s="19">
        <f t="shared" si="78"/>
        <v>1.3333333333333333</v>
      </c>
      <c r="BB73" s="19">
        <f t="shared" si="79"/>
        <v>3</v>
      </c>
      <c r="BC73" s="9">
        <f t="shared" si="80"/>
        <v>0.53333333333333333</v>
      </c>
      <c r="BD73" s="9">
        <f t="shared" si="81"/>
        <v>0</v>
      </c>
      <c r="BE73" s="9">
        <f t="shared" si="82"/>
        <v>4.3478260869565216E-2</v>
      </c>
      <c r="BF73" s="9">
        <f t="shared" si="83"/>
        <v>0.16666666666666666</v>
      </c>
      <c r="BG73" s="9">
        <f t="shared" si="84"/>
        <v>0</v>
      </c>
      <c r="BH73" s="9">
        <f t="shared" si="85"/>
        <v>0.17857142857142858</v>
      </c>
      <c r="BI73" s="12">
        <f t="shared" si="86"/>
        <v>0.15367494824016562</v>
      </c>
      <c r="BJ73" s="13">
        <f t="shared" si="87"/>
        <v>0.10507246376811594</v>
      </c>
      <c r="BK73" s="1">
        <f t="shared" si="88"/>
        <v>8</v>
      </c>
      <c r="BL73" s="1">
        <f t="shared" si="89"/>
        <v>0</v>
      </c>
      <c r="BM73" s="1">
        <f t="shared" si="90"/>
        <v>1</v>
      </c>
      <c r="BN73" s="1">
        <f t="shared" si="91"/>
        <v>4</v>
      </c>
      <c r="BO73" s="1">
        <f t="shared" si="92"/>
        <v>0</v>
      </c>
      <c r="BP73" s="1">
        <f t="shared" si="93"/>
        <v>5</v>
      </c>
      <c r="BQ73" s="19">
        <f t="shared" si="94"/>
        <v>3</v>
      </c>
      <c r="BR73" s="17">
        <f t="shared" si="95"/>
        <v>2.5</v>
      </c>
    </row>
    <row r="74" spans="1:70" x14ac:dyDescent="0.25">
      <c r="A74" t="s">
        <v>149</v>
      </c>
      <c r="B74">
        <v>86</v>
      </c>
      <c r="C74">
        <v>77</v>
      </c>
      <c r="D74">
        <v>108</v>
      </c>
      <c r="E74">
        <v>97</v>
      </c>
      <c r="F74">
        <v>121</v>
      </c>
      <c r="G74">
        <v>101</v>
      </c>
      <c r="H74">
        <v>111</v>
      </c>
      <c r="I74">
        <v>47</v>
      </c>
      <c r="J74">
        <v>38</v>
      </c>
      <c r="K74">
        <v>54</v>
      </c>
      <c r="L74">
        <v>54</v>
      </c>
      <c r="M74">
        <v>68</v>
      </c>
      <c r="N74">
        <v>53</v>
      </c>
      <c r="O74">
        <v>60</v>
      </c>
      <c r="P74">
        <v>39</v>
      </c>
      <c r="Q74">
        <v>39</v>
      </c>
      <c r="R74">
        <v>54</v>
      </c>
      <c r="S74">
        <v>43</v>
      </c>
      <c r="T74">
        <v>53</v>
      </c>
      <c r="U74">
        <v>48</v>
      </c>
      <c r="V74">
        <v>51</v>
      </c>
      <c r="W74" s="8">
        <f t="shared" si="48"/>
        <v>-0.10465116279069768</v>
      </c>
      <c r="X74" s="8">
        <f t="shared" si="49"/>
        <v>0.40259740259740262</v>
      </c>
      <c r="Y74" s="8">
        <f t="shared" si="50"/>
        <v>-0.10185185185185185</v>
      </c>
      <c r="Z74" s="8">
        <f t="shared" si="51"/>
        <v>0.24742268041237114</v>
      </c>
      <c r="AA74" s="8">
        <f t="shared" si="52"/>
        <v>-0.16528925619834711</v>
      </c>
      <c r="AB74" s="8">
        <f t="shared" si="53"/>
        <v>9.9009900990099015E-2</v>
      </c>
      <c r="AC74" s="12">
        <f t="shared" si="54"/>
        <v>6.287295219316269E-2</v>
      </c>
      <c r="AD74" s="12">
        <f t="shared" si="55"/>
        <v>-1.4209754308764228E-3</v>
      </c>
      <c r="AE74" s="1">
        <f t="shared" si="56"/>
        <v>-9</v>
      </c>
      <c r="AF74" s="1">
        <f t="shared" si="57"/>
        <v>31</v>
      </c>
      <c r="AG74" s="1">
        <f t="shared" si="58"/>
        <v>-11</v>
      </c>
      <c r="AH74" s="1">
        <f t="shared" si="59"/>
        <v>24</v>
      </c>
      <c r="AI74" s="1">
        <f t="shared" si="60"/>
        <v>-20</v>
      </c>
      <c r="AJ74" s="1">
        <f t="shared" si="61"/>
        <v>10</v>
      </c>
      <c r="AK74" s="17">
        <f t="shared" si="62"/>
        <v>4.166666666666667</v>
      </c>
      <c r="AL74" s="17">
        <f t="shared" si="63"/>
        <v>0.5</v>
      </c>
      <c r="AM74" s="1">
        <f t="shared" si="64"/>
        <v>-0.19148936170212766</v>
      </c>
      <c r="AN74" s="1">
        <f t="shared" si="65"/>
        <v>0.42105263157894735</v>
      </c>
      <c r="AO74" s="1">
        <f t="shared" si="66"/>
        <v>0</v>
      </c>
      <c r="AP74" s="1">
        <f t="shared" si="67"/>
        <v>0.25925925925925924</v>
      </c>
      <c r="AQ74" s="1">
        <f t="shared" si="68"/>
        <v>-0.22058823529411764</v>
      </c>
      <c r="AR74" s="1">
        <f t="shared" si="69"/>
        <v>0.13207547169811321</v>
      </c>
      <c r="AS74" s="12">
        <f t="shared" si="70"/>
        <v>6.6718294256679078E-2</v>
      </c>
      <c r="AT74" s="12">
        <f t="shared" si="71"/>
        <v>6.6037735849056603E-2</v>
      </c>
      <c r="AU74" s="1">
        <f t="shared" si="72"/>
        <v>-9</v>
      </c>
      <c r="AV74" s="1">
        <f t="shared" si="73"/>
        <v>16</v>
      </c>
      <c r="AW74" s="1">
        <f t="shared" si="74"/>
        <v>0</v>
      </c>
      <c r="AX74" s="1">
        <f t="shared" si="75"/>
        <v>14</v>
      </c>
      <c r="AY74" s="1">
        <f t="shared" si="76"/>
        <v>-15</v>
      </c>
      <c r="AZ74" s="1">
        <f t="shared" si="77"/>
        <v>7</v>
      </c>
      <c r="BA74" s="19">
        <f t="shared" si="78"/>
        <v>2.1666666666666665</v>
      </c>
      <c r="BB74" s="19">
        <f t="shared" si="79"/>
        <v>3.5</v>
      </c>
      <c r="BC74" s="9">
        <f t="shared" si="80"/>
        <v>0</v>
      </c>
      <c r="BD74" s="9">
        <f t="shared" si="81"/>
        <v>0.38461538461538464</v>
      </c>
      <c r="BE74" s="9">
        <f t="shared" si="82"/>
        <v>-0.20370370370370369</v>
      </c>
      <c r="BF74" s="9">
        <f t="shared" si="83"/>
        <v>0.23255813953488372</v>
      </c>
      <c r="BG74" s="9">
        <f t="shared" si="84"/>
        <v>-9.4339622641509441E-2</v>
      </c>
      <c r="BH74" s="9">
        <f t="shared" si="85"/>
        <v>6.25E-2</v>
      </c>
      <c r="BI74" s="12">
        <f t="shared" si="86"/>
        <v>6.3605032967509204E-2</v>
      </c>
      <c r="BJ74" s="13">
        <f t="shared" si="87"/>
        <v>3.125E-2</v>
      </c>
      <c r="BK74" s="1">
        <f t="shared" si="88"/>
        <v>0</v>
      </c>
      <c r="BL74" s="1">
        <f t="shared" si="89"/>
        <v>15</v>
      </c>
      <c r="BM74" s="1">
        <f t="shared" si="90"/>
        <v>-11</v>
      </c>
      <c r="BN74" s="1">
        <f t="shared" si="91"/>
        <v>10</v>
      </c>
      <c r="BO74" s="1">
        <f t="shared" si="92"/>
        <v>-5</v>
      </c>
      <c r="BP74" s="1">
        <f t="shared" si="93"/>
        <v>3</v>
      </c>
      <c r="BQ74" s="19">
        <f t="shared" si="94"/>
        <v>2</v>
      </c>
      <c r="BR74" s="17">
        <f t="shared" si="95"/>
        <v>1.5</v>
      </c>
    </row>
    <row r="75" spans="1:70" x14ac:dyDescent="0.25">
      <c r="A75" t="s">
        <v>162</v>
      </c>
      <c r="B75">
        <v>71</v>
      </c>
      <c r="C75">
        <v>71</v>
      </c>
      <c r="D75">
        <v>79</v>
      </c>
      <c r="E75">
        <v>82</v>
      </c>
      <c r="F75">
        <v>90</v>
      </c>
      <c r="G75">
        <v>91</v>
      </c>
      <c r="H75">
        <v>96</v>
      </c>
      <c r="I75">
        <v>45</v>
      </c>
      <c r="J75">
        <v>49</v>
      </c>
      <c r="K75">
        <v>44</v>
      </c>
      <c r="L75">
        <v>45</v>
      </c>
      <c r="M75">
        <v>59</v>
      </c>
      <c r="N75">
        <v>49</v>
      </c>
      <c r="O75">
        <v>47</v>
      </c>
      <c r="P75">
        <v>26</v>
      </c>
      <c r="Q75">
        <v>22</v>
      </c>
      <c r="R75">
        <v>35</v>
      </c>
      <c r="S75">
        <v>37</v>
      </c>
      <c r="T75">
        <v>31</v>
      </c>
      <c r="U75">
        <v>42</v>
      </c>
      <c r="V75">
        <v>49</v>
      </c>
      <c r="W75" s="8">
        <f t="shared" si="48"/>
        <v>0</v>
      </c>
      <c r="X75" s="8">
        <f t="shared" si="49"/>
        <v>0.11267605633802817</v>
      </c>
      <c r="Y75" s="8">
        <f t="shared" si="50"/>
        <v>3.7974683544303799E-2</v>
      </c>
      <c r="Z75" s="8">
        <f t="shared" si="51"/>
        <v>9.7560975609756101E-2</v>
      </c>
      <c r="AA75" s="8">
        <f t="shared" si="52"/>
        <v>1.1111111111111112E-2</v>
      </c>
      <c r="AB75" s="8">
        <f t="shared" si="53"/>
        <v>5.4945054945054944E-2</v>
      </c>
      <c r="AC75" s="12">
        <f t="shared" si="54"/>
        <v>5.2377980258042356E-2</v>
      </c>
      <c r="AD75" s="12">
        <f t="shared" si="55"/>
        <v>4.6459869244679375E-2</v>
      </c>
      <c r="AE75" s="1">
        <f t="shared" si="56"/>
        <v>0</v>
      </c>
      <c r="AF75" s="1">
        <f t="shared" si="57"/>
        <v>8</v>
      </c>
      <c r="AG75" s="1">
        <f t="shared" si="58"/>
        <v>3</v>
      </c>
      <c r="AH75" s="1">
        <f t="shared" si="59"/>
        <v>8</v>
      </c>
      <c r="AI75" s="1">
        <f t="shared" si="60"/>
        <v>1</v>
      </c>
      <c r="AJ75" s="1">
        <f t="shared" si="61"/>
        <v>5</v>
      </c>
      <c r="AK75" s="17">
        <f t="shared" si="62"/>
        <v>4.166666666666667</v>
      </c>
      <c r="AL75" s="17">
        <f t="shared" si="63"/>
        <v>4</v>
      </c>
      <c r="AM75" s="1">
        <f t="shared" si="64"/>
        <v>8.8888888888888892E-2</v>
      </c>
      <c r="AN75" s="1">
        <f t="shared" si="65"/>
        <v>-0.10204081632653061</v>
      </c>
      <c r="AO75" s="1">
        <f t="shared" si="66"/>
        <v>2.2727272727272728E-2</v>
      </c>
      <c r="AP75" s="1">
        <f t="shared" si="67"/>
        <v>0.31111111111111112</v>
      </c>
      <c r="AQ75" s="1">
        <f t="shared" si="68"/>
        <v>-0.16949152542372881</v>
      </c>
      <c r="AR75" s="1">
        <f t="shared" si="69"/>
        <v>-4.0816326530612242E-2</v>
      </c>
      <c r="AS75" s="12">
        <f t="shared" si="70"/>
        <v>1.839643407440018E-2</v>
      </c>
      <c r="AT75" s="12">
        <f t="shared" si="71"/>
        <v>-9.0445269016697569E-3</v>
      </c>
      <c r="AU75" s="1">
        <f t="shared" si="72"/>
        <v>4</v>
      </c>
      <c r="AV75" s="1">
        <f t="shared" si="73"/>
        <v>-5</v>
      </c>
      <c r="AW75" s="1">
        <f t="shared" si="74"/>
        <v>1</v>
      </c>
      <c r="AX75" s="1">
        <f t="shared" si="75"/>
        <v>14</v>
      </c>
      <c r="AY75" s="1">
        <f t="shared" si="76"/>
        <v>-10</v>
      </c>
      <c r="AZ75" s="1">
        <f t="shared" si="77"/>
        <v>-2</v>
      </c>
      <c r="BA75" s="19">
        <f t="shared" si="78"/>
        <v>0.33333333333333331</v>
      </c>
      <c r="BB75" s="19">
        <f t="shared" si="79"/>
        <v>-0.5</v>
      </c>
      <c r="BC75" s="9">
        <f t="shared" si="80"/>
        <v>-0.15384615384615385</v>
      </c>
      <c r="BD75" s="9">
        <f t="shared" si="81"/>
        <v>0.59090909090909094</v>
      </c>
      <c r="BE75" s="9">
        <f t="shared" si="82"/>
        <v>5.7142857142857141E-2</v>
      </c>
      <c r="BF75" s="9">
        <f t="shared" si="83"/>
        <v>-0.16216216216216217</v>
      </c>
      <c r="BG75" s="9">
        <f t="shared" si="84"/>
        <v>0.35483870967741937</v>
      </c>
      <c r="BH75" s="9">
        <f t="shared" si="85"/>
        <v>0.16666666666666666</v>
      </c>
      <c r="BI75" s="12">
        <f t="shared" si="86"/>
        <v>0.14225816806461969</v>
      </c>
      <c r="BJ75" s="13">
        <f t="shared" si="87"/>
        <v>0.1119047619047619</v>
      </c>
      <c r="BK75" s="1">
        <f t="shared" si="88"/>
        <v>-4</v>
      </c>
      <c r="BL75" s="1">
        <f t="shared" si="89"/>
        <v>13</v>
      </c>
      <c r="BM75" s="1">
        <f t="shared" si="90"/>
        <v>2</v>
      </c>
      <c r="BN75" s="1">
        <f t="shared" si="91"/>
        <v>-6</v>
      </c>
      <c r="BO75" s="1">
        <f t="shared" si="92"/>
        <v>11</v>
      </c>
      <c r="BP75" s="1">
        <f t="shared" si="93"/>
        <v>7</v>
      </c>
      <c r="BQ75" s="19">
        <f t="shared" si="94"/>
        <v>3.8333333333333335</v>
      </c>
      <c r="BR75" s="17">
        <f t="shared" si="95"/>
        <v>4.5</v>
      </c>
    </row>
    <row r="76" spans="1:70" x14ac:dyDescent="0.25">
      <c r="A76" t="s">
        <v>136</v>
      </c>
      <c r="B76">
        <v>110</v>
      </c>
      <c r="C76">
        <v>103</v>
      </c>
      <c r="D76">
        <v>118</v>
      </c>
      <c r="E76">
        <v>124</v>
      </c>
      <c r="F76">
        <v>104</v>
      </c>
      <c r="G76">
        <v>138</v>
      </c>
      <c r="H76">
        <v>134</v>
      </c>
      <c r="I76">
        <v>63</v>
      </c>
      <c r="J76">
        <v>59</v>
      </c>
      <c r="K76">
        <v>58</v>
      </c>
      <c r="L76">
        <v>65</v>
      </c>
      <c r="M76">
        <v>58</v>
      </c>
      <c r="N76">
        <v>77</v>
      </c>
      <c r="O76">
        <v>81</v>
      </c>
      <c r="P76">
        <v>47</v>
      </c>
      <c r="Q76">
        <v>44</v>
      </c>
      <c r="R76">
        <v>60</v>
      </c>
      <c r="S76">
        <v>59</v>
      </c>
      <c r="T76">
        <v>46</v>
      </c>
      <c r="U76">
        <v>61</v>
      </c>
      <c r="V76">
        <v>53</v>
      </c>
      <c r="W76" s="8">
        <f t="shared" si="48"/>
        <v>-6.363636363636363E-2</v>
      </c>
      <c r="X76" s="8">
        <f t="shared" si="49"/>
        <v>0.14563106796116504</v>
      </c>
      <c r="Y76" s="8">
        <f t="shared" si="50"/>
        <v>5.0847457627118647E-2</v>
      </c>
      <c r="Z76" s="8">
        <f t="shared" si="51"/>
        <v>-0.16129032258064516</v>
      </c>
      <c r="AA76" s="8">
        <f t="shared" si="52"/>
        <v>0.32692307692307693</v>
      </c>
      <c r="AB76" s="8">
        <f t="shared" si="53"/>
        <v>-2.8985507246376812E-2</v>
      </c>
      <c r="AC76" s="12">
        <f t="shared" si="54"/>
        <v>4.491490150799584E-2</v>
      </c>
      <c r="AD76" s="12">
        <f t="shared" si="55"/>
        <v>1.0930975190370919E-2</v>
      </c>
      <c r="AE76" s="1">
        <f t="shared" si="56"/>
        <v>-7</v>
      </c>
      <c r="AF76" s="1">
        <f t="shared" si="57"/>
        <v>15</v>
      </c>
      <c r="AG76" s="1">
        <f t="shared" si="58"/>
        <v>6</v>
      </c>
      <c r="AH76" s="1">
        <f t="shared" si="59"/>
        <v>-20</v>
      </c>
      <c r="AI76" s="1">
        <f t="shared" si="60"/>
        <v>34</v>
      </c>
      <c r="AJ76" s="1">
        <f t="shared" si="61"/>
        <v>-4</v>
      </c>
      <c r="AK76" s="17">
        <f t="shared" si="62"/>
        <v>4</v>
      </c>
      <c r="AL76" s="17">
        <f t="shared" si="63"/>
        <v>1</v>
      </c>
      <c r="AM76" s="1">
        <f t="shared" si="64"/>
        <v>-6.3492063492063489E-2</v>
      </c>
      <c r="AN76" s="1">
        <f t="shared" si="65"/>
        <v>-1.6949152542372881E-2</v>
      </c>
      <c r="AO76" s="1">
        <f t="shared" si="66"/>
        <v>0.1206896551724138</v>
      </c>
      <c r="AP76" s="1">
        <f t="shared" si="67"/>
        <v>-0.1076923076923077</v>
      </c>
      <c r="AQ76" s="1">
        <f t="shared" si="68"/>
        <v>0.32758620689655171</v>
      </c>
      <c r="AR76" s="1">
        <f t="shared" si="69"/>
        <v>5.1948051948051951E-2</v>
      </c>
      <c r="AS76" s="12">
        <f t="shared" si="70"/>
        <v>5.2015065048378904E-2</v>
      </c>
      <c r="AT76" s="12">
        <f t="shared" si="71"/>
        <v>1.7499449702839533E-2</v>
      </c>
      <c r="AU76" s="1">
        <f t="shared" si="72"/>
        <v>-4</v>
      </c>
      <c r="AV76" s="1">
        <f t="shared" si="73"/>
        <v>-1</v>
      </c>
      <c r="AW76" s="1">
        <f t="shared" si="74"/>
        <v>7</v>
      </c>
      <c r="AX76" s="1">
        <f t="shared" si="75"/>
        <v>-7</v>
      </c>
      <c r="AY76" s="1">
        <f t="shared" si="76"/>
        <v>19</v>
      </c>
      <c r="AZ76" s="1">
        <f t="shared" si="77"/>
        <v>4</v>
      </c>
      <c r="BA76" s="19">
        <f t="shared" si="78"/>
        <v>3</v>
      </c>
      <c r="BB76" s="19">
        <f t="shared" si="79"/>
        <v>1.5</v>
      </c>
      <c r="BC76" s="9">
        <f t="shared" si="80"/>
        <v>-6.3829787234042548E-2</v>
      </c>
      <c r="BD76" s="9">
        <f t="shared" si="81"/>
        <v>0.36363636363636365</v>
      </c>
      <c r="BE76" s="9">
        <f t="shared" si="82"/>
        <v>-1.6666666666666666E-2</v>
      </c>
      <c r="BF76" s="9">
        <f t="shared" si="83"/>
        <v>-0.22033898305084745</v>
      </c>
      <c r="BG76" s="9">
        <f t="shared" si="84"/>
        <v>0.32608695652173914</v>
      </c>
      <c r="BH76" s="9">
        <f t="shared" si="85"/>
        <v>-0.13114754098360656</v>
      </c>
      <c r="BI76" s="12">
        <f t="shared" si="86"/>
        <v>4.2956723703823252E-2</v>
      </c>
      <c r="BJ76" s="13">
        <f t="shared" si="87"/>
        <v>-4.0248226950354606E-2</v>
      </c>
      <c r="BK76" s="1">
        <f t="shared" si="88"/>
        <v>-3</v>
      </c>
      <c r="BL76" s="1">
        <f t="shared" si="89"/>
        <v>16</v>
      </c>
      <c r="BM76" s="1">
        <f t="shared" si="90"/>
        <v>-1</v>
      </c>
      <c r="BN76" s="1">
        <f t="shared" si="91"/>
        <v>-13</v>
      </c>
      <c r="BO76" s="1">
        <f t="shared" si="92"/>
        <v>15</v>
      </c>
      <c r="BP76" s="1">
        <f t="shared" si="93"/>
        <v>-8</v>
      </c>
      <c r="BQ76" s="19">
        <f t="shared" si="94"/>
        <v>1</v>
      </c>
      <c r="BR76" s="17">
        <f t="shared" si="95"/>
        <v>-2</v>
      </c>
    </row>
    <row r="77" spans="1:70" x14ac:dyDescent="0.25">
      <c r="A77" t="s">
        <v>276</v>
      </c>
      <c r="B77">
        <v>14</v>
      </c>
      <c r="C77">
        <v>13</v>
      </c>
      <c r="D77">
        <v>17</v>
      </c>
      <c r="E77">
        <v>28</v>
      </c>
      <c r="F77">
        <v>21</v>
      </c>
      <c r="G77">
        <v>33</v>
      </c>
      <c r="H77">
        <v>38</v>
      </c>
      <c r="I77">
        <v>3</v>
      </c>
      <c r="J77">
        <v>6</v>
      </c>
      <c r="K77">
        <v>9</v>
      </c>
      <c r="L77">
        <v>16</v>
      </c>
      <c r="M77">
        <v>13</v>
      </c>
      <c r="N77">
        <v>17</v>
      </c>
      <c r="O77">
        <v>16</v>
      </c>
      <c r="P77">
        <v>11</v>
      </c>
      <c r="Q77">
        <v>7</v>
      </c>
      <c r="R77">
        <v>8</v>
      </c>
      <c r="S77">
        <v>12</v>
      </c>
      <c r="T77">
        <v>8</v>
      </c>
      <c r="U77">
        <v>16</v>
      </c>
      <c r="V77">
        <v>22</v>
      </c>
      <c r="W77" s="8">
        <f t="shared" si="48"/>
        <v>-7.1428571428571425E-2</v>
      </c>
      <c r="X77" s="8">
        <f t="shared" si="49"/>
        <v>0.30769230769230771</v>
      </c>
      <c r="Y77" s="8">
        <f t="shared" si="50"/>
        <v>0.6470588235294118</v>
      </c>
      <c r="Z77" s="8">
        <f t="shared" si="51"/>
        <v>-0.25</v>
      </c>
      <c r="AA77" s="8">
        <f t="shared" si="52"/>
        <v>0.5714285714285714</v>
      </c>
      <c r="AB77" s="8">
        <f t="shared" si="53"/>
        <v>0.15151515151515152</v>
      </c>
      <c r="AC77" s="12">
        <f t="shared" si="54"/>
        <v>0.22604438045614519</v>
      </c>
      <c r="AD77" s="12">
        <f t="shared" si="55"/>
        <v>0.2296037296037296</v>
      </c>
      <c r="AE77" s="1">
        <f t="shared" si="56"/>
        <v>-1</v>
      </c>
      <c r="AF77" s="1">
        <f t="shared" si="57"/>
        <v>4</v>
      </c>
      <c r="AG77" s="1">
        <f t="shared" si="58"/>
        <v>11</v>
      </c>
      <c r="AH77" s="1">
        <f t="shared" si="59"/>
        <v>-7</v>
      </c>
      <c r="AI77" s="1">
        <f t="shared" si="60"/>
        <v>12</v>
      </c>
      <c r="AJ77" s="1">
        <f t="shared" si="61"/>
        <v>5</v>
      </c>
      <c r="AK77" s="17">
        <f t="shared" si="62"/>
        <v>4</v>
      </c>
      <c r="AL77" s="17">
        <f t="shared" si="63"/>
        <v>4.5</v>
      </c>
      <c r="AM77" s="1">
        <f t="shared" si="64"/>
        <v>1</v>
      </c>
      <c r="AN77" s="1">
        <f t="shared" si="65"/>
        <v>0.5</v>
      </c>
      <c r="AO77" s="1">
        <f t="shared" si="66"/>
        <v>0.77777777777777779</v>
      </c>
      <c r="AP77" s="1">
        <f t="shared" si="67"/>
        <v>-0.1875</v>
      </c>
      <c r="AQ77" s="1">
        <f t="shared" si="68"/>
        <v>0.30769230769230771</v>
      </c>
      <c r="AR77" s="1">
        <f t="shared" si="69"/>
        <v>-5.8823529411764705E-2</v>
      </c>
      <c r="AS77" s="12">
        <f t="shared" si="70"/>
        <v>0.38985775934305344</v>
      </c>
      <c r="AT77" s="12">
        <f t="shared" si="71"/>
        <v>0.40384615384615385</v>
      </c>
      <c r="AU77" s="1">
        <f t="shared" si="72"/>
        <v>3</v>
      </c>
      <c r="AV77" s="1">
        <f t="shared" si="73"/>
        <v>3</v>
      </c>
      <c r="AW77" s="1">
        <f t="shared" si="74"/>
        <v>7</v>
      </c>
      <c r="AX77" s="1">
        <f t="shared" si="75"/>
        <v>-3</v>
      </c>
      <c r="AY77" s="1">
        <f t="shared" si="76"/>
        <v>4</v>
      </c>
      <c r="AZ77" s="1">
        <f t="shared" si="77"/>
        <v>-1</v>
      </c>
      <c r="BA77" s="19">
        <f t="shared" si="78"/>
        <v>2.1666666666666665</v>
      </c>
      <c r="BB77" s="19">
        <f t="shared" si="79"/>
        <v>3</v>
      </c>
      <c r="BC77" s="9">
        <f t="shared" si="80"/>
        <v>-0.36363636363636365</v>
      </c>
      <c r="BD77" s="9">
        <f t="shared" si="81"/>
        <v>0.14285714285714285</v>
      </c>
      <c r="BE77" s="9">
        <f t="shared" si="82"/>
        <v>0.5</v>
      </c>
      <c r="BF77" s="9">
        <f t="shared" si="83"/>
        <v>-0.33333333333333331</v>
      </c>
      <c r="BG77" s="9">
        <f t="shared" si="84"/>
        <v>1</v>
      </c>
      <c r="BH77" s="9">
        <f t="shared" si="85"/>
        <v>0.375</v>
      </c>
      <c r="BI77" s="12">
        <f t="shared" si="86"/>
        <v>0.22014790764790768</v>
      </c>
      <c r="BJ77" s="13">
        <f t="shared" si="87"/>
        <v>0.2589285714285714</v>
      </c>
      <c r="BK77" s="1">
        <f t="shared" si="88"/>
        <v>-4</v>
      </c>
      <c r="BL77" s="1">
        <f t="shared" si="89"/>
        <v>1</v>
      </c>
      <c r="BM77" s="1">
        <f t="shared" si="90"/>
        <v>4</v>
      </c>
      <c r="BN77" s="1">
        <f t="shared" si="91"/>
        <v>-4</v>
      </c>
      <c r="BO77" s="1">
        <f t="shared" si="92"/>
        <v>8</v>
      </c>
      <c r="BP77" s="1">
        <f t="shared" si="93"/>
        <v>6</v>
      </c>
      <c r="BQ77" s="19">
        <f t="shared" si="94"/>
        <v>1.8333333333333333</v>
      </c>
      <c r="BR77" s="17">
        <f t="shared" si="95"/>
        <v>2.5</v>
      </c>
    </row>
    <row r="78" spans="1:70" x14ac:dyDescent="0.25">
      <c r="A78" t="s">
        <v>148</v>
      </c>
      <c r="B78">
        <v>87</v>
      </c>
      <c r="C78">
        <v>54</v>
      </c>
      <c r="D78">
        <v>66</v>
      </c>
      <c r="E78">
        <v>80</v>
      </c>
      <c r="F78">
        <v>129</v>
      </c>
      <c r="G78">
        <v>104</v>
      </c>
      <c r="H78">
        <v>110</v>
      </c>
      <c r="I78">
        <v>46</v>
      </c>
      <c r="J78">
        <v>28</v>
      </c>
      <c r="K78">
        <v>39</v>
      </c>
      <c r="L78">
        <v>42</v>
      </c>
      <c r="M78">
        <v>65</v>
      </c>
      <c r="N78">
        <v>45</v>
      </c>
      <c r="O78">
        <v>51</v>
      </c>
      <c r="P78">
        <v>41</v>
      </c>
      <c r="Q78">
        <v>26</v>
      </c>
      <c r="R78">
        <v>27</v>
      </c>
      <c r="S78">
        <v>38</v>
      </c>
      <c r="T78">
        <v>64</v>
      </c>
      <c r="U78">
        <v>59</v>
      </c>
      <c r="V78">
        <v>59</v>
      </c>
      <c r="W78" s="8">
        <f t="shared" si="48"/>
        <v>-0.37931034482758619</v>
      </c>
      <c r="X78" s="8">
        <f t="shared" si="49"/>
        <v>0.22222222222222221</v>
      </c>
      <c r="Y78" s="8">
        <f t="shared" si="50"/>
        <v>0.21212121212121213</v>
      </c>
      <c r="Z78" s="8">
        <f t="shared" si="51"/>
        <v>0.61250000000000004</v>
      </c>
      <c r="AA78" s="8">
        <f t="shared" si="52"/>
        <v>-0.19379844961240311</v>
      </c>
      <c r="AB78" s="8">
        <f t="shared" si="53"/>
        <v>5.7692307692307696E-2</v>
      </c>
      <c r="AC78" s="12">
        <f t="shared" si="54"/>
        <v>8.8571157932625474E-2</v>
      </c>
      <c r="AD78" s="12">
        <f t="shared" si="55"/>
        <v>0.13490675990675993</v>
      </c>
      <c r="AE78" s="1">
        <f t="shared" si="56"/>
        <v>-33</v>
      </c>
      <c r="AF78" s="1">
        <f t="shared" si="57"/>
        <v>12</v>
      </c>
      <c r="AG78" s="1">
        <f t="shared" si="58"/>
        <v>14</v>
      </c>
      <c r="AH78" s="1">
        <f t="shared" si="59"/>
        <v>49</v>
      </c>
      <c r="AI78" s="1">
        <f t="shared" si="60"/>
        <v>-25</v>
      </c>
      <c r="AJ78" s="1">
        <f t="shared" si="61"/>
        <v>6</v>
      </c>
      <c r="AK78" s="17">
        <f t="shared" si="62"/>
        <v>3.8333333333333335</v>
      </c>
      <c r="AL78" s="17">
        <f t="shared" si="63"/>
        <v>9</v>
      </c>
      <c r="AM78" s="1">
        <f t="shared" si="64"/>
        <v>-0.39130434782608697</v>
      </c>
      <c r="AN78" s="1">
        <f t="shared" si="65"/>
        <v>0.39285714285714285</v>
      </c>
      <c r="AO78" s="1">
        <f t="shared" si="66"/>
        <v>7.6923076923076927E-2</v>
      </c>
      <c r="AP78" s="1">
        <f t="shared" si="67"/>
        <v>0.54761904761904767</v>
      </c>
      <c r="AQ78" s="1">
        <f t="shared" si="68"/>
        <v>-0.30769230769230771</v>
      </c>
      <c r="AR78" s="1">
        <f t="shared" si="69"/>
        <v>0.13333333333333333</v>
      </c>
      <c r="AS78" s="12">
        <f t="shared" si="70"/>
        <v>7.5289324202367669E-2</v>
      </c>
      <c r="AT78" s="12">
        <f t="shared" si="71"/>
        <v>0.10512820512820513</v>
      </c>
      <c r="AU78" s="1">
        <f t="shared" si="72"/>
        <v>-18</v>
      </c>
      <c r="AV78" s="1">
        <f t="shared" si="73"/>
        <v>11</v>
      </c>
      <c r="AW78" s="1">
        <f t="shared" si="74"/>
        <v>3</v>
      </c>
      <c r="AX78" s="1">
        <f t="shared" si="75"/>
        <v>23</v>
      </c>
      <c r="AY78" s="1">
        <f t="shared" si="76"/>
        <v>-20</v>
      </c>
      <c r="AZ78" s="1">
        <f t="shared" si="77"/>
        <v>6</v>
      </c>
      <c r="BA78" s="19">
        <f t="shared" si="78"/>
        <v>0.83333333333333337</v>
      </c>
      <c r="BB78" s="19">
        <f t="shared" si="79"/>
        <v>4.5</v>
      </c>
      <c r="BC78" s="9">
        <f t="shared" si="80"/>
        <v>-0.36585365853658536</v>
      </c>
      <c r="BD78" s="9">
        <f t="shared" si="81"/>
        <v>3.8461538461538464E-2</v>
      </c>
      <c r="BE78" s="9">
        <f t="shared" si="82"/>
        <v>0.40740740740740738</v>
      </c>
      <c r="BF78" s="9">
        <f t="shared" si="83"/>
        <v>0.68421052631578949</v>
      </c>
      <c r="BG78" s="9">
        <f t="shared" si="84"/>
        <v>-7.8125E-2</v>
      </c>
      <c r="BH78" s="9">
        <f t="shared" si="85"/>
        <v>0</v>
      </c>
      <c r="BI78" s="12">
        <f t="shared" si="86"/>
        <v>0.11435013560802498</v>
      </c>
      <c r="BJ78" s="13">
        <f t="shared" si="87"/>
        <v>1.9230769230769232E-2</v>
      </c>
      <c r="BK78" s="1">
        <f t="shared" si="88"/>
        <v>-15</v>
      </c>
      <c r="BL78" s="1">
        <f t="shared" si="89"/>
        <v>1</v>
      </c>
      <c r="BM78" s="1">
        <f t="shared" si="90"/>
        <v>11</v>
      </c>
      <c r="BN78" s="1">
        <f t="shared" si="91"/>
        <v>26</v>
      </c>
      <c r="BO78" s="1">
        <f t="shared" si="92"/>
        <v>-5</v>
      </c>
      <c r="BP78" s="1">
        <f t="shared" si="93"/>
        <v>0</v>
      </c>
      <c r="BQ78" s="19">
        <f t="shared" si="94"/>
        <v>3</v>
      </c>
      <c r="BR78" s="17">
        <f t="shared" si="95"/>
        <v>0.5</v>
      </c>
    </row>
    <row r="79" spans="1:70" x14ac:dyDescent="0.25">
      <c r="A79" t="s">
        <v>158</v>
      </c>
      <c r="B79">
        <v>75</v>
      </c>
      <c r="C79">
        <v>71</v>
      </c>
      <c r="D79">
        <v>94</v>
      </c>
      <c r="E79">
        <v>82</v>
      </c>
      <c r="F79">
        <v>88</v>
      </c>
      <c r="G79">
        <v>81</v>
      </c>
      <c r="H79">
        <v>98</v>
      </c>
      <c r="I79">
        <v>2</v>
      </c>
      <c r="P79">
        <v>73</v>
      </c>
      <c r="Q79">
        <v>71</v>
      </c>
      <c r="R79">
        <v>94</v>
      </c>
      <c r="S79">
        <v>82</v>
      </c>
      <c r="T79">
        <v>88</v>
      </c>
      <c r="U79">
        <v>81</v>
      </c>
      <c r="V79">
        <v>98</v>
      </c>
      <c r="W79" s="8">
        <f t="shared" si="48"/>
        <v>-5.3333333333333337E-2</v>
      </c>
      <c r="X79" s="8">
        <f t="shared" si="49"/>
        <v>0.323943661971831</v>
      </c>
      <c r="Y79" s="8">
        <f t="shared" si="50"/>
        <v>-0.1276595744680851</v>
      </c>
      <c r="Z79" s="8">
        <f t="shared" si="51"/>
        <v>7.3170731707317069E-2</v>
      </c>
      <c r="AA79" s="8">
        <f t="shared" si="52"/>
        <v>-7.9545454545454544E-2</v>
      </c>
      <c r="AB79" s="8">
        <f t="shared" si="53"/>
        <v>0.20987654320987653</v>
      </c>
      <c r="AC79" s="12">
        <f t="shared" si="54"/>
        <v>5.7742095757025269E-2</v>
      </c>
      <c r="AD79" s="12">
        <f t="shared" si="55"/>
        <v>9.9186991869918625E-3</v>
      </c>
      <c r="AE79" s="1">
        <f t="shared" si="56"/>
        <v>-4</v>
      </c>
      <c r="AF79" s="1">
        <f t="shared" si="57"/>
        <v>23</v>
      </c>
      <c r="AG79" s="1">
        <f t="shared" si="58"/>
        <v>-12</v>
      </c>
      <c r="AH79" s="1">
        <f t="shared" si="59"/>
        <v>6</v>
      </c>
      <c r="AI79" s="1">
        <f t="shared" si="60"/>
        <v>-7</v>
      </c>
      <c r="AJ79" s="1">
        <f t="shared" si="61"/>
        <v>17</v>
      </c>
      <c r="AK79" s="17">
        <f t="shared" si="62"/>
        <v>3.8333333333333335</v>
      </c>
      <c r="AL79" s="17">
        <f t="shared" si="63"/>
        <v>1</v>
      </c>
      <c r="AM79" s="1">
        <f t="shared" si="64"/>
        <v>-1</v>
      </c>
      <c r="AN79" s="1" t="e">
        <f t="shared" si="65"/>
        <v>#DIV/0!</v>
      </c>
      <c r="AO79" s="1" t="e">
        <f t="shared" si="66"/>
        <v>#DIV/0!</v>
      </c>
      <c r="AP79" s="1" t="e">
        <f t="shared" si="67"/>
        <v>#DIV/0!</v>
      </c>
      <c r="AQ79" s="1" t="e">
        <f t="shared" si="68"/>
        <v>#DIV/0!</v>
      </c>
      <c r="AR79" s="1" t="e">
        <f t="shared" si="69"/>
        <v>#DIV/0!</v>
      </c>
      <c r="AS79" s="12" t="e">
        <f t="shared" si="70"/>
        <v>#DIV/0!</v>
      </c>
      <c r="AT79" s="12" t="e">
        <f t="shared" si="71"/>
        <v>#DIV/0!</v>
      </c>
      <c r="AU79" s="1">
        <f t="shared" si="72"/>
        <v>-2</v>
      </c>
      <c r="AV79" s="1">
        <f t="shared" si="73"/>
        <v>0</v>
      </c>
      <c r="AW79" s="1">
        <f t="shared" si="74"/>
        <v>0</v>
      </c>
      <c r="AX79" s="1">
        <f t="shared" si="75"/>
        <v>0</v>
      </c>
      <c r="AY79" s="1">
        <f t="shared" si="76"/>
        <v>0</v>
      </c>
      <c r="AZ79" s="1">
        <f t="shared" si="77"/>
        <v>0</v>
      </c>
      <c r="BA79" s="19">
        <f t="shared" si="78"/>
        <v>-0.33333333333333331</v>
      </c>
      <c r="BB79" s="19">
        <f t="shared" si="79"/>
        <v>0</v>
      </c>
      <c r="BC79" s="9">
        <f t="shared" si="80"/>
        <v>-2.7397260273972601E-2</v>
      </c>
      <c r="BD79" s="9">
        <f t="shared" si="81"/>
        <v>0.323943661971831</v>
      </c>
      <c r="BE79" s="9">
        <f t="shared" si="82"/>
        <v>-0.1276595744680851</v>
      </c>
      <c r="BF79" s="9">
        <f t="shared" si="83"/>
        <v>7.3170731707317069E-2</v>
      </c>
      <c r="BG79" s="9">
        <f t="shared" si="84"/>
        <v>-7.9545454545454544E-2</v>
      </c>
      <c r="BH79" s="9">
        <f t="shared" si="85"/>
        <v>0.20987654320987653</v>
      </c>
      <c r="BI79" s="12">
        <f t="shared" si="86"/>
        <v>6.2064774600252059E-2</v>
      </c>
      <c r="BJ79" s="13">
        <f t="shared" si="87"/>
        <v>2.2886735716672234E-2</v>
      </c>
      <c r="BK79" s="1">
        <f t="shared" si="88"/>
        <v>-2</v>
      </c>
      <c r="BL79" s="1">
        <f t="shared" si="89"/>
        <v>23</v>
      </c>
      <c r="BM79" s="1">
        <f t="shared" si="90"/>
        <v>-12</v>
      </c>
      <c r="BN79" s="1">
        <f t="shared" si="91"/>
        <v>6</v>
      </c>
      <c r="BO79" s="1">
        <f t="shared" si="92"/>
        <v>-7</v>
      </c>
      <c r="BP79" s="1">
        <f t="shared" si="93"/>
        <v>17</v>
      </c>
      <c r="BQ79" s="19">
        <f t="shared" si="94"/>
        <v>4.166666666666667</v>
      </c>
      <c r="BR79" s="17">
        <f t="shared" si="95"/>
        <v>2</v>
      </c>
    </row>
    <row r="80" spans="1:70" x14ac:dyDescent="0.25">
      <c r="A80" t="s">
        <v>150</v>
      </c>
      <c r="B80">
        <v>86</v>
      </c>
      <c r="C80">
        <v>82</v>
      </c>
      <c r="D80">
        <v>100</v>
      </c>
      <c r="E80">
        <v>109</v>
      </c>
      <c r="F80">
        <v>96</v>
      </c>
      <c r="G80">
        <v>99</v>
      </c>
      <c r="H80">
        <v>108</v>
      </c>
      <c r="I80">
        <v>86</v>
      </c>
      <c r="J80">
        <v>82</v>
      </c>
      <c r="K80">
        <v>100</v>
      </c>
      <c r="L80">
        <v>109</v>
      </c>
      <c r="M80">
        <v>96</v>
      </c>
      <c r="N80">
        <v>99</v>
      </c>
      <c r="O80">
        <v>108</v>
      </c>
      <c r="W80" s="8">
        <f t="shared" si="48"/>
        <v>-4.6511627906976744E-2</v>
      </c>
      <c r="X80" s="8">
        <f t="shared" si="49"/>
        <v>0.21951219512195122</v>
      </c>
      <c r="Y80" s="8">
        <f t="shared" si="50"/>
        <v>0.09</v>
      </c>
      <c r="Z80" s="8">
        <f t="shared" si="51"/>
        <v>-0.11926605504587157</v>
      </c>
      <c r="AA80" s="8">
        <f t="shared" si="52"/>
        <v>3.125E-2</v>
      </c>
      <c r="AB80" s="8">
        <f t="shared" si="53"/>
        <v>9.0909090909090912E-2</v>
      </c>
      <c r="AC80" s="12">
        <f t="shared" si="54"/>
        <v>4.4315600513032294E-2</v>
      </c>
      <c r="AD80" s="12">
        <f t="shared" si="55"/>
        <v>6.0624999999999998E-2</v>
      </c>
      <c r="AE80" s="1">
        <f t="shared" si="56"/>
        <v>-4</v>
      </c>
      <c r="AF80" s="1">
        <f t="shared" si="57"/>
        <v>18</v>
      </c>
      <c r="AG80" s="1">
        <f t="shared" si="58"/>
        <v>9</v>
      </c>
      <c r="AH80" s="1">
        <f t="shared" si="59"/>
        <v>-13</v>
      </c>
      <c r="AI80" s="1">
        <f t="shared" si="60"/>
        <v>3</v>
      </c>
      <c r="AJ80" s="1">
        <f t="shared" si="61"/>
        <v>9</v>
      </c>
      <c r="AK80" s="17">
        <f t="shared" si="62"/>
        <v>3.6666666666666665</v>
      </c>
      <c r="AL80" s="17">
        <f t="shared" si="63"/>
        <v>6</v>
      </c>
      <c r="AM80" s="1">
        <f t="shared" si="64"/>
        <v>-4.6511627906976744E-2</v>
      </c>
      <c r="AN80" s="1">
        <f t="shared" si="65"/>
        <v>0.21951219512195122</v>
      </c>
      <c r="AO80" s="1">
        <f t="shared" si="66"/>
        <v>0.09</v>
      </c>
      <c r="AP80" s="1">
        <f t="shared" si="67"/>
        <v>-0.11926605504587157</v>
      </c>
      <c r="AQ80" s="1">
        <f t="shared" si="68"/>
        <v>3.125E-2</v>
      </c>
      <c r="AR80" s="1">
        <f t="shared" si="69"/>
        <v>9.0909090909090912E-2</v>
      </c>
      <c r="AS80" s="12">
        <f t="shared" si="70"/>
        <v>4.4315600513032294E-2</v>
      </c>
      <c r="AT80" s="12">
        <f t="shared" si="71"/>
        <v>6.0624999999999998E-2</v>
      </c>
      <c r="AU80" s="1">
        <f t="shared" si="72"/>
        <v>-4</v>
      </c>
      <c r="AV80" s="1">
        <f t="shared" si="73"/>
        <v>18</v>
      </c>
      <c r="AW80" s="1">
        <f t="shared" si="74"/>
        <v>9</v>
      </c>
      <c r="AX80" s="1">
        <f t="shared" si="75"/>
        <v>-13</v>
      </c>
      <c r="AY80" s="1">
        <f t="shared" si="76"/>
        <v>3</v>
      </c>
      <c r="AZ80" s="1">
        <f t="shared" si="77"/>
        <v>9</v>
      </c>
      <c r="BA80" s="19">
        <f t="shared" si="78"/>
        <v>3.6666666666666665</v>
      </c>
      <c r="BB80" s="19">
        <f t="shared" si="79"/>
        <v>6</v>
      </c>
      <c r="BC80" s="9" t="e">
        <f t="shared" si="80"/>
        <v>#DIV/0!</v>
      </c>
      <c r="BD80" s="9" t="e">
        <f t="shared" si="81"/>
        <v>#DIV/0!</v>
      </c>
      <c r="BE80" s="9" t="e">
        <f t="shared" si="82"/>
        <v>#DIV/0!</v>
      </c>
      <c r="BF80" s="9" t="e">
        <f t="shared" si="83"/>
        <v>#DIV/0!</v>
      </c>
      <c r="BG80" s="9" t="e">
        <f t="shared" si="84"/>
        <v>#DIV/0!</v>
      </c>
      <c r="BH80" s="9" t="e">
        <f t="shared" si="85"/>
        <v>#DIV/0!</v>
      </c>
      <c r="BI80" s="12" t="e">
        <f t="shared" si="86"/>
        <v>#DIV/0!</v>
      </c>
      <c r="BJ80" s="13" t="e">
        <f t="shared" si="87"/>
        <v>#DIV/0!</v>
      </c>
      <c r="BK80" s="1">
        <f t="shared" si="88"/>
        <v>0</v>
      </c>
      <c r="BL80" s="1">
        <f t="shared" si="89"/>
        <v>0</v>
      </c>
      <c r="BM80" s="1">
        <f t="shared" si="90"/>
        <v>0</v>
      </c>
      <c r="BN80" s="1">
        <f t="shared" si="91"/>
        <v>0</v>
      </c>
      <c r="BO80" s="1">
        <f t="shared" si="92"/>
        <v>0</v>
      </c>
      <c r="BP80" s="1">
        <f t="shared" si="93"/>
        <v>0</v>
      </c>
      <c r="BQ80" s="19">
        <f t="shared" si="94"/>
        <v>0</v>
      </c>
      <c r="BR80" s="17">
        <f t="shared" si="95"/>
        <v>0</v>
      </c>
    </row>
    <row r="81" spans="1:70" x14ac:dyDescent="0.25">
      <c r="A81" t="s">
        <v>180</v>
      </c>
      <c r="B81">
        <v>52</v>
      </c>
      <c r="C81">
        <v>34</v>
      </c>
      <c r="D81">
        <v>39</v>
      </c>
      <c r="E81">
        <v>125</v>
      </c>
      <c r="F81">
        <v>288</v>
      </c>
      <c r="G81">
        <v>218</v>
      </c>
      <c r="H81">
        <v>74</v>
      </c>
      <c r="I81">
        <v>28</v>
      </c>
      <c r="J81">
        <v>14</v>
      </c>
      <c r="K81">
        <v>27</v>
      </c>
      <c r="L81">
        <v>67</v>
      </c>
      <c r="M81">
        <v>166</v>
      </c>
      <c r="N81">
        <v>129</v>
      </c>
      <c r="O81">
        <v>44</v>
      </c>
      <c r="P81">
        <v>24</v>
      </c>
      <c r="Q81">
        <v>20</v>
      </c>
      <c r="R81">
        <v>12</v>
      </c>
      <c r="S81">
        <v>58</v>
      </c>
      <c r="T81">
        <v>122</v>
      </c>
      <c r="U81">
        <v>89</v>
      </c>
      <c r="V81">
        <v>30</v>
      </c>
      <c r="W81" s="8">
        <f t="shared" si="48"/>
        <v>-0.34615384615384615</v>
      </c>
      <c r="X81" s="8">
        <f t="shared" si="49"/>
        <v>0.14705882352941177</v>
      </c>
      <c r="Y81" s="8">
        <f t="shared" si="50"/>
        <v>2.2051282051282053</v>
      </c>
      <c r="Z81" s="8">
        <f t="shared" si="51"/>
        <v>1.304</v>
      </c>
      <c r="AA81" s="8">
        <f t="shared" si="52"/>
        <v>-0.24305555555555555</v>
      </c>
      <c r="AB81" s="8">
        <f t="shared" si="53"/>
        <v>-0.66055045871559637</v>
      </c>
      <c r="AC81" s="12">
        <f t="shared" si="54"/>
        <v>0.40107119470543656</v>
      </c>
      <c r="AD81" s="12">
        <f t="shared" si="55"/>
        <v>-4.7998366013071891E-2</v>
      </c>
      <c r="AE81" s="1">
        <f t="shared" si="56"/>
        <v>-18</v>
      </c>
      <c r="AF81" s="1">
        <f t="shared" si="57"/>
        <v>5</v>
      </c>
      <c r="AG81" s="1">
        <f t="shared" si="58"/>
        <v>86</v>
      </c>
      <c r="AH81" s="1">
        <f t="shared" si="59"/>
        <v>163</v>
      </c>
      <c r="AI81" s="1">
        <f t="shared" si="60"/>
        <v>-70</v>
      </c>
      <c r="AJ81" s="1">
        <f t="shared" si="61"/>
        <v>-144</v>
      </c>
      <c r="AK81" s="17">
        <f t="shared" si="62"/>
        <v>3.6666666666666665</v>
      </c>
      <c r="AL81" s="17">
        <f t="shared" si="63"/>
        <v>-6.5</v>
      </c>
      <c r="AM81" s="1">
        <f t="shared" si="64"/>
        <v>-0.5</v>
      </c>
      <c r="AN81" s="1">
        <f t="shared" si="65"/>
        <v>0.9285714285714286</v>
      </c>
      <c r="AO81" s="1">
        <f t="shared" si="66"/>
        <v>1.4814814814814814</v>
      </c>
      <c r="AP81" s="1">
        <f t="shared" si="67"/>
        <v>1.4776119402985075</v>
      </c>
      <c r="AQ81" s="1">
        <f t="shared" si="68"/>
        <v>-0.22289156626506024</v>
      </c>
      <c r="AR81" s="1">
        <f t="shared" si="69"/>
        <v>-0.65891472868217049</v>
      </c>
      <c r="AS81" s="12">
        <f t="shared" si="70"/>
        <v>0.41764309256736448</v>
      </c>
      <c r="AT81" s="12">
        <f t="shared" si="71"/>
        <v>0.35283993115318413</v>
      </c>
      <c r="AU81" s="1">
        <f t="shared" si="72"/>
        <v>-14</v>
      </c>
      <c r="AV81" s="1">
        <f t="shared" si="73"/>
        <v>13</v>
      </c>
      <c r="AW81" s="1">
        <f t="shared" si="74"/>
        <v>40</v>
      </c>
      <c r="AX81" s="1">
        <f t="shared" si="75"/>
        <v>99</v>
      </c>
      <c r="AY81" s="1">
        <f t="shared" si="76"/>
        <v>-37</v>
      </c>
      <c r="AZ81" s="1">
        <f t="shared" si="77"/>
        <v>-85</v>
      </c>
      <c r="BA81" s="19">
        <f t="shared" si="78"/>
        <v>2.6666666666666665</v>
      </c>
      <c r="BB81" s="19">
        <f t="shared" si="79"/>
        <v>-0.5</v>
      </c>
      <c r="BC81" s="9">
        <f t="shared" si="80"/>
        <v>-0.16666666666666666</v>
      </c>
      <c r="BD81" s="9">
        <f t="shared" si="81"/>
        <v>-0.4</v>
      </c>
      <c r="BE81" s="9">
        <f t="shared" si="82"/>
        <v>3.8333333333333335</v>
      </c>
      <c r="BF81" s="9">
        <f t="shared" si="83"/>
        <v>1.103448275862069</v>
      </c>
      <c r="BG81" s="9">
        <f t="shared" si="84"/>
        <v>-0.27049180327868855</v>
      </c>
      <c r="BH81" s="9">
        <f t="shared" si="85"/>
        <v>-0.6629213483146067</v>
      </c>
      <c r="BI81" s="12">
        <f t="shared" si="86"/>
        <v>0.5727836318225733</v>
      </c>
      <c r="BJ81" s="13">
        <f t="shared" si="87"/>
        <v>-0.21857923497267762</v>
      </c>
      <c r="BK81" s="1">
        <f t="shared" si="88"/>
        <v>-4</v>
      </c>
      <c r="BL81" s="1">
        <f t="shared" si="89"/>
        <v>-8</v>
      </c>
      <c r="BM81" s="1">
        <f t="shared" si="90"/>
        <v>46</v>
      </c>
      <c r="BN81" s="1">
        <f t="shared" si="91"/>
        <v>64</v>
      </c>
      <c r="BO81" s="1">
        <f t="shared" si="92"/>
        <v>-33</v>
      </c>
      <c r="BP81" s="1">
        <f t="shared" si="93"/>
        <v>-59</v>
      </c>
      <c r="BQ81" s="19">
        <f t="shared" si="94"/>
        <v>1</v>
      </c>
      <c r="BR81" s="17">
        <f t="shared" si="95"/>
        <v>-6</v>
      </c>
    </row>
    <row r="82" spans="1:70" x14ac:dyDescent="0.25">
      <c r="A82" t="s">
        <v>207</v>
      </c>
      <c r="B82">
        <v>32</v>
      </c>
      <c r="C82">
        <v>53</v>
      </c>
      <c r="D82">
        <v>38</v>
      </c>
      <c r="E82">
        <v>75</v>
      </c>
      <c r="F82">
        <v>45</v>
      </c>
      <c r="G82">
        <v>55</v>
      </c>
      <c r="H82">
        <v>54</v>
      </c>
      <c r="I82">
        <v>16</v>
      </c>
      <c r="J82">
        <v>24</v>
      </c>
      <c r="K82">
        <v>19</v>
      </c>
      <c r="L82">
        <v>39</v>
      </c>
      <c r="M82">
        <v>27</v>
      </c>
      <c r="N82">
        <v>21</v>
      </c>
      <c r="O82">
        <v>33</v>
      </c>
      <c r="P82">
        <v>16</v>
      </c>
      <c r="Q82">
        <v>29</v>
      </c>
      <c r="R82">
        <v>19</v>
      </c>
      <c r="S82">
        <v>36</v>
      </c>
      <c r="T82">
        <v>18</v>
      </c>
      <c r="U82">
        <v>34</v>
      </c>
      <c r="V82">
        <v>21</v>
      </c>
      <c r="W82" s="8">
        <f t="shared" si="48"/>
        <v>0.65625</v>
      </c>
      <c r="X82" s="8">
        <f t="shared" si="49"/>
        <v>-0.28301886792452829</v>
      </c>
      <c r="Y82" s="8">
        <f t="shared" si="50"/>
        <v>0.97368421052631582</v>
      </c>
      <c r="Z82" s="8">
        <f t="shared" si="51"/>
        <v>-0.4</v>
      </c>
      <c r="AA82" s="8">
        <f t="shared" si="52"/>
        <v>0.22222222222222221</v>
      </c>
      <c r="AB82" s="8">
        <f t="shared" si="53"/>
        <v>-1.8181818181818181E-2</v>
      </c>
      <c r="AC82" s="12">
        <f t="shared" si="54"/>
        <v>0.1918259577736986</v>
      </c>
      <c r="AD82" s="12">
        <f t="shared" si="55"/>
        <v>0.10202020202020201</v>
      </c>
      <c r="AE82" s="1">
        <f t="shared" si="56"/>
        <v>21</v>
      </c>
      <c r="AF82" s="1">
        <f t="shared" si="57"/>
        <v>-15</v>
      </c>
      <c r="AG82" s="1">
        <f t="shared" si="58"/>
        <v>37</v>
      </c>
      <c r="AH82" s="1">
        <f t="shared" si="59"/>
        <v>-30</v>
      </c>
      <c r="AI82" s="1">
        <f t="shared" si="60"/>
        <v>10</v>
      </c>
      <c r="AJ82" s="1">
        <f t="shared" si="61"/>
        <v>-1</v>
      </c>
      <c r="AK82" s="17">
        <f t="shared" si="62"/>
        <v>3.6666666666666665</v>
      </c>
      <c r="AL82" s="17">
        <f t="shared" si="63"/>
        <v>4.5</v>
      </c>
      <c r="AM82" s="1">
        <f t="shared" si="64"/>
        <v>0.5</v>
      </c>
      <c r="AN82" s="1">
        <f t="shared" si="65"/>
        <v>-0.20833333333333334</v>
      </c>
      <c r="AO82" s="1">
        <f t="shared" si="66"/>
        <v>1.0526315789473684</v>
      </c>
      <c r="AP82" s="1">
        <f t="shared" si="67"/>
        <v>-0.30769230769230771</v>
      </c>
      <c r="AQ82" s="1">
        <f t="shared" si="68"/>
        <v>-0.22222222222222221</v>
      </c>
      <c r="AR82" s="1">
        <f t="shared" si="69"/>
        <v>0.5714285714285714</v>
      </c>
      <c r="AS82" s="12">
        <f t="shared" si="70"/>
        <v>0.23096871452134607</v>
      </c>
      <c r="AT82" s="12">
        <f t="shared" si="71"/>
        <v>0.14583333333333334</v>
      </c>
      <c r="AU82" s="1">
        <f t="shared" si="72"/>
        <v>8</v>
      </c>
      <c r="AV82" s="1">
        <f t="shared" si="73"/>
        <v>-5</v>
      </c>
      <c r="AW82" s="1">
        <f t="shared" si="74"/>
        <v>20</v>
      </c>
      <c r="AX82" s="1">
        <f t="shared" si="75"/>
        <v>-12</v>
      </c>
      <c r="AY82" s="1">
        <f t="shared" si="76"/>
        <v>-6</v>
      </c>
      <c r="AZ82" s="1">
        <f t="shared" si="77"/>
        <v>12</v>
      </c>
      <c r="BA82" s="19">
        <f t="shared" si="78"/>
        <v>2.8333333333333335</v>
      </c>
      <c r="BB82" s="19">
        <f t="shared" si="79"/>
        <v>1.5</v>
      </c>
      <c r="BC82" s="9">
        <f t="shared" si="80"/>
        <v>0.8125</v>
      </c>
      <c r="BD82" s="9">
        <f t="shared" si="81"/>
        <v>-0.34482758620689657</v>
      </c>
      <c r="BE82" s="9">
        <f t="shared" si="82"/>
        <v>0.89473684210526316</v>
      </c>
      <c r="BF82" s="9">
        <f t="shared" si="83"/>
        <v>-0.5</v>
      </c>
      <c r="BG82" s="9">
        <f t="shared" si="84"/>
        <v>0.88888888888888884</v>
      </c>
      <c r="BH82" s="9">
        <f t="shared" si="85"/>
        <v>-0.38235294117647056</v>
      </c>
      <c r="BI82" s="12">
        <f t="shared" si="86"/>
        <v>0.2281575339351308</v>
      </c>
      <c r="BJ82" s="13">
        <f t="shared" si="87"/>
        <v>0.23383620689655171</v>
      </c>
      <c r="BK82" s="1">
        <f t="shared" si="88"/>
        <v>13</v>
      </c>
      <c r="BL82" s="1">
        <f t="shared" si="89"/>
        <v>-10</v>
      </c>
      <c r="BM82" s="1">
        <f t="shared" si="90"/>
        <v>17</v>
      </c>
      <c r="BN82" s="1">
        <f t="shared" si="91"/>
        <v>-18</v>
      </c>
      <c r="BO82" s="1">
        <f t="shared" si="92"/>
        <v>16</v>
      </c>
      <c r="BP82" s="1">
        <f t="shared" si="93"/>
        <v>-13</v>
      </c>
      <c r="BQ82" s="19">
        <f t="shared" si="94"/>
        <v>0.83333333333333337</v>
      </c>
      <c r="BR82" s="17">
        <f t="shared" si="95"/>
        <v>1.5</v>
      </c>
    </row>
    <row r="83" spans="1:70" x14ac:dyDescent="0.25">
      <c r="A83" t="s">
        <v>101</v>
      </c>
      <c r="B83">
        <v>238</v>
      </c>
      <c r="C83">
        <v>258</v>
      </c>
      <c r="D83">
        <v>245</v>
      </c>
      <c r="E83">
        <v>197</v>
      </c>
      <c r="F83">
        <v>204</v>
      </c>
      <c r="G83">
        <v>245</v>
      </c>
      <c r="H83">
        <v>259</v>
      </c>
      <c r="I83">
        <v>121</v>
      </c>
      <c r="J83">
        <v>136</v>
      </c>
      <c r="K83">
        <v>136</v>
      </c>
      <c r="L83">
        <v>97</v>
      </c>
      <c r="M83">
        <v>112</v>
      </c>
      <c r="N83">
        <v>126</v>
      </c>
      <c r="O83">
        <v>147</v>
      </c>
      <c r="P83">
        <v>117</v>
      </c>
      <c r="Q83">
        <v>122</v>
      </c>
      <c r="R83">
        <v>109</v>
      </c>
      <c r="S83">
        <v>100</v>
      </c>
      <c r="T83">
        <v>92</v>
      </c>
      <c r="U83">
        <v>119</v>
      </c>
      <c r="V83">
        <v>112</v>
      </c>
      <c r="W83" s="8">
        <f t="shared" si="48"/>
        <v>8.4033613445378158E-2</v>
      </c>
      <c r="X83" s="8">
        <f t="shared" si="49"/>
        <v>-5.0387596899224806E-2</v>
      </c>
      <c r="Y83" s="8">
        <f t="shared" si="50"/>
        <v>-0.19591836734693877</v>
      </c>
      <c r="Z83" s="8">
        <f t="shared" si="51"/>
        <v>3.553299492385787E-2</v>
      </c>
      <c r="AA83" s="8">
        <f t="shared" si="52"/>
        <v>0.20098039215686275</v>
      </c>
      <c r="AB83" s="8">
        <f t="shared" si="53"/>
        <v>5.7142857142857141E-2</v>
      </c>
      <c r="AC83" s="12">
        <f t="shared" si="54"/>
        <v>2.1897315570465387E-2</v>
      </c>
      <c r="AD83" s="12">
        <f t="shared" si="55"/>
        <v>4.6337926033357506E-2</v>
      </c>
      <c r="AE83" s="1">
        <f t="shared" si="56"/>
        <v>20</v>
      </c>
      <c r="AF83" s="1">
        <f t="shared" si="57"/>
        <v>-13</v>
      </c>
      <c r="AG83" s="1">
        <f t="shared" si="58"/>
        <v>-48</v>
      </c>
      <c r="AH83" s="1">
        <f t="shared" si="59"/>
        <v>7</v>
      </c>
      <c r="AI83" s="1">
        <f t="shared" si="60"/>
        <v>41</v>
      </c>
      <c r="AJ83" s="1">
        <f t="shared" si="61"/>
        <v>14</v>
      </c>
      <c r="AK83" s="17">
        <f t="shared" si="62"/>
        <v>3.5</v>
      </c>
      <c r="AL83" s="17">
        <f t="shared" si="63"/>
        <v>10.5</v>
      </c>
      <c r="AM83" s="1">
        <f t="shared" si="64"/>
        <v>0.12396694214876033</v>
      </c>
      <c r="AN83" s="1">
        <f t="shared" si="65"/>
        <v>0</v>
      </c>
      <c r="AO83" s="1">
        <f t="shared" si="66"/>
        <v>-0.28676470588235292</v>
      </c>
      <c r="AP83" s="1">
        <f t="shared" si="67"/>
        <v>0.15463917525773196</v>
      </c>
      <c r="AQ83" s="1">
        <f t="shared" si="68"/>
        <v>0.125</v>
      </c>
      <c r="AR83" s="1">
        <f t="shared" si="69"/>
        <v>0.16666666666666666</v>
      </c>
      <c r="AS83" s="12">
        <f t="shared" si="70"/>
        <v>4.7251346365134339E-2</v>
      </c>
      <c r="AT83" s="12">
        <f t="shared" si="71"/>
        <v>0.12448347107438017</v>
      </c>
      <c r="AU83" s="1">
        <f t="shared" si="72"/>
        <v>15</v>
      </c>
      <c r="AV83" s="1">
        <f t="shared" si="73"/>
        <v>0</v>
      </c>
      <c r="AW83" s="1">
        <f t="shared" si="74"/>
        <v>-39</v>
      </c>
      <c r="AX83" s="1">
        <f t="shared" si="75"/>
        <v>15</v>
      </c>
      <c r="AY83" s="1">
        <f t="shared" si="76"/>
        <v>14</v>
      </c>
      <c r="AZ83" s="1">
        <f t="shared" si="77"/>
        <v>21</v>
      </c>
      <c r="BA83" s="19">
        <f t="shared" si="78"/>
        <v>4.333333333333333</v>
      </c>
      <c r="BB83" s="19">
        <f t="shared" si="79"/>
        <v>14.5</v>
      </c>
      <c r="BC83" s="9">
        <f t="shared" si="80"/>
        <v>4.2735042735042736E-2</v>
      </c>
      <c r="BD83" s="9">
        <f t="shared" si="81"/>
        <v>-0.10655737704918032</v>
      </c>
      <c r="BE83" s="9">
        <f t="shared" si="82"/>
        <v>-8.2568807339449546E-2</v>
      </c>
      <c r="BF83" s="9">
        <f t="shared" si="83"/>
        <v>-0.08</v>
      </c>
      <c r="BG83" s="9">
        <f t="shared" si="84"/>
        <v>0.29347826086956524</v>
      </c>
      <c r="BH83" s="9">
        <f t="shared" si="85"/>
        <v>-5.8823529411764705E-2</v>
      </c>
      <c r="BI83" s="12">
        <f t="shared" si="86"/>
        <v>1.3772649673688987E-3</v>
      </c>
      <c r="BJ83" s="13">
        <f t="shared" si="87"/>
        <v>-6.9411764705882353E-2</v>
      </c>
      <c r="BK83" s="1">
        <f t="shared" si="88"/>
        <v>5</v>
      </c>
      <c r="BL83" s="1">
        <f t="shared" si="89"/>
        <v>-13</v>
      </c>
      <c r="BM83" s="1">
        <f t="shared" si="90"/>
        <v>-9</v>
      </c>
      <c r="BN83" s="1">
        <f t="shared" si="91"/>
        <v>-8</v>
      </c>
      <c r="BO83" s="1">
        <f t="shared" si="92"/>
        <v>27</v>
      </c>
      <c r="BP83" s="1">
        <f t="shared" si="93"/>
        <v>-7</v>
      </c>
      <c r="BQ83" s="19">
        <f t="shared" si="94"/>
        <v>-0.83333333333333337</v>
      </c>
      <c r="BR83" s="17">
        <f t="shared" si="95"/>
        <v>-7.5</v>
      </c>
    </row>
    <row r="84" spans="1:70" x14ac:dyDescent="0.25">
      <c r="A84" t="s">
        <v>121</v>
      </c>
      <c r="B84">
        <v>149</v>
      </c>
      <c r="C84">
        <v>177</v>
      </c>
      <c r="D84">
        <v>182</v>
      </c>
      <c r="E84">
        <v>151</v>
      </c>
      <c r="F84">
        <v>157</v>
      </c>
      <c r="G84">
        <v>168</v>
      </c>
      <c r="H84">
        <v>170</v>
      </c>
      <c r="I84">
        <v>67</v>
      </c>
      <c r="J84">
        <v>83</v>
      </c>
      <c r="K84">
        <v>94</v>
      </c>
      <c r="L84">
        <v>70</v>
      </c>
      <c r="M84">
        <v>77</v>
      </c>
      <c r="N84">
        <v>96</v>
      </c>
      <c r="O84">
        <v>90</v>
      </c>
      <c r="P84">
        <v>82</v>
      </c>
      <c r="Q84">
        <v>94</v>
      </c>
      <c r="R84">
        <v>88</v>
      </c>
      <c r="S84">
        <v>81</v>
      </c>
      <c r="T84">
        <v>80</v>
      </c>
      <c r="U84">
        <v>72</v>
      </c>
      <c r="V84">
        <v>80</v>
      </c>
      <c r="W84" s="8">
        <f t="shared" si="48"/>
        <v>0.18791946308724833</v>
      </c>
      <c r="X84" s="8">
        <f t="shared" si="49"/>
        <v>2.8248587570621469E-2</v>
      </c>
      <c r="Y84" s="8">
        <f t="shared" si="50"/>
        <v>-0.17032967032967034</v>
      </c>
      <c r="Z84" s="8">
        <f t="shared" si="51"/>
        <v>3.9735099337748346E-2</v>
      </c>
      <c r="AA84" s="8">
        <f t="shared" si="52"/>
        <v>7.0063694267515922E-2</v>
      </c>
      <c r="AB84" s="8">
        <f t="shared" si="53"/>
        <v>1.1904761904761904E-2</v>
      </c>
      <c r="AC84" s="12">
        <f t="shared" si="54"/>
        <v>2.7923655973037604E-2</v>
      </c>
      <c r="AD84" s="12">
        <f t="shared" si="55"/>
        <v>3.3991843454184906E-2</v>
      </c>
      <c r="AE84" s="1">
        <f t="shared" si="56"/>
        <v>28</v>
      </c>
      <c r="AF84" s="1">
        <f t="shared" si="57"/>
        <v>5</v>
      </c>
      <c r="AG84" s="1">
        <f t="shared" si="58"/>
        <v>-31</v>
      </c>
      <c r="AH84" s="1">
        <f t="shared" si="59"/>
        <v>6</v>
      </c>
      <c r="AI84" s="1">
        <f t="shared" si="60"/>
        <v>11</v>
      </c>
      <c r="AJ84" s="1">
        <f t="shared" si="61"/>
        <v>2</v>
      </c>
      <c r="AK84" s="17">
        <f t="shared" si="62"/>
        <v>3.5</v>
      </c>
      <c r="AL84" s="17">
        <f t="shared" si="63"/>
        <v>5.5</v>
      </c>
      <c r="AM84" s="1">
        <f t="shared" si="64"/>
        <v>0.23880597014925373</v>
      </c>
      <c r="AN84" s="1">
        <f t="shared" si="65"/>
        <v>0.13253012048192772</v>
      </c>
      <c r="AO84" s="1">
        <f t="shared" si="66"/>
        <v>-0.25531914893617019</v>
      </c>
      <c r="AP84" s="1">
        <f t="shared" si="67"/>
        <v>0.1</v>
      </c>
      <c r="AQ84" s="1">
        <f t="shared" si="68"/>
        <v>0.24675324675324675</v>
      </c>
      <c r="AR84" s="1">
        <f t="shared" si="69"/>
        <v>-6.25E-2</v>
      </c>
      <c r="AS84" s="12">
        <f t="shared" si="70"/>
        <v>6.6711698074709669E-2</v>
      </c>
      <c r="AT84" s="12">
        <f t="shared" si="71"/>
        <v>0.11626506024096386</v>
      </c>
      <c r="AU84" s="1">
        <f t="shared" si="72"/>
        <v>16</v>
      </c>
      <c r="AV84" s="1">
        <f t="shared" si="73"/>
        <v>11</v>
      </c>
      <c r="AW84" s="1">
        <f t="shared" si="74"/>
        <v>-24</v>
      </c>
      <c r="AX84" s="1">
        <f t="shared" si="75"/>
        <v>7</v>
      </c>
      <c r="AY84" s="1">
        <f t="shared" si="76"/>
        <v>19</v>
      </c>
      <c r="AZ84" s="1">
        <f t="shared" si="77"/>
        <v>-6</v>
      </c>
      <c r="BA84" s="19">
        <f t="shared" si="78"/>
        <v>3.8333333333333335</v>
      </c>
      <c r="BB84" s="19">
        <f t="shared" si="79"/>
        <v>9</v>
      </c>
      <c r="BC84" s="9">
        <f t="shared" si="80"/>
        <v>0.14634146341463414</v>
      </c>
      <c r="BD84" s="9">
        <f t="shared" si="81"/>
        <v>-6.3829787234042548E-2</v>
      </c>
      <c r="BE84" s="9">
        <f t="shared" si="82"/>
        <v>-7.9545454545454544E-2</v>
      </c>
      <c r="BF84" s="9">
        <f t="shared" si="83"/>
        <v>-1.2345679012345678E-2</v>
      </c>
      <c r="BG84" s="9">
        <f t="shared" si="84"/>
        <v>-0.1</v>
      </c>
      <c r="BH84" s="9">
        <f t="shared" si="85"/>
        <v>0.1111111111111111</v>
      </c>
      <c r="BI84" s="12">
        <f t="shared" si="86"/>
        <v>2.8860895565041106E-4</v>
      </c>
      <c r="BJ84" s="13">
        <f t="shared" si="87"/>
        <v>-3.8087733123194113E-2</v>
      </c>
      <c r="BK84" s="1">
        <f t="shared" si="88"/>
        <v>12</v>
      </c>
      <c r="BL84" s="1">
        <f t="shared" si="89"/>
        <v>-6</v>
      </c>
      <c r="BM84" s="1">
        <f t="shared" si="90"/>
        <v>-7</v>
      </c>
      <c r="BN84" s="1">
        <f t="shared" si="91"/>
        <v>-1</v>
      </c>
      <c r="BO84" s="1">
        <f t="shared" si="92"/>
        <v>-8</v>
      </c>
      <c r="BP84" s="1">
        <f t="shared" si="93"/>
        <v>8</v>
      </c>
      <c r="BQ84" s="19">
        <f t="shared" si="94"/>
        <v>-0.33333333333333331</v>
      </c>
      <c r="BR84" s="17">
        <f t="shared" si="95"/>
        <v>-3.5</v>
      </c>
    </row>
    <row r="85" spans="1:70" x14ac:dyDescent="0.25">
      <c r="A85" t="s">
        <v>151</v>
      </c>
      <c r="B85">
        <v>83</v>
      </c>
      <c r="C85">
        <v>77</v>
      </c>
      <c r="D85">
        <v>79</v>
      </c>
      <c r="E85">
        <v>88</v>
      </c>
      <c r="F85">
        <v>93</v>
      </c>
      <c r="G85">
        <v>93</v>
      </c>
      <c r="H85">
        <v>104</v>
      </c>
      <c r="I85">
        <v>12</v>
      </c>
      <c r="J85">
        <v>17</v>
      </c>
      <c r="K85">
        <v>15</v>
      </c>
      <c r="L85">
        <v>17</v>
      </c>
      <c r="M85">
        <v>11</v>
      </c>
      <c r="N85">
        <v>12</v>
      </c>
      <c r="O85">
        <v>18</v>
      </c>
      <c r="P85">
        <v>71</v>
      </c>
      <c r="Q85">
        <v>60</v>
      </c>
      <c r="R85">
        <v>64</v>
      </c>
      <c r="S85">
        <v>71</v>
      </c>
      <c r="T85">
        <v>82</v>
      </c>
      <c r="U85">
        <v>81</v>
      </c>
      <c r="V85">
        <v>86</v>
      </c>
      <c r="W85" s="8">
        <f t="shared" si="48"/>
        <v>-7.2289156626506021E-2</v>
      </c>
      <c r="X85" s="8">
        <f t="shared" si="49"/>
        <v>2.5974025974025976E-2</v>
      </c>
      <c r="Y85" s="8">
        <f t="shared" si="50"/>
        <v>0.11392405063291139</v>
      </c>
      <c r="Z85" s="8">
        <f t="shared" si="51"/>
        <v>5.6818181818181816E-2</v>
      </c>
      <c r="AA85" s="8">
        <f t="shared" si="52"/>
        <v>0</v>
      </c>
      <c r="AB85" s="8">
        <f t="shared" si="53"/>
        <v>0.11827956989247312</v>
      </c>
      <c r="AC85" s="12">
        <f t="shared" si="54"/>
        <v>4.0451111948514383E-2</v>
      </c>
      <c r="AD85" s="12">
        <f t="shared" si="55"/>
        <v>4.1396103896103896E-2</v>
      </c>
      <c r="AE85" s="1">
        <f t="shared" si="56"/>
        <v>-6</v>
      </c>
      <c r="AF85" s="1">
        <f t="shared" si="57"/>
        <v>2</v>
      </c>
      <c r="AG85" s="1">
        <f t="shared" si="58"/>
        <v>9</v>
      </c>
      <c r="AH85" s="1">
        <f t="shared" si="59"/>
        <v>5</v>
      </c>
      <c r="AI85" s="1">
        <f t="shared" si="60"/>
        <v>0</v>
      </c>
      <c r="AJ85" s="1">
        <f t="shared" si="61"/>
        <v>11</v>
      </c>
      <c r="AK85" s="17">
        <f t="shared" si="62"/>
        <v>3.5</v>
      </c>
      <c r="AL85" s="17">
        <f t="shared" si="63"/>
        <v>3.5</v>
      </c>
      <c r="AM85" s="1">
        <f t="shared" si="64"/>
        <v>0.41666666666666669</v>
      </c>
      <c r="AN85" s="1">
        <f t="shared" si="65"/>
        <v>-0.11764705882352941</v>
      </c>
      <c r="AO85" s="1">
        <f t="shared" si="66"/>
        <v>0.13333333333333333</v>
      </c>
      <c r="AP85" s="1">
        <f t="shared" si="67"/>
        <v>-0.35294117647058826</v>
      </c>
      <c r="AQ85" s="1">
        <f t="shared" si="68"/>
        <v>9.0909090909090912E-2</v>
      </c>
      <c r="AR85" s="1">
        <f t="shared" si="69"/>
        <v>0.5</v>
      </c>
      <c r="AS85" s="12">
        <f t="shared" si="70"/>
        <v>0.11172014260249553</v>
      </c>
      <c r="AT85" s="12">
        <f t="shared" si="71"/>
        <v>0.11212121212121212</v>
      </c>
      <c r="AU85" s="1">
        <f t="shared" si="72"/>
        <v>5</v>
      </c>
      <c r="AV85" s="1">
        <f t="shared" si="73"/>
        <v>-2</v>
      </c>
      <c r="AW85" s="1">
        <f t="shared" si="74"/>
        <v>2</v>
      </c>
      <c r="AX85" s="1">
        <f t="shared" si="75"/>
        <v>-6</v>
      </c>
      <c r="AY85" s="1">
        <f t="shared" si="76"/>
        <v>1</v>
      </c>
      <c r="AZ85" s="1">
        <f t="shared" si="77"/>
        <v>6</v>
      </c>
      <c r="BA85" s="19">
        <f t="shared" si="78"/>
        <v>1</v>
      </c>
      <c r="BB85" s="19">
        <f t="shared" si="79"/>
        <v>1.5</v>
      </c>
      <c r="BC85" s="9">
        <f t="shared" si="80"/>
        <v>-0.15492957746478872</v>
      </c>
      <c r="BD85" s="9">
        <f t="shared" si="81"/>
        <v>6.6666666666666666E-2</v>
      </c>
      <c r="BE85" s="9">
        <f t="shared" si="82"/>
        <v>0.109375</v>
      </c>
      <c r="BF85" s="9">
        <f t="shared" si="83"/>
        <v>0.15492957746478872</v>
      </c>
      <c r="BG85" s="9">
        <f t="shared" si="84"/>
        <v>-1.2195121951219513E-2</v>
      </c>
      <c r="BH85" s="9">
        <f t="shared" si="85"/>
        <v>6.1728395061728392E-2</v>
      </c>
      <c r="BI85" s="12">
        <f t="shared" si="86"/>
        <v>3.7595823296195922E-2</v>
      </c>
      <c r="BJ85" s="13">
        <f t="shared" si="87"/>
        <v>6.4197530864197522E-2</v>
      </c>
      <c r="BK85" s="1">
        <f t="shared" si="88"/>
        <v>-11</v>
      </c>
      <c r="BL85" s="1">
        <f t="shared" si="89"/>
        <v>4</v>
      </c>
      <c r="BM85" s="1">
        <f t="shared" si="90"/>
        <v>7</v>
      </c>
      <c r="BN85" s="1">
        <f t="shared" si="91"/>
        <v>11</v>
      </c>
      <c r="BO85" s="1">
        <f t="shared" si="92"/>
        <v>-1</v>
      </c>
      <c r="BP85" s="1">
        <f t="shared" si="93"/>
        <v>5</v>
      </c>
      <c r="BQ85" s="19">
        <f t="shared" si="94"/>
        <v>2.5</v>
      </c>
      <c r="BR85" s="17">
        <f t="shared" si="95"/>
        <v>4.5</v>
      </c>
    </row>
    <row r="86" spans="1:70" x14ac:dyDescent="0.25">
      <c r="A86" t="s">
        <v>366</v>
      </c>
      <c r="B86">
        <v>6</v>
      </c>
      <c r="C86">
        <v>6</v>
      </c>
      <c r="D86">
        <v>6</v>
      </c>
      <c r="E86">
        <v>22</v>
      </c>
      <c r="F86">
        <v>22</v>
      </c>
      <c r="G86">
        <v>23</v>
      </c>
      <c r="H86">
        <v>26</v>
      </c>
      <c r="I86">
        <v>4</v>
      </c>
      <c r="J86">
        <v>5</v>
      </c>
      <c r="K86">
        <v>5</v>
      </c>
      <c r="L86">
        <v>13</v>
      </c>
      <c r="M86">
        <v>15</v>
      </c>
      <c r="N86">
        <v>19</v>
      </c>
      <c r="O86">
        <v>17</v>
      </c>
      <c r="P86">
        <v>2</v>
      </c>
      <c r="Q86">
        <v>1</v>
      </c>
      <c r="R86">
        <v>1</v>
      </c>
      <c r="S86">
        <v>9</v>
      </c>
      <c r="T86">
        <v>7</v>
      </c>
      <c r="U86">
        <v>4</v>
      </c>
      <c r="V86">
        <v>9</v>
      </c>
      <c r="W86" s="8">
        <f t="shared" si="48"/>
        <v>0</v>
      </c>
      <c r="X86" s="8">
        <f t="shared" si="49"/>
        <v>0</v>
      </c>
      <c r="Y86" s="8">
        <f t="shared" si="50"/>
        <v>2.6666666666666665</v>
      </c>
      <c r="Z86" s="8">
        <f t="shared" si="51"/>
        <v>0</v>
      </c>
      <c r="AA86" s="8">
        <f t="shared" si="52"/>
        <v>4.5454545454545456E-2</v>
      </c>
      <c r="AB86" s="8">
        <f t="shared" si="53"/>
        <v>0.13043478260869565</v>
      </c>
      <c r="AC86" s="12">
        <f t="shared" si="54"/>
        <v>0.47375933245498464</v>
      </c>
      <c r="AD86" s="12">
        <f t="shared" si="55"/>
        <v>2.2727272727272728E-2</v>
      </c>
      <c r="AE86" s="1">
        <f t="shared" si="56"/>
        <v>0</v>
      </c>
      <c r="AF86" s="1">
        <f t="shared" si="57"/>
        <v>0</v>
      </c>
      <c r="AG86" s="1">
        <f t="shared" si="58"/>
        <v>16</v>
      </c>
      <c r="AH86" s="1">
        <f t="shared" si="59"/>
        <v>0</v>
      </c>
      <c r="AI86" s="1">
        <f t="shared" si="60"/>
        <v>1</v>
      </c>
      <c r="AJ86" s="1">
        <f t="shared" si="61"/>
        <v>3</v>
      </c>
      <c r="AK86" s="17">
        <f t="shared" si="62"/>
        <v>3.3333333333333335</v>
      </c>
      <c r="AL86" s="17">
        <f t="shared" si="63"/>
        <v>0.5</v>
      </c>
      <c r="AM86" s="1">
        <f t="shared" si="64"/>
        <v>0.25</v>
      </c>
      <c r="AN86" s="1">
        <f t="shared" si="65"/>
        <v>0</v>
      </c>
      <c r="AO86" s="1">
        <f t="shared" si="66"/>
        <v>1.6</v>
      </c>
      <c r="AP86" s="1">
        <f t="shared" si="67"/>
        <v>0.15384615384615385</v>
      </c>
      <c r="AQ86" s="1">
        <f t="shared" si="68"/>
        <v>0.26666666666666666</v>
      </c>
      <c r="AR86" s="1">
        <f t="shared" si="69"/>
        <v>-0.10526315789473684</v>
      </c>
      <c r="AS86" s="12">
        <f t="shared" si="70"/>
        <v>0.3608749437696806</v>
      </c>
      <c r="AT86" s="12">
        <f t="shared" si="71"/>
        <v>0.20192307692307693</v>
      </c>
      <c r="AU86" s="1">
        <f t="shared" si="72"/>
        <v>1</v>
      </c>
      <c r="AV86" s="1">
        <f t="shared" si="73"/>
        <v>0</v>
      </c>
      <c r="AW86" s="1">
        <f t="shared" si="74"/>
        <v>8</v>
      </c>
      <c r="AX86" s="1">
        <f t="shared" si="75"/>
        <v>2</v>
      </c>
      <c r="AY86" s="1">
        <f t="shared" si="76"/>
        <v>4</v>
      </c>
      <c r="AZ86" s="1">
        <f t="shared" si="77"/>
        <v>-2</v>
      </c>
      <c r="BA86" s="19">
        <f t="shared" si="78"/>
        <v>2.1666666666666665</v>
      </c>
      <c r="BB86" s="19">
        <f t="shared" si="79"/>
        <v>1.5</v>
      </c>
      <c r="BC86" s="9">
        <f t="shared" si="80"/>
        <v>-0.5</v>
      </c>
      <c r="BD86" s="9">
        <f t="shared" si="81"/>
        <v>0</v>
      </c>
      <c r="BE86" s="9">
        <f t="shared" si="82"/>
        <v>8</v>
      </c>
      <c r="BF86" s="9">
        <f t="shared" si="83"/>
        <v>-0.22222222222222221</v>
      </c>
      <c r="BG86" s="9">
        <f t="shared" si="84"/>
        <v>-0.42857142857142855</v>
      </c>
      <c r="BH86" s="9">
        <f t="shared" si="85"/>
        <v>1.25</v>
      </c>
      <c r="BI86" s="12">
        <f t="shared" si="86"/>
        <v>1.3498677248677247</v>
      </c>
      <c r="BJ86" s="13">
        <f t="shared" si="87"/>
        <v>-0.1111111111111111</v>
      </c>
      <c r="BK86" s="1">
        <f t="shared" si="88"/>
        <v>-1</v>
      </c>
      <c r="BL86" s="1">
        <f t="shared" si="89"/>
        <v>0</v>
      </c>
      <c r="BM86" s="1">
        <f t="shared" si="90"/>
        <v>8</v>
      </c>
      <c r="BN86" s="1">
        <f t="shared" si="91"/>
        <v>-2</v>
      </c>
      <c r="BO86" s="1">
        <f t="shared" si="92"/>
        <v>-3</v>
      </c>
      <c r="BP86" s="1">
        <f t="shared" si="93"/>
        <v>5</v>
      </c>
      <c r="BQ86" s="19">
        <f t="shared" si="94"/>
        <v>1.1666666666666667</v>
      </c>
      <c r="BR86" s="17">
        <f t="shared" si="95"/>
        <v>-0.5</v>
      </c>
    </row>
    <row r="87" spans="1:70" x14ac:dyDescent="0.25">
      <c r="A87" t="s">
        <v>114</v>
      </c>
      <c r="B87">
        <v>173</v>
      </c>
      <c r="C87">
        <v>176</v>
      </c>
      <c r="D87">
        <v>184</v>
      </c>
      <c r="E87">
        <v>145</v>
      </c>
      <c r="F87">
        <v>165</v>
      </c>
      <c r="G87">
        <v>181</v>
      </c>
      <c r="H87">
        <v>192</v>
      </c>
      <c r="I87">
        <v>73</v>
      </c>
      <c r="J87">
        <v>81</v>
      </c>
      <c r="K87">
        <v>71</v>
      </c>
      <c r="L87">
        <v>59</v>
      </c>
      <c r="M87">
        <v>73</v>
      </c>
      <c r="N87">
        <v>91</v>
      </c>
      <c r="O87">
        <v>83</v>
      </c>
      <c r="P87">
        <v>100</v>
      </c>
      <c r="Q87">
        <v>95</v>
      </c>
      <c r="R87">
        <v>113</v>
      </c>
      <c r="S87">
        <v>86</v>
      </c>
      <c r="T87">
        <v>92</v>
      </c>
      <c r="U87">
        <v>90</v>
      </c>
      <c r="V87">
        <v>109</v>
      </c>
      <c r="W87" s="8">
        <f t="shared" si="48"/>
        <v>1.7341040462427744E-2</v>
      </c>
      <c r="X87" s="8">
        <f t="shared" si="49"/>
        <v>4.5454545454545456E-2</v>
      </c>
      <c r="Y87" s="8">
        <f t="shared" si="50"/>
        <v>-0.21195652173913043</v>
      </c>
      <c r="Z87" s="8">
        <f t="shared" si="51"/>
        <v>0.13793103448275862</v>
      </c>
      <c r="AA87" s="8">
        <f t="shared" si="52"/>
        <v>9.696969696969697E-2</v>
      </c>
      <c r="AB87" s="8">
        <f t="shared" si="53"/>
        <v>6.0773480662983423E-2</v>
      </c>
      <c r="AC87" s="12">
        <f t="shared" si="54"/>
        <v>2.441887938221363E-2</v>
      </c>
      <c r="AD87" s="12">
        <f t="shared" si="55"/>
        <v>5.3114013058764439E-2</v>
      </c>
      <c r="AE87" s="1">
        <f t="shared" si="56"/>
        <v>3</v>
      </c>
      <c r="AF87" s="1">
        <f t="shared" si="57"/>
        <v>8</v>
      </c>
      <c r="AG87" s="1">
        <f t="shared" si="58"/>
        <v>-39</v>
      </c>
      <c r="AH87" s="1">
        <f t="shared" si="59"/>
        <v>20</v>
      </c>
      <c r="AI87" s="1">
        <f t="shared" si="60"/>
        <v>16</v>
      </c>
      <c r="AJ87" s="1">
        <f t="shared" si="61"/>
        <v>11</v>
      </c>
      <c r="AK87" s="17">
        <f t="shared" si="62"/>
        <v>3.1666666666666665</v>
      </c>
      <c r="AL87" s="17">
        <f t="shared" si="63"/>
        <v>9.5</v>
      </c>
      <c r="AM87" s="1">
        <f t="shared" si="64"/>
        <v>0.1095890410958904</v>
      </c>
      <c r="AN87" s="1">
        <f t="shared" si="65"/>
        <v>-0.12345679012345678</v>
      </c>
      <c r="AO87" s="1">
        <f t="shared" si="66"/>
        <v>-0.16901408450704225</v>
      </c>
      <c r="AP87" s="1">
        <f t="shared" si="67"/>
        <v>0.23728813559322035</v>
      </c>
      <c r="AQ87" s="1">
        <f t="shared" si="68"/>
        <v>0.24657534246575341</v>
      </c>
      <c r="AR87" s="1">
        <f t="shared" si="69"/>
        <v>-8.7912087912087919E-2</v>
      </c>
      <c r="AS87" s="12">
        <f t="shared" si="70"/>
        <v>3.5511592768712873E-2</v>
      </c>
      <c r="AT87" s="12">
        <f t="shared" si="71"/>
        <v>1.083847659190125E-2</v>
      </c>
      <c r="AU87" s="1">
        <f t="shared" si="72"/>
        <v>8</v>
      </c>
      <c r="AV87" s="1">
        <f t="shared" si="73"/>
        <v>-10</v>
      </c>
      <c r="AW87" s="1">
        <f t="shared" si="74"/>
        <v>-12</v>
      </c>
      <c r="AX87" s="1">
        <f t="shared" si="75"/>
        <v>14</v>
      </c>
      <c r="AY87" s="1">
        <f t="shared" si="76"/>
        <v>18</v>
      </c>
      <c r="AZ87" s="1">
        <f t="shared" si="77"/>
        <v>-8</v>
      </c>
      <c r="BA87" s="19">
        <f t="shared" si="78"/>
        <v>1.6666666666666667</v>
      </c>
      <c r="BB87" s="19">
        <f t="shared" si="79"/>
        <v>0</v>
      </c>
      <c r="BC87" s="9">
        <f t="shared" si="80"/>
        <v>-0.05</v>
      </c>
      <c r="BD87" s="9">
        <f t="shared" si="81"/>
        <v>0.18947368421052632</v>
      </c>
      <c r="BE87" s="9">
        <f t="shared" si="82"/>
        <v>-0.23893805309734514</v>
      </c>
      <c r="BF87" s="9">
        <f t="shared" si="83"/>
        <v>6.9767441860465115E-2</v>
      </c>
      <c r="BG87" s="9">
        <f t="shared" si="84"/>
        <v>-2.1739130434782608E-2</v>
      </c>
      <c r="BH87" s="9">
        <f t="shared" si="85"/>
        <v>0.21111111111111111</v>
      </c>
      <c r="BI87" s="12">
        <f t="shared" si="86"/>
        <v>2.6612508941662463E-2</v>
      </c>
      <c r="BJ87" s="13">
        <f t="shared" si="87"/>
        <v>2.4014155712841254E-2</v>
      </c>
      <c r="BK87" s="1">
        <f t="shared" si="88"/>
        <v>-5</v>
      </c>
      <c r="BL87" s="1">
        <f t="shared" si="89"/>
        <v>18</v>
      </c>
      <c r="BM87" s="1">
        <f t="shared" si="90"/>
        <v>-27</v>
      </c>
      <c r="BN87" s="1">
        <f t="shared" si="91"/>
        <v>6</v>
      </c>
      <c r="BO87" s="1">
        <f t="shared" si="92"/>
        <v>-2</v>
      </c>
      <c r="BP87" s="1">
        <f t="shared" si="93"/>
        <v>19</v>
      </c>
      <c r="BQ87" s="19">
        <f t="shared" si="94"/>
        <v>1.5</v>
      </c>
      <c r="BR87" s="17">
        <f t="shared" si="95"/>
        <v>2</v>
      </c>
    </row>
    <row r="88" spans="1:70" x14ac:dyDescent="0.25">
      <c r="A88" t="s">
        <v>142</v>
      </c>
      <c r="B88">
        <v>95</v>
      </c>
      <c r="C88">
        <v>72</v>
      </c>
      <c r="D88">
        <v>81</v>
      </c>
      <c r="E88">
        <v>108</v>
      </c>
      <c r="F88">
        <v>102</v>
      </c>
      <c r="G88">
        <v>99</v>
      </c>
      <c r="H88">
        <v>114</v>
      </c>
      <c r="I88">
        <v>50</v>
      </c>
      <c r="J88">
        <v>42</v>
      </c>
      <c r="K88">
        <v>39</v>
      </c>
      <c r="L88">
        <v>54</v>
      </c>
      <c r="M88">
        <v>51</v>
      </c>
      <c r="N88">
        <v>55</v>
      </c>
      <c r="O88">
        <v>57</v>
      </c>
      <c r="P88">
        <v>45</v>
      </c>
      <c r="Q88">
        <v>30</v>
      </c>
      <c r="R88">
        <v>42</v>
      </c>
      <c r="S88">
        <v>54</v>
      </c>
      <c r="T88">
        <v>51</v>
      </c>
      <c r="U88">
        <v>44</v>
      </c>
      <c r="V88">
        <v>57</v>
      </c>
      <c r="W88" s="8">
        <f t="shared" si="48"/>
        <v>-0.24210526315789474</v>
      </c>
      <c r="X88" s="8">
        <f t="shared" si="49"/>
        <v>0.125</v>
      </c>
      <c r="Y88" s="8">
        <f t="shared" si="50"/>
        <v>0.33333333333333331</v>
      </c>
      <c r="Z88" s="8">
        <f t="shared" si="51"/>
        <v>-5.5555555555555552E-2</v>
      </c>
      <c r="AA88" s="8">
        <f t="shared" si="52"/>
        <v>-2.9411764705882353E-2</v>
      </c>
      <c r="AB88" s="8">
        <f t="shared" si="53"/>
        <v>0.15151515151515152</v>
      </c>
      <c r="AC88" s="12">
        <f t="shared" si="54"/>
        <v>4.7129316904858699E-2</v>
      </c>
      <c r="AD88" s="12">
        <f t="shared" si="55"/>
        <v>4.7794117647058827E-2</v>
      </c>
      <c r="AE88" s="1">
        <f t="shared" si="56"/>
        <v>-23</v>
      </c>
      <c r="AF88" s="1">
        <f t="shared" si="57"/>
        <v>9</v>
      </c>
      <c r="AG88" s="1">
        <f t="shared" si="58"/>
        <v>27</v>
      </c>
      <c r="AH88" s="1">
        <f t="shared" si="59"/>
        <v>-6</v>
      </c>
      <c r="AI88" s="1">
        <f t="shared" si="60"/>
        <v>-3</v>
      </c>
      <c r="AJ88" s="1">
        <f t="shared" si="61"/>
        <v>15</v>
      </c>
      <c r="AK88" s="17">
        <f t="shared" si="62"/>
        <v>3.1666666666666665</v>
      </c>
      <c r="AL88" s="17">
        <f t="shared" si="63"/>
        <v>3</v>
      </c>
      <c r="AM88" s="1">
        <f t="shared" si="64"/>
        <v>-0.16</v>
      </c>
      <c r="AN88" s="1">
        <f t="shared" si="65"/>
        <v>-7.1428571428571425E-2</v>
      </c>
      <c r="AO88" s="1">
        <f t="shared" si="66"/>
        <v>0.38461538461538464</v>
      </c>
      <c r="AP88" s="1">
        <f t="shared" si="67"/>
        <v>-5.5555555555555552E-2</v>
      </c>
      <c r="AQ88" s="1">
        <f t="shared" si="68"/>
        <v>7.8431372549019607E-2</v>
      </c>
      <c r="AR88" s="1">
        <f t="shared" si="69"/>
        <v>3.6363636363636362E-2</v>
      </c>
      <c r="AS88" s="12">
        <f t="shared" si="70"/>
        <v>3.5404377757318937E-2</v>
      </c>
      <c r="AT88" s="12">
        <f t="shared" si="71"/>
        <v>-9.5959595959595953E-3</v>
      </c>
      <c r="AU88" s="1">
        <f t="shared" si="72"/>
        <v>-8</v>
      </c>
      <c r="AV88" s="1">
        <f t="shared" si="73"/>
        <v>-3</v>
      </c>
      <c r="AW88" s="1">
        <f t="shared" si="74"/>
        <v>15</v>
      </c>
      <c r="AX88" s="1">
        <f t="shared" si="75"/>
        <v>-3</v>
      </c>
      <c r="AY88" s="1">
        <f t="shared" si="76"/>
        <v>4</v>
      </c>
      <c r="AZ88" s="1">
        <f t="shared" si="77"/>
        <v>2</v>
      </c>
      <c r="BA88" s="19">
        <f t="shared" si="78"/>
        <v>1.1666666666666667</v>
      </c>
      <c r="BB88" s="19">
        <f t="shared" si="79"/>
        <v>-0.5</v>
      </c>
      <c r="BC88" s="9">
        <f t="shared" si="80"/>
        <v>-0.33333333333333331</v>
      </c>
      <c r="BD88" s="9">
        <f t="shared" si="81"/>
        <v>0.4</v>
      </c>
      <c r="BE88" s="9">
        <f t="shared" si="82"/>
        <v>0.2857142857142857</v>
      </c>
      <c r="BF88" s="9">
        <f t="shared" si="83"/>
        <v>-5.5555555555555552E-2</v>
      </c>
      <c r="BG88" s="9">
        <f t="shared" si="84"/>
        <v>-0.13725490196078433</v>
      </c>
      <c r="BH88" s="9">
        <f t="shared" si="85"/>
        <v>0.29545454545454547</v>
      </c>
      <c r="BI88" s="12">
        <f t="shared" si="86"/>
        <v>7.5837506719859671E-2</v>
      </c>
      <c r="BJ88" s="13">
        <f t="shared" si="87"/>
        <v>0.11507936507936509</v>
      </c>
      <c r="BK88" s="1">
        <f t="shared" si="88"/>
        <v>-15</v>
      </c>
      <c r="BL88" s="1">
        <f t="shared" si="89"/>
        <v>12</v>
      </c>
      <c r="BM88" s="1">
        <f t="shared" si="90"/>
        <v>12</v>
      </c>
      <c r="BN88" s="1">
        <f t="shared" si="91"/>
        <v>-3</v>
      </c>
      <c r="BO88" s="1">
        <f t="shared" si="92"/>
        <v>-7</v>
      </c>
      <c r="BP88" s="1">
        <f t="shared" si="93"/>
        <v>13</v>
      </c>
      <c r="BQ88" s="19">
        <f t="shared" si="94"/>
        <v>2</v>
      </c>
      <c r="BR88" s="17">
        <f t="shared" si="95"/>
        <v>4.5</v>
      </c>
    </row>
    <row r="89" spans="1:70" x14ac:dyDescent="0.25">
      <c r="A89" t="s">
        <v>163</v>
      </c>
      <c r="B89">
        <v>70</v>
      </c>
      <c r="C89">
        <v>93</v>
      </c>
      <c r="D89">
        <v>87</v>
      </c>
      <c r="E89">
        <v>81</v>
      </c>
      <c r="F89">
        <v>89</v>
      </c>
      <c r="G89">
        <v>111</v>
      </c>
      <c r="H89">
        <v>89</v>
      </c>
      <c r="I89">
        <v>35</v>
      </c>
      <c r="J89">
        <v>49</v>
      </c>
      <c r="K89">
        <v>37</v>
      </c>
      <c r="L89">
        <v>41</v>
      </c>
      <c r="M89">
        <v>39</v>
      </c>
      <c r="N89">
        <v>51</v>
      </c>
      <c r="O89">
        <v>41</v>
      </c>
      <c r="P89">
        <v>35</v>
      </c>
      <c r="Q89">
        <v>44</v>
      </c>
      <c r="R89">
        <v>50</v>
      </c>
      <c r="S89">
        <v>40</v>
      </c>
      <c r="T89">
        <v>50</v>
      </c>
      <c r="U89">
        <v>60</v>
      </c>
      <c r="V89">
        <v>48</v>
      </c>
      <c r="W89" s="8">
        <f t="shared" si="48"/>
        <v>0.32857142857142857</v>
      </c>
      <c r="X89" s="8">
        <f t="shared" si="49"/>
        <v>-6.4516129032258063E-2</v>
      </c>
      <c r="Y89" s="8">
        <f t="shared" si="50"/>
        <v>-6.8965517241379309E-2</v>
      </c>
      <c r="Z89" s="8">
        <f t="shared" si="51"/>
        <v>9.8765432098765427E-2</v>
      </c>
      <c r="AA89" s="8">
        <f t="shared" si="52"/>
        <v>0.24719101123595505</v>
      </c>
      <c r="AB89" s="8">
        <f t="shared" si="53"/>
        <v>-0.1981981981981982</v>
      </c>
      <c r="AC89" s="12">
        <f t="shared" si="54"/>
        <v>5.7141337905718924E-2</v>
      </c>
      <c r="AD89" s="12">
        <f t="shared" si="55"/>
        <v>1.7124651533253682E-2</v>
      </c>
      <c r="AE89" s="1">
        <f t="shared" si="56"/>
        <v>23</v>
      </c>
      <c r="AF89" s="1">
        <f t="shared" si="57"/>
        <v>-6</v>
      </c>
      <c r="AG89" s="1">
        <f t="shared" si="58"/>
        <v>-6</v>
      </c>
      <c r="AH89" s="1">
        <f t="shared" si="59"/>
        <v>8</v>
      </c>
      <c r="AI89" s="1">
        <f t="shared" si="60"/>
        <v>22</v>
      </c>
      <c r="AJ89" s="1">
        <f t="shared" si="61"/>
        <v>-22</v>
      </c>
      <c r="AK89" s="17">
        <f t="shared" si="62"/>
        <v>3.1666666666666665</v>
      </c>
      <c r="AL89" s="17">
        <f t="shared" si="63"/>
        <v>1</v>
      </c>
      <c r="AM89" s="1">
        <f t="shared" si="64"/>
        <v>0.4</v>
      </c>
      <c r="AN89" s="1">
        <f t="shared" si="65"/>
        <v>-0.24489795918367346</v>
      </c>
      <c r="AO89" s="1">
        <f t="shared" si="66"/>
        <v>0.10810810810810811</v>
      </c>
      <c r="AP89" s="1">
        <f t="shared" si="67"/>
        <v>-4.878048780487805E-2</v>
      </c>
      <c r="AQ89" s="1">
        <f t="shared" si="68"/>
        <v>0.30769230769230771</v>
      </c>
      <c r="AR89" s="1">
        <f t="shared" si="69"/>
        <v>-0.19607843137254902</v>
      </c>
      <c r="AS89" s="12">
        <f t="shared" si="70"/>
        <v>5.4340589573219224E-2</v>
      </c>
      <c r="AT89" s="12">
        <f t="shared" si="71"/>
        <v>2.9663810151615025E-2</v>
      </c>
      <c r="AU89" s="1">
        <f t="shared" si="72"/>
        <v>14</v>
      </c>
      <c r="AV89" s="1">
        <f t="shared" si="73"/>
        <v>-12</v>
      </c>
      <c r="AW89" s="1">
        <f t="shared" si="74"/>
        <v>4</v>
      </c>
      <c r="AX89" s="1">
        <f t="shared" si="75"/>
        <v>-2</v>
      </c>
      <c r="AY89" s="1">
        <f t="shared" si="76"/>
        <v>12</v>
      </c>
      <c r="AZ89" s="1">
        <f t="shared" si="77"/>
        <v>-10</v>
      </c>
      <c r="BA89" s="19">
        <f t="shared" si="78"/>
        <v>1</v>
      </c>
      <c r="BB89" s="19">
        <f t="shared" si="79"/>
        <v>1</v>
      </c>
      <c r="BC89" s="9">
        <f t="shared" si="80"/>
        <v>0.25714285714285712</v>
      </c>
      <c r="BD89" s="9">
        <f t="shared" si="81"/>
        <v>0.13636363636363635</v>
      </c>
      <c r="BE89" s="9">
        <f t="shared" si="82"/>
        <v>-0.2</v>
      </c>
      <c r="BF89" s="9">
        <f t="shared" si="83"/>
        <v>0.25</v>
      </c>
      <c r="BG89" s="9">
        <f t="shared" si="84"/>
        <v>0.2</v>
      </c>
      <c r="BH89" s="9">
        <f t="shared" si="85"/>
        <v>-0.2</v>
      </c>
      <c r="BI89" s="12">
        <f t="shared" si="86"/>
        <v>7.391774891774891E-2</v>
      </c>
      <c r="BJ89" s="13">
        <f t="shared" si="87"/>
        <v>0.16818181818181818</v>
      </c>
      <c r="BK89" s="1">
        <f t="shared" si="88"/>
        <v>9</v>
      </c>
      <c r="BL89" s="1">
        <f t="shared" si="89"/>
        <v>6</v>
      </c>
      <c r="BM89" s="1">
        <f t="shared" si="90"/>
        <v>-10</v>
      </c>
      <c r="BN89" s="1">
        <f t="shared" si="91"/>
        <v>10</v>
      </c>
      <c r="BO89" s="1">
        <f t="shared" si="92"/>
        <v>10</v>
      </c>
      <c r="BP89" s="1">
        <f t="shared" si="93"/>
        <v>-12</v>
      </c>
      <c r="BQ89" s="19">
        <f t="shared" si="94"/>
        <v>2.1666666666666665</v>
      </c>
      <c r="BR89" s="17">
        <f t="shared" si="95"/>
        <v>7.5</v>
      </c>
    </row>
    <row r="90" spans="1:70" x14ac:dyDescent="0.25">
      <c r="A90" t="s">
        <v>267</v>
      </c>
      <c r="B90">
        <v>16</v>
      </c>
      <c r="C90">
        <v>29</v>
      </c>
      <c r="D90">
        <v>32</v>
      </c>
      <c r="E90">
        <v>20</v>
      </c>
      <c r="F90">
        <v>21</v>
      </c>
      <c r="G90">
        <v>37</v>
      </c>
      <c r="H90">
        <v>35</v>
      </c>
      <c r="I90">
        <v>6</v>
      </c>
      <c r="J90">
        <v>14</v>
      </c>
      <c r="K90">
        <v>24</v>
      </c>
      <c r="L90">
        <v>10</v>
      </c>
      <c r="M90">
        <v>8</v>
      </c>
      <c r="N90">
        <v>17</v>
      </c>
      <c r="O90">
        <v>21</v>
      </c>
      <c r="P90">
        <v>10</v>
      </c>
      <c r="Q90">
        <v>15</v>
      </c>
      <c r="R90">
        <v>8</v>
      </c>
      <c r="S90">
        <v>10</v>
      </c>
      <c r="T90">
        <v>13</v>
      </c>
      <c r="U90">
        <v>20</v>
      </c>
      <c r="V90">
        <v>14</v>
      </c>
      <c r="W90" s="8">
        <f t="shared" si="48"/>
        <v>0.8125</v>
      </c>
      <c r="X90" s="8">
        <f t="shared" si="49"/>
        <v>0.10344827586206896</v>
      </c>
      <c r="Y90" s="8">
        <f t="shared" si="50"/>
        <v>-0.375</v>
      </c>
      <c r="Z90" s="8">
        <f t="shared" si="51"/>
        <v>0.05</v>
      </c>
      <c r="AA90" s="8">
        <f t="shared" si="52"/>
        <v>0.76190476190476186</v>
      </c>
      <c r="AB90" s="8">
        <f t="shared" si="53"/>
        <v>-5.4054054054054057E-2</v>
      </c>
      <c r="AC90" s="12">
        <f t="shared" si="54"/>
        <v>0.21646649728546277</v>
      </c>
      <c r="AD90" s="12">
        <f t="shared" si="55"/>
        <v>7.6724137931034483E-2</v>
      </c>
      <c r="AE90" s="1">
        <f t="shared" si="56"/>
        <v>13</v>
      </c>
      <c r="AF90" s="1">
        <f t="shared" si="57"/>
        <v>3</v>
      </c>
      <c r="AG90" s="1">
        <f t="shared" si="58"/>
        <v>-12</v>
      </c>
      <c r="AH90" s="1">
        <f t="shared" si="59"/>
        <v>1</v>
      </c>
      <c r="AI90" s="1">
        <f t="shared" si="60"/>
        <v>16</v>
      </c>
      <c r="AJ90" s="1">
        <f t="shared" si="61"/>
        <v>-2</v>
      </c>
      <c r="AK90" s="17">
        <f t="shared" si="62"/>
        <v>3.1666666666666665</v>
      </c>
      <c r="AL90" s="17">
        <f t="shared" si="63"/>
        <v>2</v>
      </c>
      <c r="AM90" s="1">
        <f t="shared" si="64"/>
        <v>1.3333333333333333</v>
      </c>
      <c r="AN90" s="1">
        <f t="shared" si="65"/>
        <v>0.7142857142857143</v>
      </c>
      <c r="AO90" s="1">
        <f t="shared" si="66"/>
        <v>-0.58333333333333337</v>
      </c>
      <c r="AP90" s="1">
        <f t="shared" si="67"/>
        <v>-0.2</v>
      </c>
      <c r="AQ90" s="1">
        <f t="shared" si="68"/>
        <v>1.125</v>
      </c>
      <c r="AR90" s="1">
        <f t="shared" si="69"/>
        <v>0.23529411764705882</v>
      </c>
      <c r="AS90" s="12">
        <f t="shared" si="70"/>
        <v>0.43742997198879552</v>
      </c>
      <c r="AT90" s="12">
        <f t="shared" si="71"/>
        <v>0.47478991596638653</v>
      </c>
      <c r="AU90" s="1">
        <f t="shared" si="72"/>
        <v>8</v>
      </c>
      <c r="AV90" s="1">
        <f t="shared" si="73"/>
        <v>10</v>
      </c>
      <c r="AW90" s="1">
        <f t="shared" si="74"/>
        <v>-14</v>
      </c>
      <c r="AX90" s="1">
        <f t="shared" si="75"/>
        <v>-2</v>
      </c>
      <c r="AY90" s="1">
        <f t="shared" si="76"/>
        <v>9</v>
      </c>
      <c r="AZ90" s="1">
        <f t="shared" si="77"/>
        <v>4</v>
      </c>
      <c r="BA90" s="19">
        <f t="shared" si="78"/>
        <v>2.5</v>
      </c>
      <c r="BB90" s="19">
        <f t="shared" si="79"/>
        <v>6</v>
      </c>
      <c r="BC90" s="9">
        <f t="shared" si="80"/>
        <v>0.5</v>
      </c>
      <c r="BD90" s="9">
        <f t="shared" si="81"/>
        <v>-0.46666666666666667</v>
      </c>
      <c r="BE90" s="9">
        <f t="shared" si="82"/>
        <v>0.25</v>
      </c>
      <c r="BF90" s="9">
        <f t="shared" si="83"/>
        <v>0.3</v>
      </c>
      <c r="BG90" s="9">
        <f t="shared" si="84"/>
        <v>0.53846153846153844</v>
      </c>
      <c r="BH90" s="9">
        <f t="shared" si="85"/>
        <v>-0.3</v>
      </c>
      <c r="BI90" s="12">
        <f t="shared" si="86"/>
        <v>0.13696581196581195</v>
      </c>
      <c r="BJ90" s="13">
        <f t="shared" si="87"/>
        <v>0.27500000000000002</v>
      </c>
      <c r="BK90" s="1">
        <f t="shared" si="88"/>
        <v>5</v>
      </c>
      <c r="BL90" s="1">
        <f t="shared" si="89"/>
        <v>-7</v>
      </c>
      <c r="BM90" s="1">
        <f t="shared" si="90"/>
        <v>2</v>
      </c>
      <c r="BN90" s="1">
        <f t="shared" si="91"/>
        <v>3</v>
      </c>
      <c r="BO90" s="1">
        <f t="shared" si="92"/>
        <v>7</v>
      </c>
      <c r="BP90" s="1">
        <f t="shared" si="93"/>
        <v>-6</v>
      </c>
      <c r="BQ90" s="19">
        <f t="shared" si="94"/>
        <v>0.66666666666666663</v>
      </c>
      <c r="BR90" s="17">
        <f t="shared" si="95"/>
        <v>2.5</v>
      </c>
    </row>
    <row r="91" spans="1:70" x14ac:dyDescent="0.25">
      <c r="A91" t="s">
        <v>118</v>
      </c>
      <c r="B91">
        <v>155</v>
      </c>
      <c r="C91">
        <v>159</v>
      </c>
      <c r="D91">
        <v>145</v>
      </c>
      <c r="E91">
        <v>143</v>
      </c>
      <c r="F91">
        <v>135</v>
      </c>
      <c r="G91">
        <v>140</v>
      </c>
      <c r="H91">
        <v>173</v>
      </c>
      <c r="I91">
        <v>107</v>
      </c>
      <c r="J91">
        <v>101</v>
      </c>
      <c r="K91">
        <v>90</v>
      </c>
      <c r="L91">
        <v>91</v>
      </c>
      <c r="M91">
        <v>86</v>
      </c>
      <c r="N91">
        <v>93</v>
      </c>
      <c r="O91">
        <v>111</v>
      </c>
      <c r="P91">
        <v>48</v>
      </c>
      <c r="Q91">
        <v>58</v>
      </c>
      <c r="R91">
        <v>55</v>
      </c>
      <c r="S91">
        <v>52</v>
      </c>
      <c r="T91">
        <v>49</v>
      </c>
      <c r="U91">
        <v>47</v>
      </c>
      <c r="V91">
        <v>62</v>
      </c>
      <c r="W91" s="8">
        <f t="shared" si="48"/>
        <v>2.5806451612903226E-2</v>
      </c>
      <c r="X91" s="8">
        <f t="shared" si="49"/>
        <v>-8.8050314465408799E-2</v>
      </c>
      <c r="Y91" s="8">
        <f t="shared" si="50"/>
        <v>-1.3793103448275862E-2</v>
      </c>
      <c r="Z91" s="8">
        <f t="shared" si="51"/>
        <v>-5.5944055944055944E-2</v>
      </c>
      <c r="AA91" s="8">
        <f t="shared" si="52"/>
        <v>3.7037037037037035E-2</v>
      </c>
      <c r="AB91" s="8">
        <f t="shared" si="53"/>
        <v>0.23571428571428571</v>
      </c>
      <c r="AC91" s="12">
        <f t="shared" si="54"/>
        <v>2.3461716751080896E-2</v>
      </c>
      <c r="AD91" s="12">
        <f t="shared" si="55"/>
        <v>6.0066740823136802E-3</v>
      </c>
      <c r="AE91" s="1">
        <f t="shared" si="56"/>
        <v>4</v>
      </c>
      <c r="AF91" s="1">
        <f t="shared" si="57"/>
        <v>-14</v>
      </c>
      <c r="AG91" s="1">
        <f t="shared" si="58"/>
        <v>-2</v>
      </c>
      <c r="AH91" s="1">
        <f t="shared" si="59"/>
        <v>-8</v>
      </c>
      <c r="AI91" s="1">
        <f t="shared" si="60"/>
        <v>5</v>
      </c>
      <c r="AJ91" s="1">
        <f t="shared" si="61"/>
        <v>33</v>
      </c>
      <c r="AK91" s="17">
        <f t="shared" si="62"/>
        <v>3</v>
      </c>
      <c r="AL91" s="17">
        <f t="shared" si="63"/>
        <v>1</v>
      </c>
      <c r="AM91" s="1">
        <f t="shared" si="64"/>
        <v>-5.6074766355140186E-2</v>
      </c>
      <c r="AN91" s="1">
        <f t="shared" si="65"/>
        <v>-0.10891089108910891</v>
      </c>
      <c r="AO91" s="1">
        <f t="shared" si="66"/>
        <v>1.1111111111111112E-2</v>
      </c>
      <c r="AP91" s="1">
        <f t="shared" si="67"/>
        <v>-5.4945054945054944E-2</v>
      </c>
      <c r="AQ91" s="1">
        <f t="shared" si="68"/>
        <v>8.1395348837209308E-2</v>
      </c>
      <c r="AR91" s="1">
        <f t="shared" si="69"/>
        <v>0.19354838709677419</v>
      </c>
      <c r="AS91" s="12">
        <f t="shared" si="70"/>
        <v>1.1020689109298426E-2</v>
      </c>
      <c r="AT91" s="12">
        <f t="shared" si="71"/>
        <v>-2.1916971916971915E-2</v>
      </c>
      <c r="AU91" s="1">
        <f t="shared" si="72"/>
        <v>-6</v>
      </c>
      <c r="AV91" s="1">
        <f t="shared" si="73"/>
        <v>-11</v>
      </c>
      <c r="AW91" s="1">
        <f t="shared" si="74"/>
        <v>1</v>
      </c>
      <c r="AX91" s="1">
        <f t="shared" si="75"/>
        <v>-5</v>
      </c>
      <c r="AY91" s="1">
        <f t="shared" si="76"/>
        <v>7</v>
      </c>
      <c r="AZ91" s="1">
        <f t="shared" si="77"/>
        <v>18</v>
      </c>
      <c r="BA91" s="19">
        <f t="shared" si="78"/>
        <v>0.66666666666666663</v>
      </c>
      <c r="BB91" s="19">
        <f t="shared" si="79"/>
        <v>-2</v>
      </c>
      <c r="BC91" s="9">
        <f t="shared" si="80"/>
        <v>0.20833333333333334</v>
      </c>
      <c r="BD91" s="9">
        <f t="shared" si="81"/>
        <v>-5.1724137931034482E-2</v>
      </c>
      <c r="BE91" s="9">
        <f t="shared" si="82"/>
        <v>-5.4545454545454543E-2</v>
      </c>
      <c r="BF91" s="9">
        <f t="shared" si="83"/>
        <v>-5.7692307692307696E-2</v>
      </c>
      <c r="BG91" s="9">
        <f t="shared" si="84"/>
        <v>-4.0816326530612242E-2</v>
      </c>
      <c r="BH91" s="9">
        <f t="shared" si="85"/>
        <v>0.31914893617021278</v>
      </c>
      <c r="BI91" s="12">
        <f t="shared" si="86"/>
        <v>5.3784007134022864E-2</v>
      </c>
      <c r="BJ91" s="13">
        <f t="shared" si="87"/>
        <v>-4.6270232230823362E-2</v>
      </c>
      <c r="BK91" s="1">
        <f t="shared" si="88"/>
        <v>10</v>
      </c>
      <c r="BL91" s="1">
        <f t="shared" si="89"/>
        <v>-3</v>
      </c>
      <c r="BM91" s="1">
        <f t="shared" si="90"/>
        <v>-3</v>
      </c>
      <c r="BN91" s="1">
        <f t="shared" si="91"/>
        <v>-3</v>
      </c>
      <c r="BO91" s="1">
        <f t="shared" si="92"/>
        <v>-2</v>
      </c>
      <c r="BP91" s="1">
        <f t="shared" si="93"/>
        <v>15</v>
      </c>
      <c r="BQ91" s="19">
        <f t="shared" si="94"/>
        <v>2.3333333333333335</v>
      </c>
      <c r="BR91" s="17">
        <f t="shared" si="95"/>
        <v>-2.5</v>
      </c>
    </row>
    <row r="92" spans="1:70" x14ac:dyDescent="0.25">
      <c r="A92" t="s">
        <v>202</v>
      </c>
      <c r="B92">
        <v>33</v>
      </c>
      <c r="C92">
        <v>45</v>
      </c>
      <c r="D92">
        <v>41</v>
      </c>
      <c r="E92">
        <v>26</v>
      </c>
      <c r="F92">
        <v>51</v>
      </c>
      <c r="G92">
        <v>47</v>
      </c>
      <c r="H92">
        <v>51</v>
      </c>
      <c r="I92">
        <v>14</v>
      </c>
      <c r="J92">
        <v>23</v>
      </c>
      <c r="K92">
        <v>22</v>
      </c>
      <c r="L92">
        <v>17</v>
      </c>
      <c r="M92">
        <v>34</v>
      </c>
      <c r="N92">
        <v>24</v>
      </c>
      <c r="O92">
        <v>33</v>
      </c>
      <c r="P92">
        <v>19</v>
      </c>
      <c r="Q92">
        <v>22</v>
      </c>
      <c r="R92">
        <v>19</v>
      </c>
      <c r="S92">
        <v>9</v>
      </c>
      <c r="T92">
        <v>17</v>
      </c>
      <c r="U92">
        <v>23</v>
      </c>
      <c r="V92">
        <v>18</v>
      </c>
      <c r="W92" s="8">
        <f t="shared" si="48"/>
        <v>0.36363636363636365</v>
      </c>
      <c r="X92" s="8">
        <f t="shared" si="49"/>
        <v>-8.8888888888888892E-2</v>
      </c>
      <c r="Y92" s="8">
        <f t="shared" si="50"/>
        <v>-0.36585365853658536</v>
      </c>
      <c r="Z92" s="8">
        <f t="shared" si="51"/>
        <v>0.96153846153846156</v>
      </c>
      <c r="AA92" s="8">
        <f t="shared" si="52"/>
        <v>-7.8431372549019607E-2</v>
      </c>
      <c r="AB92" s="8">
        <f t="shared" si="53"/>
        <v>8.5106382978723402E-2</v>
      </c>
      <c r="AC92" s="12">
        <f t="shared" si="54"/>
        <v>0.14618454802984246</v>
      </c>
      <c r="AD92" s="12">
        <f t="shared" si="55"/>
        <v>3.3375052148519047E-3</v>
      </c>
      <c r="AE92" s="1">
        <f t="shared" si="56"/>
        <v>12</v>
      </c>
      <c r="AF92" s="1">
        <f t="shared" si="57"/>
        <v>-4</v>
      </c>
      <c r="AG92" s="1">
        <f t="shared" si="58"/>
        <v>-15</v>
      </c>
      <c r="AH92" s="1">
        <f t="shared" si="59"/>
        <v>25</v>
      </c>
      <c r="AI92" s="1">
        <f t="shared" si="60"/>
        <v>-4</v>
      </c>
      <c r="AJ92" s="1">
        <f t="shared" si="61"/>
        <v>4</v>
      </c>
      <c r="AK92" s="17">
        <f t="shared" si="62"/>
        <v>3</v>
      </c>
      <c r="AL92" s="17">
        <f t="shared" si="63"/>
        <v>0</v>
      </c>
      <c r="AM92" s="1">
        <f t="shared" si="64"/>
        <v>0.6428571428571429</v>
      </c>
      <c r="AN92" s="1">
        <f t="shared" si="65"/>
        <v>-4.3478260869565216E-2</v>
      </c>
      <c r="AO92" s="1">
        <f t="shared" si="66"/>
        <v>-0.22727272727272727</v>
      </c>
      <c r="AP92" s="1">
        <f t="shared" si="67"/>
        <v>1</v>
      </c>
      <c r="AQ92" s="1">
        <f t="shared" si="68"/>
        <v>-0.29411764705882354</v>
      </c>
      <c r="AR92" s="1">
        <f t="shared" si="69"/>
        <v>0.375</v>
      </c>
      <c r="AS92" s="12">
        <f t="shared" si="70"/>
        <v>0.24216475127600445</v>
      </c>
      <c r="AT92" s="12">
        <f t="shared" si="71"/>
        <v>0.16576086956521738</v>
      </c>
      <c r="AU92" s="1">
        <f t="shared" si="72"/>
        <v>9</v>
      </c>
      <c r="AV92" s="1">
        <f t="shared" si="73"/>
        <v>-1</v>
      </c>
      <c r="AW92" s="1">
        <f t="shared" si="74"/>
        <v>-5</v>
      </c>
      <c r="AX92" s="1">
        <f t="shared" si="75"/>
        <v>17</v>
      </c>
      <c r="AY92" s="1">
        <f t="shared" si="76"/>
        <v>-10</v>
      </c>
      <c r="AZ92" s="1">
        <f t="shared" si="77"/>
        <v>9</v>
      </c>
      <c r="BA92" s="19">
        <f t="shared" si="78"/>
        <v>3.1666666666666665</v>
      </c>
      <c r="BB92" s="19">
        <f t="shared" si="79"/>
        <v>4</v>
      </c>
      <c r="BC92" s="9">
        <f t="shared" si="80"/>
        <v>0.15789473684210525</v>
      </c>
      <c r="BD92" s="9">
        <f t="shared" si="81"/>
        <v>-0.13636363636363635</v>
      </c>
      <c r="BE92" s="9">
        <f t="shared" si="82"/>
        <v>-0.52631578947368418</v>
      </c>
      <c r="BF92" s="9">
        <f t="shared" si="83"/>
        <v>0.88888888888888884</v>
      </c>
      <c r="BG92" s="9">
        <f t="shared" si="84"/>
        <v>0.35294117647058826</v>
      </c>
      <c r="BH92" s="9">
        <f t="shared" si="85"/>
        <v>-0.21739130434782608</v>
      </c>
      <c r="BI92" s="12">
        <f t="shared" si="86"/>
        <v>8.6609012002739308E-2</v>
      </c>
      <c r="BJ92" s="13">
        <f t="shared" si="87"/>
        <v>1.076555023923445E-2</v>
      </c>
      <c r="BK92" s="1">
        <f t="shared" si="88"/>
        <v>3</v>
      </c>
      <c r="BL92" s="1">
        <f t="shared" si="89"/>
        <v>-3</v>
      </c>
      <c r="BM92" s="1">
        <f t="shared" si="90"/>
        <v>-10</v>
      </c>
      <c r="BN92" s="1">
        <f t="shared" si="91"/>
        <v>8</v>
      </c>
      <c r="BO92" s="1">
        <f t="shared" si="92"/>
        <v>6</v>
      </c>
      <c r="BP92" s="1">
        <f t="shared" si="93"/>
        <v>-5</v>
      </c>
      <c r="BQ92" s="19">
        <f t="shared" si="94"/>
        <v>-0.16666666666666666</v>
      </c>
      <c r="BR92" s="17">
        <f t="shared" si="95"/>
        <v>0</v>
      </c>
    </row>
    <row r="93" spans="1:70" x14ac:dyDescent="0.25">
      <c r="A93" t="s">
        <v>284</v>
      </c>
      <c r="B93">
        <v>13</v>
      </c>
      <c r="C93">
        <v>11</v>
      </c>
      <c r="D93">
        <v>19</v>
      </c>
      <c r="E93">
        <v>31</v>
      </c>
      <c r="F93">
        <v>15</v>
      </c>
      <c r="G93">
        <v>32</v>
      </c>
      <c r="H93">
        <v>31</v>
      </c>
      <c r="I93">
        <v>9</v>
      </c>
      <c r="J93">
        <v>9</v>
      </c>
      <c r="K93">
        <v>8</v>
      </c>
      <c r="L93">
        <v>21</v>
      </c>
      <c r="M93">
        <v>6</v>
      </c>
      <c r="N93">
        <v>18</v>
      </c>
      <c r="O93">
        <v>14</v>
      </c>
      <c r="P93">
        <v>4</v>
      </c>
      <c r="Q93">
        <v>2</v>
      </c>
      <c r="R93">
        <v>11</v>
      </c>
      <c r="S93">
        <v>10</v>
      </c>
      <c r="T93">
        <v>9</v>
      </c>
      <c r="U93">
        <v>14</v>
      </c>
      <c r="V93">
        <v>17</v>
      </c>
      <c r="W93" s="8">
        <f t="shared" si="48"/>
        <v>-0.15384615384615385</v>
      </c>
      <c r="X93" s="8">
        <f t="shared" si="49"/>
        <v>0.72727272727272729</v>
      </c>
      <c r="Y93" s="8">
        <f t="shared" si="50"/>
        <v>0.63157894736842102</v>
      </c>
      <c r="Z93" s="8">
        <f t="shared" si="51"/>
        <v>-0.5161290322580645</v>
      </c>
      <c r="AA93" s="8">
        <f t="shared" si="52"/>
        <v>1.1333333333333333</v>
      </c>
      <c r="AB93" s="8">
        <f t="shared" si="53"/>
        <v>-3.125E-2</v>
      </c>
      <c r="AC93" s="12">
        <f t="shared" si="54"/>
        <v>0.29849330364504389</v>
      </c>
      <c r="AD93" s="12">
        <f t="shared" si="55"/>
        <v>0.30016447368421051</v>
      </c>
      <c r="AE93" s="1">
        <f t="shared" si="56"/>
        <v>-2</v>
      </c>
      <c r="AF93" s="1">
        <f t="shared" si="57"/>
        <v>8</v>
      </c>
      <c r="AG93" s="1">
        <f t="shared" si="58"/>
        <v>12</v>
      </c>
      <c r="AH93" s="1">
        <f t="shared" si="59"/>
        <v>-16</v>
      </c>
      <c r="AI93" s="1">
        <f t="shared" si="60"/>
        <v>17</v>
      </c>
      <c r="AJ93" s="1">
        <f t="shared" si="61"/>
        <v>-1</v>
      </c>
      <c r="AK93" s="17">
        <f t="shared" si="62"/>
        <v>3</v>
      </c>
      <c r="AL93" s="17">
        <f t="shared" si="63"/>
        <v>3.5</v>
      </c>
      <c r="AM93" s="1">
        <f t="shared" si="64"/>
        <v>0</v>
      </c>
      <c r="AN93" s="1">
        <f t="shared" si="65"/>
        <v>-0.1111111111111111</v>
      </c>
      <c r="AO93" s="1">
        <f t="shared" si="66"/>
        <v>1.625</v>
      </c>
      <c r="AP93" s="1">
        <f t="shared" si="67"/>
        <v>-0.7142857142857143</v>
      </c>
      <c r="AQ93" s="1">
        <f t="shared" si="68"/>
        <v>2</v>
      </c>
      <c r="AR93" s="1">
        <f t="shared" si="69"/>
        <v>-0.22222222222222221</v>
      </c>
      <c r="AS93" s="12">
        <f t="shared" si="70"/>
        <v>0.42956349206349204</v>
      </c>
      <c r="AT93" s="12">
        <f t="shared" si="71"/>
        <v>-5.5555555555555552E-2</v>
      </c>
      <c r="AU93" s="1">
        <f t="shared" si="72"/>
        <v>0</v>
      </c>
      <c r="AV93" s="1">
        <f t="shared" si="73"/>
        <v>-1</v>
      </c>
      <c r="AW93" s="1">
        <f t="shared" si="74"/>
        <v>13</v>
      </c>
      <c r="AX93" s="1">
        <f t="shared" si="75"/>
        <v>-15</v>
      </c>
      <c r="AY93" s="1">
        <f t="shared" si="76"/>
        <v>12</v>
      </c>
      <c r="AZ93" s="1">
        <f t="shared" si="77"/>
        <v>-4</v>
      </c>
      <c r="BA93" s="19">
        <f t="shared" si="78"/>
        <v>0.83333333333333337</v>
      </c>
      <c r="BB93" s="19">
        <f t="shared" si="79"/>
        <v>-0.5</v>
      </c>
      <c r="BC93" s="9">
        <f t="shared" si="80"/>
        <v>-0.5</v>
      </c>
      <c r="BD93" s="9">
        <f t="shared" si="81"/>
        <v>4.5</v>
      </c>
      <c r="BE93" s="9">
        <f t="shared" si="82"/>
        <v>-9.0909090909090912E-2</v>
      </c>
      <c r="BF93" s="9">
        <f t="shared" si="83"/>
        <v>-0.1</v>
      </c>
      <c r="BG93" s="9">
        <f t="shared" si="84"/>
        <v>0.55555555555555558</v>
      </c>
      <c r="BH93" s="9">
        <f t="shared" si="85"/>
        <v>0.21428571428571427</v>
      </c>
      <c r="BI93" s="12">
        <f t="shared" si="86"/>
        <v>0.76315536315536325</v>
      </c>
      <c r="BJ93" s="13">
        <f t="shared" si="87"/>
        <v>6.1688311688311681E-2</v>
      </c>
      <c r="BK93" s="1">
        <f t="shared" si="88"/>
        <v>-2</v>
      </c>
      <c r="BL93" s="1">
        <f t="shared" si="89"/>
        <v>9</v>
      </c>
      <c r="BM93" s="1">
        <f t="shared" si="90"/>
        <v>-1</v>
      </c>
      <c r="BN93" s="1">
        <f t="shared" si="91"/>
        <v>-1</v>
      </c>
      <c r="BO93" s="1">
        <f t="shared" si="92"/>
        <v>5</v>
      </c>
      <c r="BP93" s="1">
        <f t="shared" si="93"/>
        <v>3</v>
      </c>
      <c r="BQ93" s="19">
        <f t="shared" si="94"/>
        <v>2.1666666666666665</v>
      </c>
      <c r="BR93" s="17">
        <f t="shared" si="95"/>
        <v>1</v>
      </c>
    </row>
    <row r="94" spans="1:70" x14ac:dyDescent="0.25">
      <c r="A94" t="s">
        <v>325</v>
      </c>
      <c r="B94">
        <v>9</v>
      </c>
      <c r="C94">
        <v>9</v>
      </c>
      <c r="D94">
        <v>19</v>
      </c>
      <c r="E94">
        <v>20</v>
      </c>
      <c r="F94">
        <v>22</v>
      </c>
      <c r="G94">
        <v>17</v>
      </c>
      <c r="H94">
        <v>27</v>
      </c>
      <c r="I94">
        <v>6</v>
      </c>
      <c r="J94">
        <v>4</v>
      </c>
      <c r="K94">
        <v>14</v>
      </c>
      <c r="L94">
        <v>14</v>
      </c>
      <c r="M94">
        <v>12</v>
      </c>
      <c r="N94">
        <v>15</v>
      </c>
      <c r="O94">
        <v>14</v>
      </c>
      <c r="P94">
        <v>3</v>
      </c>
      <c r="Q94">
        <v>5</v>
      </c>
      <c r="R94">
        <v>5</v>
      </c>
      <c r="S94">
        <v>6</v>
      </c>
      <c r="T94">
        <v>10</v>
      </c>
      <c r="U94">
        <v>2</v>
      </c>
      <c r="V94">
        <v>13</v>
      </c>
      <c r="W94" s="8">
        <f t="shared" si="48"/>
        <v>0</v>
      </c>
      <c r="X94" s="8">
        <f t="shared" si="49"/>
        <v>1.1111111111111112</v>
      </c>
      <c r="Y94" s="8">
        <f t="shared" si="50"/>
        <v>5.2631578947368418E-2</v>
      </c>
      <c r="Z94" s="8">
        <f t="shared" si="51"/>
        <v>0.1</v>
      </c>
      <c r="AA94" s="8">
        <f t="shared" si="52"/>
        <v>-0.22727272727272727</v>
      </c>
      <c r="AB94" s="8">
        <f t="shared" si="53"/>
        <v>0.58823529411764708</v>
      </c>
      <c r="AC94" s="12">
        <f t="shared" si="54"/>
        <v>0.27078420948389992</v>
      </c>
      <c r="AD94" s="12">
        <f t="shared" si="55"/>
        <v>7.6315789473684212E-2</v>
      </c>
      <c r="AE94" s="1">
        <f t="shared" si="56"/>
        <v>0</v>
      </c>
      <c r="AF94" s="1">
        <f t="shared" si="57"/>
        <v>10</v>
      </c>
      <c r="AG94" s="1">
        <f t="shared" si="58"/>
        <v>1</v>
      </c>
      <c r="AH94" s="1">
        <f t="shared" si="59"/>
        <v>2</v>
      </c>
      <c r="AI94" s="1">
        <f t="shared" si="60"/>
        <v>-5</v>
      </c>
      <c r="AJ94" s="1">
        <f t="shared" si="61"/>
        <v>10</v>
      </c>
      <c r="AK94" s="17">
        <f t="shared" si="62"/>
        <v>3</v>
      </c>
      <c r="AL94" s="17">
        <f t="shared" si="63"/>
        <v>1.5</v>
      </c>
      <c r="AM94" s="1">
        <f t="shared" si="64"/>
        <v>-0.33333333333333331</v>
      </c>
      <c r="AN94" s="1">
        <f t="shared" si="65"/>
        <v>2.5</v>
      </c>
      <c r="AO94" s="1">
        <f t="shared" si="66"/>
        <v>0</v>
      </c>
      <c r="AP94" s="1">
        <f t="shared" si="67"/>
        <v>-0.14285714285714285</v>
      </c>
      <c r="AQ94" s="1">
        <f t="shared" si="68"/>
        <v>0.25</v>
      </c>
      <c r="AR94" s="1">
        <f t="shared" si="69"/>
        <v>-6.6666666666666666E-2</v>
      </c>
      <c r="AS94" s="12">
        <f t="shared" si="70"/>
        <v>0.36785714285714283</v>
      </c>
      <c r="AT94" s="12">
        <f t="shared" si="71"/>
        <v>-3.3333333333333333E-2</v>
      </c>
      <c r="AU94" s="1">
        <f t="shared" si="72"/>
        <v>-2</v>
      </c>
      <c r="AV94" s="1">
        <f t="shared" si="73"/>
        <v>10</v>
      </c>
      <c r="AW94" s="1">
        <f t="shared" si="74"/>
        <v>0</v>
      </c>
      <c r="AX94" s="1">
        <f t="shared" si="75"/>
        <v>-2</v>
      </c>
      <c r="AY94" s="1">
        <f t="shared" si="76"/>
        <v>3</v>
      </c>
      <c r="AZ94" s="1">
        <f t="shared" si="77"/>
        <v>-1</v>
      </c>
      <c r="BA94" s="19">
        <f t="shared" si="78"/>
        <v>1.3333333333333333</v>
      </c>
      <c r="BB94" s="19">
        <f t="shared" si="79"/>
        <v>-0.5</v>
      </c>
      <c r="BC94" s="9">
        <f t="shared" si="80"/>
        <v>0.66666666666666663</v>
      </c>
      <c r="BD94" s="9">
        <f t="shared" si="81"/>
        <v>0</v>
      </c>
      <c r="BE94" s="9">
        <f t="shared" si="82"/>
        <v>0.2</v>
      </c>
      <c r="BF94" s="9">
        <f t="shared" si="83"/>
        <v>0.66666666666666663</v>
      </c>
      <c r="BG94" s="9">
        <f t="shared" si="84"/>
        <v>-0.8</v>
      </c>
      <c r="BH94" s="9">
        <f t="shared" si="85"/>
        <v>5.5</v>
      </c>
      <c r="BI94" s="12">
        <f t="shared" si="86"/>
        <v>1.038888888888889</v>
      </c>
      <c r="BJ94" s="13">
        <f t="shared" si="87"/>
        <v>0.43333333333333335</v>
      </c>
      <c r="BK94" s="1">
        <f t="shared" si="88"/>
        <v>2</v>
      </c>
      <c r="BL94" s="1">
        <f t="shared" si="89"/>
        <v>0</v>
      </c>
      <c r="BM94" s="1">
        <f t="shared" si="90"/>
        <v>1</v>
      </c>
      <c r="BN94" s="1">
        <f t="shared" si="91"/>
        <v>4</v>
      </c>
      <c r="BO94" s="1">
        <f t="shared" si="92"/>
        <v>-8</v>
      </c>
      <c r="BP94" s="1">
        <f t="shared" si="93"/>
        <v>11</v>
      </c>
      <c r="BQ94" s="19">
        <f t="shared" si="94"/>
        <v>1.6666666666666667</v>
      </c>
      <c r="BR94" s="17">
        <f t="shared" si="95"/>
        <v>1.5</v>
      </c>
    </row>
    <row r="95" spans="1:70" x14ac:dyDescent="0.25">
      <c r="A95" t="s">
        <v>122</v>
      </c>
      <c r="B95">
        <v>149</v>
      </c>
      <c r="C95">
        <v>123</v>
      </c>
      <c r="D95">
        <v>133</v>
      </c>
      <c r="E95">
        <v>101</v>
      </c>
      <c r="F95">
        <v>153</v>
      </c>
      <c r="G95">
        <v>143</v>
      </c>
      <c r="H95">
        <v>166</v>
      </c>
      <c r="I95">
        <v>60</v>
      </c>
      <c r="J95">
        <v>52</v>
      </c>
      <c r="K95">
        <v>55</v>
      </c>
      <c r="L95">
        <v>52</v>
      </c>
      <c r="M95">
        <v>62</v>
      </c>
      <c r="N95">
        <v>61</v>
      </c>
      <c r="O95">
        <v>71</v>
      </c>
      <c r="P95">
        <v>89</v>
      </c>
      <c r="Q95">
        <v>71</v>
      </c>
      <c r="R95">
        <v>78</v>
      </c>
      <c r="S95">
        <v>49</v>
      </c>
      <c r="T95">
        <v>91</v>
      </c>
      <c r="U95">
        <v>82</v>
      </c>
      <c r="V95">
        <v>95</v>
      </c>
      <c r="W95" s="8">
        <f t="shared" si="48"/>
        <v>-0.17449664429530201</v>
      </c>
      <c r="X95" s="8">
        <f t="shared" si="49"/>
        <v>8.1300813008130079E-2</v>
      </c>
      <c r="Y95" s="8">
        <f t="shared" si="50"/>
        <v>-0.24060150375939848</v>
      </c>
      <c r="Z95" s="8">
        <f t="shared" si="51"/>
        <v>0.51485148514851486</v>
      </c>
      <c r="AA95" s="8">
        <f t="shared" si="52"/>
        <v>-6.535947712418301E-2</v>
      </c>
      <c r="AB95" s="8">
        <f t="shared" si="53"/>
        <v>0.16083916083916083</v>
      </c>
      <c r="AC95" s="12">
        <f t="shared" si="54"/>
        <v>4.6088972302820386E-2</v>
      </c>
      <c r="AD95" s="12">
        <f t="shared" si="55"/>
        <v>7.9706679419735277E-3</v>
      </c>
      <c r="AE95" s="1">
        <f t="shared" si="56"/>
        <v>-26</v>
      </c>
      <c r="AF95" s="1">
        <f t="shared" si="57"/>
        <v>10</v>
      </c>
      <c r="AG95" s="1">
        <f t="shared" si="58"/>
        <v>-32</v>
      </c>
      <c r="AH95" s="1">
        <f t="shared" si="59"/>
        <v>52</v>
      </c>
      <c r="AI95" s="1">
        <f t="shared" si="60"/>
        <v>-10</v>
      </c>
      <c r="AJ95" s="1">
        <f t="shared" si="61"/>
        <v>23</v>
      </c>
      <c r="AK95" s="17">
        <f t="shared" si="62"/>
        <v>2.8333333333333335</v>
      </c>
      <c r="AL95" s="17">
        <f t="shared" si="63"/>
        <v>0</v>
      </c>
      <c r="AM95" s="1">
        <f t="shared" si="64"/>
        <v>-0.13333333333333333</v>
      </c>
      <c r="AN95" s="1">
        <f t="shared" si="65"/>
        <v>5.7692307692307696E-2</v>
      </c>
      <c r="AO95" s="1">
        <f t="shared" si="66"/>
        <v>-5.4545454545454543E-2</v>
      </c>
      <c r="AP95" s="1">
        <f t="shared" si="67"/>
        <v>0.19230769230769232</v>
      </c>
      <c r="AQ95" s="1">
        <f t="shared" si="68"/>
        <v>-1.6129032258064516E-2</v>
      </c>
      <c r="AR95" s="1">
        <f t="shared" si="69"/>
        <v>0.16393442622950818</v>
      </c>
      <c r="AS95" s="12">
        <f t="shared" si="70"/>
        <v>3.4987767682109296E-2</v>
      </c>
      <c r="AT95" s="12">
        <f t="shared" si="71"/>
        <v>2.078163771712159E-2</v>
      </c>
      <c r="AU95" s="1">
        <f t="shared" si="72"/>
        <v>-8</v>
      </c>
      <c r="AV95" s="1">
        <f t="shared" si="73"/>
        <v>3</v>
      </c>
      <c r="AW95" s="1">
        <f t="shared" si="74"/>
        <v>-3</v>
      </c>
      <c r="AX95" s="1">
        <f t="shared" si="75"/>
        <v>10</v>
      </c>
      <c r="AY95" s="1">
        <f t="shared" si="76"/>
        <v>-1</v>
      </c>
      <c r="AZ95" s="1">
        <f t="shared" si="77"/>
        <v>10</v>
      </c>
      <c r="BA95" s="19">
        <f t="shared" si="78"/>
        <v>1.8333333333333333</v>
      </c>
      <c r="BB95" s="19">
        <f t="shared" si="79"/>
        <v>1</v>
      </c>
      <c r="BC95" s="9">
        <f t="shared" si="80"/>
        <v>-0.20224719101123595</v>
      </c>
      <c r="BD95" s="9">
        <f t="shared" si="81"/>
        <v>9.8591549295774641E-2</v>
      </c>
      <c r="BE95" s="9">
        <f t="shared" si="82"/>
        <v>-0.37179487179487181</v>
      </c>
      <c r="BF95" s="9">
        <f t="shared" si="83"/>
        <v>0.8571428571428571</v>
      </c>
      <c r="BG95" s="9">
        <f t="shared" si="84"/>
        <v>-9.8901098901098897E-2</v>
      </c>
      <c r="BH95" s="9">
        <f t="shared" si="85"/>
        <v>0.15853658536585366</v>
      </c>
      <c r="BI95" s="12">
        <f t="shared" si="86"/>
        <v>7.3554638349546453E-2</v>
      </c>
      <c r="BJ95" s="13">
        <f t="shared" si="87"/>
        <v>-1.5477480266212762E-4</v>
      </c>
      <c r="BK95" s="1">
        <f t="shared" si="88"/>
        <v>-18</v>
      </c>
      <c r="BL95" s="1">
        <f t="shared" si="89"/>
        <v>7</v>
      </c>
      <c r="BM95" s="1">
        <f t="shared" si="90"/>
        <v>-29</v>
      </c>
      <c r="BN95" s="1">
        <f t="shared" si="91"/>
        <v>42</v>
      </c>
      <c r="BO95" s="1">
        <f t="shared" si="92"/>
        <v>-9</v>
      </c>
      <c r="BP95" s="1">
        <f t="shared" si="93"/>
        <v>13</v>
      </c>
      <c r="BQ95" s="19">
        <f t="shared" si="94"/>
        <v>1</v>
      </c>
      <c r="BR95" s="17">
        <f t="shared" si="95"/>
        <v>-1</v>
      </c>
    </row>
    <row r="96" spans="1:70" x14ac:dyDescent="0.25">
      <c r="A96" t="s">
        <v>126</v>
      </c>
      <c r="B96">
        <v>140</v>
      </c>
      <c r="C96">
        <v>134</v>
      </c>
      <c r="D96">
        <v>112</v>
      </c>
      <c r="E96">
        <v>139</v>
      </c>
      <c r="F96">
        <v>153</v>
      </c>
      <c r="G96">
        <v>166</v>
      </c>
      <c r="H96">
        <v>157</v>
      </c>
      <c r="I96">
        <v>86</v>
      </c>
      <c r="J96">
        <v>79</v>
      </c>
      <c r="K96">
        <v>71</v>
      </c>
      <c r="L96">
        <v>76</v>
      </c>
      <c r="M96">
        <v>93</v>
      </c>
      <c r="N96">
        <v>97</v>
      </c>
      <c r="O96">
        <v>93</v>
      </c>
      <c r="P96">
        <v>54</v>
      </c>
      <c r="Q96">
        <v>55</v>
      </c>
      <c r="R96">
        <v>41</v>
      </c>
      <c r="S96">
        <v>63</v>
      </c>
      <c r="T96">
        <v>60</v>
      </c>
      <c r="U96">
        <v>69</v>
      </c>
      <c r="V96">
        <v>64</v>
      </c>
      <c r="W96" s="8">
        <f t="shared" si="48"/>
        <v>-4.2857142857142858E-2</v>
      </c>
      <c r="X96" s="8">
        <f t="shared" si="49"/>
        <v>-0.16417910447761194</v>
      </c>
      <c r="Y96" s="8">
        <f t="shared" si="50"/>
        <v>0.24107142857142858</v>
      </c>
      <c r="Z96" s="8">
        <f t="shared" si="51"/>
        <v>0.10071942446043165</v>
      </c>
      <c r="AA96" s="8">
        <f t="shared" si="52"/>
        <v>8.4967320261437912E-2</v>
      </c>
      <c r="AB96" s="8">
        <f t="shared" si="53"/>
        <v>-5.4216867469879519E-2</v>
      </c>
      <c r="AC96" s="12">
        <f t="shared" si="54"/>
        <v>2.7584176414777308E-2</v>
      </c>
      <c r="AD96" s="12">
        <f t="shared" si="55"/>
        <v>2.105508870214752E-2</v>
      </c>
      <c r="AE96" s="1">
        <f t="shared" si="56"/>
        <v>-6</v>
      </c>
      <c r="AF96" s="1">
        <f t="shared" si="57"/>
        <v>-22</v>
      </c>
      <c r="AG96" s="1">
        <f t="shared" si="58"/>
        <v>27</v>
      </c>
      <c r="AH96" s="1">
        <f t="shared" si="59"/>
        <v>14</v>
      </c>
      <c r="AI96" s="1">
        <f t="shared" si="60"/>
        <v>13</v>
      </c>
      <c r="AJ96" s="1">
        <f t="shared" si="61"/>
        <v>-9</v>
      </c>
      <c r="AK96" s="17">
        <f t="shared" si="62"/>
        <v>2.8333333333333335</v>
      </c>
      <c r="AL96" s="17">
        <f t="shared" si="63"/>
        <v>3.5</v>
      </c>
      <c r="AM96" s="1">
        <f t="shared" si="64"/>
        <v>-8.1395348837209308E-2</v>
      </c>
      <c r="AN96" s="1">
        <f t="shared" si="65"/>
        <v>-0.10126582278481013</v>
      </c>
      <c r="AO96" s="1">
        <f t="shared" si="66"/>
        <v>7.0422535211267609E-2</v>
      </c>
      <c r="AP96" s="1">
        <f t="shared" si="67"/>
        <v>0.22368421052631579</v>
      </c>
      <c r="AQ96" s="1">
        <f t="shared" si="68"/>
        <v>4.3010752688172046E-2</v>
      </c>
      <c r="AR96" s="1">
        <f t="shared" si="69"/>
        <v>-4.1237113402061855E-2</v>
      </c>
      <c r="AS96" s="12">
        <f t="shared" si="70"/>
        <v>1.8869868900279026E-2</v>
      </c>
      <c r="AT96" s="12">
        <f t="shared" si="71"/>
        <v>8.8681964305509925E-4</v>
      </c>
      <c r="AU96" s="1">
        <f t="shared" si="72"/>
        <v>-7</v>
      </c>
      <c r="AV96" s="1">
        <f t="shared" si="73"/>
        <v>-8</v>
      </c>
      <c r="AW96" s="1">
        <f t="shared" si="74"/>
        <v>5</v>
      </c>
      <c r="AX96" s="1">
        <f t="shared" si="75"/>
        <v>17</v>
      </c>
      <c r="AY96" s="1">
        <f t="shared" si="76"/>
        <v>4</v>
      </c>
      <c r="AZ96" s="1">
        <f t="shared" si="77"/>
        <v>-4</v>
      </c>
      <c r="BA96" s="19">
        <f t="shared" si="78"/>
        <v>1.1666666666666667</v>
      </c>
      <c r="BB96" s="19">
        <f t="shared" si="79"/>
        <v>0</v>
      </c>
      <c r="BC96" s="9">
        <f t="shared" si="80"/>
        <v>1.8518518518518517E-2</v>
      </c>
      <c r="BD96" s="9">
        <f t="shared" si="81"/>
        <v>-0.25454545454545452</v>
      </c>
      <c r="BE96" s="9">
        <f t="shared" si="82"/>
        <v>0.53658536585365857</v>
      </c>
      <c r="BF96" s="9">
        <f t="shared" si="83"/>
        <v>-4.7619047619047616E-2</v>
      </c>
      <c r="BG96" s="9">
        <f t="shared" si="84"/>
        <v>0.15</v>
      </c>
      <c r="BH96" s="9">
        <f t="shared" si="85"/>
        <v>-7.2463768115942032E-2</v>
      </c>
      <c r="BI96" s="12">
        <f t="shared" si="86"/>
        <v>5.5079269015288812E-2</v>
      </c>
      <c r="BJ96" s="13">
        <f t="shared" si="87"/>
        <v>-1.4550264550264549E-2</v>
      </c>
      <c r="BK96" s="1">
        <f t="shared" si="88"/>
        <v>1</v>
      </c>
      <c r="BL96" s="1">
        <f t="shared" si="89"/>
        <v>-14</v>
      </c>
      <c r="BM96" s="1">
        <f t="shared" si="90"/>
        <v>22</v>
      </c>
      <c r="BN96" s="1">
        <f t="shared" si="91"/>
        <v>-3</v>
      </c>
      <c r="BO96" s="1">
        <f t="shared" si="92"/>
        <v>9</v>
      </c>
      <c r="BP96" s="1">
        <f t="shared" si="93"/>
        <v>-5</v>
      </c>
      <c r="BQ96" s="19">
        <f t="shared" si="94"/>
        <v>1.6666666666666667</v>
      </c>
      <c r="BR96" s="17">
        <f t="shared" si="95"/>
        <v>-1</v>
      </c>
    </row>
    <row r="97" spans="1:70" x14ac:dyDescent="0.25">
      <c r="A97" t="s">
        <v>226</v>
      </c>
      <c r="B97">
        <v>26</v>
      </c>
      <c r="C97">
        <v>23</v>
      </c>
      <c r="D97">
        <v>26</v>
      </c>
      <c r="E97">
        <v>23</v>
      </c>
      <c r="F97">
        <v>26</v>
      </c>
      <c r="G97">
        <v>37</v>
      </c>
      <c r="H97">
        <v>43</v>
      </c>
      <c r="I97">
        <v>16</v>
      </c>
      <c r="J97">
        <v>15</v>
      </c>
      <c r="K97">
        <v>12</v>
      </c>
      <c r="L97">
        <v>13</v>
      </c>
      <c r="M97">
        <v>10</v>
      </c>
      <c r="N97">
        <v>16</v>
      </c>
      <c r="O97">
        <v>23</v>
      </c>
      <c r="P97">
        <v>10</v>
      </c>
      <c r="Q97">
        <v>8</v>
      </c>
      <c r="R97">
        <v>14</v>
      </c>
      <c r="S97">
        <v>10</v>
      </c>
      <c r="T97">
        <v>16</v>
      </c>
      <c r="U97">
        <v>21</v>
      </c>
      <c r="V97">
        <v>20</v>
      </c>
      <c r="W97" s="8">
        <f t="shared" si="48"/>
        <v>-0.11538461538461539</v>
      </c>
      <c r="X97" s="8">
        <f t="shared" si="49"/>
        <v>0.13043478260869565</v>
      </c>
      <c r="Y97" s="8">
        <f t="shared" si="50"/>
        <v>-0.11538461538461539</v>
      </c>
      <c r="Z97" s="8">
        <f t="shared" si="51"/>
        <v>0.13043478260869565</v>
      </c>
      <c r="AA97" s="8">
        <f t="shared" si="52"/>
        <v>0.42307692307692307</v>
      </c>
      <c r="AB97" s="8">
        <f t="shared" si="53"/>
        <v>0.16216216216216217</v>
      </c>
      <c r="AC97" s="12">
        <f t="shared" si="54"/>
        <v>0.10255656994787428</v>
      </c>
      <c r="AD97" s="12">
        <f t="shared" si="55"/>
        <v>0.13043478260869565</v>
      </c>
      <c r="AE97" s="1">
        <f t="shared" si="56"/>
        <v>-3</v>
      </c>
      <c r="AF97" s="1">
        <f t="shared" si="57"/>
        <v>3</v>
      </c>
      <c r="AG97" s="1">
        <f t="shared" si="58"/>
        <v>-3</v>
      </c>
      <c r="AH97" s="1">
        <f t="shared" si="59"/>
        <v>3</v>
      </c>
      <c r="AI97" s="1">
        <f t="shared" si="60"/>
        <v>11</v>
      </c>
      <c r="AJ97" s="1">
        <f t="shared" si="61"/>
        <v>6</v>
      </c>
      <c r="AK97" s="17">
        <f t="shared" si="62"/>
        <v>2.8333333333333335</v>
      </c>
      <c r="AL97" s="17">
        <f t="shared" si="63"/>
        <v>3</v>
      </c>
      <c r="AM97" s="1">
        <f t="shared" si="64"/>
        <v>-6.25E-2</v>
      </c>
      <c r="AN97" s="1">
        <f t="shared" si="65"/>
        <v>-0.2</v>
      </c>
      <c r="AO97" s="1">
        <f t="shared" si="66"/>
        <v>8.3333333333333329E-2</v>
      </c>
      <c r="AP97" s="1">
        <f t="shared" si="67"/>
        <v>-0.23076923076923078</v>
      </c>
      <c r="AQ97" s="1">
        <f t="shared" si="68"/>
        <v>0.6</v>
      </c>
      <c r="AR97" s="1">
        <f t="shared" si="69"/>
        <v>0.4375</v>
      </c>
      <c r="AS97" s="12">
        <f t="shared" si="70"/>
        <v>0.1045940170940171</v>
      </c>
      <c r="AT97" s="12">
        <f t="shared" si="71"/>
        <v>1.0416666666666657E-2</v>
      </c>
      <c r="AU97" s="1">
        <f t="shared" si="72"/>
        <v>-1</v>
      </c>
      <c r="AV97" s="1">
        <f t="shared" si="73"/>
        <v>-3</v>
      </c>
      <c r="AW97" s="1">
        <f t="shared" si="74"/>
        <v>1</v>
      </c>
      <c r="AX97" s="1">
        <f t="shared" si="75"/>
        <v>-3</v>
      </c>
      <c r="AY97" s="1">
        <f t="shared" si="76"/>
        <v>6</v>
      </c>
      <c r="AZ97" s="1">
        <f t="shared" si="77"/>
        <v>7</v>
      </c>
      <c r="BA97" s="19">
        <f t="shared" si="78"/>
        <v>1.1666666666666667</v>
      </c>
      <c r="BB97" s="19">
        <f t="shared" si="79"/>
        <v>0</v>
      </c>
      <c r="BC97" s="9">
        <f t="shared" si="80"/>
        <v>-0.2</v>
      </c>
      <c r="BD97" s="9">
        <f t="shared" si="81"/>
        <v>0.75</v>
      </c>
      <c r="BE97" s="9">
        <f t="shared" si="82"/>
        <v>-0.2857142857142857</v>
      </c>
      <c r="BF97" s="9">
        <f t="shared" si="83"/>
        <v>0.6</v>
      </c>
      <c r="BG97" s="9">
        <f t="shared" si="84"/>
        <v>0.3125</v>
      </c>
      <c r="BH97" s="9">
        <f t="shared" si="85"/>
        <v>-4.7619047619047616E-2</v>
      </c>
      <c r="BI97" s="12">
        <f t="shared" si="86"/>
        <v>0.18819444444444444</v>
      </c>
      <c r="BJ97" s="13">
        <f t="shared" si="87"/>
        <v>0.13244047619047619</v>
      </c>
      <c r="BK97" s="1">
        <f t="shared" si="88"/>
        <v>-2</v>
      </c>
      <c r="BL97" s="1">
        <f t="shared" si="89"/>
        <v>6</v>
      </c>
      <c r="BM97" s="1">
        <f t="shared" si="90"/>
        <v>-4</v>
      </c>
      <c r="BN97" s="1">
        <f t="shared" si="91"/>
        <v>6</v>
      </c>
      <c r="BO97" s="1">
        <f t="shared" si="92"/>
        <v>5</v>
      </c>
      <c r="BP97" s="1">
        <f t="shared" si="93"/>
        <v>-1</v>
      </c>
      <c r="BQ97" s="19">
        <f t="shared" si="94"/>
        <v>1.6666666666666667</v>
      </c>
      <c r="BR97" s="17">
        <f t="shared" si="95"/>
        <v>2</v>
      </c>
    </row>
    <row r="98" spans="1:70" x14ac:dyDescent="0.25">
      <c r="A98" t="s">
        <v>244</v>
      </c>
      <c r="B98">
        <v>20</v>
      </c>
      <c r="C98">
        <v>20</v>
      </c>
      <c r="D98">
        <v>23</v>
      </c>
      <c r="E98">
        <v>21</v>
      </c>
      <c r="F98">
        <v>26</v>
      </c>
      <c r="G98">
        <v>42</v>
      </c>
      <c r="H98">
        <v>37</v>
      </c>
      <c r="I98">
        <v>11</v>
      </c>
      <c r="J98">
        <v>11</v>
      </c>
      <c r="K98">
        <v>14</v>
      </c>
      <c r="L98">
        <v>12</v>
      </c>
      <c r="M98">
        <v>14</v>
      </c>
      <c r="N98">
        <v>18</v>
      </c>
      <c r="O98">
        <v>17</v>
      </c>
      <c r="P98">
        <v>9</v>
      </c>
      <c r="Q98">
        <v>9</v>
      </c>
      <c r="R98">
        <v>9</v>
      </c>
      <c r="S98">
        <v>9</v>
      </c>
      <c r="T98">
        <v>12</v>
      </c>
      <c r="U98">
        <v>24</v>
      </c>
      <c r="V98">
        <v>20</v>
      </c>
      <c r="W98" s="8">
        <f t="shared" si="48"/>
        <v>0</v>
      </c>
      <c r="X98" s="8">
        <f t="shared" si="49"/>
        <v>0.15</v>
      </c>
      <c r="Y98" s="8">
        <f t="shared" si="50"/>
        <v>-8.6956521739130432E-2</v>
      </c>
      <c r="Z98" s="8">
        <f t="shared" si="51"/>
        <v>0.23809523809523808</v>
      </c>
      <c r="AA98" s="8">
        <f t="shared" si="52"/>
        <v>0.61538461538461542</v>
      </c>
      <c r="AB98" s="8">
        <f t="shared" si="53"/>
        <v>-0.11904761904761904</v>
      </c>
      <c r="AC98" s="12">
        <f t="shared" si="54"/>
        <v>0.13291261878218399</v>
      </c>
      <c r="AD98" s="12">
        <f t="shared" si="55"/>
        <v>7.4999999999999997E-2</v>
      </c>
      <c r="AE98" s="1">
        <f t="shared" si="56"/>
        <v>0</v>
      </c>
      <c r="AF98" s="1">
        <f t="shared" si="57"/>
        <v>3</v>
      </c>
      <c r="AG98" s="1">
        <f t="shared" si="58"/>
        <v>-2</v>
      </c>
      <c r="AH98" s="1">
        <f t="shared" si="59"/>
        <v>5</v>
      </c>
      <c r="AI98" s="1">
        <f t="shared" si="60"/>
        <v>16</v>
      </c>
      <c r="AJ98" s="1">
        <f t="shared" si="61"/>
        <v>-5</v>
      </c>
      <c r="AK98" s="17">
        <f t="shared" si="62"/>
        <v>2.8333333333333335</v>
      </c>
      <c r="AL98" s="17">
        <f t="shared" si="63"/>
        <v>1.5</v>
      </c>
      <c r="AM98" s="1">
        <f t="shared" si="64"/>
        <v>0</v>
      </c>
      <c r="AN98" s="1">
        <f t="shared" si="65"/>
        <v>0.27272727272727271</v>
      </c>
      <c r="AO98" s="1">
        <f t="shared" si="66"/>
        <v>-0.14285714285714285</v>
      </c>
      <c r="AP98" s="1">
        <f t="shared" si="67"/>
        <v>0.16666666666666666</v>
      </c>
      <c r="AQ98" s="1">
        <f t="shared" si="68"/>
        <v>0.2857142857142857</v>
      </c>
      <c r="AR98" s="1">
        <f t="shared" si="69"/>
        <v>-5.5555555555555552E-2</v>
      </c>
      <c r="AS98" s="12">
        <f t="shared" si="70"/>
        <v>8.7782587782587781E-2</v>
      </c>
      <c r="AT98" s="12">
        <f t="shared" si="71"/>
        <v>8.3333333333333329E-2</v>
      </c>
      <c r="AU98" s="1">
        <f t="shared" si="72"/>
        <v>0</v>
      </c>
      <c r="AV98" s="1">
        <f t="shared" si="73"/>
        <v>3</v>
      </c>
      <c r="AW98" s="1">
        <f t="shared" si="74"/>
        <v>-2</v>
      </c>
      <c r="AX98" s="1">
        <f t="shared" si="75"/>
        <v>2</v>
      </c>
      <c r="AY98" s="1">
        <f t="shared" si="76"/>
        <v>4</v>
      </c>
      <c r="AZ98" s="1">
        <f t="shared" si="77"/>
        <v>-1</v>
      </c>
      <c r="BA98" s="19">
        <f t="shared" si="78"/>
        <v>1</v>
      </c>
      <c r="BB98" s="19">
        <f t="shared" si="79"/>
        <v>1</v>
      </c>
      <c r="BC98" s="9">
        <f t="shared" si="80"/>
        <v>0</v>
      </c>
      <c r="BD98" s="9">
        <f t="shared" si="81"/>
        <v>0</v>
      </c>
      <c r="BE98" s="9">
        <f t="shared" si="82"/>
        <v>0</v>
      </c>
      <c r="BF98" s="9">
        <f t="shared" si="83"/>
        <v>0.33333333333333331</v>
      </c>
      <c r="BG98" s="9">
        <f t="shared" si="84"/>
        <v>1</v>
      </c>
      <c r="BH98" s="9">
        <f t="shared" si="85"/>
        <v>-0.16666666666666666</v>
      </c>
      <c r="BI98" s="12">
        <f t="shared" si="86"/>
        <v>0.19444444444444442</v>
      </c>
      <c r="BJ98" s="13">
        <f t="shared" si="87"/>
        <v>0</v>
      </c>
      <c r="BK98" s="1">
        <f t="shared" si="88"/>
        <v>0</v>
      </c>
      <c r="BL98" s="1">
        <f t="shared" si="89"/>
        <v>0</v>
      </c>
      <c r="BM98" s="1">
        <f t="shared" si="90"/>
        <v>0</v>
      </c>
      <c r="BN98" s="1">
        <f t="shared" si="91"/>
        <v>3</v>
      </c>
      <c r="BO98" s="1">
        <f t="shared" si="92"/>
        <v>12</v>
      </c>
      <c r="BP98" s="1">
        <f t="shared" si="93"/>
        <v>-4</v>
      </c>
      <c r="BQ98" s="19">
        <f t="shared" si="94"/>
        <v>1.8333333333333333</v>
      </c>
      <c r="BR98" s="17">
        <f t="shared" si="95"/>
        <v>0</v>
      </c>
    </row>
    <row r="99" spans="1:70" x14ac:dyDescent="0.25">
      <c r="A99" t="s">
        <v>367</v>
      </c>
      <c r="B99">
        <v>6</v>
      </c>
      <c r="C99">
        <v>6</v>
      </c>
      <c r="D99">
        <v>6</v>
      </c>
      <c r="E99">
        <v>20</v>
      </c>
      <c r="F99">
        <v>15</v>
      </c>
      <c r="G99">
        <v>23</v>
      </c>
      <c r="H99">
        <v>23</v>
      </c>
      <c r="I99">
        <v>4</v>
      </c>
      <c r="J99">
        <v>6</v>
      </c>
      <c r="K99">
        <v>6</v>
      </c>
      <c r="L99">
        <v>20</v>
      </c>
      <c r="M99">
        <v>15</v>
      </c>
      <c r="N99">
        <v>23</v>
      </c>
      <c r="O99">
        <v>23</v>
      </c>
      <c r="P99">
        <v>2</v>
      </c>
      <c r="W99" s="8">
        <f t="shared" si="48"/>
        <v>0</v>
      </c>
      <c r="X99" s="8">
        <f t="shared" si="49"/>
        <v>0</v>
      </c>
      <c r="Y99" s="8">
        <f t="shared" si="50"/>
        <v>2.3333333333333335</v>
      </c>
      <c r="Z99" s="8">
        <f t="shared" si="51"/>
        <v>-0.25</v>
      </c>
      <c r="AA99" s="8">
        <f t="shared" si="52"/>
        <v>0.53333333333333333</v>
      </c>
      <c r="AB99" s="8">
        <f t="shared" si="53"/>
        <v>0</v>
      </c>
      <c r="AC99" s="12">
        <f t="shared" si="54"/>
        <v>0.43611111111111112</v>
      </c>
      <c r="AD99" s="12">
        <f t="shared" si="55"/>
        <v>0</v>
      </c>
      <c r="AE99" s="1">
        <f t="shared" si="56"/>
        <v>0</v>
      </c>
      <c r="AF99" s="1">
        <f t="shared" si="57"/>
        <v>0</v>
      </c>
      <c r="AG99" s="1">
        <f t="shared" si="58"/>
        <v>14</v>
      </c>
      <c r="AH99" s="1">
        <f t="shared" si="59"/>
        <v>-5</v>
      </c>
      <c r="AI99" s="1">
        <f t="shared" si="60"/>
        <v>8</v>
      </c>
      <c r="AJ99" s="1">
        <f t="shared" si="61"/>
        <v>0</v>
      </c>
      <c r="AK99" s="17">
        <f t="shared" si="62"/>
        <v>2.8333333333333335</v>
      </c>
      <c r="AL99" s="17">
        <f t="shared" si="63"/>
        <v>0</v>
      </c>
      <c r="AM99" s="1">
        <f t="shared" si="64"/>
        <v>0.5</v>
      </c>
      <c r="AN99" s="1">
        <f t="shared" si="65"/>
        <v>0</v>
      </c>
      <c r="AO99" s="1">
        <f t="shared" si="66"/>
        <v>2.3333333333333335</v>
      </c>
      <c r="AP99" s="1">
        <f t="shared" si="67"/>
        <v>-0.25</v>
      </c>
      <c r="AQ99" s="1">
        <f t="shared" si="68"/>
        <v>0.53333333333333333</v>
      </c>
      <c r="AR99" s="1">
        <f t="shared" si="69"/>
        <v>0</v>
      </c>
      <c r="AS99" s="12">
        <f t="shared" si="70"/>
        <v>0.51944444444444449</v>
      </c>
      <c r="AT99" s="12">
        <f t="shared" si="71"/>
        <v>0.25</v>
      </c>
      <c r="AU99" s="1">
        <f t="shared" si="72"/>
        <v>2</v>
      </c>
      <c r="AV99" s="1">
        <f t="shared" si="73"/>
        <v>0</v>
      </c>
      <c r="AW99" s="1">
        <f t="shared" si="74"/>
        <v>14</v>
      </c>
      <c r="AX99" s="1">
        <f t="shared" si="75"/>
        <v>-5</v>
      </c>
      <c r="AY99" s="1">
        <f t="shared" si="76"/>
        <v>8</v>
      </c>
      <c r="AZ99" s="1">
        <f t="shared" si="77"/>
        <v>0</v>
      </c>
      <c r="BA99" s="19">
        <f t="shared" si="78"/>
        <v>3.1666666666666665</v>
      </c>
      <c r="BB99" s="19">
        <f t="shared" si="79"/>
        <v>1</v>
      </c>
      <c r="BC99" s="9">
        <f t="shared" si="80"/>
        <v>-1</v>
      </c>
      <c r="BD99" s="9" t="e">
        <f t="shared" si="81"/>
        <v>#DIV/0!</v>
      </c>
      <c r="BE99" s="9" t="e">
        <f t="shared" si="82"/>
        <v>#DIV/0!</v>
      </c>
      <c r="BF99" s="9" t="e">
        <f t="shared" si="83"/>
        <v>#DIV/0!</v>
      </c>
      <c r="BG99" s="9" t="e">
        <f t="shared" si="84"/>
        <v>#DIV/0!</v>
      </c>
      <c r="BH99" s="9" t="e">
        <f t="shared" si="85"/>
        <v>#DIV/0!</v>
      </c>
      <c r="BI99" s="12" t="e">
        <f t="shared" si="86"/>
        <v>#DIV/0!</v>
      </c>
      <c r="BJ99" s="13" t="e">
        <f t="shared" si="87"/>
        <v>#DIV/0!</v>
      </c>
      <c r="BK99" s="1">
        <f t="shared" si="88"/>
        <v>-2</v>
      </c>
      <c r="BL99" s="1">
        <f t="shared" si="89"/>
        <v>0</v>
      </c>
      <c r="BM99" s="1">
        <f t="shared" si="90"/>
        <v>0</v>
      </c>
      <c r="BN99" s="1">
        <f t="shared" si="91"/>
        <v>0</v>
      </c>
      <c r="BO99" s="1">
        <f t="shared" si="92"/>
        <v>0</v>
      </c>
      <c r="BP99" s="1">
        <f t="shared" si="93"/>
        <v>0</v>
      </c>
      <c r="BQ99" s="19">
        <f t="shared" si="94"/>
        <v>-0.33333333333333331</v>
      </c>
      <c r="BR99" s="17">
        <f t="shared" si="95"/>
        <v>0</v>
      </c>
    </row>
    <row r="100" spans="1:70" x14ac:dyDescent="0.25">
      <c r="A100" t="s">
        <v>279</v>
      </c>
      <c r="B100">
        <v>14</v>
      </c>
      <c r="C100">
        <v>20</v>
      </c>
      <c r="D100">
        <v>20</v>
      </c>
      <c r="E100">
        <v>121</v>
      </c>
      <c r="F100">
        <v>37</v>
      </c>
      <c r="G100">
        <v>29</v>
      </c>
      <c r="H100">
        <v>30</v>
      </c>
      <c r="I100">
        <v>8</v>
      </c>
      <c r="J100">
        <v>7</v>
      </c>
      <c r="K100">
        <v>15</v>
      </c>
      <c r="L100">
        <v>67</v>
      </c>
      <c r="M100">
        <v>26</v>
      </c>
      <c r="N100">
        <v>18</v>
      </c>
      <c r="O100">
        <v>16</v>
      </c>
      <c r="P100">
        <v>6</v>
      </c>
      <c r="Q100">
        <v>13</v>
      </c>
      <c r="R100">
        <v>5</v>
      </c>
      <c r="S100">
        <v>54</v>
      </c>
      <c r="T100">
        <v>11</v>
      </c>
      <c r="U100">
        <v>11</v>
      </c>
      <c r="V100">
        <v>14</v>
      </c>
      <c r="W100" s="8">
        <f t="shared" si="48"/>
        <v>0.42857142857142855</v>
      </c>
      <c r="X100" s="8">
        <f t="shared" si="49"/>
        <v>0</v>
      </c>
      <c r="Y100" s="8">
        <f t="shared" si="50"/>
        <v>5.05</v>
      </c>
      <c r="Z100" s="8">
        <f t="shared" si="51"/>
        <v>-0.69421487603305787</v>
      </c>
      <c r="AA100" s="8">
        <f t="shared" si="52"/>
        <v>-0.21621621621621623</v>
      </c>
      <c r="AB100" s="8">
        <f t="shared" si="53"/>
        <v>3.4482758620689655E-2</v>
      </c>
      <c r="AC100" s="12">
        <f t="shared" si="54"/>
        <v>0.76710384915714058</v>
      </c>
      <c r="AD100" s="12">
        <f t="shared" si="55"/>
        <v>1.7241379310344827E-2</v>
      </c>
      <c r="AE100" s="1">
        <f t="shared" si="56"/>
        <v>6</v>
      </c>
      <c r="AF100" s="1">
        <f t="shared" si="57"/>
        <v>0</v>
      </c>
      <c r="AG100" s="1">
        <f t="shared" si="58"/>
        <v>101</v>
      </c>
      <c r="AH100" s="1">
        <f t="shared" si="59"/>
        <v>-84</v>
      </c>
      <c r="AI100" s="1">
        <f t="shared" si="60"/>
        <v>-8</v>
      </c>
      <c r="AJ100" s="1">
        <f t="shared" si="61"/>
        <v>1</v>
      </c>
      <c r="AK100" s="17">
        <f t="shared" si="62"/>
        <v>2.6666666666666665</v>
      </c>
      <c r="AL100" s="17">
        <f t="shared" si="63"/>
        <v>0.5</v>
      </c>
      <c r="AM100" s="1">
        <f t="shared" si="64"/>
        <v>-0.125</v>
      </c>
      <c r="AN100" s="1">
        <f t="shared" si="65"/>
        <v>1.1428571428571428</v>
      </c>
      <c r="AO100" s="1">
        <f t="shared" si="66"/>
        <v>3.4666666666666668</v>
      </c>
      <c r="AP100" s="1">
        <f t="shared" si="67"/>
        <v>-0.61194029850746268</v>
      </c>
      <c r="AQ100" s="1">
        <f t="shared" si="68"/>
        <v>-0.30769230769230771</v>
      </c>
      <c r="AR100" s="1">
        <f t="shared" si="69"/>
        <v>-0.1111111111111111</v>
      </c>
      <c r="AS100" s="12">
        <f t="shared" si="70"/>
        <v>0.5756300153688213</v>
      </c>
      <c r="AT100" s="12">
        <f t="shared" si="71"/>
        <v>-0.11805555555555555</v>
      </c>
      <c r="AU100" s="1">
        <f t="shared" si="72"/>
        <v>-1</v>
      </c>
      <c r="AV100" s="1">
        <f t="shared" si="73"/>
        <v>8</v>
      </c>
      <c r="AW100" s="1">
        <f t="shared" si="74"/>
        <v>52</v>
      </c>
      <c r="AX100" s="1">
        <f t="shared" si="75"/>
        <v>-41</v>
      </c>
      <c r="AY100" s="1">
        <f t="shared" si="76"/>
        <v>-8</v>
      </c>
      <c r="AZ100" s="1">
        <f t="shared" si="77"/>
        <v>-2</v>
      </c>
      <c r="BA100" s="19">
        <f t="shared" si="78"/>
        <v>1.3333333333333333</v>
      </c>
      <c r="BB100" s="19">
        <f t="shared" si="79"/>
        <v>-1.5</v>
      </c>
      <c r="BC100" s="9">
        <f t="shared" si="80"/>
        <v>1.1666666666666667</v>
      </c>
      <c r="BD100" s="9">
        <f t="shared" si="81"/>
        <v>-0.61538461538461542</v>
      </c>
      <c r="BE100" s="9">
        <f t="shared" si="82"/>
        <v>9.8000000000000007</v>
      </c>
      <c r="BF100" s="9">
        <f t="shared" si="83"/>
        <v>-0.79629629629629628</v>
      </c>
      <c r="BG100" s="9">
        <f t="shared" si="84"/>
        <v>0</v>
      </c>
      <c r="BH100" s="9">
        <f t="shared" si="85"/>
        <v>0.27272727272727271</v>
      </c>
      <c r="BI100" s="12">
        <f t="shared" si="86"/>
        <v>1.637952171285505</v>
      </c>
      <c r="BJ100" s="13">
        <f t="shared" si="87"/>
        <v>0.13636363636363635</v>
      </c>
      <c r="BK100" s="1">
        <f t="shared" si="88"/>
        <v>7</v>
      </c>
      <c r="BL100" s="1">
        <f t="shared" si="89"/>
        <v>-8</v>
      </c>
      <c r="BM100" s="1">
        <f t="shared" si="90"/>
        <v>49</v>
      </c>
      <c r="BN100" s="1">
        <f t="shared" si="91"/>
        <v>-43</v>
      </c>
      <c r="BO100" s="1">
        <f t="shared" si="92"/>
        <v>0</v>
      </c>
      <c r="BP100" s="1">
        <f t="shared" si="93"/>
        <v>3</v>
      </c>
      <c r="BQ100" s="19">
        <f t="shared" si="94"/>
        <v>1.3333333333333333</v>
      </c>
      <c r="BR100" s="17">
        <f t="shared" si="95"/>
        <v>1.5</v>
      </c>
    </row>
    <row r="101" spans="1:70" x14ac:dyDescent="0.25">
      <c r="A101" t="s">
        <v>133</v>
      </c>
      <c r="B101">
        <v>119</v>
      </c>
      <c r="C101">
        <v>135</v>
      </c>
      <c r="D101">
        <v>140</v>
      </c>
      <c r="E101">
        <v>182</v>
      </c>
      <c r="F101">
        <v>164</v>
      </c>
      <c r="G101">
        <v>142</v>
      </c>
      <c r="H101">
        <v>134</v>
      </c>
      <c r="I101">
        <v>67</v>
      </c>
      <c r="J101">
        <v>71</v>
      </c>
      <c r="K101">
        <v>85</v>
      </c>
      <c r="L101">
        <v>95</v>
      </c>
      <c r="M101">
        <v>90</v>
      </c>
      <c r="N101">
        <v>87</v>
      </c>
      <c r="O101">
        <v>77</v>
      </c>
      <c r="P101">
        <v>52</v>
      </c>
      <c r="Q101">
        <v>64</v>
      </c>
      <c r="R101">
        <v>55</v>
      </c>
      <c r="S101">
        <v>87</v>
      </c>
      <c r="T101">
        <v>74</v>
      </c>
      <c r="U101">
        <v>55</v>
      </c>
      <c r="V101">
        <v>57</v>
      </c>
      <c r="W101" s="8">
        <f t="shared" si="48"/>
        <v>0.13445378151260504</v>
      </c>
      <c r="X101" s="8">
        <f t="shared" si="49"/>
        <v>3.7037037037037035E-2</v>
      </c>
      <c r="Y101" s="8">
        <f t="shared" si="50"/>
        <v>0.3</v>
      </c>
      <c r="Z101" s="8">
        <f t="shared" si="51"/>
        <v>-9.8901098901098897E-2</v>
      </c>
      <c r="AA101" s="8">
        <f t="shared" si="52"/>
        <v>-0.13414634146341464</v>
      </c>
      <c r="AB101" s="8">
        <f t="shared" si="53"/>
        <v>-5.6338028169014086E-2</v>
      </c>
      <c r="AC101" s="12">
        <f t="shared" si="54"/>
        <v>3.0350891669352401E-2</v>
      </c>
      <c r="AD101" s="12">
        <f t="shared" si="55"/>
        <v>-9.6504955659885219E-3</v>
      </c>
      <c r="AE101" s="1">
        <f t="shared" si="56"/>
        <v>16</v>
      </c>
      <c r="AF101" s="1">
        <f t="shared" si="57"/>
        <v>5</v>
      </c>
      <c r="AG101" s="1">
        <f t="shared" si="58"/>
        <v>42</v>
      </c>
      <c r="AH101" s="1">
        <f t="shared" si="59"/>
        <v>-18</v>
      </c>
      <c r="AI101" s="1">
        <f t="shared" si="60"/>
        <v>-22</v>
      </c>
      <c r="AJ101" s="1">
        <f t="shared" si="61"/>
        <v>-8</v>
      </c>
      <c r="AK101" s="17">
        <f t="shared" si="62"/>
        <v>2.5</v>
      </c>
      <c r="AL101" s="17">
        <f t="shared" si="63"/>
        <v>-1.5</v>
      </c>
      <c r="AM101" s="1">
        <f t="shared" si="64"/>
        <v>5.9701492537313432E-2</v>
      </c>
      <c r="AN101" s="1">
        <f t="shared" si="65"/>
        <v>0.19718309859154928</v>
      </c>
      <c r="AO101" s="1">
        <f t="shared" si="66"/>
        <v>0.11764705882352941</v>
      </c>
      <c r="AP101" s="1">
        <f t="shared" si="67"/>
        <v>-5.2631578947368418E-2</v>
      </c>
      <c r="AQ101" s="1">
        <f t="shared" si="68"/>
        <v>-3.3333333333333333E-2</v>
      </c>
      <c r="AR101" s="1">
        <f t="shared" si="69"/>
        <v>-0.11494252873563218</v>
      </c>
      <c r="AS101" s="12">
        <f t="shared" si="70"/>
        <v>2.8937368156009693E-2</v>
      </c>
      <c r="AT101" s="12">
        <f t="shared" si="71"/>
        <v>1.3184079601990049E-2</v>
      </c>
      <c r="AU101" s="1">
        <f t="shared" si="72"/>
        <v>4</v>
      </c>
      <c r="AV101" s="1">
        <f t="shared" si="73"/>
        <v>14</v>
      </c>
      <c r="AW101" s="1">
        <f t="shared" si="74"/>
        <v>10</v>
      </c>
      <c r="AX101" s="1">
        <f t="shared" si="75"/>
        <v>-5</v>
      </c>
      <c r="AY101" s="1">
        <f t="shared" si="76"/>
        <v>-3</v>
      </c>
      <c r="AZ101" s="1">
        <f t="shared" si="77"/>
        <v>-10</v>
      </c>
      <c r="BA101" s="19">
        <f t="shared" si="78"/>
        <v>1.6666666666666667</v>
      </c>
      <c r="BB101" s="19">
        <f t="shared" si="79"/>
        <v>0.5</v>
      </c>
      <c r="BC101" s="9">
        <f t="shared" si="80"/>
        <v>0.23076923076923078</v>
      </c>
      <c r="BD101" s="9">
        <f t="shared" si="81"/>
        <v>-0.140625</v>
      </c>
      <c r="BE101" s="9">
        <f t="shared" si="82"/>
        <v>0.58181818181818179</v>
      </c>
      <c r="BF101" s="9">
        <f t="shared" si="83"/>
        <v>-0.14942528735632185</v>
      </c>
      <c r="BG101" s="9">
        <f t="shared" si="84"/>
        <v>-0.25675675675675674</v>
      </c>
      <c r="BH101" s="9">
        <f t="shared" si="85"/>
        <v>3.6363636363636362E-2</v>
      </c>
      <c r="BI101" s="12">
        <f t="shared" si="86"/>
        <v>5.035733413966173E-2</v>
      </c>
      <c r="BJ101" s="13">
        <f t="shared" si="87"/>
        <v>-5.2130681818181812E-2</v>
      </c>
      <c r="BK101" s="1">
        <f t="shared" si="88"/>
        <v>12</v>
      </c>
      <c r="BL101" s="1">
        <f t="shared" si="89"/>
        <v>-9</v>
      </c>
      <c r="BM101" s="1">
        <f t="shared" si="90"/>
        <v>32</v>
      </c>
      <c r="BN101" s="1">
        <f t="shared" si="91"/>
        <v>-13</v>
      </c>
      <c r="BO101" s="1">
        <f t="shared" si="92"/>
        <v>-19</v>
      </c>
      <c r="BP101" s="1">
        <f t="shared" si="93"/>
        <v>2</v>
      </c>
      <c r="BQ101" s="19">
        <f t="shared" si="94"/>
        <v>0.83333333333333337</v>
      </c>
      <c r="BR101" s="17">
        <f t="shared" si="95"/>
        <v>-3.5</v>
      </c>
    </row>
    <row r="102" spans="1:70" x14ac:dyDescent="0.25">
      <c r="A102" t="s">
        <v>273</v>
      </c>
      <c r="B102">
        <v>15</v>
      </c>
      <c r="C102">
        <v>19</v>
      </c>
      <c r="D102">
        <v>20</v>
      </c>
      <c r="E102">
        <v>29</v>
      </c>
      <c r="F102">
        <v>27</v>
      </c>
      <c r="G102">
        <v>26</v>
      </c>
      <c r="H102">
        <v>30</v>
      </c>
      <c r="I102">
        <v>10</v>
      </c>
      <c r="J102">
        <v>11</v>
      </c>
      <c r="K102">
        <v>13</v>
      </c>
      <c r="L102">
        <v>15</v>
      </c>
      <c r="M102">
        <v>17</v>
      </c>
      <c r="N102">
        <v>17</v>
      </c>
      <c r="O102">
        <v>16</v>
      </c>
      <c r="P102">
        <v>5</v>
      </c>
      <c r="Q102">
        <v>8</v>
      </c>
      <c r="R102">
        <v>7</v>
      </c>
      <c r="S102">
        <v>14</v>
      </c>
      <c r="T102">
        <v>10</v>
      </c>
      <c r="U102">
        <v>9</v>
      </c>
      <c r="V102">
        <v>14</v>
      </c>
      <c r="W102" s="8">
        <f t="shared" si="48"/>
        <v>0.26666666666666666</v>
      </c>
      <c r="X102" s="8">
        <f t="shared" si="49"/>
        <v>5.2631578947368418E-2</v>
      </c>
      <c r="Y102" s="8">
        <f t="shared" si="50"/>
        <v>0.45</v>
      </c>
      <c r="Z102" s="8">
        <f t="shared" si="51"/>
        <v>-6.8965517241379309E-2</v>
      </c>
      <c r="AA102" s="8">
        <f t="shared" si="52"/>
        <v>-3.7037037037037035E-2</v>
      </c>
      <c r="AB102" s="8">
        <f t="shared" si="53"/>
        <v>0.15384615384615385</v>
      </c>
      <c r="AC102" s="12">
        <f t="shared" si="54"/>
        <v>0.13619030753029543</v>
      </c>
      <c r="AD102" s="12">
        <f t="shared" si="55"/>
        <v>0.10323886639676114</v>
      </c>
      <c r="AE102" s="1">
        <f t="shared" si="56"/>
        <v>4</v>
      </c>
      <c r="AF102" s="1">
        <f t="shared" si="57"/>
        <v>1</v>
      </c>
      <c r="AG102" s="1">
        <f t="shared" si="58"/>
        <v>9</v>
      </c>
      <c r="AH102" s="1">
        <f t="shared" si="59"/>
        <v>-2</v>
      </c>
      <c r="AI102" s="1">
        <f t="shared" si="60"/>
        <v>-1</v>
      </c>
      <c r="AJ102" s="1">
        <f t="shared" si="61"/>
        <v>4</v>
      </c>
      <c r="AK102" s="17">
        <f t="shared" si="62"/>
        <v>2.5</v>
      </c>
      <c r="AL102" s="17">
        <f t="shared" si="63"/>
        <v>2.5</v>
      </c>
      <c r="AM102" s="1">
        <f t="shared" si="64"/>
        <v>0.1</v>
      </c>
      <c r="AN102" s="1">
        <f t="shared" si="65"/>
        <v>0.18181818181818182</v>
      </c>
      <c r="AO102" s="1">
        <f t="shared" si="66"/>
        <v>0.15384615384615385</v>
      </c>
      <c r="AP102" s="1">
        <f t="shared" si="67"/>
        <v>0.13333333333333333</v>
      </c>
      <c r="AQ102" s="1">
        <f t="shared" si="68"/>
        <v>0</v>
      </c>
      <c r="AR102" s="1">
        <f t="shared" si="69"/>
        <v>-5.8823529411764705E-2</v>
      </c>
      <c r="AS102" s="12">
        <f t="shared" si="70"/>
        <v>8.5029023264317383E-2</v>
      </c>
      <c r="AT102" s="12">
        <f t="shared" si="71"/>
        <v>0.11666666666666667</v>
      </c>
      <c r="AU102" s="1">
        <f t="shared" si="72"/>
        <v>1</v>
      </c>
      <c r="AV102" s="1">
        <f t="shared" si="73"/>
        <v>2</v>
      </c>
      <c r="AW102" s="1">
        <f t="shared" si="74"/>
        <v>2</v>
      </c>
      <c r="AX102" s="1">
        <f t="shared" si="75"/>
        <v>2</v>
      </c>
      <c r="AY102" s="1">
        <f t="shared" si="76"/>
        <v>0</v>
      </c>
      <c r="AZ102" s="1">
        <f t="shared" si="77"/>
        <v>-1</v>
      </c>
      <c r="BA102" s="19">
        <f t="shared" si="78"/>
        <v>1</v>
      </c>
      <c r="BB102" s="19">
        <f t="shared" si="79"/>
        <v>1.5</v>
      </c>
      <c r="BC102" s="9">
        <f t="shared" si="80"/>
        <v>0.6</v>
      </c>
      <c r="BD102" s="9">
        <f t="shared" si="81"/>
        <v>-0.125</v>
      </c>
      <c r="BE102" s="9">
        <f t="shared" si="82"/>
        <v>1</v>
      </c>
      <c r="BF102" s="9">
        <f t="shared" si="83"/>
        <v>-0.2857142857142857</v>
      </c>
      <c r="BG102" s="9">
        <f t="shared" si="84"/>
        <v>-0.1</v>
      </c>
      <c r="BH102" s="9">
        <f t="shared" si="85"/>
        <v>0.55555555555555558</v>
      </c>
      <c r="BI102" s="12">
        <f t="shared" si="86"/>
        <v>0.27414021164021168</v>
      </c>
      <c r="BJ102" s="13">
        <f t="shared" si="87"/>
        <v>0.22777777777777777</v>
      </c>
      <c r="BK102" s="1">
        <f t="shared" si="88"/>
        <v>3</v>
      </c>
      <c r="BL102" s="1">
        <f t="shared" si="89"/>
        <v>-1</v>
      </c>
      <c r="BM102" s="1">
        <f t="shared" si="90"/>
        <v>7</v>
      </c>
      <c r="BN102" s="1">
        <f t="shared" si="91"/>
        <v>-4</v>
      </c>
      <c r="BO102" s="1">
        <f t="shared" si="92"/>
        <v>-1</v>
      </c>
      <c r="BP102" s="1">
        <f t="shared" si="93"/>
        <v>5</v>
      </c>
      <c r="BQ102" s="19">
        <f t="shared" si="94"/>
        <v>1.5</v>
      </c>
      <c r="BR102" s="17">
        <f t="shared" si="95"/>
        <v>1</v>
      </c>
    </row>
    <row r="103" spans="1:70" x14ac:dyDescent="0.25">
      <c r="A103" t="s">
        <v>105</v>
      </c>
      <c r="B103">
        <v>217</v>
      </c>
      <c r="C103">
        <v>238</v>
      </c>
      <c r="D103">
        <v>205</v>
      </c>
      <c r="E103">
        <v>197</v>
      </c>
      <c r="F103">
        <v>253</v>
      </c>
      <c r="G103">
        <v>246</v>
      </c>
      <c r="H103">
        <v>231</v>
      </c>
      <c r="I103">
        <v>133</v>
      </c>
      <c r="J103">
        <v>133</v>
      </c>
      <c r="K103">
        <v>130</v>
      </c>
      <c r="L103">
        <v>102</v>
      </c>
      <c r="M103">
        <v>143</v>
      </c>
      <c r="N103">
        <v>121</v>
      </c>
      <c r="O103">
        <v>129</v>
      </c>
      <c r="P103">
        <v>84</v>
      </c>
      <c r="Q103">
        <v>105</v>
      </c>
      <c r="R103">
        <v>75</v>
      </c>
      <c r="S103">
        <v>95</v>
      </c>
      <c r="T103">
        <v>110</v>
      </c>
      <c r="U103">
        <v>125</v>
      </c>
      <c r="V103">
        <v>102</v>
      </c>
      <c r="W103" s="8">
        <f t="shared" si="48"/>
        <v>9.6774193548387094E-2</v>
      </c>
      <c r="X103" s="8">
        <f t="shared" si="49"/>
        <v>-0.13865546218487396</v>
      </c>
      <c r="Y103" s="8">
        <f t="shared" si="50"/>
        <v>-3.9024390243902439E-2</v>
      </c>
      <c r="Z103" s="8">
        <f t="shared" si="51"/>
        <v>0.28426395939086296</v>
      </c>
      <c r="AA103" s="8">
        <f t="shared" si="52"/>
        <v>-2.766798418972332E-2</v>
      </c>
      <c r="AB103" s="8">
        <f t="shared" si="53"/>
        <v>-6.097560975609756E-2</v>
      </c>
      <c r="AC103" s="12">
        <f t="shared" si="54"/>
        <v>1.9119117760775461E-2</v>
      </c>
      <c r="AD103" s="12">
        <f t="shared" si="55"/>
        <v>-3.334618721681288E-2</v>
      </c>
      <c r="AE103" s="1">
        <f t="shared" si="56"/>
        <v>21</v>
      </c>
      <c r="AF103" s="1">
        <f t="shared" si="57"/>
        <v>-33</v>
      </c>
      <c r="AG103" s="1">
        <f t="shared" si="58"/>
        <v>-8</v>
      </c>
      <c r="AH103" s="1">
        <f t="shared" si="59"/>
        <v>56</v>
      </c>
      <c r="AI103" s="1">
        <f t="shared" si="60"/>
        <v>-7</v>
      </c>
      <c r="AJ103" s="1">
        <f t="shared" si="61"/>
        <v>-15</v>
      </c>
      <c r="AK103" s="17">
        <f t="shared" si="62"/>
        <v>2.3333333333333335</v>
      </c>
      <c r="AL103" s="17">
        <f t="shared" si="63"/>
        <v>-7.5</v>
      </c>
      <c r="AM103" s="1">
        <f t="shared" si="64"/>
        <v>0</v>
      </c>
      <c r="AN103" s="1">
        <f t="shared" si="65"/>
        <v>-2.2556390977443608E-2</v>
      </c>
      <c r="AO103" s="1">
        <f t="shared" si="66"/>
        <v>-0.2153846153846154</v>
      </c>
      <c r="AP103" s="1">
        <f t="shared" si="67"/>
        <v>0.40196078431372551</v>
      </c>
      <c r="AQ103" s="1">
        <f t="shared" si="68"/>
        <v>-0.15384615384615385</v>
      </c>
      <c r="AR103" s="1">
        <f t="shared" si="69"/>
        <v>6.6115702479338845E-2</v>
      </c>
      <c r="AS103" s="12">
        <f t="shared" si="70"/>
        <v>1.2714887764141916E-2</v>
      </c>
      <c r="AT103" s="12">
        <f t="shared" si="71"/>
        <v>-1.1278195488721804E-2</v>
      </c>
      <c r="AU103" s="1">
        <f t="shared" si="72"/>
        <v>0</v>
      </c>
      <c r="AV103" s="1">
        <f t="shared" si="73"/>
        <v>-3</v>
      </c>
      <c r="AW103" s="1">
        <f t="shared" si="74"/>
        <v>-28</v>
      </c>
      <c r="AX103" s="1">
        <f t="shared" si="75"/>
        <v>41</v>
      </c>
      <c r="AY103" s="1">
        <f t="shared" si="76"/>
        <v>-22</v>
      </c>
      <c r="AZ103" s="1">
        <f t="shared" si="77"/>
        <v>8</v>
      </c>
      <c r="BA103" s="19">
        <f t="shared" si="78"/>
        <v>-0.66666666666666663</v>
      </c>
      <c r="BB103" s="19">
        <f t="shared" si="79"/>
        <v>-1.5</v>
      </c>
      <c r="BC103" s="9">
        <f t="shared" si="80"/>
        <v>0.25</v>
      </c>
      <c r="BD103" s="9">
        <f t="shared" si="81"/>
        <v>-0.2857142857142857</v>
      </c>
      <c r="BE103" s="9">
        <f t="shared" si="82"/>
        <v>0.26666666666666666</v>
      </c>
      <c r="BF103" s="9">
        <f t="shared" si="83"/>
        <v>0.15789473684210525</v>
      </c>
      <c r="BG103" s="9">
        <f t="shared" si="84"/>
        <v>0.13636363636363635</v>
      </c>
      <c r="BH103" s="9">
        <f t="shared" si="85"/>
        <v>-0.184</v>
      </c>
      <c r="BI103" s="12">
        <f t="shared" si="86"/>
        <v>5.6868459026353763E-2</v>
      </c>
      <c r="BJ103" s="13">
        <f t="shared" si="87"/>
        <v>0.1471291866028708</v>
      </c>
      <c r="BK103" s="1">
        <f t="shared" si="88"/>
        <v>21</v>
      </c>
      <c r="BL103" s="1">
        <f t="shared" si="89"/>
        <v>-30</v>
      </c>
      <c r="BM103" s="1">
        <f t="shared" si="90"/>
        <v>20</v>
      </c>
      <c r="BN103" s="1">
        <f t="shared" si="91"/>
        <v>15</v>
      </c>
      <c r="BO103" s="1">
        <f t="shared" si="92"/>
        <v>15</v>
      </c>
      <c r="BP103" s="1">
        <f t="shared" si="93"/>
        <v>-23</v>
      </c>
      <c r="BQ103" s="19">
        <f t="shared" si="94"/>
        <v>3</v>
      </c>
      <c r="BR103" s="17">
        <f t="shared" si="95"/>
        <v>15</v>
      </c>
    </row>
    <row r="104" spans="1:70" x14ac:dyDescent="0.25">
      <c r="A104" t="s">
        <v>260</v>
      </c>
      <c r="B104">
        <v>17</v>
      </c>
      <c r="C104">
        <v>26</v>
      </c>
      <c r="D104">
        <v>25</v>
      </c>
      <c r="E104">
        <v>14</v>
      </c>
      <c r="F104">
        <v>19</v>
      </c>
      <c r="G104">
        <v>28</v>
      </c>
      <c r="H104">
        <v>31</v>
      </c>
      <c r="I104">
        <v>7</v>
      </c>
      <c r="J104">
        <v>16</v>
      </c>
      <c r="K104">
        <v>12</v>
      </c>
      <c r="L104">
        <v>7</v>
      </c>
      <c r="M104">
        <v>10</v>
      </c>
      <c r="N104">
        <v>13</v>
      </c>
      <c r="O104">
        <v>16</v>
      </c>
      <c r="P104">
        <v>10</v>
      </c>
      <c r="Q104">
        <v>10</v>
      </c>
      <c r="R104">
        <v>13</v>
      </c>
      <c r="S104">
        <v>7</v>
      </c>
      <c r="T104">
        <v>9</v>
      </c>
      <c r="U104">
        <v>15</v>
      </c>
      <c r="V104">
        <v>15</v>
      </c>
      <c r="W104" s="8">
        <f t="shared" si="48"/>
        <v>0.52941176470588236</v>
      </c>
      <c r="X104" s="8">
        <f t="shared" si="49"/>
        <v>-3.8461538461538464E-2</v>
      </c>
      <c r="Y104" s="8">
        <f t="shared" si="50"/>
        <v>-0.44</v>
      </c>
      <c r="Z104" s="8">
        <f t="shared" si="51"/>
        <v>0.35714285714285715</v>
      </c>
      <c r="AA104" s="8">
        <f t="shared" si="52"/>
        <v>0.47368421052631576</v>
      </c>
      <c r="AB104" s="8">
        <f t="shared" si="53"/>
        <v>0.10714285714285714</v>
      </c>
      <c r="AC104" s="12">
        <f t="shared" si="54"/>
        <v>0.16482002517606234</v>
      </c>
      <c r="AD104" s="12">
        <f t="shared" si="55"/>
        <v>0.23214285714285715</v>
      </c>
      <c r="AE104" s="1">
        <f t="shared" si="56"/>
        <v>9</v>
      </c>
      <c r="AF104" s="1">
        <f t="shared" si="57"/>
        <v>-1</v>
      </c>
      <c r="AG104" s="1">
        <f t="shared" si="58"/>
        <v>-11</v>
      </c>
      <c r="AH104" s="1">
        <f t="shared" si="59"/>
        <v>5</v>
      </c>
      <c r="AI104" s="1">
        <f t="shared" si="60"/>
        <v>9</v>
      </c>
      <c r="AJ104" s="1">
        <f t="shared" si="61"/>
        <v>3</v>
      </c>
      <c r="AK104" s="17">
        <f t="shared" si="62"/>
        <v>2.3333333333333335</v>
      </c>
      <c r="AL104" s="17">
        <f t="shared" si="63"/>
        <v>4</v>
      </c>
      <c r="AM104" s="1">
        <f t="shared" si="64"/>
        <v>1.2857142857142858</v>
      </c>
      <c r="AN104" s="1">
        <f t="shared" si="65"/>
        <v>-0.25</v>
      </c>
      <c r="AO104" s="1">
        <f t="shared" si="66"/>
        <v>-0.41666666666666669</v>
      </c>
      <c r="AP104" s="1">
        <f t="shared" si="67"/>
        <v>0.42857142857142855</v>
      </c>
      <c r="AQ104" s="1">
        <f t="shared" si="68"/>
        <v>0.3</v>
      </c>
      <c r="AR104" s="1">
        <f t="shared" si="69"/>
        <v>0.23076923076923078</v>
      </c>
      <c r="AS104" s="12">
        <f t="shared" si="70"/>
        <v>0.26306471306471307</v>
      </c>
      <c r="AT104" s="12">
        <f t="shared" si="71"/>
        <v>0.26538461538461539</v>
      </c>
      <c r="AU104" s="1">
        <f t="shared" si="72"/>
        <v>9</v>
      </c>
      <c r="AV104" s="1">
        <f t="shared" si="73"/>
        <v>-4</v>
      </c>
      <c r="AW104" s="1">
        <f t="shared" si="74"/>
        <v>-5</v>
      </c>
      <c r="AX104" s="1">
        <f t="shared" si="75"/>
        <v>3</v>
      </c>
      <c r="AY104" s="1">
        <f t="shared" si="76"/>
        <v>3</v>
      </c>
      <c r="AZ104" s="1">
        <f t="shared" si="77"/>
        <v>3</v>
      </c>
      <c r="BA104" s="19">
        <f t="shared" si="78"/>
        <v>1.5</v>
      </c>
      <c r="BB104" s="19">
        <f t="shared" si="79"/>
        <v>3</v>
      </c>
      <c r="BC104" s="9">
        <f t="shared" si="80"/>
        <v>0</v>
      </c>
      <c r="BD104" s="9">
        <f t="shared" si="81"/>
        <v>0.3</v>
      </c>
      <c r="BE104" s="9">
        <f t="shared" si="82"/>
        <v>-0.46153846153846156</v>
      </c>
      <c r="BF104" s="9">
        <f t="shared" si="83"/>
        <v>0.2857142857142857</v>
      </c>
      <c r="BG104" s="9">
        <f t="shared" si="84"/>
        <v>0.66666666666666663</v>
      </c>
      <c r="BH104" s="9">
        <f t="shared" si="85"/>
        <v>0</v>
      </c>
      <c r="BI104" s="12">
        <f t="shared" si="86"/>
        <v>0.13180708180708178</v>
      </c>
      <c r="BJ104" s="13">
        <f t="shared" si="87"/>
        <v>0.14285714285714285</v>
      </c>
      <c r="BK104" s="1">
        <f t="shared" si="88"/>
        <v>0</v>
      </c>
      <c r="BL104" s="1">
        <f t="shared" si="89"/>
        <v>3</v>
      </c>
      <c r="BM104" s="1">
        <f t="shared" si="90"/>
        <v>-6</v>
      </c>
      <c r="BN104" s="1">
        <f t="shared" si="91"/>
        <v>2</v>
      </c>
      <c r="BO104" s="1">
        <f t="shared" si="92"/>
        <v>6</v>
      </c>
      <c r="BP104" s="1">
        <f t="shared" si="93"/>
        <v>0</v>
      </c>
      <c r="BQ104" s="19">
        <f t="shared" si="94"/>
        <v>0.83333333333333337</v>
      </c>
      <c r="BR104" s="17">
        <f t="shared" si="95"/>
        <v>1</v>
      </c>
    </row>
    <row r="105" spans="1:70" x14ac:dyDescent="0.25">
      <c r="A105" t="s">
        <v>95</v>
      </c>
      <c r="B105">
        <v>287</v>
      </c>
      <c r="C105">
        <v>300</v>
      </c>
      <c r="D105">
        <v>328</v>
      </c>
      <c r="E105">
        <v>235</v>
      </c>
      <c r="F105">
        <v>259</v>
      </c>
      <c r="G105">
        <v>252</v>
      </c>
      <c r="H105">
        <v>300</v>
      </c>
      <c r="I105">
        <v>171</v>
      </c>
      <c r="J105">
        <v>151</v>
      </c>
      <c r="K105">
        <v>173</v>
      </c>
      <c r="L105">
        <v>124</v>
      </c>
      <c r="M105">
        <v>126</v>
      </c>
      <c r="N105">
        <v>128</v>
      </c>
      <c r="O105">
        <v>159</v>
      </c>
      <c r="P105">
        <v>116</v>
      </c>
      <c r="Q105">
        <v>149</v>
      </c>
      <c r="R105">
        <v>155</v>
      </c>
      <c r="S105">
        <v>111</v>
      </c>
      <c r="T105">
        <v>133</v>
      </c>
      <c r="U105">
        <v>124</v>
      </c>
      <c r="V105">
        <v>141</v>
      </c>
      <c r="W105" s="8">
        <f t="shared" si="48"/>
        <v>4.5296167247386762E-2</v>
      </c>
      <c r="X105" s="8">
        <f t="shared" si="49"/>
        <v>9.3333333333333338E-2</v>
      </c>
      <c r="Y105" s="8">
        <f t="shared" si="50"/>
        <v>-0.28353658536585363</v>
      </c>
      <c r="Z105" s="8">
        <f t="shared" si="51"/>
        <v>0.10212765957446808</v>
      </c>
      <c r="AA105" s="8">
        <f t="shared" si="52"/>
        <v>-2.7027027027027029E-2</v>
      </c>
      <c r="AB105" s="8">
        <f t="shared" si="53"/>
        <v>0.19047619047619047</v>
      </c>
      <c r="AC105" s="12">
        <f t="shared" si="54"/>
        <v>2.0111623039749664E-2</v>
      </c>
      <c r="AD105" s="12">
        <f t="shared" si="55"/>
        <v>6.931475029036005E-2</v>
      </c>
      <c r="AE105" s="1">
        <f t="shared" si="56"/>
        <v>13</v>
      </c>
      <c r="AF105" s="1">
        <f t="shared" si="57"/>
        <v>28</v>
      </c>
      <c r="AG105" s="1">
        <f t="shared" si="58"/>
        <v>-93</v>
      </c>
      <c r="AH105" s="1">
        <f t="shared" si="59"/>
        <v>24</v>
      </c>
      <c r="AI105" s="1">
        <f t="shared" si="60"/>
        <v>-7</v>
      </c>
      <c r="AJ105" s="1">
        <f t="shared" si="61"/>
        <v>48</v>
      </c>
      <c r="AK105" s="17">
        <f t="shared" si="62"/>
        <v>2.1666666666666665</v>
      </c>
      <c r="AL105" s="17">
        <f t="shared" si="63"/>
        <v>18.5</v>
      </c>
      <c r="AM105" s="1">
        <f t="shared" si="64"/>
        <v>-0.11695906432748537</v>
      </c>
      <c r="AN105" s="1">
        <f t="shared" si="65"/>
        <v>0.14569536423841059</v>
      </c>
      <c r="AO105" s="1">
        <f t="shared" si="66"/>
        <v>-0.2832369942196532</v>
      </c>
      <c r="AP105" s="1">
        <f t="shared" si="67"/>
        <v>1.6129032258064516E-2</v>
      </c>
      <c r="AQ105" s="1">
        <f t="shared" si="68"/>
        <v>1.5873015873015872E-2</v>
      </c>
      <c r="AR105" s="1">
        <f t="shared" si="69"/>
        <v>0.2421875</v>
      </c>
      <c r="AS105" s="12">
        <f t="shared" si="70"/>
        <v>3.2814756370587264E-3</v>
      </c>
      <c r="AT105" s="12">
        <f t="shared" si="71"/>
        <v>1.6001024065540194E-2</v>
      </c>
      <c r="AU105" s="1">
        <f t="shared" si="72"/>
        <v>-20</v>
      </c>
      <c r="AV105" s="1">
        <f t="shared" si="73"/>
        <v>22</v>
      </c>
      <c r="AW105" s="1">
        <f t="shared" si="74"/>
        <v>-49</v>
      </c>
      <c r="AX105" s="1">
        <f t="shared" si="75"/>
        <v>2</v>
      </c>
      <c r="AY105" s="1">
        <f t="shared" si="76"/>
        <v>2</v>
      </c>
      <c r="AZ105" s="1">
        <f t="shared" si="77"/>
        <v>31</v>
      </c>
      <c r="BA105" s="19">
        <f t="shared" si="78"/>
        <v>-2</v>
      </c>
      <c r="BB105" s="19">
        <f t="shared" si="79"/>
        <v>2</v>
      </c>
      <c r="BC105" s="9">
        <f t="shared" si="80"/>
        <v>0.28448275862068967</v>
      </c>
      <c r="BD105" s="9">
        <f t="shared" si="81"/>
        <v>4.0268456375838924E-2</v>
      </c>
      <c r="BE105" s="9">
        <f t="shared" si="82"/>
        <v>-0.28387096774193549</v>
      </c>
      <c r="BF105" s="9">
        <f t="shared" si="83"/>
        <v>0.1981981981981982</v>
      </c>
      <c r="BG105" s="9">
        <f t="shared" si="84"/>
        <v>-6.7669172932330823E-2</v>
      </c>
      <c r="BH105" s="9">
        <f t="shared" si="85"/>
        <v>0.13709677419354838</v>
      </c>
      <c r="BI105" s="12">
        <f t="shared" si="86"/>
        <v>5.1417674452334805E-2</v>
      </c>
      <c r="BJ105" s="13">
        <f t="shared" si="87"/>
        <v>8.868261528469365E-2</v>
      </c>
      <c r="BK105" s="1">
        <f t="shared" si="88"/>
        <v>33</v>
      </c>
      <c r="BL105" s="1">
        <f t="shared" si="89"/>
        <v>6</v>
      </c>
      <c r="BM105" s="1">
        <f t="shared" si="90"/>
        <v>-44</v>
      </c>
      <c r="BN105" s="1">
        <f t="shared" si="91"/>
        <v>22</v>
      </c>
      <c r="BO105" s="1">
        <f t="shared" si="92"/>
        <v>-9</v>
      </c>
      <c r="BP105" s="1">
        <f t="shared" si="93"/>
        <v>17</v>
      </c>
      <c r="BQ105" s="19">
        <f t="shared" si="94"/>
        <v>4.166666666666667</v>
      </c>
      <c r="BR105" s="17">
        <f t="shared" si="95"/>
        <v>11.5</v>
      </c>
    </row>
    <row r="106" spans="1:70" x14ac:dyDescent="0.25">
      <c r="A106" t="s">
        <v>198</v>
      </c>
      <c r="B106">
        <v>37</v>
      </c>
      <c r="C106">
        <v>35</v>
      </c>
      <c r="D106">
        <v>36</v>
      </c>
      <c r="E106">
        <v>33</v>
      </c>
      <c r="F106">
        <v>35</v>
      </c>
      <c r="G106">
        <v>41</v>
      </c>
      <c r="H106">
        <v>50</v>
      </c>
      <c r="I106">
        <v>23</v>
      </c>
      <c r="J106">
        <v>22</v>
      </c>
      <c r="K106">
        <v>21</v>
      </c>
      <c r="L106">
        <v>20</v>
      </c>
      <c r="M106">
        <v>14</v>
      </c>
      <c r="N106">
        <v>18</v>
      </c>
      <c r="O106">
        <v>22</v>
      </c>
      <c r="P106">
        <v>14</v>
      </c>
      <c r="Q106">
        <v>13</v>
      </c>
      <c r="R106">
        <v>15</v>
      </c>
      <c r="S106">
        <v>13</v>
      </c>
      <c r="T106">
        <v>21</v>
      </c>
      <c r="U106">
        <v>23</v>
      </c>
      <c r="V106">
        <v>28</v>
      </c>
      <c r="W106" s="8">
        <f t="shared" si="48"/>
        <v>-5.4054054054054057E-2</v>
      </c>
      <c r="X106" s="8">
        <f t="shared" si="49"/>
        <v>2.8571428571428571E-2</v>
      </c>
      <c r="Y106" s="8">
        <f t="shared" si="50"/>
        <v>-8.3333333333333329E-2</v>
      </c>
      <c r="Z106" s="8">
        <f t="shared" si="51"/>
        <v>6.0606060606060608E-2</v>
      </c>
      <c r="AA106" s="8">
        <f t="shared" si="52"/>
        <v>0.17142857142857143</v>
      </c>
      <c r="AB106" s="8">
        <f t="shared" si="53"/>
        <v>0.21951219512195122</v>
      </c>
      <c r="AC106" s="12">
        <f t="shared" si="54"/>
        <v>5.7121811390104076E-2</v>
      </c>
      <c r="AD106" s="12">
        <f t="shared" si="55"/>
        <v>4.4588744588744594E-2</v>
      </c>
      <c r="AE106" s="1">
        <f t="shared" si="56"/>
        <v>-2</v>
      </c>
      <c r="AF106" s="1">
        <f t="shared" si="57"/>
        <v>1</v>
      </c>
      <c r="AG106" s="1">
        <f t="shared" si="58"/>
        <v>-3</v>
      </c>
      <c r="AH106" s="1">
        <f t="shared" si="59"/>
        <v>2</v>
      </c>
      <c r="AI106" s="1">
        <f t="shared" si="60"/>
        <v>6</v>
      </c>
      <c r="AJ106" s="1">
        <f t="shared" si="61"/>
        <v>9</v>
      </c>
      <c r="AK106" s="17">
        <f t="shared" si="62"/>
        <v>2.1666666666666665</v>
      </c>
      <c r="AL106" s="17">
        <f t="shared" si="63"/>
        <v>1.5</v>
      </c>
      <c r="AM106" s="1">
        <f t="shared" si="64"/>
        <v>-4.3478260869565216E-2</v>
      </c>
      <c r="AN106" s="1">
        <f t="shared" si="65"/>
        <v>-4.5454545454545456E-2</v>
      </c>
      <c r="AO106" s="1">
        <f t="shared" si="66"/>
        <v>-4.7619047619047616E-2</v>
      </c>
      <c r="AP106" s="1">
        <f t="shared" si="67"/>
        <v>-0.3</v>
      </c>
      <c r="AQ106" s="1">
        <f t="shared" si="68"/>
        <v>0.2857142857142857</v>
      </c>
      <c r="AR106" s="1">
        <f t="shared" si="69"/>
        <v>0.22222222222222221</v>
      </c>
      <c r="AS106" s="12">
        <f t="shared" si="70"/>
        <v>1.1897442332224941E-2</v>
      </c>
      <c r="AT106" s="12">
        <f t="shared" si="71"/>
        <v>-4.4466403162055336E-2</v>
      </c>
      <c r="AU106" s="1">
        <f t="shared" si="72"/>
        <v>-1</v>
      </c>
      <c r="AV106" s="1">
        <f t="shared" si="73"/>
        <v>-1</v>
      </c>
      <c r="AW106" s="1">
        <f t="shared" si="74"/>
        <v>-1</v>
      </c>
      <c r="AX106" s="1">
        <f t="shared" si="75"/>
        <v>-6</v>
      </c>
      <c r="AY106" s="1">
        <f t="shared" si="76"/>
        <v>4</v>
      </c>
      <c r="AZ106" s="1">
        <f t="shared" si="77"/>
        <v>4</v>
      </c>
      <c r="BA106" s="19">
        <f t="shared" si="78"/>
        <v>-0.16666666666666666</v>
      </c>
      <c r="BB106" s="19">
        <f t="shared" si="79"/>
        <v>-1</v>
      </c>
      <c r="BC106" s="9">
        <f t="shared" si="80"/>
        <v>-7.1428571428571425E-2</v>
      </c>
      <c r="BD106" s="9">
        <f t="shared" si="81"/>
        <v>0.15384615384615385</v>
      </c>
      <c r="BE106" s="9">
        <f t="shared" si="82"/>
        <v>-0.13333333333333333</v>
      </c>
      <c r="BF106" s="9">
        <f t="shared" si="83"/>
        <v>0.61538461538461542</v>
      </c>
      <c r="BG106" s="9">
        <f t="shared" si="84"/>
        <v>9.5238095238095233E-2</v>
      </c>
      <c r="BH106" s="9">
        <f t="shared" si="85"/>
        <v>0.21739130434782608</v>
      </c>
      <c r="BI106" s="12">
        <f t="shared" si="86"/>
        <v>0.14618304400913096</v>
      </c>
      <c r="BJ106" s="13">
        <f t="shared" si="87"/>
        <v>0.12454212454212454</v>
      </c>
      <c r="BK106" s="1">
        <f t="shared" si="88"/>
        <v>-1</v>
      </c>
      <c r="BL106" s="1">
        <f t="shared" si="89"/>
        <v>2</v>
      </c>
      <c r="BM106" s="1">
        <f t="shared" si="90"/>
        <v>-2</v>
      </c>
      <c r="BN106" s="1">
        <f t="shared" si="91"/>
        <v>8</v>
      </c>
      <c r="BO106" s="1">
        <f t="shared" si="92"/>
        <v>2</v>
      </c>
      <c r="BP106" s="1">
        <f t="shared" si="93"/>
        <v>5</v>
      </c>
      <c r="BQ106" s="19">
        <f t="shared" si="94"/>
        <v>2.3333333333333335</v>
      </c>
      <c r="BR106" s="17">
        <f t="shared" si="95"/>
        <v>2</v>
      </c>
    </row>
    <row r="107" spans="1:70" x14ac:dyDescent="0.25">
      <c r="A107" t="s">
        <v>235</v>
      </c>
      <c r="B107">
        <v>22</v>
      </c>
      <c r="C107">
        <v>12</v>
      </c>
      <c r="D107">
        <v>22</v>
      </c>
      <c r="E107">
        <v>42</v>
      </c>
      <c r="F107">
        <v>39</v>
      </c>
      <c r="G107">
        <v>36</v>
      </c>
      <c r="H107">
        <v>35</v>
      </c>
      <c r="I107">
        <v>12</v>
      </c>
      <c r="J107">
        <v>3</v>
      </c>
      <c r="K107">
        <v>11</v>
      </c>
      <c r="L107">
        <v>25</v>
      </c>
      <c r="M107">
        <v>17</v>
      </c>
      <c r="N107">
        <v>18</v>
      </c>
      <c r="O107">
        <v>19</v>
      </c>
      <c r="P107">
        <v>10</v>
      </c>
      <c r="Q107">
        <v>9</v>
      </c>
      <c r="R107">
        <v>11</v>
      </c>
      <c r="S107">
        <v>17</v>
      </c>
      <c r="T107">
        <v>22</v>
      </c>
      <c r="U107">
        <v>18</v>
      </c>
      <c r="V107">
        <v>16</v>
      </c>
      <c r="W107" s="8">
        <f t="shared" si="48"/>
        <v>-0.45454545454545453</v>
      </c>
      <c r="X107" s="8">
        <f t="shared" si="49"/>
        <v>0.83333333333333337</v>
      </c>
      <c r="Y107" s="8">
        <f t="shared" si="50"/>
        <v>0.90909090909090906</v>
      </c>
      <c r="Z107" s="8">
        <f t="shared" si="51"/>
        <v>-7.1428571428571425E-2</v>
      </c>
      <c r="AA107" s="8">
        <f t="shared" si="52"/>
        <v>-7.6923076923076927E-2</v>
      </c>
      <c r="AB107" s="8">
        <f t="shared" si="53"/>
        <v>-2.7777777777777776E-2</v>
      </c>
      <c r="AC107" s="12">
        <f t="shared" si="54"/>
        <v>0.18529156029156033</v>
      </c>
      <c r="AD107" s="12">
        <f t="shared" si="55"/>
        <v>-4.96031746031746E-2</v>
      </c>
      <c r="AE107" s="1">
        <f t="shared" si="56"/>
        <v>-10</v>
      </c>
      <c r="AF107" s="1">
        <f t="shared" si="57"/>
        <v>10</v>
      </c>
      <c r="AG107" s="1">
        <f t="shared" si="58"/>
        <v>20</v>
      </c>
      <c r="AH107" s="1">
        <f t="shared" si="59"/>
        <v>-3</v>
      </c>
      <c r="AI107" s="1">
        <f t="shared" si="60"/>
        <v>-3</v>
      </c>
      <c r="AJ107" s="1">
        <f t="shared" si="61"/>
        <v>-1</v>
      </c>
      <c r="AK107" s="17">
        <f t="shared" si="62"/>
        <v>2.1666666666666665</v>
      </c>
      <c r="AL107" s="17">
        <f t="shared" si="63"/>
        <v>-2</v>
      </c>
      <c r="AM107" s="1">
        <f t="shared" si="64"/>
        <v>-0.75</v>
      </c>
      <c r="AN107" s="1">
        <f t="shared" si="65"/>
        <v>2.6666666666666665</v>
      </c>
      <c r="AO107" s="1">
        <f t="shared" si="66"/>
        <v>1.2727272727272727</v>
      </c>
      <c r="AP107" s="1">
        <f t="shared" si="67"/>
        <v>-0.32</v>
      </c>
      <c r="AQ107" s="1">
        <f t="shared" si="68"/>
        <v>5.8823529411764705E-2</v>
      </c>
      <c r="AR107" s="1">
        <f t="shared" si="69"/>
        <v>5.5555555555555552E-2</v>
      </c>
      <c r="AS107" s="12">
        <f t="shared" si="70"/>
        <v>0.49729550406020989</v>
      </c>
      <c r="AT107" s="12">
        <f t="shared" si="71"/>
        <v>5.7189542483660129E-2</v>
      </c>
      <c r="AU107" s="1">
        <f t="shared" si="72"/>
        <v>-9</v>
      </c>
      <c r="AV107" s="1">
        <f t="shared" si="73"/>
        <v>8</v>
      </c>
      <c r="AW107" s="1">
        <f t="shared" si="74"/>
        <v>14</v>
      </c>
      <c r="AX107" s="1">
        <f t="shared" si="75"/>
        <v>-8</v>
      </c>
      <c r="AY107" s="1">
        <f t="shared" si="76"/>
        <v>1</v>
      </c>
      <c r="AZ107" s="1">
        <f t="shared" si="77"/>
        <v>1</v>
      </c>
      <c r="BA107" s="19">
        <f t="shared" si="78"/>
        <v>1.1666666666666667</v>
      </c>
      <c r="BB107" s="19">
        <f t="shared" si="79"/>
        <v>1</v>
      </c>
      <c r="BC107" s="9">
        <f t="shared" si="80"/>
        <v>-0.1</v>
      </c>
      <c r="BD107" s="9">
        <f t="shared" si="81"/>
        <v>0.22222222222222221</v>
      </c>
      <c r="BE107" s="9">
        <f t="shared" si="82"/>
        <v>0.54545454545454541</v>
      </c>
      <c r="BF107" s="9">
        <f t="shared" si="83"/>
        <v>0.29411764705882354</v>
      </c>
      <c r="BG107" s="9">
        <f t="shared" si="84"/>
        <v>-0.18181818181818182</v>
      </c>
      <c r="BH107" s="9">
        <f t="shared" si="85"/>
        <v>-0.1111111111111111</v>
      </c>
      <c r="BI107" s="12">
        <f t="shared" si="86"/>
        <v>0.1114775203010497</v>
      </c>
      <c r="BJ107" s="13">
        <f t="shared" si="87"/>
        <v>6.1111111111111088E-2</v>
      </c>
      <c r="BK107" s="1">
        <f t="shared" si="88"/>
        <v>-1</v>
      </c>
      <c r="BL107" s="1">
        <f t="shared" si="89"/>
        <v>2</v>
      </c>
      <c r="BM107" s="1">
        <f t="shared" si="90"/>
        <v>6</v>
      </c>
      <c r="BN107" s="1">
        <f t="shared" si="91"/>
        <v>5</v>
      </c>
      <c r="BO107" s="1">
        <f t="shared" si="92"/>
        <v>-4</v>
      </c>
      <c r="BP107" s="1">
        <f t="shared" si="93"/>
        <v>-2</v>
      </c>
      <c r="BQ107" s="19">
        <f t="shared" si="94"/>
        <v>1</v>
      </c>
      <c r="BR107" s="17">
        <f t="shared" si="95"/>
        <v>0.5</v>
      </c>
    </row>
    <row r="108" spans="1:70" x14ac:dyDescent="0.25">
      <c r="A108" t="s">
        <v>283</v>
      </c>
      <c r="B108">
        <v>13</v>
      </c>
      <c r="C108">
        <v>18</v>
      </c>
      <c r="D108">
        <v>18</v>
      </c>
      <c r="E108">
        <v>13</v>
      </c>
      <c r="F108">
        <v>21</v>
      </c>
      <c r="G108">
        <v>30</v>
      </c>
      <c r="H108">
        <v>26</v>
      </c>
      <c r="I108">
        <v>5</v>
      </c>
      <c r="J108">
        <v>6</v>
      </c>
      <c r="K108">
        <v>11</v>
      </c>
      <c r="L108">
        <v>9</v>
      </c>
      <c r="M108">
        <v>7</v>
      </c>
      <c r="N108">
        <v>12</v>
      </c>
      <c r="O108">
        <v>11</v>
      </c>
      <c r="P108">
        <v>8</v>
      </c>
      <c r="Q108">
        <v>12</v>
      </c>
      <c r="R108">
        <v>7</v>
      </c>
      <c r="S108">
        <v>4</v>
      </c>
      <c r="T108">
        <v>14</v>
      </c>
      <c r="U108">
        <v>18</v>
      </c>
      <c r="V108">
        <v>15</v>
      </c>
      <c r="W108" s="8">
        <f t="shared" si="48"/>
        <v>0.38461538461538464</v>
      </c>
      <c r="X108" s="8">
        <f t="shared" si="49"/>
        <v>0</v>
      </c>
      <c r="Y108" s="8">
        <f t="shared" si="50"/>
        <v>-0.27777777777777779</v>
      </c>
      <c r="Z108" s="8">
        <f t="shared" si="51"/>
        <v>0.61538461538461542</v>
      </c>
      <c r="AA108" s="8">
        <f t="shared" si="52"/>
        <v>0.42857142857142855</v>
      </c>
      <c r="AB108" s="8">
        <f t="shared" si="53"/>
        <v>-0.13333333333333333</v>
      </c>
      <c r="AC108" s="12">
        <f t="shared" si="54"/>
        <v>0.1695767195767196</v>
      </c>
      <c r="AD108" s="12">
        <f t="shared" si="55"/>
        <v>0.19230769230769232</v>
      </c>
      <c r="AE108" s="1">
        <f t="shared" si="56"/>
        <v>5</v>
      </c>
      <c r="AF108" s="1">
        <f t="shared" si="57"/>
        <v>0</v>
      </c>
      <c r="AG108" s="1">
        <f t="shared" si="58"/>
        <v>-5</v>
      </c>
      <c r="AH108" s="1">
        <f t="shared" si="59"/>
        <v>8</v>
      </c>
      <c r="AI108" s="1">
        <f t="shared" si="60"/>
        <v>9</v>
      </c>
      <c r="AJ108" s="1">
        <f t="shared" si="61"/>
        <v>-4</v>
      </c>
      <c r="AK108" s="17">
        <f t="shared" si="62"/>
        <v>2.1666666666666665</v>
      </c>
      <c r="AL108" s="17">
        <f t="shared" si="63"/>
        <v>2.5</v>
      </c>
      <c r="AM108" s="1">
        <f t="shared" si="64"/>
        <v>0.2</v>
      </c>
      <c r="AN108" s="1">
        <f t="shared" si="65"/>
        <v>0.83333333333333337</v>
      </c>
      <c r="AO108" s="1">
        <f t="shared" si="66"/>
        <v>-0.18181818181818182</v>
      </c>
      <c r="AP108" s="1">
        <f t="shared" si="67"/>
        <v>-0.22222222222222221</v>
      </c>
      <c r="AQ108" s="1">
        <f t="shared" si="68"/>
        <v>0.7142857142857143</v>
      </c>
      <c r="AR108" s="1">
        <f t="shared" si="69"/>
        <v>-8.3333333333333329E-2</v>
      </c>
      <c r="AS108" s="12">
        <f t="shared" si="70"/>
        <v>0.21004088504088506</v>
      </c>
      <c r="AT108" s="12">
        <f t="shared" si="71"/>
        <v>5.8333333333333334E-2</v>
      </c>
      <c r="AU108" s="1">
        <f t="shared" si="72"/>
        <v>1</v>
      </c>
      <c r="AV108" s="1">
        <f t="shared" si="73"/>
        <v>5</v>
      </c>
      <c r="AW108" s="1">
        <f t="shared" si="74"/>
        <v>-2</v>
      </c>
      <c r="AX108" s="1">
        <f t="shared" si="75"/>
        <v>-2</v>
      </c>
      <c r="AY108" s="1">
        <f t="shared" si="76"/>
        <v>5</v>
      </c>
      <c r="AZ108" s="1">
        <f t="shared" si="77"/>
        <v>-1</v>
      </c>
      <c r="BA108" s="19">
        <f t="shared" si="78"/>
        <v>1</v>
      </c>
      <c r="BB108" s="19">
        <f t="shared" si="79"/>
        <v>0</v>
      </c>
      <c r="BC108" s="9">
        <f t="shared" si="80"/>
        <v>0.5</v>
      </c>
      <c r="BD108" s="9">
        <f t="shared" si="81"/>
        <v>-0.41666666666666669</v>
      </c>
      <c r="BE108" s="9">
        <f t="shared" si="82"/>
        <v>-0.42857142857142855</v>
      </c>
      <c r="BF108" s="9">
        <f t="shared" si="83"/>
        <v>2.5</v>
      </c>
      <c r="BG108" s="9">
        <f t="shared" si="84"/>
        <v>0.2857142857142857</v>
      </c>
      <c r="BH108" s="9">
        <f t="shared" si="85"/>
        <v>-0.16666666666666666</v>
      </c>
      <c r="BI108" s="12">
        <f t="shared" si="86"/>
        <v>0.37896825396825395</v>
      </c>
      <c r="BJ108" s="13">
        <f t="shared" si="87"/>
        <v>5.9523809523809507E-2</v>
      </c>
      <c r="BK108" s="1">
        <f t="shared" si="88"/>
        <v>4</v>
      </c>
      <c r="BL108" s="1">
        <f t="shared" si="89"/>
        <v>-5</v>
      </c>
      <c r="BM108" s="1">
        <f t="shared" si="90"/>
        <v>-3</v>
      </c>
      <c r="BN108" s="1">
        <f t="shared" si="91"/>
        <v>10</v>
      </c>
      <c r="BO108" s="1">
        <f t="shared" si="92"/>
        <v>4</v>
      </c>
      <c r="BP108" s="1">
        <f t="shared" si="93"/>
        <v>-3</v>
      </c>
      <c r="BQ108" s="19">
        <f t="shared" si="94"/>
        <v>1.1666666666666667</v>
      </c>
      <c r="BR108" s="17">
        <f t="shared" si="95"/>
        <v>0.5</v>
      </c>
    </row>
    <row r="109" spans="1:70" x14ac:dyDescent="0.25">
      <c r="A109" t="s">
        <v>306</v>
      </c>
      <c r="B109">
        <v>10</v>
      </c>
      <c r="C109">
        <v>11</v>
      </c>
      <c r="D109">
        <v>8</v>
      </c>
      <c r="E109">
        <v>14</v>
      </c>
      <c r="F109">
        <v>24</v>
      </c>
      <c r="G109">
        <v>24</v>
      </c>
      <c r="H109">
        <v>23</v>
      </c>
      <c r="I109">
        <v>4</v>
      </c>
      <c r="J109">
        <v>5</v>
      </c>
      <c r="K109">
        <v>3</v>
      </c>
      <c r="L109">
        <v>6</v>
      </c>
      <c r="M109">
        <v>10</v>
      </c>
      <c r="N109">
        <v>9</v>
      </c>
      <c r="O109">
        <v>4</v>
      </c>
      <c r="P109">
        <v>6</v>
      </c>
      <c r="Q109">
        <v>6</v>
      </c>
      <c r="R109">
        <v>5</v>
      </c>
      <c r="S109">
        <v>8</v>
      </c>
      <c r="T109">
        <v>14</v>
      </c>
      <c r="U109">
        <v>15</v>
      </c>
      <c r="V109">
        <v>19</v>
      </c>
      <c r="W109" s="8">
        <f t="shared" si="48"/>
        <v>0.1</v>
      </c>
      <c r="X109" s="8">
        <f t="shared" si="49"/>
        <v>-0.27272727272727271</v>
      </c>
      <c r="Y109" s="8">
        <f t="shared" si="50"/>
        <v>0.75</v>
      </c>
      <c r="Z109" s="8">
        <f t="shared" si="51"/>
        <v>0.7142857142857143</v>
      </c>
      <c r="AA109" s="8">
        <f t="shared" si="52"/>
        <v>0</v>
      </c>
      <c r="AB109" s="8">
        <f t="shared" si="53"/>
        <v>-4.1666666666666664E-2</v>
      </c>
      <c r="AC109" s="12">
        <f t="shared" si="54"/>
        <v>0.20831529581529581</v>
      </c>
      <c r="AD109" s="12">
        <f t="shared" si="55"/>
        <v>0.05</v>
      </c>
      <c r="AE109" s="1">
        <f t="shared" si="56"/>
        <v>1</v>
      </c>
      <c r="AF109" s="1">
        <f t="shared" si="57"/>
        <v>-3</v>
      </c>
      <c r="AG109" s="1">
        <f t="shared" si="58"/>
        <v>6</v>
      </c>
      <c r="AH109" s="1">
        <f t="shared" si="59"/>
        <v>10</v>
      </c>
      <c r="AI109" s="1">
        <f t="shared" si="60"/>
        <v>0</v>
      </c>
      <c r="AJ109" s="1">
        <f t="shared" si="61"/>
        <v>-1</v>
      </c>
      <c r="AK109" s="17">
        <f t="shared" si="62"/>
        <v>2.1666666666666665</v>
      </c>
      <c r="AL109" s="17">
        <f t="shared" si="63"/>
        <v>0.5</v>
      </c>
      <c r="AM109" s="1">
        <f t="shared" si="64"/>
        <v>0.25</v>
      </c>
      <c r="AN109" s="1">
        <f t="shared" si="65"/>
        <v>-0.4</v>
      </c>
      <c r="AO109" s="1">
        <f t="shared" si="66"/>
        <v>1</v>
      </c>
      <c r="AP109" s="1">
        <f t="shared" si="67"/>
        <v>0.66666666666666663</v>
      </c>
      <c r="AQ109" s="1">
        <f t="shared" si="68"/>
        <v>-0.1</v>
      </c>
      <c r="AR109" s="1">
        <f t="shared" si="69"/>
        <v>-0.55555555555555558</v>
      </c>
      <c r="AS109" s="12">
        <f t="shared" si="70"/>
        <v>0.14351851851851849</v>
      </c>
      <c r="AT109" s="12">
        <f t="shared" si="71"/>
        <v>7.4999999999999983E-2</v>
      </c>
      <c r="AU109" s="1">
        <f t="shared" si="72"/>
        <v>1</v>
      </c>
      <c r="AV109" s="1">
        <f t="shared" si="73"/>
        <v>-2</v>
      </c>
      <c r="AW109" s="1">
        <f t="shared" si="74"/>
        <v>3</v>
      </c>
      <c r="AX109" s="1">
        <f t="shared" si="75"/>
        <v>4</v>
      </c>
      <c r="AY109" s="1">
        <f t="shared" si="76"/>
        <v>-1</v>
      </c>
      <c r="AZ109" s="1">
        <f t="shared" si="77"/>
        <v>-5</v>
      </c>
      <c r="BA109" s="19">
        <f t="shared" si="78"/>
        <v>0</v>
      </c>
      <c r="BB109" s="19">
        <f t="shared" si="79"/>
        <v>0</v>
      </c>
      <c r="BC109" s="9">
        <f t="shared" si="80"/>
        <v>0</v>
      </c>
      <c r="BD109" s="9">
        <f t="shared" si="81"/>
        <v>-0.16666666666666666</v>
      </c>
      <c r="BE109" s="9">
        <f t="shared" si="82"/>
        <v>0.6</v>
      </c>
      <c r="BF109" s="9">
        <f t="shared" si="83"/>
        <v>0.75</v>
      </c>
      <c r="BG109" s="9">
        <f t="shared" si="84"/>
        <v>7.1428571428571425E-2</v>
      </c>
      <c r="BH109" s="9">
        <f t="shared" si="85"/>
        <v>0.26666666666666666</v>
      </c>
      <c r="BI109" s="12">
        <f t="shared" si="86"/>
        <v>0.25357142857142856</v>
      </c>
      <c r="BJ109" s="13">
        <f t="shared" si="87"/>
        <v>0.16904761904761906</v>
      </c>
      <c r="BK109" s="1">
        <f t="shared" si="88"/>
        <v>0</v>
      </c>
      <c r="BL109" s="1">
        <f t="shared" si="89"/>
        <v>-1</v>
      </c>
      <c r="BM109" s="1">
        <f t="shared" si="90"/>
        <v>3</v>
      </c>
      <c r="BN109" s="1">
        <f t="shared" si="91"/>
        <v>6</v>
      </c>
      <c r="BO109" s="1">
        <f t="shared" si="92"/>
        <v>1</v>
      </c>
      <c r="BP109" s="1">
        <f t="shared" si="93"/>
        <v>4</v>
      </c>
      <c r="BQ109" s="19">
        <f t="shared" si="94"/>
        <v>2.1666666666666665</v>
      </c>
      <c r="BR109" s="17">
        <f t="shared" si="95"/>
        <v>2</v>
      </c>
    </row>
    <row r="110" spans="1:70" x14ac:dyDescent="0.25">
      <c r="A110" t="s">
        <v>363</v>
      </c>
      <c r="B110">
        <v>6</v>
      </c>
      <c r="C110">
        <v>11</v>
      </c>
      <c r="D110">
        <v>15</v>
      </c>
      <c r="E110">
        <v>12</v>
      </c>
      <c r="F110">
        <v>19</v>
      </c>
      <c r="G110">
        <v>23</v>
      </c>
      <c r="H110">
        <v>19</v>
      </c>
      <c r="I110">
        <v>2</v>
      </c>
      <c r="J110">
        <v>7</v>
      </c>
      <c r="K110">
        <v>9</v>
      </c>
      <c r="L110">
        <v>6</v>
      </c>
      <c r="M110">
        <v>9</v>
      </c>
      <c r="N110">
        <v>10</v>
      </c>
      <c r="O110">
        <v>8</v>
      </c>
      <c r="P110">
        <v>4</v>
      </c>
      <c r="Q110">
        <v>4</v>
      </c>
      <c r="R110">
        <v>6</v>
      </c>
      <c r="S110">
        <v>6</v>
      </c>
      <c r="T110">
        <v>10</v>
      </c>
      <c r="U110">
        <v>13</v>
      </c>
      <c r="V110">
        <v>11</v>
      </c>
      <c r="W110" s="8">
        <f t="shared" si="48"/>
        <v>0.83333333333333337</v>
      </c>
      <c r="X110" s="8">
        <f t="shared" si="49"/>
        <v>0.36363636363636365</v>
      </c>
      <c r="Y110" s="8">
        <f t="shared" si="50"/>
        <v>-0.2</v>
      </c>
      <c r="Z110" s="8">
        <f t="shared" si="51"/>
        <v>0.58333333333333337</v>
      </c>
      <c r="AA110" s="8">
        <f t="shared" si="52"/>
        <v>0.21052631578947367</v>
      </c>
      <c r="AB110" s="8">
        <f t="shared" si="53"/>
        <v>-0.17391304347826086</v>
      </c>
      <c r="AC110" s="12">
        <f t="shared" si="54"/>
        <v>0.26948605043570723</v>
      </c>
      <c r="AD110" s="12">
        <f t="shared" si="55"/>
        <v>0.28708133971291866</v>
      </c>
      <c r="AE110" s="1">
        <f t="shared" si="56"/>
        <v>5</v>
      </c>
      <c r="AF110" s="1">
        <f t="shared" si="57"/>
        <v>4</v>
      </c>
      <c r="AG110" s="1">
        <f t="shared" si="58"/>
        <v>-3</v>
      </c>
      <c r="AH110" s="1">
        <f t="shared" si="59"/>
        <v>7</v>
      </c>
      <c r="AI110" s="1">
        <f t="shared" si="60"/>
        <v>4</v>
      </c>
      <c r="AJ110" s="1">
        <f t="shared" si="61"/>
        <v>-4</v>
      </c>
      <c r="AK110" s="17">
        <f t="shared" si="62"/>
        <v>2.1666666666666665</v>
      </c>
      <c r="AL110" s="17">
        <f t="shared" si="63"/>
        <v>4</v>
      </c>
      <c r="AM110" s="1">
        <f t="shared" si="64"/>
        <v>2.5</v>
      </c>
      <c r="AN110" s="1">
        <f t="shared" si="65"/>
        <v>0.2857142857142857</v>
      </c>
      <c r="AO110" s="1">
        <f t="shared" si="66"/>
        <v>-0.33333333333333331</v>
      </c>
      <c r="AP110" s="1">
        <f t="shared" si="67"/>
        <v>0.5</v>
      </c>
      <c r="AQ110" s="1">
        <f t="shared" si="68"/>
        <v>0.1111111111111111</v>
      </c>
      <c r="AR110" s="1">
        <f t="shared" si="69"/>
        <v>-0.2</v>
      </c>
      <c r="AS110" s="12">
        <f t="shared" si="70"/>
        <v>0.4772486772486772</v>
      </c>
      <c r="AT110" s="12">
        <f t="shared" si="71"/>
        <v>0.1984126984126984</v>
      </c>
      <c r="AU110" s="1">
        <f t="shared" si="72"/>
        <v>5</v>
      </c>
      <c r="AV110" s="1">
        <f t="shared" si="73"/>
        <v>2</v>
      </c>
      <c r="AW110" s="1">
        <f t="shared" si="74"/>
        <v>-3</v>
      </c>
      <c r="AX110" s="1">
        <f t="shared" si="75"/>
        <v>3</v>
      </c>
      <c r="AY110" s="1">
        <f t="shared" si="76"/>
        <v>1</v>
      </c>
      <c r="AZ110" s="1">
        <f t="shared" si="77"/>
        <v>-2</v>
      </c>
      <c r="BA110" s="19">
        <f t="shared" si="78"/>
        <v>1</v>
      </c>
      <c r="BB110" s="19">
        <f t="shared" si="79"/>
        <v>1.5</v>
      </c>
      <c r="BC110" s="9">
        <f t="shared" si="80"/>
        <v>0</v>
      </c>
      <c r="BD110" s="9">
        <f t="shared" si="81"/>
        <v>0.5</v>
      </c>
      <c r="BE110" s="9">
        <f t="shared" si="82"/>
        <v>0</v>
      </c>
      <c r="BF110" s="9">
        <f t="shared" si="83"/>
        <v>0.66666666666666663</v>
      </c>
      <c r="BG110" s="9">
        <f t="shared" si="84"/>
        <v>0.3</v>
      </c>
      <c r="BH110" s="9">
        <f t="shared" si="85"/>
        <v>-0.15384615384615385</v>
      </c>
      <c r="BI110" s="12">
        <f t="shared" si="86"/>
        <v>0.21880341880341878</v>
      </c>
      <c r="BJ110" s="13">
        <f t="shared" si="87"/>
        <v>0.15</v>
      </c>
      <c r="BK110" s="1">
        <f t="shared" si="88"/>
        <v>0</v>
      </c>
      <c r="BL110" s="1">
        <f t="shared" si="89"/>
        <v>2</v>
      </c>
      <c r="BM110" s="1">
        <f t="shared" si="90"/>
        <v>0</v>
      </c>
      <c r="BN110" s="1">
        <f t="shared" si="91"/>
        <v>4</v>
      </c>
      <c r="BO110" s="1">
        <f t="shared" si="92"/>
        <v>3</v>
      </c>
      <c r="BP110" s="1">
        <f t="shared" si="93"/>
        <v>-2</v>
      </c>
      <c r="BQ110" s="19">
        <f t="shared" si="94"/>
        <v>1.1666666666666667</v>
      </c>
      <c r="BR110" s="17">
        <f t="shared" si="95"/>
        <v>1</v>
      </c>
    </row>
    <row r="111" spans="1:70" x14ac:dyDescent="0.25">
      <c r="A111" t="s">
        <v>444</v>
      </c>
      <c r="B111">
        <v>3</v>
      </c>
      <c r="C111">
        <v>15</v>
      </c>
      <c r="D111">
        <v>18</v>
      </c>
      <c r="E111">
        <v>14</v>
      </c>
      <c r="F111">
        <v>18</v>
      </c>
      <c r="G111">
        <v>11</v>
      </c>
      <c r="H111">
        <v>16</v>
      </c>
      <c r="I111">
        <v>2</v>
      </c>
      <c r="J111">
        <v>11</v>
      </c>
      <c r="K111">
        <v>12</v>
      </c>
      <c r="L111">
        <v>7</v>
      </c>
      <c r="M111">
        <v>9</v>
      </c>
      <c r="N111">
        <v>5</v>
      </c>
      <c r="O111">
        <v>7</v>
      </c>
      <c r="P111">
        <v>1</v>
      </c>
      <c r="Q111">
        <v>4</v>
      </c>
      <c r="R111">
        <v>6</v>
      </c>
      <c r="S111">
        <v>7</v>
      </c>
      <c r="T111">
        <v>9</v>
      </c>
      <c r="U111">
        <v>6</v>
      </c>
      <c r="V111">
        <v>9</v>
      </c>
      <c r="W111" s="8">
        <f t="shared" si="48"/>
        <v>4</v>
      </c>
      <c r="X111" s="8">
        <f t="shared" si="49"/>
        <v>0.2</v>
      </c>
      <c r="Y111" s="8">
        <f t="shared" si="50"/>
        <v>-0.22222222222222221</v>
      </c>
      <c r="Z111" s="8">
        <f t="shared" si="51"/>
        <v>0.2857142857142857</v>
      </c>
      <c r="AA111" s="8">
        <f t="shared" si="52"/>
        <v>-0.3888888888888889</v>
      </c>
      <c r="AB111" s="8">
        <f t="shared" si="53"/>
        <v>0.45454545454545453</v>
      </c>
      <c r="AC111" s="12">
        <f t="shared" si="54"/>
        <v>0.72152477152477157</v>
      </c>
      <c r="AD111" s="12">
        <f t="shared" si="55"/>
        <v>0.24285714285714285</v>
      </c>
      <c r="AE111" s="1">
        <f t="shared" si="56"/>
        <v>12</v>
      </c>
      <c r="AF111" s="1">
        <f t="shared" si="57"/>
        <v>3</v>
      </c>
      <c r="AG111" s="1">
        <f t="shared" si="58"/>
        <v>-4</v>
      </c>
      <c r="AH111" s="1">
        <f t="shared" si="59"/>
        <v>4</v>
      </c>
      <c r="AI111" s="1">
        <f t="shared" si="60"/>
        <v>-7</v>
      </c>
      <c r="AJ111" s="1">
        <f t="shared" si="61"/>
        <v>5</v>
      </c>
      <c r="AK111" s="17">
        <f t="shared" si="62"/>
        <v>2.1666666666666665</v>
      </c>
      <c r="AL111" s="17">
        <f t="shared" si="63"/>
        <v>3.5</v>
      </c>
      <c r="AM111" s="1">
        <f t="shared" si="64"/>
        <v>4.5</v>
      </c>
      <c r="AN111" s="1">
        <f t="shared" si="65"/>
        <v>9.0909090909090912E-2</v>
      </c>
      <c r="AO111" s="1">
        <f t="shared" si="66"/>
        <v>-0.41666666666666669</v>
      </c>
      <c r="AP111" s="1">
        <f t="shared" si="67"/>
        <v>0.2857142857142857</v>
      </c>
      <c r="AQ111" s="1">
        <f t="shared" si="68"/>
        <v>-0.44444444444444442</v>
      </c>
      <c r="AR111" s="1">
        <f t="shared" si="69"/>
        <v>0.4</v>
      </c>
      <c r="AS111" s="12">
        <f t="shared" si="70"/>
        <v>0.73591871091871086</v>
      </c>
      <c r="AT111" s="12">
        <f t="shared" si="71"/>
        <v>0.18831168831168832</v>
      </c>
      <c r="AU111" s="1">
        <f t="shared" si="72"/>
        <v>9</v>
      </c>
      <c r="AV111" s="1">
        <f t="shared" si="73"/>
        <v>1</v>
      </c>
      <c r="AW111" s="1">
        <f t="shared" si="74"/>
        <v>-5</v>
      </c>
      <c r="AX111" s="1">
        <f t="shared" si="75"/>
        <v>2</v>
      </c>
      <c r="AY111" s="1">
        <f t="shared" si="76"/>
        <v>-4</v>
      </c>
      <c r="AZ111" s="1">
        <f t="shared" si="77"/>
        <v>2</v>
      </c>
      <c r="BA111" s="19">
        <f t="shared" si="78"/>
        <v>0.83333333333333337</v>
      </c>
      <c r="BB111" s="19">
        <f t="shared" si="79"/>
        <v>1.5</v>
      </c>
      <c r="BC111" s="9">
        <f t="shared" si="80"/>
        <v>3</v>
      </c>
      <c r="BD111" s="9">
        <f t="shared" si="81"/>
        <v>0.5</v>
      </c>
      <c r="BE111" s="9">
        <f t="shared" si="82"/>
        <v>0.16666666666666666</v>
      </c>
      <c r="BF111" s="9">
        <f t="shared" si="83"/>
        <v>0.2857142857142857</v>
      </c>
      <c r="BG111" s="9">
        <f t="shared" si="84"/>
        <v>-0.33333333333333331</v>
      </c>
      <c r="BH111" s="9">
        <f t="shared" si="85"/>
        <v>0.5</v>
      </c>
      <c r="BI111" s="12">
        <f t="shared" si="86"/>
        <v>0.6865079365079364</v>
      </c>
      <c r="BJ111" s="13">
        <f t="shared" si="87"/>
        <v>0.39285714285714285</v>
      </c>
      <c r="BK111" s="1">
        <f t="shared" si="88"/>
        <v>3</v>
      </c>
      <c r="BL111" s="1">
        <f t="shared" si="89"/>
        <v>2</v>
      </c>
      <c r="BM111" s="1">
        <f t="shared" si="90"/>
        <v>1</v>
      </c>
      <c r="BN111" s="1">
        <f t="shared" si="91"/>
        <v>2</v>
      </c>
      <c r="BO111" s="1">
        <f t="shared" si="92"/>
        <v>-3</v>
      </c>
      <c r="BP111" s="1">
        <f t="shared" si="93"/>
        <v>3</v>
      </c>
      <c r="BQ111" s="19">
        <f t="shared" si="94"/>
        <v>1.3333333333333333</v>
      </c>
      <c r="BR111" s="17">
        <f t="shared" si="95"/>
        <v>2</v>
      </c>
    </row>
    <row r="112" spans="1:70" x14ac:dyDescent="0.25">
      <c r="A112" t="s">
        <v>184</v>
      </c>
      <c r="B112">
        <v>46</v>
      </c>
      <c r="C112">
        <v>29</v>
      </c>
      <c r="D112">
        <v>47</v>
      </c>
      <c r="E112">
        <v>50</v>
      </c>
      <c r="F112">
        <v>38</v>
      </c>
      <c r="G112">
        <v>49</v>
      </c>
      <c r="H112">
        <v>58</v>
      </c>
      <c r="I112">
        <v>46</v>
      </c>
      <c r="J112">
        <v>29</v>
      </c>
      <c r="K112">
        <v>47</v>
      </c>
      <c r="L112">
        <v>50</v>
      </c>
      <c r="M112">
        <v>38</v>
      </c>
      <c r="N112">
        <v>49</v>
      </c>
      <c r="O112">
        <v>58</v>
      </c>
      <c r="W112" s="8">
        <f t="shared" si="48"/>
        <v>-0.36956521739130432</v>
      </c>
      <c r="X112" s="8">
        <f t="shared" si="49"/>
        <v>0.62068965517241381</v>
      </c>
      <c r="Y112" s="8">
        <f t="shared" si="50"/>
        <v>6.3829787234042548E-2</v>
      </c>
      <c r="Z112" s="8">
        <f t="shared" si="51"/>
        <v>-0.24</v>
      </c>
      <c r="AA112" s="8">
        <f t="shared" si="52"/>
        <v>0.28947368421052633</v>
      </c>
      <c r="AB112" s="8">
        <f t="shared" si="53"/>
        <v>0.18367346938775511</v>
      </c>
      <c r="AC112" s="12">
        <f t="shared" si="54"/>
        <v>9.1350229768905569E-2</v>
      </c>
      <c r="AD112" s="12">
        <f t="shared" si="55"/>
        <v>0.12375162831089884</v>
      </c>
      <c r="AE112" s="1">
        <f t="shared" si="56"/>
        <v>-17</v>
      </c>
      <c r="AF112" s="1">
        <f t="shared" si="57"/>
        <v>18</v>
      </c>
      <c r="AG112" s="1">
        <f t="shared" si="58"/>
        <v>3</v>
      </c>
      <c r="AH112" s="1">
        <f t="shared" si="59"/>
        <v>-12</v>
      </c>
      <c r="AI112" s="1">
        <f t="shared" si="60"/>
        <v>11</v>
      </c>
      <c r="AJ112" s="1">
        <f t="shared" si="61"/>
        <v>9</v>
      </c>
      <c r="AK112" s="17">
        <f t="shared" si="62"/>
        <v>2</v>
      </c>
      <c r="AL112" s="17">
        <f t="shared" si="63"/>
        <v>6</v>
      </c>
      <c r="AM112" s="1">
        <f t="shared" si="64"/>
        <v>-0.36956521739130432</v>
      </c>
      <c r="AN112" s="1">
        <f t="shared" si="65"/>
        <v>0.62068965517241381</v>
      </c>
      <c r="AO112" s="1">
        <f t="shared" si="66"/>
        <v>6.3829787234042548E-2</v>
      </c>
      <c r="AP112" s="1">
        <f t="shared" si="67"/>
        <v>-0.24</v>
      </c>
      <c r="AQ112" s="1">
        <f t="shared" si="68"/>
        <v>0.28947368421052633</v>
      </c>
      <c r="AR112" s="1">
        <f t="shared" si="69"/>
        <v>0.18367346938775511</v>
      </c>
      <c r="AS112" s="12">
        <f t="shared" si="70"/>
        <v>9.1350229768905569E-2</v>
      </c>
      <c r="AT112" s="12">
        <f t="shared" si="71"/>
        <v>0.12375162831089884</v>
      </c>
      <c r="AU112" s="1">
        <f t="shared" si="72"/>
        <v>-17</v>
      </c>
      <c r="AV112" s="1">
        <f t="shared" si="73"/>
        <v>18</v>
      </c>
      <c r="AW112" s="1">
        <f t="shared" si="74"/>
        <v>3</v>
      </c>
      <c r="AX112" s="1">
        <f t="shared" si="75"/>
        <v>-12</v>
      </c>
      <c r="AY112" s="1">
        <f t="shared" si="76"/>
        <v>11</v>
      </c>
      <c r="AZ112" s="1">
        <f t="shared" si="77"/>
        <v>9</v>
      </c>
      <c r="BA112" s="19">
        <f t="shared" si="78"/>
        <v>2</v>
      </c>
      <c r="BB112" s="19">
        <f t="shared" si="79"/>
        <v>6</v>
      </c>
      <c r="BC112" s="9" t="e">
        <f t="shared" si="80"/>
        <v>#DIV/0!</v>
      </c>
      <c r="BD112" s="9" t="e">
        <f t="shared" si="81"/>
        <v>#DIV/0!</v>
      </c>
      <c r="BE112" s="9" t="e">
        <f t="shared" si="82"/>
        <v>#DIV/0!</v>
      </c>
      <c r="BF112" s="9" t="e">
        <f t="shared" si="83"/>
        <v>#DIV/0!</v>
      </c>
      <c r="BG112" s="9" t="e">
        <f t="shared" si="84"/>
        <v>#DIV/0!</v>
      </c>
      <c r="BH112" s="9" t="e">
        <f t="shared" si="85"/>
        <v>#DIV/0!</v>
      </c>
      <c r="BI112" s="12" t="e">
        <f t="shared" si="86"/>
        <v>#DIV/0!</v>
      </c>
      <c r="BJ112" s="13" t="e">
        <f t="shared" si="87"/>
        <v>#DIV/0!</v>
      </c>
      <c r="BK112" s="1">
        <f t="shared" si="88"/>
        <v>0</v>
      </c>
      <c r="BL112" s="1">
        <f t="shared" si="89"/>
        <v>0</v>
      </c>
      <c r="BM112" s="1">
        <f t="shared" si="90"/>
        <v>0</v>
      </c>
      <c r="BN112" s="1">
        <f t="shared" si="91"/>
        <v>0</v>
      </c>
      <c r="BO112" s="1">
        <f t="shared" si="92"/>
        <v>0</v>
      </c>
      <c r="BP112" s="1">
        <f t="shared" si="93"/>
        <v>0</v>
      </c>
      <c r="BQ112" s="19">
        <f t="shared" si="94"/>
        <v>0</v>
      </c>
      <c r="BR112" s="17">
        <f t="shared" si="95"/>
        <v>0</v>
      </c>
    </row>
    <row r="113" spans="1:70" x14ac:dyDescent="0.25">
      <c r="A113" t="s">
        <v>249</v>
      </c>
      <c r="B113">
        <v>19</v>
      </c>
      <c r="C113">
        <v>16</v>
      </c>
      <c r="D113">
        <v>19</v>
      </c>
      <c r="E113">
        <v>38</v>
      </c>
      <c r="F113">
        <v>23</v>
      </c>
      <c r="G113">
        <v>25</v>
      </c>
      <c r="H113">
        <v>31</v>
      </c>
      <c r="I113">
        <v>19</v>
      </c>
      <c r="J113">
        <v>16</v>
      </c>
      <c r="K113">
        <v>19</v>
      </c>
      <c r="L113">
        <v>38</v>
      </c>
      <c r="M113">
        <v>23</v>
      </c>
      <c r="N113">
        <v>25</v>
      </c>
      <c r="O113">
        <v>31</v>
      </c>
      <c r="W113" s="8">
        <f t="shared" si="48"/>
        <v>-0.15789473684210525</v>
      </c>
      <c r="X113" s="8">
        <f t="shared" si="49"/>
        <v>0.1875</v>
      </c>
      <c r="Y113" s="8">
        <f t="shared" si="50"/>
        <v>1</v>
      </c>
      <c r="Z113" s="8">
        <f t="shared" si="51"/>
        <v>-0.39473684210526316</v>
      </c>
      <c r="AA113" s="8">
        <f t="shared" si="52"/>
        <v>8.6956521739130432E-2</v>
      </c>
      <c r="AB113" s="8">
        <f t="shared" si="53"/>
        <v>0.24</v>
      </c>
      <c r="AC113" s="12">
        <f t="shared" si="54"/>
        <v>0.16030415713196033</v>
      </c>
      <c r="AD113" s="12">
        <f t="shared" si="55"/>
        <v>0.13722826086956522</v>
      </c>
      <c r="AE113" s="1">
        <f t="shared" si="56"/>
        <v>-3</v>
      </c>
      <c r="AF113" s="1">
        <f t="shared" si="57"/>
        <v>3</v>
      </c>
      <c r="AG113" s="1">
        <f t="shared" si="58"/>
        <v>19</v>
      </c>
      <c r="AH113" s="1">
        <f t="shared" si="59"/>
        <v>-15</v>
      </c>
      <c r="AI113" s="1">
        <f t="shared" si="60"/>
        <v>2</v>
      </c>
      <c r="AJ113" s="1">
        <f t="shared" si="61"/>
        <v>6</v>
      </c>
      <c r="AK113" s="17">
        <f t="shared" si="62"/>
        <v>2</v>
      </c>
      <c r="AL113" s="17">
        <f t="shared" si="63"/>
        <v>2.5</v>
      </c>
      <c r="AM113" s="1">
        <f t="shared" si="64"/>
        <v>-0.15789473684210525</v>
      </c>
      <c r="AN113" s="1">
        <f t="shared" si="65"/>
        <v>0.1875</v>
      </c>
      <c r="AO113" s="1">
        <f t="shared" si="66"/>
        <v>1</v>
      </c>
      <c r="AP113" s="1">
        <f t="shared" si="67"/>
        <v>-0.39473684210526316</v>
      </c>
      <c r="AQ113" s="1">
        <f t="shared" si="68"/>
        <v>8.6956521739130432E-2</v>
      </c>
      <c r="AR113" s="1">
        <f t="shared" si="69"/>
        <v>0.24</v>
      </c>
      <c r="AS113" s="12">
        <f t="shared" si="70"/>
        <v>0.16030415713196033</v>
      </c>
      <c r="AT113" s="12">
        <f t="shared" si="71"/>
        <v>0.13722826086956522</v>
      </c>
      <c r="AU113" s="1">
        <f t="shared" si="72"/>
        <v>-3</v>
      </c>
      <c r="AV113" s="1">
        <f t="shared" si="73"/>
        <v>3</v>
      </c>
      <c r="AW113" s="1">
        <f t="shared" si="74"/>
        <v>19</v>
      </c>
      <c r="AX113" s="1">
        <f t="shared" si="75"/>
        <v>-15</v>
      </c>
      <c r="AY113" s="1">
        <f t="shared" si="76"/>
        <v>2</v>
      </c>
      <c r="AZ113" s="1">
        <f t="shared" si="77"/>
        <v>6</v>
      </c>
      <c r="BA113" s="19">
        <f t="shared" si="78"/>
        <v>2</v>
      </c>
      <c r="BB113" s="19">
        <f t="shared" si="79"/>
        <v>2.5</v>
      </c>
      <c r="BC113" s="9" t="e">
        <f t="shared" si="80"/>
        <v>#DIV/0!</v>
      </c>
      <c r="BD113" s="9" t="e">
        <f t="shared" si="81"/>
        <v>#DIV/0!</v>
      </c>
      <c r="BE113" s="9" t="e">
        <f t="shared" si="82"/>
        <v>#DIV/0!</v>
      </c>
      <c r="BF113" s="9" t="e">
        <f t="shared" si="83"/>
        <v>#DIV/0!</v>
      </c>
      <c r="BG113" s="9" t="e">
        <f t="shared" si="84"/>
        <v>#DIV/0!</v>
      </c>
      <c r="BH113" s="9" t="e">
        <f t="shared" si="85"/>
        <v>#DIV/0!</v>
      </c>
      <c r="BI113" s="12" t="e">
        <f t="shared" si="86"/>
        <v>#DIV/0!</v>
      </c>
      <c r="BJ113" s="13" t="e">
        <f t="shared" si="87"/>
        <v>#DIV/0!</v>
      </c>
      <c r="BK113" s="1">
        <f t="shared" si="88"/>
        <v>0</v>
      </c>
      <c r="BL113" s="1">
        <f t="shared" si="89"/>
        <v>0</v>
      </c>
      <c r="BM113" s="1">
        <f t="shared" si="90"/>
        <v>0</v>
      </c>
      <c r="BN113" s="1">
        <f t="shared" si="91"/>
        <v>0</v>
      </c>
      <c r="BO113" s="1">
        <f t="shared" si="92"/>
        <v>0</v>
      </c>
      <c r="BP113" s="1">
        <f t="shared" si="93"/>
        <v>0</v>
      </c>
      <c r="BQ113" s="19">
        <f t="shared" si="94"/>
        <v>0</v>
      </c>
      <c r="BR113" s="17">
        <f t="shared" si="95"/>
        <v>0</v>
      </c>
    </row>
    <row r="114" spans="1:70" x14ac:dyDescent="0.25">
      <c r="A114" t="s">
        <v>212</v>
      </c>
      <c r="B114">
        <v>29</v>
      </c>
      <c r="C114">
        <v>31</v>
      </c>
      <c r="D114">
        <v>24</v>
      </c>
      <c r="E114">
        <v>37</v>
      </c>
      <c r="F114">
        <v>32</v>
      </c>
      <c r="G114">
        <v>29</v>
      </c>
      <c r="H114">
        <v>40</v>
      </c>
      <c r="I114">
        <v>14</v>
      </c>
      <c r="J114">
        <v>14</v>
      </c>
      <c r="K114">
        <v>11</v>
      </c>
      <c r="L114">
        <v>23</v>
      </c>
      <c r="M114">
        <v>15</v>
      </c>
      <c r="N114">
        <v>11</v>
      </c>
      <c r="O114">
        <v>22</v>
      </c>
      <c r="P114">
        <v>15</v>
      </c>
      <c r="Q114">
        <v>17</v>
      </c>
      <c r="R114">
        <v>13</v>
      </c>
      <c r="S114">
        <v>14</v>
      </c>
      <c r="T114">
        <v>17</v>
      </c>
      <c r="U114">
        <v>18</v>
      </c>
      <c r="V114">
        <v>18</v>
      </c>
      <c r="W114" s="8">
        <f t="shared" si="48"/>
        <v>6.8965517241379309E-2</v>
      </c>
      <c r="X114" s="8">
        <f t="shared" si="49"/>
        <v>-0.22580645161290322</v>
      </c>
      <c r="Y114" s="8">
        <f t="shared" si="50"/>
        <v>0.54166666666666663</v>
      </c>
      <c r="Z114" s="8">
        <f t="shared" si="51"/>
        <v>-0.13513513513513514</v>
      </c>
      <c r="AA114" s="8">
        <f t="shared" si="52"/>
        <v>-9.375E-2</v>
      </c>
      <c r="AB114" s="8">
        <f t="shared" si="53"/>
        <v>0.37931034482758619</v>
      </c>
      <c r="AC114" s="12">
        <f t="shared" si="54"/>
        <v>8.9208490331265614E-2</v>
      </c>
      <c r="AD114" s="12">
        <f t="shared" si="55"/>
        <v>-1.2392241379310345E-2</v>
      </c>
      <c r="AE114" s="1">
        <f t="shared" si="56"/>
        <v>2</v>
      </c>
      <c r="AF114" s="1">
        <f t="shared" si="57"/>
        <v>-7</v>
      </c>
      <c r="AG114" s="1">
        <f t="shared" si="58"/>
        <v>13</v>
      </c>
      <c r="AH114" s="1">
        <f t="shared" si="59"/>
        <v>-5</v>
      </c>
      <c r="AI114" s="1">
        <f t="shared" si="60"/>
        <v>-3</v>
      </c>
      <c r="AJ114" s="1">
        <f t="shared" si="61"/>
        <v>11</v>
      </c>
      <c r="AK114" s="17">
        <f t="shared" si="62"/>
        <v>1.8333333333333333</v>
      </c>
      <c r="AL114" s="17">
        <f t="shared" si="63"/>
        <v>-0.5</v>
      </c>
      <c r="AM114" s="1">
        <f t="shared" si="64"/>
        <v>0</v>
      </c>
      <c r="AN114" s="1">
        <f t="shared" si="65"/>
        <v>-0.21428571428571427</v>
      </c>
      <c r="AO114" s="1">
        <f t="shared" si="66"/>
        <v>1.0909090909090908</v>
      </c>
      <c r="AP114" s="1">
        <f t="shared" si="67"/>
        <v>-0.34782608695652173</v>
      </c>
      <c r="AQ114" s="1">
        <f t="shared" si="68"/>
        <v>-0.26666666666666666</v>
      </c>
      <c r="AR114" s="1">
        <f t="shared" si="69"/>
        <v>1</v>
      </c>
      <c r="AS114" s="12">
        <f t="shared" si="70"/>
        <v>0.21035510383336467</v>
      </c>
      <c r="AT114" s="12">
        <f t="shared" si="71"/>
        <v>-0.10714285714285714</v>
      </c>
      <c r="AU114" s="1">
        <f t="shared" si="72"/>
        <v>0</v>
      </c>
      <c r="AV114" s="1">
        <f t="shared" si="73"/>
        <v>-3</v>
      </c>
      <c r="AW114" s="1">
        <f t="shared" si="74"/>
        <v>12</v>
      </c>
      <c r="AX114" s="1">
        <f t="shared" si="75"/>
        <v>-8</v>
      </c>
      <c r="AY114" s="1">
        <f t="shared" si="76"/>
        <v>-4</v>
      </c>
      <c r="AZ114" s="1">
        <f t="shared" si="77"/>
        <v>11</v>
      </c>
      <c r="BA114" s="19">
        <f t="shared" si="78"/>
        <v>1.3333333333333333</v>
      </c>
      <c r="BB114" s="19">
        <f t="shared" si="79"/>
        <v>-1.5</v>
      </c>
      <c r="BC114" s="9">
        <f t="shared" si="80"/>
        <v>0.13333333333333333</v>
      </c>
      <c r="BD114" s="9">
        <f t="shared" si="81"/>
        <v>-0.23529411764705882</v>
      </c>
      <c r="BE114" s="9">
        <f t="shared" si="82"/>
        <v>7.6923076923076927E-2</v>
      </c>
      <c r="BF114" s="9">
        <f t="shared" si="83"/>
        <v>0.21428571428571427</v>
      </c>
      <c r="BG114" s="9">
        <f t="shared" si="84"/>
        <v>5.8823529411764705E-2</v>
      </c>
      <c r="BH114" s="9">
        <f t="shared" si="85"/>
        <v>0</v>
      </c>
      <c r="BI114" s="12">
        <f t="shared" si="86"/>
        <v>4.1345256051138403E-2</v>
      </c>
      <c r="BJ114" s="13">
        <f t="shared" si="87"/>
        <v>6.7873303167420823E-2</v>
      </c>
      <c r="BK114" s="1">
        <f t="shared" si="88"/>
        <v>2</v>
      </c>
      <c r="BL114" s="1">
        <f t="shared" si="89"/>
        <v>-4</v>
      </c>
      <c r="BM114" s="1">
        <f t="shared" si="90"/>
        <v>1</v>
      </c>
      <c r="BN114" s="1">
        <f t="shared" si="91"/>
        <v>3</v>
      </c>
      <c r="BO114" s="1">
        <f t="shared" si="92"/>
        <v>1</v>
      </c>
      <c r="BP114" s="1">
        <f t="shared" si="93"/>
        <v>0</v>
      </c>
      <c r="BQ114" s="19">
        <f t="shared" si="94"/>
        <v>0.5</v>
      </c>
      <c r="BR114" s="17">
        <f t="shared" si="95"/>
        <v>1</v>
      </c>
    </row>
    <row r="115" spans="1:70" x14ac:dyDescent="0.25">
      <c r="A115" t="s">
        <v>241</v>
      </c>
      <c r="B115">
        <v>20</v>
      </c>
      <c r="C115">
        <v>29</v>
      </c>
      <c r="D115">
        <v>19</v>
      </c>
      <c r="E115">
        <v>29</v>
      </c>
      <c r="F115">
        <v>29</v>
      </c>
      <c r="G115">
        <v>40</v>
      </c>
      <c r="H115">
        <v>31</v>
      </c>
      <c r="I115">
        <v>8</v>
      </c>
      <c r="J115">
        <v>12</v>
      </c>
      <c r="K115">
        <v>4</v>
      </c>
      <c r="L115">
        <v>8</v>
      </c>
      <c r="M115">
        <v>7</v>
      </c>
      <c r="N115">
        <v>10</v>
      </c>
      <c r="O115">
        <v>14</v>
      </c>
      <c r="P115">
        <v>12</v>
      </c>
      <c r="Q115">
        <v>17</v>
      </c>
      <c r="R115">
        <v>15</v>
      </c>
      <c r="S115">
        <v>21</v>
      </c>
      <c r="T115">
        <v>22</v>
      </c>
      <c r="U115">
        <v>30</v>
      </c>
      <c r="V115">
        <v>17</v>
      </c>
      <c r="W115" s="8">
        <f t="shared" si="48"/>
        <v>0.45</v>
      </c>
      <c r="X115" s="8">
        <f t="shared" si="49"/>
        <v>-0.34482758620689657</v>
      </c>
      <c r="Y115" s="8">
        <f t="shared" si="50"/>
        <v>0.52631578947368418</v>
      </c>
      <c r="Z115" s="8">
        <f t="shared" si="51"/>
        <v>0</v>
      </c>
      <c r="AA115" s="8">
        <f t="shared" si="52"/>
        <v>0.37931034482758619</v>
      </c>
      <c r="AB115" s="8">
        <f t="shared" si="53"/>
        <v>-0.22500000000000001</v>
      </c>
      <c r="AC115" s="12">
        <f t="shared" si="54"/>
        <v>0.13096642468239564</v>
      </c>
      <c r="AD115" s="12">
        <f t="shared" si="55"/>
        <v>0.18965517241379309</v>
      </c>
      <c r="AE115" s="1">
        <f t="shared" si="56"/>
        <v>9</v>
      </c>
      <c r="AF115" s="1">
        <f t="shared" si="57"/>
        <v>-10</v>
      </c>
      <c r="AG115" s="1">
        <f t="shared" si="58"/>
        <v>10</v>
      </c>
      <c r="AH115" s="1">
        <f t="shared" si="59"/>
        <v>0</v>
      </c>
      <c r="AI115" s="1">
        <f t="shared" si="60"/>
        <v>11</v>
      </c>
      <c r="AJ115" s="1">
        <f t="shared" si="61"/>
        <v>-9</v>
      </c>
      <c r="AK115" s="17">
        <f t="shared" si="62"/>
        <v>1.8333333333333333</v>
      </c>
      <c r="AL115" s="17">
        <f t="shared" si="63"/>
        <v>4.5</v>
      </c>
      <c r="AM115" s="1">
        <f t="shared" si="64"/>
        <v>0.5</v>
      </c>
      <c r="AN115" s="1">
        <f t="shared" si="65"/>
        <v>-0.66666666666666663</v>
      </c>
      <c r="AO115" s="1">
        <f t="shared" si="66"/>
        <v>1</v>
      </c>
      <c r="AP115" s="1">
        <f t="shared" si="67"/>
        <v>-0.125</v>
      </c>
      <c r="AQ115" s="1">
        <f t="shared" si="68"/>
        <v>0.42857142857142855</v>
      </c>
      <c r="AR115" s="1">
        <f t="shared" si="69"/>
        <v>0.4</v>
      </c>
      <c r="AS115" s="12">
        <f t="shared" si="70"/>
        <v>0.25615079365079363</v>
      </c>
      <c r="AT115" s="12">
        <f t="shared" si="71"/>
        <v>0.41428571428571426</v>
      </c>
      <c r="AU115" s="1">
        <f t="shared" si="72"/>
        <v>4</v>
      </c>
      <c r="AV115" s="1">
        <f t="shared" si="73"/>
        <v>-8</v>
      </c>
      <c r="AW115" s="1">
        <f t="shared" si="74"/>
        <v>4</v>
      </c>
      <c r="AX115" s="1">
        <f t="shared" si="75"/>
        <v>-1</v>
      </c>
      <c r="AY115" s="1">
        <f t="shared" si="76"/>
        <v>3</v>
      </c>
      <c r="AZ115" s="1">
        <f t="shared" si="77"/>
        <v>4</v>
      </c>
      <c r="BA115" s="19">
        <f t="shared" si="78"/>
        <v>1</v>
      </c>
      <c r="BB115" s="19">
        <f t="shared" si="79"/>
        <v>3.5</v>
      </c>
      <c r="BC115" s="9">
        <f t="shared" si="80"/>
        <v>0.41666666666666669</v>
      </c>
      <c r="BD115" s="9">
        <f t="shared" si="81"/>
        <v>-0.11764705882352941</v>
      </c>
      <c r="BE115" s="9">
        <f t="shared" si="82"/>
        <v>0.4</v>
      </c>
      <c r="BF115" s="9">
        <f t="shared" si="83"/>
        <v>4.7619047619047616E-2</v>
      </c>
      <c r="BG115" s="9">
        <f t="shared" si="84"/>
        <v>0.36363636363636365</v>
      </c>
      <c r="BH115" s="9">
        <f t="shared" si="85"/>
        <v>-0.43333333333333335</v>
      </c>
      <c r="BI115" s="12">
        <f t="shared" si="86"/>
        <v>0.11282361429420255</v>
      </c>
      <c r="BJ115" s="13">
        <f t="shared" si="87"/>
        <v>0.20562770562770563</v>
      </c>
      <c r="BK115" s="1">
        <f t="shared" si="88"/>
        <v>5</v>
      </c>
      <c r="BL115" s="1">
        <f t="shared" si="89"/>
        <v>-2</v>
      </c>
      <c r="BM115" s="1">
        <f t="shared" si="90"/>
        <v>6</v>
      </c>
      <c r="BN115" s="1">
        <f t="shared" si="91"/>
        <v>1</v>
      </c>
      <c r="BO115" s="1">
        <f t="shared" si="92"/>
        <v>8</v>
      </c>
      <c r="BP115" s="1">
        <f t="shared" si="93"/>
        <v>-13</v>
      </c>
      <c r="BQ115" s="19">
        <f t="shared" si="94"/>
        <v>0.83333333333333337</v>
      </c>
      <c r="BR115" s="17">
        <f t="shared" si="95"/>
        <v>3</v>
      </c>
    </row>
    <row r="116" spans="1:70" x14ac:dyDescent="0.25">
      <c r="A116" t="s">
        <v>349</v>
      </c>
      <c r="B116">
        <v>7</v>
      </c>
      <c r="C116">
        <v>5</v>
      </c>
      <c r="D116">
        <v>10</v>
      </c>
      <c r="E116">
        <v>7</v>
      </c>
      <c r="F116">
        <v>13</v>
      </c>
      <c r="G116">
        <v>10</v>
      </c>
      <c r="H116">
        <v>18</v>
      </c>
      <c r="I116">
        <v>4</v>
      </c>
      <c r="J116">
        <v>4</v>
      </c>
      <c r="K116">
        <v>5</v>
      </c>
      <c r="L116">
        <v>3</v>
      </c>
      <c r="M116">
        <v>7</v>
      </c>
      <c r="N116">
        <v>7</v>
      </c>
      <c r="O116">
        <v>14</v>
      </c>
      <c r="P116">
        <v>3</v>
      </c>
      <c r="Q116">
        <v>1</v>
      </c>
      <c r="R116">
        <v>5</v>
      </c>
      <c r="S116">
        <v>4</v>
      </c>
      <c r="T116">
        <v>6</v>
      </c>
      <c r="U116">
        <v>3</v>
      </c>
      <c r="V116">
        <v>4</v>
      </c>
      <c r="W116" s="8">
        <f t="shared" si="48"/>
        <v>-0.2857142857142857</v>
      </c>
      <c r="X116" s="8">
        <f t="shared" si="49"/>
        <v>1</v>
      </c>
      <c r="Y116" s="8">
        <f t="shared" si="50"/>
        <v>-0.3</v>
      </c>
      <c r="Z116" s="8">
        <f t="shared" si="51"/>
        <v>0.8571428571428571</v>
      </c>
      <c r="AA116" s="8">
        <f t="shared" si="52"/>
        <v>-0.23076923076923078</v>
      </c>
      <c r="AB116" s="8">
        <f t="shared" si="53"/>
        <v>0.8</v>
      </c>
      <c r="AC116" s="12">
        <f t="shared" si="54"/>
        <v>0.30677655677655674</v>
      </c>
      <c r="AD116" s="12">
        <f t="shared" si="55"/>
        <v>0.28461538461538466</v>
      </c>
      <c r="AE116" s="1">
        <f t="shared" si="56"/>
        <v>-2</v>
      </c>
      <c r="AF116" s="1">
        <f t="shared" si="57"/>
        <v>5</v>
      </c>
      <c r="AG116" s="1">
        <f t="shared" si="58"/>
        <v>-3</v>
      </c>
      <c r="AH116" s="1">
        <f t="shared" si="59"/>
        <v>6</v>
      </c>
      <c r="AI116" s="1">
        <f t="shared" si="60"/>
        <v>-3</v>
      </c>
      <c r="AJ116" s="1">
        <f t="shared" si="61"/>
        <v>8</v>
      </c>
      <c r="AK116" s="17">
        <f t="shared" si="62"/>
        <v>1.8333333333333333</v>
      </c>
      <c r="AL116" s="17">
        <f t="shared" si="63"/>
        <v>1.5</v>
      </c>
      <c r="AM116" s="1">
        <f t="shared" si="64"/>
        <v>0</v>
      </c>
      <c r="AN116" s="1">
        <f t="shared" si="65"/>
        <v>0.25</v>
      </c>
      <c r="AO116" s="1">
        <f t="shared" si="66"/>
        <v>-0.4</v>
      </c>
      <c r="AP116" s="1">
        <f t="shared" si="67"/>
        <v>1.3333333333333333</v>
      </c>
      <c r="AQ116" s="1">
        <f t="shared" si="68"/>
        <v>0</v>
      </c>
      <c r="AR116" s="1">
        <f t="shared" si="69"/>
        <v>1</v>
      </c>
      <c r="AS116" s="12">
        <f t="shared" si="70"/>
        <v>0.36388888888888887</v>
      </c>
      <c r="AT116" s="12">
        <f t="shared" si="71"/>
        <v>0.125</v>
      </c>
      <c r="AU116" s="1">
        <f t="shared" si="72"/>
        <v>0</v>
      </c>
      <c r="AV116" s="1">
        <f t="shared" si="73"/>
        <v>1</v>
      </c>
      <c r="AW116" s="1">
        <f t="shared" si="74"/>
        <v>-2</v>
      </c>
      <c r="AX116" s="1">
        <f t="shared" si="75"/>
        <v>4</v>
      </c>
      <c r="AY116" s="1">
        <f t="shared" si="76"/>
        <v>0</v>
      </c>
      <c r="AZ116" s="1">
        <f t="shared" si="77"/>
        <v>7</v>
      </c>
      <c r="BA116" s="19">
        <f t="shared" si="78"/>
        <v>1.6666666666666667</v>
      </c>
      <c r="BB116" s="19">
        <f t="shared" si="79"/>
        <v>0.5</v>
      </c>
      <c r="BC116" s="9">
        <f t="shared" si="80"/>
        <v>-0.66666666666666663</v>
      </c>
      <c r="BD116" s="9">
        <f t="shared" si="81"/>
        <v>4</v>
      </c>
      <c r="BE116" s="9">
        <f t="shared" si="82"/>
        <v>-0.2</v>
      </c>
      <c r="BF116" s="9">
        <f t="shared" si="83"/>
        <v>0.5</v>
      </c>
      <c r="BG116" s="9">
        <f t="shared" si="84"/>
        <v>-0.5</v>
      </c>
      <c r="BH116" s="9">
        <f t="shared" si="85"/>
        <v>0.33333333333333331</v>
      </c>
      <c r="BI116" s="12">
        <f t="shared" si="86"/>
        <v>0.57777777777777783</v>
      </c>
      <c r="BJ116" s="13">
        <f t="shared" si="87"/>
        <v>6.6666666666666652E-2</v>
      </c>
      <c r="BK116" s="1">
        <f t="shared" si="88"/>
        <v>-2</v>
      </c>
      <c r="BL116" s="1">
        <f t="shared" si="89"/>
        <v>4</v>
      </c>
      <c r="BM116" s="1">
        <f t="shared" si="90"/>
        <v>-1</v>
      </c>
      <c r="BN116" s="1">
        <f t="shared" si="91"/>
        <v>2</v>
      </c>
      <c r="BO116" s="1">
        <f t="shared" si="92"/>
        <v>-3</v>
      </c>
      <c r="BP116" s="1">
        <f t="shared" si="93"/>
        <v>1</v>
      </c>
      <c r="BQ116" s="19">
        <f t="shared" si="94"/>
        <v>0.16666666666666666</v>
      </c>
      <c r="BR116" s="17">
        <f t="shared" si="95"/>
        <v>0</v>
      </c>
    </row>
    <row r="117" spans="1:70" x14ac:dyDescent="0.25">
      <c r="A117" t="s">
        <v>113</v>
      </c>
      <c r="B117">
        <v>175</v>
      </c>
      <c r="C117">
        <v>183</v>
      </c>
      <c r="D117">
        <v>152</v>
      </c>
      <c r="E117">
        <v>138</v>
      </c>
      <c r="F117">
        <v>148</v>
      </c>
      <c r="G117">
        <v>165</v>
      </c>
      <c r="H117">
        <v>185</v>
      </c>
      <c r="I117">
        <v>100</v>
      </c>
      <c r="J117">
        <v>102</v>
      </c>
      <c r="K117">
        <v>74</v>
      </c>
      <c r="L117">
        <v>68</v>
      </c>
      <c r="M117">
        <v>95</v>
      </c>
      <c r="N117">
        <v>81</v>
      </c>
      <c r="O117">
        <v>99</v>
      </c>
      <c r="P117">
        <v>75</v>
      </c>
      <c r="Q117">
        <v>81</v>
      </c>
      <c r="R117">
        <v>78</v>
      </c>
      <c r="S117">
        <v>70</v>
      </c>
      <c r="T117">
        <v>53</v>
      </c>
      <c r="U117">
        <v>84</v>
      </c>
      <c r="V117">
        <v>86</v>
      </c>
      <c r="W117" s="8">
        <f t="shared" si="48"/>
        <v>4.5714285714285714E-2</v>
      </c>
      <c r="X117" s="8">
        <f t="shared" si="49"/>
        <v>-0.16939890710382513</v>
      </c>
      <c r="Y117" s="8">
        <f t="shared" si="50"/>
        <v>-9.2105263157894732E-2</v>
      </c>
      <c r="Z117" s="8">
        <f t="shared" si="51"/>
        <v>7.2463768115942032E-2</v>
      </c>
      <c r="AA117" s="8">
        <f t="shared" si="52"/>
        <v>0.11486486486486487</v>
      </c>
      <c r="AB117" s="8">
        <f t="shared" si="53"/>
        <v>0.12121212121212122</v>
      </c>
      <c r="AC117" s="12">
        <f t="shared" si="54"/>
        <v>1.5458478274248994E-2</v>
      </c>
      <c r="AD117" s="12">
        <f t="shared" si="55"/>
        <v>5.9089026915113876E-2</v>
      </c>
      <c r="AE117" s="1">
        <f t="shared" si="56"/>
        <v>8</v>
      </c>
      <c r="AF117" s="1">
        <f t="shared" si="57"/>
        <v>-31</v>
      </c>
      <c r="AG117" s="1">
        <f t="shared" si="58"/>
        <v>-14</v>
      </c>
      <c r="AH117" s="1">
        <f t="shared" si="59"/>
        <v>10</v>
      </c>
      <c r="AI117" s="1">
        <f t="shared" si="60"/>
        <v>17</v>
      </c>
      <c r="AJ117" s="1">
        <f t="shared" si="61"/>
        <v>20</v>
      </c>
      <c r="AK117" s="17">
        <f t="shared" si="62"/>
        <v>1.6666666666666667</v>
      </c>
      <c r="AL117" s="17">
        <f t="shared" si="63"/>
        <v>9</v>
      </c>
      <c r="AM117" s="1">
        <f t="shared" si="64"/>
        <v>0.02</v>
      </c>
      <c r="AN117" s="1">
        <f t="shared" si="65"/>
        <v>-0.27450980392156865</v>
      </c>
      <c r="AO117" s="1">
        <f t="shared" si="66"/>
        <v>-8.1081081081081086E-2</v>
      </c>
      <c r="AP117" s="1">
        <f t="shared" si="67"/>
        <v>0.39705882352941174</v>
      </c>
      <c r="AQ117" s="1">
        <f t="shared" si="68"/>
        <v>-0.14736842105263157</v>
      </c>
      <c r="AR117" s="1">
        <f t="shared" si="69"/>
        <v>0.22222222222222221</v>
      </c>
      <c r="AS117" s="12">
        <f t="shared" si="70"/>
        <v>2.2720289949392111E-2</v>
      </c>
      <c r="AT117" s="12">
        <f t="shared" si="71"/>
        <v>-3.0540540540540541E-2</v>
      </c>
      <c r="AU117" s="1">
        <f t="shared" si="72"/>
        <v>2</v>
      </c>
      <c r="AV117" s="1">
        <f t="shared" si="73"/>
        <v>-28</v>
      </c>
      <c r="AW117" s="1">
        <f t="shared" si="74"/>
        <v>-6</v>
      </c>
      <c r="AX117" s="1">
        <f t="shared" si="75"/>
        <v>27</v>
      </c>
      <c r="AY117" s="1">
        <f t="shared" si="76"/>
        <v>-14</v>
      </c>
      <c r="AZ117" s="1">
        <f t="shared" si="77"/>
        <v>18</v>
      </c>
      <c r="BA117" s="19">
        <f t="shared" si="78"/>
        <v>-0.16666666666666666</v>
      </c>
      <c r="BB117" s="19">
        <f t="shared" si="79"/>
        <v>-2</v>
      </c>
      <c r="BC117" s="9">
        <f t="shared" si="80"/>
        <v>0.08</v>
      </c>
      <c r="BD117" s="9">
        <f t="shared" si="81"/>
        <v>-3.7037037037037035E-2</v>
      </c>
      <c r="BE117" s="9">
        <f t="shared" si="82"/>
        <v>-0.10256410256410256</v>
      </c>
      <c r="BF117" s="9">
        <f t="shared" si="83"/>
        <v>-0.24285714285714285</v>
      </c>
      <c r="BG117" s="9">
        <f t="shared" si="84"/>
        <v>0.58490566037735847</v>
      </c>
      <c r="BH117" s="9">
        <f t="shared" si="85"/>
        <v>2.3809523809523808E-2</v>
      </c>
      <c r="BI117" s="12">
        <f t="shared" si="86"/>
        <v>5.1042816954766645E-2</v>
      </c>
      <c r="BJ117" s="13">
        <f t="shared" si="87"/>
        <v>-6.6137566137566134E-3</v>
      </c>
      <c r="BK117" s="1">
        <f t="shared" si="88"/>
        <v>6</v>
      </c>
      <c r="BL117" s="1">
        <f t="shared" si="89"/>
        <v>-3</v>
      </c>
      <c r="BM117" s="1">
        <f t="shared" si="90"/>
        <v>-8</v>
      </c>
      <c r="BN117" s="1">
        <f t="shared" si="91"/>
        <v>-17</v>
      </c>
      <c r="BO117" s="1">
        <f t="shared" si="92"/>
        <v>31</v>
      </c>
      <c r="BP117" s="1">
        <f t="shared" si="93"/>
        <v>2</v>
      </c>
      <c r="BQ117" s="19">
        <f t="shared" si="94"/>
        <v>1.8333333333333333</v>
      </c>
      <c r="BR117" s="17">
        <f t="shared" si="95"/>
        <v>-0.5</v>
      </c>
    </row>
    <row r="118" spans="1:70" x14ac:dyDescent="0.25">
      <c r="A118" t="s">
        <v>178</v>
      </c>
      <c r="B118">
        <v>54</v>
      </c>
      <c r="C118">
        <v>72</v>
      </c>
      <c r="D118">
        <v>72</v>
      </c>
      <c r="E118">
        <v>36</v>
      </c>
      <c r="F118">
        <v>61</v>
      </c>
      <c r="G118">
        <v>50</v>
      </c>
      <c r="H118">
        <v>64</v>
      </c>
      <c r="I118">
        <v>28</v>
      </c>
      <c r="J118">
        <v>44</v>
      </c>
      <c r="K118">
        <v>36</v>
      </c>
      <c r="L118">
        <v>17</v>
      </c>
      <c r="M118">
        <v>33</v>
      </c>
      <c r="N118">
        <v>23</v>
      </c>
      <c r="O118">
        <v>36</v>
      </c>
      <c r="P118">
        <v>26</v>
      </c>
      <c r="Q118">
        <v>28</v>
      </c>
      <c r="R118">
        <v>36</v>
      </c>
      <c r="S118">
        <v>19</v>
      </c>
      <c r="T118">
        <v>28</v>
      </c>
      <c r="U118">
        <v>27</v>
      </c>
      <c r="V118">
        <v>28</v>
      </c>
      <c r="W118" s="8">
        <f t="shared" si="48"/>
        <v>0.33333333333333331</v>
      </c>
      <c r="X118" s="8">
        <f t="shared" si="49"/>
        <v>0</v>
      </c>
      <c r="Y118" s="8">
        <f t="shared" si="50"/>
        <v>-0.5</v>
      </c>
      <c r="Z118" s="8">
        <f t="shared" si="51"/>
        <v>0.69444444444444442</v>
      </c>
      <c r="AA118" s="8">
        <f t="shared" si="52"/>
        <v>-0.18032786885245902</v>
      </c>
      <c r="AB118" s="8">
        <f t="shared" si="53"/>
        <v>0.28000000000000003</v>
      </c>
      <c r="AC118" s="12">
        <f t="shared" si="54"/>
        <v>0.10457498482088645</v>
      </c>
      <c r="AD118" s="12">
        <f t="shared" si="55"/>
        <v>0.14000000000000001</v>
      </c>
      <c r="AE118" s="1">
        <f t="shared" si="56"/>
        <v>18</v>
      </c>
      <c r="AF118" s="1">
        <f t="shared" si="57"/>
        <v>0</v>
      </c>
      <c r="AG118" s="1">
        <f t="shared" si="58"/>
        <v>-36</v>
      </c>
      <c r="AH118" s="1">
        <f t="shared" si="59"/>
        <v>25</v>
      </c>
      <c r="AI118" s="1">
        <f t="shared" si="60"/>
        <v>-11</v>
      </c>
      <c r="AJ118" s="1">
        <f t="shared" si="61"/>
        <v>14</v>
      </c>
      <c r="AK118" s="17">
        <f t="shared" si="62"/>
        <v>1.6666666666666667</v>
      </c>
      <c r="AL118" s="17">
        <f t="shared" si="63"/>
        <v>7</v>
      </c>
      <c r="AM118" s="1">
        <f t="shared" si="64"/>
        <v>0.5714285714285714</v>
      </c>
      <c r="AN118" s="1">
        <f t="shared" si="65"/>
        <v>-0.18181818181818182</v>
      </c>
      <c r="AO118" s="1">
        <f t="shared" si="66"/>
        <v>-0.52777777777777779</v>
      </c>
      <c r="AP118" s="1">
        <f t="shared" si="67"/>
        <v>0.94117647058823528</v>
      </c>
      <c r="AQ118" s="1">
        <f t="shared" si="68"/>
        <v>-0.30303030303030304</v>
      </c>
      <c r="AR118" s="1">
        <f t="shared" si="69"/>
        <v>0.56521739130434778</v>
      </c>
      <c r="AS118" s="12">
        <f t="shared" si="70"/>
        <v>0.17753269511581529</v>
      </c>
      <c r="AT118" s="12">
        <f t="shared" si="71"/>
        <v>0.19169960474308295</v>
      </c>
      <c r="AU118" s="1">
        <f t="shared" si="72"/>
        <v>16</v>
      </c>
      <c r="AV118" s="1">
        <f t="shared" si="73"/>
        <v>-8</v>
      </c>
      <c r="AW118" s="1">
        <f t="shared" si="74"/>
        <v>-19</v>
      </c>
      <c r="AX118" s="1">
        <f t="shared" si="75"/>
        <v>16</v>
      </c>
      <c r="AY118" s="1">
        <f t="shared" si="76"/>
        <v>-10</v>
      </c>
      <c r="AZ118" s="1">
        <f t="shared" si="77"/>
        <v>13</v>
      </c>
      <c r="BA118" s="19">
        <f t="shared" si="78"/>
        <v>1.3333333333333333</v>
      </c>
      <c r="BB118" s="19">
        <f t="shared" si="79"/>
        <v>2.5</v>
      </c>
      <c r="BC118" s="9">
        <f t="shared" si="80"/>
        <v>7.6923076923076927E-2</v>
      </c>
      <c r="BD118" s="9">
        <f t="shared" si="81"/>
        <v>0.2857142857142857</v>
      </c>
      <c r="BE118" s="9">
        <f t="shared" si="82"/>
        <v>-0.47222222222222221</v>
      </c>
      <c r="BF118" s="9">
        <f t="shared" si="83"/>
        <v>0.47368421052631576</v>
      </c>
      <c r="BG118" s="9">
        <f t="shared" si="84"/>
        <v>-3.5714285714285712E-2</v>
      </c>
      <c r="BH118" s="9">
        <f t="shared" si="85"/>
        <v>3.7037037037037035E-2</v>
      </c>
      <c r="BI118" s="12">
        <f t="shared" si="86"/>
        <v>6.0903683710701255E-2</v>
      </c>
      <c r="BJ118" s="13">
        <f t="shared" si="87"/>
        <v>5.6980056980056981E-2</v>
      </c>
      <c r="BK118" s="1">
        <f t="shared" si="88"/>
        <v>2</v>
      </c>
      <c r="BL118" s="1">
        <f t="shared" si="89"/>
        <v>8</v>
      </c>
      <c r="BM118" s="1">
        <f t="shared" si="90"/>
        <v>-17</v>
      </c>
      <c r="BN118" s="1">
        <f t="shared" si="91"/>
        <v>9</v>
      </c>
      <c r="BO118" s="1">
        <f t="shared" si="92"/>
        <v>-1</v>
      </c>
      <c r="BP118" s="1">
        <f t="shared" si="93"/>
        <v>1</v>
      </c>
      <c r="BQ118" s="19">
        <f t="shared" si="94"/>
        <v>0.33333333333333331</v>
      </c>
      <c r="BR118" s="17">
        <f t="shared" si="95"/>
        <v>1.5</v>
      </c>
    </row>
    <row r="119" spans="1:70" x14ac:dyDescent="0.25">
      <c r="A119" t="s">
        <v>250</v>
      </c>
      <c r="B119">
        <v>19</v>
      </c>
      <c r="C119">
        <v>28</v>
      </c>
      <c r="D119">
        <v>21</v>
      </c>
      <c r="E119">
        <v>34</v>
      </c>
      <c r="F119">
        <v>32</v>
      </c>
      <c r="G119">
        <v>38</v>
      </c>
      <c r="H119">
        <v>29</v>
      </c>
      <c r="I119">
        <v>7</v>
      </c>
      <c r="J119">
        <v>16</v>
      </c>
      <c r="K119">
        <v>13</v>
      </c>
      <c r="L119">
        <v>21</v>
      </c>
      <c r="M119">
        <v>18</v>
      </c>
      <c r="N119">
        <v>21</v>
      </c>
      <c r="O119">
        <v>14</v>
      </c>
      <c r="P119">
        <v>12</v>
      </c>
      <c r="Q119">
        <v>12</v>
      </c>
      <c r="R119">
        <v>8</v>
      </c>
      <c r="S119">
        <v>13</v>
      </c>
      <c r="T119">
        <v>14</v>
      </c>
      <c r="U119">
        <v>17</v>
      </c>
      <c r="V119">
        <v>15</v>
      </c>
      <c r="W119" s="8">
        <f t="shared" si="48"/>
        <v>0.47368421052631576</v>
      </c>
      <c r="X119" s="8">
        <f t="shared" si="49"/>
        <v>-0.25</v>
      </c>
      <c r="Y119" s="8">
        <f t="shared" si="50"/>
        <v>0.61904761904761907</v>
      </c>
      <c r="Z119" s="8">
        <f t="shared" si="51"/>
        <v>-5.8823529411764705E-2</v>
      </c>
      <c r="AA119" s="8">
        <f t="shared" si="52"/>
        <v>0.1875</v>
      </c>
      <c r="AB119" s="8">
        <f t="shared" si="53"/>
        <v>-0.23684210526315788</v>
      </c>
      <c r="AC119" s="12">
        <f t="shared" si="54"/>
        <v>0.12242769914983537</v>
      </c>
      <c r="AD119" s="12">
        <f t="shared" si="55"/>
        <v>6.4338235294117654E-2</v>
      </c>
      <c r="AE119" s="1">
        <f t="shared" si="56"/>
        <v>9</v>
      </c>
      <c r="AF119" s="1">
        <f t="shared" si="57"/>
        <v>-7</v>
      </c>
      <c r="AG119" s="1">
        <f t="shared" si="58"/>
        <v>13</v>
      </c>
      <c r="AH119" s="1">
        <f t="shared" si="59"/>
        <v>-2</v>
      </c>
      <c r="AI119" s="1">
        <f t="shared" si="60"/>
        <v>6</v>
      </c>
      <c r="AJ119" s="1">
        <f t="shared" si="61"/>
        <v>-9</v>
      </c>
      <c r="AK119" s="17">
        <f t="shared" si="62"/>
        <v>1.6666666666666667</v>
      </c>
      <c r="AL119" s="17">
        <f t="shared" si="63"/>
        <v>2</v>
      </c>
      <c r="AM119" s="1">
        <f t="shared" si="64"/>
        <v>1.2857142857142858</v>
      </c>
      <c r="AN119" s="1">
        <f t="shared" si="65"/>
        <v>-0.1875</v>
      </c>
      <c r="AO119" s="1">
        <f t="shared" si="66"/>
        <v>0.61538461538461542</v>
      </c>
      <c r="AP119" s="1">
        <f t="shared" si="67"/>
        <v>-0.14285714285714285</v>
      </c>
      <c r="AQ119" s="1">
        <f t="shared" si="68"/>
        <v>0.16666666666666666</v>
      </c>
      <c r="AR119" s="1">
        <f t="shared" si="69"/>
        <v>-0.33333333333333331</v>
      </c>
      <c r="AS119" s="12">
        <f t="shared" si="70"/>
        <v>0.23401251526251532</v>
      </c>
      <c r="AT119" s="12">
        <f t="shared" si="71"/>
        <v>1.1904761904761918E-2</v>
      </c>
      <c r="AU119" s="1">
        <f t="shared" si="72"/>
        <v>9</v>
      </c>
      <c r="AV119" s="1">
        <f t="shared" si="73"/>
        <v>-3</v>
      </c>
      <c r="AW119" s="1">
        <f t="shared" si="74"/>
        <v>8</v>
      </c>
      <c r="AX119" s="1">
        <f t="shared" si="75"/>
        <v>-3</v>
      </c>
      <c r="AY119" s="1">
        <f t="shared" si="76"/>
        <v>3</v>
      </c>
      <c r="AZ119" s="1">
        <f t="shared" si="77"/>
        <v>-7</v>
      </c>
      <c r="BA119" s="19">
        <f t="shared" si="78"/>
        <v>1.1666666666666667</v>
      </c>
      <c r="BB119" s="19">
        <f t="shared" si="79"/>
        <v>0</v>
      </c>
      <c r="BC119" s="9">
        <f t="shared" si="80"/>
        <v>0</v>
      </c>
      <c r="BD119" s="9">
        <f t="shared" si="81"/>
        <v>-0.33333333333333331</v>
      </c>
      <c r="BE119" s="9">
        <f t="shared" si="82"/>
        <v>0.625</v>
      </c>
      <c r="BF119" s="9">
        <f t="shared" si="83"/>
        <v>7.6923076923076927E-2</v>
      </c>
      <c r="BG119" s="9">
        <f t="shared" si="84"/>
        <v>0.21428571428571427</v>
      </c>
      <c r="BH119" s="9">
        <f t="shared" si="85"/>
        <v>-0.11764705882352941</v>
      </c>
      <c r="BI119" s="12">
        <f t="shared" si="86"/>
        <v>7.7538066508654746E-2</v>
      </c>
      <c r="BJ119" s="13">
        <f t="shared" si="87"/>
        <v>3.8461538461538464E-2</v>
      </c>
      <c r="BK119" s="1">
        <f t="shared" si="88"/>
        <v>0</v>
      </c>
      <c r="BL119" s="1">
        <f t="shared" si="89"/>
        <v>-4</v>
      </c>
      <c r="BM119" s="1">
        <f t="shared" si="90"/>
        <v>5</v>
      </c>
      <c r="BN119" s="1">
        <f t="shared" si="91"/>
        <v>1</v>
      </c>
      <c r="BO119" s="1">
        <f t="shared" si="92"/>
        <v>3</v>
      </c>
      <c r="BP119" s="1">
        <f t="shared" si="93"/>
        <v>-2</v>
      </c>
      <c r="BQ119" s="19">
        <f t="shared" si="94"/>
        <v>0.5</v>
      </c>
      <c r="BR119" s="17">
        <f t="shared" si="95"/>
        <v>0.5</v>
      </c>
    </row>
    <row r="120" spans="1:70" x14ac:dyDescent="0.25">
      <c r="A120" t="s">
        <v>318</v>
      </c>
      <c r="B120">
        <v>10</v>
      </c>
      <c r="C120">
        <v>12</v>
      </c>
      <c r="D120">
        <v>16</v>
      </c>
      <c r="E120">
        <v>14</v>
      </c>
      <c r="F120">
        <v>21</v>
      </c>
      <c r="G120">
        <v>23</v>
      </c>
      <c r="H120">
        <v>20</v>
      </c>
      <c r="I120">
        <v>6</v>
      </c>
      <c r="J120">
        <v>5</v>
      </c>
      <c r="K120">
        <v>5</v>
      </c>
      <c r="L120">
        <v>6</v>
      </c>
      <c r="M120">
        <v>14</v>
      </c>
      <c r="N120">
        <v>8</v>
      </c>
      <c r="O120">
        <v>11</v>
      </c>
      <c r="P120">
        <v>4</v>
      </c>
      <c r="Q120">
        <v>7</v>
      </c>
      <c r="R120">
        <v>11</v>
      </c>
      <c r="S120">
        <v>8</v>
      </c>
      <c r="T120">
        <v>7</v>
      </c>
      <c r="U120">
        <v>15</v>
      </c>
      <c r="V120">
        <v>9</v>
      </c>
      <c r="W120" s="8">
        <f t="shared" si="48"/>
        <v>0.2</v>
      </c>
      <c r="X120" s="8">
        <f t="shared" si="49"/>
        <v>0.33333333333333331</v>
      </c>
      <c r="Y120" s="8">
        <f t="shared" si="50"/>
        <v>-0.125</v>
      </c>
      <c r="Z120" s="8">
        <f t="shared" si="51"/>
        <v>0.5</v>
      </c>
      <c r="AA120" s="8">
        <f t="shared" si="52"/>
        <v>9.5238095238095233E-2</v>
      </c>
      <c r="AB120" s="8">
        <f t="shared" si="53"/>
        <v>-0.13043478260869565</v>
      </c>
      <c r="AC120" s="12">
        <f t="shared" si="54"/>
        <v>0.14552277432712216</v>
      </c>
      <c r="AD120" s="12">
        <f t="shared" si="55"/>
        <v>0.14761904761904762</v>
      </c>
      <c r="AE120" s="1">
        <f t="shared" si="56"/>
        <v>2</v>
      </c>
      <c r="AF120" s="1">
        <f t="shared" si="57"/>
        <v>4</v>
      </c>
      <c r="AG120" s="1">
        <f t="shared" si="58"/>
        <v>-2</v>
      </c>
      <c r="AH120" s="1">
        <f t="shared" si="59"/>
        <v>7</v>
      </c>
      <c r="AI120" s="1">
        <f t="shared" si="60"/>
        <v>2</v>
      </c>
      <c r="AJ120" s="1">
        <f t="shared" si="61"/>
        <v>-3</v>
      </c>
      <c r="AK120" s="17">
        <f t="shared" si="62"/>
        <v>1.6666666666666667</v>
      </c>
      <c r="AL120" s="17">
        <f t="shared" si="63"/>
        <v>2</v>
      </c>
      <c r="AM120" s="1">
        <f t="shared" si="64"/>
        <v>-0.16666666666666666</v>
      </c>
      <c r="AN120" s="1">
        <f t="shared" si="65"/>
        <v>0</v>
      </c>
      <c r="AO120" s="1">
        <f t="shared" si="66"/>
        <v>0.2</v>
      </c>
      <c r="AP120" s="1">
        <f t="shared" si="67"/>
        <v>1.3333333333333333</v>
      </c>
      <c r="AQ120" s="1">
        <f t="shared" si="68"/>
        <v>-0.42857142857142855</v>
      </c>
      <c r="AR120" s="1">
        <f t="shared" si="69"/>
        <v>0.375</v>
      </c>
      <c r="AS120" s="12">
        <f t="shared" si="70"/>
        <v>0.21884920634920635</v>
      </c>
      <c r="AT120" s="12">
        <f t="shared" si="71"/>
        <v>0.1</v>
      </c>
      <c r="AU120" s="1">
        <f t="shared" si="72"/>
        <v>-1</v>
      </c>
      <c r="AV120" s="1">
        <f t="shared" si="73"/>
        <v>0</v>
      </c>
      <c r="AW120" s="1">
        <f t="shared" si="74"/>
        <v>1</v>
      </c>
      <c r="AX120" s="1">
        <f t="shared" si="75"/>
        <v>8</v>
      </c>
      <c r="AY120" s="1">
        <f t="shared" si="76"/>
        <v>-6</v>
      </c>
      <c r="AZ120" s="1">
        <f t="shared" si="77"/>
        <v>3</v>
      </c>
      <c r="BA120" s="19">
        <f t="shared" si="78"/>
        <v>0.83333333333333337</v>
      </c>
      <c r="BB120" s="19">
        <f t="shared" si="79"/>
        <v>0.5</v>
      </c>
      <c r="BC120" s="9">
        <f t="shared" si="80"/>
        <v>0.75</v>
      </c>
      <c r="BD120" s="9">
        <f t="shared" si="81"/>
        <v>0.5714285714285714</v>
      </c>
      <c r="BE120" s="9">
        <f t="shared" si="82"/>
        <v>-0.27272727272727271</v>
      </c>
      <c r="BF120" s="9">
        <f t="shared" si="83"/>
        <v>-0.125</v>
      </c>
      <c r="BG120" s="9">
        <f t="shared" si="84"/>
        <v>1.1428571428571428</v>
      </c>
      <c r="BH120" s="9">
        <f t="shared" si="85"/>
        <v>-0.4</v>
      </c>
      <c r="BI120" s="12">
        <f t="shared" si="86"/>
        <v>0.27775974025974026</v>
      </c>
      <c r="BJ120" s="13">
        <f t="shared" si="87"/>
        <v>0.2232142857142857</v>
      </c>
      <c r="BK120" s="1">
        <f t="shared" si="88"/>
        <v>3</v>
      </c>
      <c r="BL120" s="1">
        <f t="shared" si="89"/>
        <v>4</v>
      </c>
      <c r="BM120" s="1">
        <f t="shared" si="90"/>
        <v>-3</v>
      </c>
      <c r="BN120" s="1">
        <f t="shared" si="91"/>
        <v>-1</v>
      </c>
      <c r="BO120" s="1">
        <f t="shared" si="92"/>
        <v>8</v>
      </c>
      <c r="BP120" s="1">
        <f t="shared" si="93"/>
        <v>-6</v>
      </c>
      <c r="BQ120" s="19">
        <f t="shared" si="94"/>
        <v>0.83333333333333337</v>
      </c>
      <c r="BR120" s="17">
        <f t="shared" si="95"/>
        <v>1</v>
      </c>
    </row>
    <row r="121" spans="1:70" x14ac:dyDescent="0.25">
      <c r="A121" t="s">
        <v>602</v>
      </c>
      <c r="C121">
        <v>1</v>
      </c>
      <c r="D121">
        <v>2</v>
      </c>
      <c r="E121">
        <v>10</v>
      </c>
      <c r="F121">
        <v>8</v>
      </c>
      <c r="G121">
        <v>4</v>
      </c>
      <c r="H121">
        <v>10</v>
      </c>
      <c r="K121">
        <v>1</v>
      </c>
      <c r="L121">
        <v>5</v>
      </c>
      <c r="M121">
        <v>4</v>
      </c>
      <c r="N121">
        <v>3</v>
      </c>
      <c r="O121">
        <v>5</v>
      </c>
      <c r="Q121">
        <v>1</v>
      </c>
      <c r="R121">
        <v>1</v>
      </c>
      <c r="S121">
        <v>5</v>
      </c>
      <c r="T121">
        <v>4</v>
      </c>
      <c r="U121">
        <v>1</v>
      </c>
      <c r="V121">
        <v>5</v>
      </c>
      <c r="W121" s="8" t="e">
        <f t="shared" si="48"/>
        <v>#DIV/0!</v>
      </c>
      <c r="X121" s="8">
        <f t="shared" si="49"/>
        <v>1</v>
      </c>
      <c r="Y121" s="8">
        <f t="shared" si="50"/>
        <v>4</v>
      </c>
      <c r="Z121" s="8">
        <f t="shared" si="51"/>
        <v>-0.2</v>
      </c>
      <c r="AA121" s="8">
        <f t="shared" si="52"/>
        <v>-0.5</v>
      </c>
      <c r="AB121" s="8">
        <f t="shared" si="53"/>
        <v>1.5</v>
      </c>
      <c r="AC121" s="12" t="e">
        <f t="shared" si="54"/>
        <v>#DIV/0!</v>
      </c>
      <c r="AD121" s="12" t="e">
        <f t="shared" si="55"/>
        <v>#DIV/0!</v>
      </c>
      <c r="AE121" s="1">
        <f t="shared" si="56"/>
        <v>1</v>
      </c>
      <c r="AF121" s="1">
        <f t="shared" si="57"/>
        <v>1</v>
      </c>
      <c r="AG121" s="1">
        <f t="shared" si="58"/>
        <v>8</v>
      </c>
      <c r="AH121" s="1">
        <f t="shared" si="59"/>
        <v>-2</v>
      </c>
      <c r="AI121" s="1">
        <f t="shared" si="60"/>
        <v>-4</v>
      </c>
      <c r="AJ121" s="1">
        <f t="shared" si="61"/>
        <v>6</v>
      </c>
      <c r="AK121" s="17">
        <f t="shared" si="62"/>
        <v>1.6666666666666667</v>
      </c>
      <c r="AL121" s="17">
        <f t="shared" si="63"/>
        <v>1</v>
      </c>
      <c r="AM121" s="1" t="e">
        <f t="shared" si="64"/>
        <v>#DIV/0!</v>
      </c>
      <c r="AN121" s="1" t="e">
        <f t="shared" si="65"/>
        <v>#DIV/0!</v>
      </c>
      <c r="AO121" s="1">
        <f t="shared" si="66"/>
        <v>4</v>
      </c>
      <c r="AP121" s="1">
        <f t="shared" si="67"/>
        <v>-0.2</v>
      </c>
      <c r="AQ121" s="1">
        <f t="shared" si="68"/>
        <v>-0.25</v>
      </c>
      <c r="AR121" s="1">
        <f t="shared" si="69"/>
        <v>0.66666666666666663</v>
      </c>
      <c r="AS121" s="12" t="e">
        <f t="shared" si="70"/>
        <v>#DIV/0!</v>
      </c>
      <c r="AT121" s="12" t="e">
        <f t="shared" si="71"/>
        <v>#DIV/0!</v>
      </c>
      <c r="AU121" s="1">
        <f t="shared" si="72"/>
        <v>0</v>
      </c>
      <c r="AV121" s="1">
        <f t="shared" si="73"/>
        <v>1</v>
      </c>
      <c r="AW121" s="1">
        <f t="shared" si="74"/>
        <v>4</v>
      </c>
      <c r="AX121" s="1">
        <f t="shared" si="75"/>
        <v>-1</v>
      </c>
      <c r="AY121" s="1">
        <f t="shared" si="76"/>
        <v>-1</v>
      </c>
      <c r="AZ121" s="1">
        <f t="shared" si="77"/>
        <v>2</v>
      </c>
      <c r="BA121" s="19">
        <f t="shared" si="78"/>
        <v>0.83333333333333337</v>
      </c>
      <c r="BB121" s="19">
        <f t="shared" si="79"/>
        <v>0.5</v>
      </c>
      <c r="BC121" s="9" t="e">
        <f t="shared" si="80"/>
        <v>#DIV/0!</v>
      </c>
      <c r="BD121" s="9">
        <f t="shared" si="81"/>
        <v>0</v>
      </c>
      <c r="BE121" s="9">
        <f t="shared" si="82"/>
        <v>4</v>
      </c>
      <c r="BF121" s="9">
        <f t="shared" si="83"/>
        <v>-0.2</v>
      </c>
      <c r="BG121" s="9">
        <f t="shared" si="84"/>
        <v>-0.75</v>
      </c>
      <c r="BH121" s="9">
        <f t="shared" si="85"/>
        <v>4</v>
      </c>
      <c r="BI121" s="12" t="e">
        <f t="shared" si="86"/>
        <v>#DIV/0!</v>
      </c>
      <c r="BJ121" s="13" t="e">
        <f t="shared" si="87"/>
        <v>#DIV/0!</v>
      </c>
      <c r="BK121" s="1">
        <f t="shared" si="88"/>
        <v>1</v>
      </c>
      <c r="BL121" s="1">
        <f t="shared" si="89"/>
        <v>0</v>
      </c>
      <c r="BM121" s="1">
        <f t="shared" si="90"/>
        <v>4</v>
      </c>
      <c r="BN121" s="1">
        <f t="shared" si="91"/>
        <v>-1</v>
      </c>
      <c r="BO121" s="1">
        <f t="shared" si="92"/>
        <v>-3</v>
      </c>
      <c r="BP121" s="1">
        <f t="shared" si="93"/>
        <v>4</v>
      </c>
      <c r="BQ121" s="19">
        <f t="shared" si="94"/>
        <v>0.83333333333333337</v>
      </c>
      <c r="BR121" s="17">
        <f t="shared" si="95"/>
        <v>0.5</v>
      </c>
    </row>
    <row r="122" spans="1:70" x14ac:dyDescent="0.25">
      <c r="A122" t="s">
        <v>174</v>
      </c>
      <c r="B122">
        <v>60</v>
      </c>
      <c r="C122">
        <v>59</v>
      </c>
      <c r="D122">
        <v>60</v>
      </c>
      <c r="E122">
        <v>70</v>
      </c>
      <c r="F122">
        <v>61</v>
      </c>
      <c r="G122">
        <v>71</v>
      </c>
      <c r="H122">
        <v>69</v>
      </c>
      <c r="I122">
        <v>27</v>
      </c>
      <c r="J122">
        <v>22</v>
      </c>
      <c r="K122">
        <v>42</v>
      </c>
      <c r="L122">
        <v>44</v>
      </c>
      <c r="M122">
        <v>31</v>
      </c>
      <c r="N122">
        <v>44</v>
      </c>
      <c r="O122">
        <v>39</v>
      </c>
      <c r="P122">
        <v>33</v>
      </c>
      <c r="Q122">
        <v>37</v>
      </c>
      <c r="R122">
        <v>18</v>
      </c>
      <c r="S122">
        <v>26</v>
      </c>
      <c r="T122">
        <v>30</v>
      </c>
      <c r="U122">
        <v>27</v>
      </c>
      <c r="V122">
        <v>30</v>
      </c>
      <c r="W122" s="8">
        <f t="shared" si="48"/>
        <v>-1.6666666666666666E-2</v>
      </c>
      <c r="X122" s="8">
        <f t="shared" si="49"/>
        <v>1.6949152542372881E-2</v>
      </c>
      <c r="Y122" s="8">
        <f t="shared" si="50"/>
        <v>0.16666666666666666</v>
      </c>
      <c r="Z122" s="8">
        <f t="shared" si="51"/>
        <v>-0.12857142857142856</v>
      </c>
      <c r="AA122" s="8">
        <f t="shared" si="52"/>
        <v>0.16393442622950818</v>
      </c>
      <c r="AB122" s="8">
        <f t="shared" si="53"/>
        <v>-2.8169014084507043E-2</v>
      </c>
      <c r="AC122" s="12">
        <f t="shared" si="54"/>
        <v>2.9023856019324241E-2</v>
      </c>
      <c r="AD122" s="12">
        <f t="shared" si="55"/>
        <v>1.4124293785310743E-4</v>
      </c>
      <c r="AE122" s="1">
        <f t="shared" si="56"/>
        <v>-1</v>
      </c>
      <c r="AF122" s="1">
        <f t="shared" si="57"/>
        <v>1</v>
      </c>
      <c r="AG122" s="1">
        <f t="shared" si="58"/>
        <v>10</v>
      </c>
      <c r="AH122" s="1">
        <f t="shared" si="59"/>
        <v>-9</v>
      </c>
      <c r="AI122" s="1">
        <f t="shared" si="60"/>
        <v>10</v>
      </c>
      <c r="AJ122" s="1">
        <f t="shared" si="61"/>
        <v>-2</v>
      </c>
      <c r="AK122" s="17">
        <f t="shared" si="62"/>
        <v>1.5</v>
      </c>
      <c r="AL122" s="17">
        <f t="shared" si="63"/>
        <v>0</v>
      </c>
      <c r="AM122" s="1">
        <f t="shared" si="64"/>
        <v>-0.18518518518518517</v>
      </c>
      <c r="AN122" s="1">
        <f t="shared" si="65"/>
        <v>0.90909090909090906</v>
      </c>
      <c r="AO122" s="1">
        <f t="shared" si="66"/>
        <v>4.7619047619047616E-2</v>
      </c>
      <c r="AP122" s="1">
        <f t="shared" si="67"/>
        <v>-0.29545454545454547</v>
      </c>
      <c r="AQ122" s="1">
        <f t="shared" si="68"/>
        <v>0.41935483870967744</v>
      </c>
      <c r="AR122" s="1">
        <f t="shared" si="69"/>
        <v>-0.11363636363636363</v>
      </c>
      <c r="AS122" s="12">
        <f t="shared" si="70"/>
        <v>0.13029811685725665</v>
      </c>
      <c r="AT122" s="12">
        <f t="shared" si="71"/>
        <v>-3.3008658008658001E-2</v>
      </c>
      <c r="AU122" s="1">
        <f t="shared" si="72"/>
        <v>-5</v>
      </c>
      <c r="AV122" s="1">
        <f t="shared" si="73"/>
        <v>20</v>
      </c>
      <c r="AW122" s="1">
        <f t="shared" si="74"/>
        <v>2</v>
      </c>
      <c r="AX122" s="1">
        <f t="shared" si="75"/>
        <v>-13</v>
      </c>
      <c r="AY122" s="1">
        <f t="shared" si="76"/>
        <v>13</v>
      </c>
      <c r="AZ122" s="1">
        <f t="shared" si="77"/>
        <v>-5</v>
      </c>
      <c r="BA122" s="19">
        <f t="shared" si="78"/>
        <v>2</v>
      </c>
      <c r="BB122" s="19">
        <f t="shared" si="79"/>
        <v>-1.5</v>
      </c>
      <c r="BC122" s="9">
        <f t="shared" si="80"/>
        <v>0.12121212121212122</v>
      </c>
      <c r="BD122" s="9">
        <f t="shared" si="81"/>
        <v>-0.51351351351351349</v>
      </c>
      <c r="BE122" s="9">
        <f t="shared" si="82"/>
        <v>0.44444444444444442</v>
      </c>
      <c r="BF122" s="9">
        <f t="shared" si="83"/>
        <v>0.15384615384615385</v>
      </c>
      <c r="BG122" s="9">
        <f t="shared" si="84"/>
        <v>-0.1</v>
      </c>
      <c r="BH122" s="9">
        <f t="shared" si="85"/>
        <v>0.1111111111111111</v>
      </c>
      <c r="BI122" s="12">
        <f t="shared" si="86"/>
        <v>3.6183386183386186E-2</v>
      </c>
      <c r="BJ122" s="13">
        <f t="shared" si="87"/>
        <v>0.11616161616161616</v>
      </c>
      <c r="BK122" s="1">
        <f t="shared" si="88"/>
        <v>4</v>
      </c>
      <c r="BL122" s="1">
        <f t="shared" si="89"/>
        <v>-19</v>
      </c>
      <c r="BM122" s="1">
        <f t="shared" si="90"/>
        <v>8</v>
      </c>
      <c r="BN122" s="1">
        <f t="shared" si="91"/>
        <v>4</v>
      </c>
      <c r="BO122" s="1">
        <f t="shared" si="92"/>
        <v>-3</v>
      </c>
      <c r="BP122" s="1">
        <f t="shared" si="93"/>
        <v>3</v>
      </c>
      <c r="BQ122" s="19">
        <f t="shared" si="94"/>
        <v>-0.5</v>
      </c>
      <c r="BR122" s="17">
        <f t="shared" si="95"/>
        <v>3.5</v>
      </c>
    </row>
    <row r="123" spans="1:70" x14ac:dyDescent="0.25">
      <c r="A123" t="s">
        <v>183</v>
      </c>
      <c r="B123">
        <v>48</v>
      </c>
      <c r="C123">
        <v>60</v>
      </c>
      <c r="D123">
        <v>49</v>
      </c>
      <c r="E123">
        <v>56</v>
      </c>
      <c r="F123">
        <v>49</v>
      </c>
      <c r="G123">
        <v>61</v>
      </c>
      <c r="H123">
        <v>57</v>
      </c>
      <c r="I123">
        <v>25</v>
      </c>
      <c r="J123">
        <v>26</v>
      </c>
      <c r="K123">
        <v>18</v>
      </c>
      <c r="L123">
        <v>24</v>
      </c>
      <c r="M123">
        <v>18</v>
      </c>
      <c r="N123">
        <v>26</v>
      </c>
      <c r="O123">
        <v>26</v>
      </c>
      <c r="P123">
        <v>23</v>
      </c>
      <c r="Q123">
        <v>34</v>
      </c>
      <c r="R123">
        <v>31</v>
      </c>
      <c r="S123">
        <v>32</v>
      </c>
      <c r="T123">
        <v>31</v>
      </c>
      <c r="U123">
        <v>35</v>
      </c>
      <c r="V123">
        <v>31</v>
      </c>
      <c r="W123" s="8">
        <f t="shared" si="48"/>
        <v>0.25</v>
      </c>
      <c r="X123" s="8">
        <f t="shared" si="49"/>
        <v>-0.18333333333333332</v>
      </c>
      <c r="Y123" s="8">
        <f t="shared" si="50"/>
        <v>0.14285714285714285</v>
      </c>
      <c r="Z123" s="8">
        <f t="shared" si="51"/>
        <v>-0.125</v>
      </c>
      <c r="AA123" s="8">
        <f t="shared" si="52"/>
        <v>0.24489795918367346</v>
      </c>
      <c r="AB123" s="8">
        <f t="shared" si="53"/>
        <v>-6.5573770491803282E-2</v>
      </c>
      <c r="AC123" s="12">
        <f t="shared" si="54"/>
        <v>4.3974666369279942E-2</v>
      </c>
      <c r="AD123" s="12">
        <f t="shared" si="55"/>
        <v>3.864168618266979E-2</v>
      </c>
      <c r="AE123" s="1">
        <f t="shared" si="56"/>
        <v>12</v>
      </c>
      <c r="AF123" s="1">
        <f t="shared" si="57"/>
        <v>-11</v>
      </c>
      <c r="AG123" s="1">
        <f t="shared" si="58"/>
        <v>7</v>
      </c>
      <c r="AH123" s="1">
        <f t="shared" si="59"/>
        <v>-7</v>
      </c>
      <c r="AI123" s="1">
        <f t="shared" si="60"/>
        <v>12</v>
      </c>
      <c r="AJ123" s="1">
        <f t="shared" si="61"/>
        <v>-4</v>
      </c>
      <c r="AK123" s="17">
        <f t="shared" si="62"/>
        <v>1.5</v>
      </c>
      <c r="AL123" s="17">
        <f t="shared" si="63"/>
        <v>1.5</v>
      </c>
      <c r="AM123" s="1">
        <f t="shared" si="64"/>
        <v>0.04</v>
      </c>
      <c r="AN123" s="1">
        <f t="shared" si="65"/>
        <v>-0.30769230769230771</v>
      </c>
      <c r="AO123" s="1">
        <f t="shared" si="66"/>
        <v>0.33333333333333331</v>
      </c>
      <c r="AP123" s="1">
        <f t="shared" si="67"/>
        <v>-0.25</v>
      </c>
      <c r="AQ123" s="1">
        <f t="shared" si="68"/>
        <v>0.44444444444444442</v>
      </c>
      <c r="AR123" s="1">
        <f t="shared" si="69"/>
        <v>0</v>
      </c>
      <c r="AS123" s="12">
        <f t="shared" si="70"/>
        <v>4.3347578347578332E-2</v>
      </c>
      <c r="AT123" s="12">
        <f t="shared" si="71"/>
        <v>0.02</v>
      </c>
      <c r="AU123" s="1">
        <f t="shared" si="72"/>
        <v>1</v>
      </c>
      <c r="AV123" s="1">
        <f t="shared" si="73"/>
        <v>-8</v>
      </c>
      <c r="AW123" s="1">
        <f t="shared" si="74"/>
        <v>6</v>
      </c>
      <c r="AX123" s="1">
        <f t="shared" si="75"/>
        <v>-6</v>
      </c>
      <c r="AY123" s="1">
        <f t="shared" si="76"/>
        <v>8</v>
      </c>
      <c r="AZ123" s="1">
        <f t="shared" si="77"/>
        <v>0</v>
      </c>
      <c r="BA123" s="19">
        <f t="shared" si="78"/>
        <v>0.16666666666666666</v>
      </c>
      <c r="BB123" s="19">
        <f t="shared" si="79"/>
        <v>0.5</v>
      </c>
      <c r="BC123" s="9">
        <f t="shared" si="80"/>
        <v>0.47826086956521741</v>
      </c>
      <c r="BD123" s="9">
        <f t="shared" si="81"/>
        <v>-8.8235294117647065E-2</v>
      </c>
      <c r="BE123" s="9">
        <f t="shared" si="82"/>
        <v>3.2258064516129031E-2</v>
      </c>
      <c r="BF123" s="9">
        <f t="shared" si="83"/>
        <v>-3.125E-2</v>
      </c>
      <c r="BG123" s="9">
        <f t="shared" si="84"/>
        <v>0.12903225806451613</v>
      </c>
      <c r="BH123" s="9">
        <f t="shared" si="85"/>
        <v>-0.11428571428571428</v>
      </c>
      <c r="BI123" s="12">
        <f t="shared" si="86"/>
        <v>6.7630030623750198E-2</v>
      </c>
      <c r="BJ123" s="13">
        <f t="shared" si="87"/>
        <v>5.0403225806451568E-4</v>
      </c>
      <c r="BK123" s="1">
        <f t="shared" si="88"/>
        <v>11</v>
      </c>
      <c r="BL123" s="1">
        <f t="shared" si="89"/>
        <v>-3</v>
      </c>
      <c r="BM123" s="1">
        <f t="shared" si="90"/>
        <v>1</v>
      </c>
      <c r="BN123" s="1">
        <f t="shared" si="91"/>
        <v>-1</v>
      </c>
      <c r="BO123" s="1">
        <f t="shared" si="92"/>
        <v>4</v>
      </c>
      <c r="BP123" s="1">
        <f t="shared" si="93"/>
        <v>-4</v>
      </c>
      <c r="BQ123" s="19">
        <f t="shared" si="94"/>
        <v>1.3333333333333333</v>
      </c>
      <c r="BR123" s="17">
        <f t="shared" si="95"/>
        <v>0</v>
      </c>
    </row>
    <row r="124" spans="1:70" x14ac:dyDescent="0.25">
      <c r="A124" t="s">
        <v>288</v>
      </c>
      <c r="B124">
        <v>13</v>
      </c>
      <c r="C124">
        <v>7</v>
      </c>
      <c r="D124">
        <v>15</v>
      </c>
      <c r="E124">
        <v>17</v>
      </c>
      <c r="F124">
        <v>11</v>
      </c>
      <c r="G124">
        <v>22</v>
      </c>
      <c r="H124">
        <v>22</v>
      </c>
      <c r="I124">
        <v>5</v>
      </c>
      <c r="J124">
        <v>4</v>
      </c>
      <c r="K124">
        <v>9</v>
      </c>
      <c r="L124">
        <v>11</v>
      </c>
      <c r="M124">
        <v>5</v>
      </c>
      <c r="N124">
        <v>11</v>
      </c>
      <c r="O124">
        <v>12</v>
      </c>
      <c r="P124">
        <v>8</v>
      </c>
      <c r="Q124">
        <v>3</v>
      </c>
      <c r="R124">
        <v>6</v>
      </c>
      <c r="S124">
        <v>6</v>
      </c>
      <c r="T124">
        <v>6</v>
      </c>
      <c r="U124">
        <v>11</v>
      </c>
      <c r="V124">
        <v>10</v>
      </c>
      <c r="W124" s="8">
        <f t="shared" si="48"/>
        <v>-0.46153846153846156</v>
      </c>
      <c r="X124" s="8">
        <f t="shared" si="49"/>
        <v>1.1428571428571428</v>
      </c>
      <c r="Y124" s="8">
        <f t="shared" si="50"/>
        <v>0.13333333333333333</v>
      </c>
      <c r="Z124" s="8">
        <f t="shared" si="51"/>
        <v>-0.35294117647058826</v>
      </c>
      <c r="AA124" s="8">
        <f t="shared" si="52"/>
        <v>1</v>
      </c>
      <c r="AB124" s="8">
        <f t="shared" si="53"/>
        <v>0</v>
      </c>
      <c r="AC124" s="12">
        <f t="shared" si="54"/>
        <v>0.24361847303023773</v>
      </c>
      <c r="AD124" s="12">
        <f t="shared" si="55"/>
        <v>6.6666666666666666E-2</v>
      </c>
      <c r="AE124" s="1">
        <f t="shared" si="56"/>
        <v>-6</v>
      </c>
      <c r="AF124" s="1">
        <f t="shared" si="57"/>
        <v>8</v>
      </c>
      <c r="AG124" s="1">
        <f t="shared" si="58"/>
        <v>2</v>
      </c>
      <c r="AH124" s="1">
        <f t="shared" si="59"/>
        <v>-6</v>
      </c>
      <c r="AI124" s="1">
        <f t="shared" si="60"/>
        <v>11</v>
      </c>
      <c r="AJ124" s="1">
        <f t="shared" si="61"/>
        <v>0</v>
      </c>
      <c r="AK124" s="17">
        <f t="shared" si="62"/>
        <v>1.5</v>
      </c>
      <c r="AL124" s="17">
        <f t="shared" si="63"/>
        <v>1</v>
      </c>
      <c r="AM124" s="1">
        <f t="shared" si="64"/>
        <v>-0.2</v>
      </c>
      <c r="AN124" s="1">
        <f t="shared" si="65"/>
        <v>1.25</v>
      </c>
      <c r="AO124" s="1">
        <f t="shared" si="66"/>
        <v>0.22222222222222221</v>
      </c>
      <c r="AP124" s="1">
        <f t="shared" si="67"/>
        <v>-0.54545454545454541</v>
      </c>
      <c r="AQ124" s="1">
        <f t="shared" si="68"/>
        <v>1.2</v>
      </c>
      <c r="AR124" s="1">
        <f t="shared" si="69"/>
        <v>9.0909090909090912E-2</v>
      </c>
      <c r="AS124" s="12">
        <f t="shared" si="70"/>
        <v>0.33627946127946129</v>
      </c>
      <c r="AT124" s="12">
        <f t="shared" si="71"/>
        <v>0.15656565656565657</v>
      </c>
      <c r="AU124" s="1">
        <f t="shared" si="72"/>
        <v>-1</v>
      </c>
      <c r="AV124" s="1">
        <f t="shared" si="73"/>
        <v>5</v>
      </c>
      <c r="AW124" s="1">
        <f t="shared" si="74"/>
        <v>2</v>
      </c>
      <c r="AX124" s="1">
        <f t="shared" si="75"/>
        <v>-6</v>
      </c>
      <c r="AY124" s="1">
        <f t="shared" si="76"/>
        <v>6</v>
      </c>
      <c r="AZ124" s="1">
        <f t="shared" si="77"/>
        <v>1</v>
      </c>
      <c r="BA124" s="19">
        <f t="shared" si="78"/>
        <v>1.1666666666666667</v>
      </c>
      <c r="BB124" s="19">
        <f t="shared" si="79"/>
        <v>1.5</v>
      </c>
      <c r="BC124" s="9">
        <f t="shared" si="80"/>
        <v>-0.625</v>
      </c>
      <c r="BD124" s="9">
        <f t="shared" si="81"/>
        <v>1</v>
      </c>
      <c r="BE124" s="9">
        <f t="shared" si="82"/>
        <v>0</v>
      </c>
      <c r="BF124" s="9">
        <f t="shared" si="83"/>
        <v>0</v>
      </c>
      <c r="BG124" s="9">
        <f t="shared" si="84"/>
        <v>0.83333333333333337</v>
      </c>
      <c r="BH124" s="9">
        <f t="shared" si="85"/>
        <v>-9.0909090909090912E-2</v>
      </c>
      <c r="BI124" s="12">
        <f t="shared" si="86"/>
        <v>0.18623737373737378</v>
      </c>
      <c r="BJ124" s="13">
        <f t="shared" si="87"/>
        <v>0</v>
      </c>
      <c r="BK124" s="1">
        <f t="shared" si="88"/>
        <v>-5</v>
      </c>
      <c r="BL124" s="1">
        <f t="shared" si="89"/>
        <v>3</v>
      </c>
      <c r="BM124" s="1">
        <f t="shared" si="90"/>
        <v>0</v>
      </c>
      <c r="BN124" s="1">
        <f t="shared" si="91"/>
        <v>0</v>
      </c>
      <c r="BO124" s="1">
        <f t="shared" si="92"/>
        <v>5</v>
      </c>
      <c r="BP124" s="1">
        <f t="shared" si="93"/>
        <v>-1</v>
      </c>
      <c r="BQ124" s="19">
        <f t="shared" si="94"/>
        <v>0.33333333333333331</v>
      </c>
      <c r="BR124" s="17">
        <f t="shared" si="95"/>
        <v>0</v>
      </c>
    </row>
    <row r="125" spans="1:70" x14ac:dyDescent="0.25">
      <c r="A125" t="s">
        <v>577</v>
      </c>
      <c r="C125">
        <v>3</v>
      </c>
      <c r="D125">
        <v>2</v>
      </c>
      <c r="E125">
        <v>14</v>
      </c>
      <c r="F125">
        <v>4</v>
      </c>
      <c r="G125">
        <v>4</v>
      </c>
      <c r="H125">
        <v>9</v>
      </c>
      <c r="J125">
        <v>2</v>
      </c>
      <c r="K125">
        <v>1</v>
      </c>
      <c r="L125">
        <v>5</v>
      </c>
      <c r="M125">
        <v>1</v>
      </c>
      <c r="N125">
        <v>2</v>
      </c>
      <c r="O125">
        <v>2</v>
      </c>
      <c r="Q125">
        <v>1</v>
      </c>
      <c r="R125">
        <v>1</v>
      </c>
      <c r="S125">
        <v>9</v>
      </c>
      <c r="T125">
        <v>3</v>
      </c>
      <c r="U125">
        <v>2</v>
      </c>
      <c r="V125">
        <v>7</v>
      </c>
      <c r="W125" s="8" t="e">
        <f t="shared" si="48"/>
        <v>#DIV/0!</v>
      </c>
      <c r="X125" s="8">
        <f t="shared" si="49"/>
        <v>-0.33333333333333331</v>
      </c>
      <c r="Y125" s="8">
        <f t="shared" si="50"/>
        <v>6</v>
      </c>
      <c r="Z125" s="8">
        <f t="shared" si="51"/>
        <v>-0.7142857142857143</v>
      </c>
      <c r="AA125" s="8">
        <f t="shared" si="52"/>
        <v>0</v>
      </c>
      <c r="AB125" s="8">
        <f t="shared" si="53"/>
        <v>1.25</v>
      </c>
      <c r="AC125" s="12" t="e">
        <f t="shared" si="54"/>
        <v>#DIV/0!</v>
      </c>
      <c r="AD125" s="12" t="e">
        <f t="shared" si="55"/>
        <v>#DIV/0!</v>
      </c>
      <c r="AE125" s="1">
        <f t="shared" si="56"/>
        <v>3</v>
      </c>
      <c r="AF125" s="1">
        <f t="shared" si="57"/>
        <v>-1</v>
      </c>
      <c r="AG125" s="1">
        <f t="shared" si="58"/>
        <v>12</v>
      </c>
      <c r="AH125" s="1">
        <f t="shared" si="59"/>
        <v>-10</v>
      </c>
      <c r="AI125" s="1">
        <f t="shared" si="60"/>
        <v>0</v>
      </c>
      <c r="AJ125" s="1">
        <f t="shared" si="61"/>
        <v>5</v>
      </c>
      <c r="AK125" s="17">
        <f t="shared" si="62"/>
        <v>1.5</v>
      </c>
      <c r="AL125" s="17">
        <f t="shared" si="63"/>
        <v>1.5</v>
      </c>
      <c r="AM125" s="1" t="e">
        <f t="shared" si="64"/>
        <v>#DIV/0!</v>
      </c>
      <c r="AN125" s="1">
        <f t="shared" si="65"/>
        <v>-0.5</v>
      </c>
      <c r="AO125" s="1">
        <f t="shared" si="66"/>
        <v>4</v>
      </c>
      <c r="AP125" s="1">
        <f t="shared" si="67"/>
        <v>-0.8</v>
      </c>
      <c r="AQ125" s="1">
        <f t="shared" si="68"/>
        <v>1</v>
      </c>
      <c r="AR125" s="1">
        <f t="shared" si="69"/>
        <v>0</v>
      </c>
      <c r="AS125" s="12" t="e">
        <f t="shared" si="70"/>
        <v>#DIV/0!</v>
      </c>
      <c r="AT125" s="12" t="e">
        <f t="shared" si="71"/>
        <v>#DIV/0!</v>
      </c>
      <c r="AU125" s="1">
        <f t="shared" si="72"/>
        <v>2</v>
      </c>
      <c r="AV125" s="1">
        <f t="shared" si="73"/>
        <v>-1</v>
      </c>
      <c r="AW125" s="1">
        <f t="shared" si="74"/>
        <v>4</v>
      </c>
      <c r="AX125" s="1">
        <f t="shared" si="75"/>
        <v>-4</v>
      </c>
      <c r="AY125" s="1">
        <f t="shared" si="76"/>
        <v>1</v>
      </c>
      <c r="AZ125" s="1">
        <f t="shared" si="77"/>
        <v>0</v>
      </c>
      <c r="BA125" s="19">
        <f t="shared" si="78"/>
        <v>0.33333333333333331</v>
      </c>
      <c r="BB125" s="19">
        <f t="shared" si="79"/>
        <v>0.5</v>
      </c>
      <c r="BC125" s="9" t="e">
        <f t="shared" si="80"/>
        <v>#DIV/0!</v>
      </c>
      <c r="BD125" s="9">
        <f t="shared" si="81"/>
        <v>0</v>
      </c>
      <c r="BE125" s="9">
        <f t="shared" si="82"/>
        <v>8</v>
      </c>
      <c r="BF125" s="9">
        <f t="shared" si="83"/>
        <v>-0.66666666666666663</v>
      </c>
      <c r="BG125" s="9">
        <f t="shared" si="84"/>
        <v>-0.33333333333333331</v>
      </c>
      <c r="BH125" s="9">
        <f t="shared" si="85"/>
        <v>2.5</v>
      </c>
      <c r="BI125" s="12" t="e">
        <f t="shared" si="86"/>
        <v>#DIV/0!</v>
      </c>
      <c r="BJ125" s="13" t="e">
        <f t="shared" si="87"/>
        <v>#DIV/0!</v>
      </c>
      <c r="BK125" s="1">
        <f t="shared" si="88"/>
        <v>1</v>
      </c>
      <c r="BL125" s="1">
        <f t="shared" si="89"/>
        <v>0</v>
      </c>
      <c r="BM125" s="1">
        <f t="shared" si="90"/>
        <v>8</v>
      </c>
      <c r="BN125" s="1">
        <f t="shared" si="91"/>
        <v>-6</v>
      </c>
      <c r="BO125" s="1">
        <f t="shared" si="92"/>
        <v>-1</v>
      </c>
      <c r="BP125" s="1">
        <f t="shared" si="93"/>
        <v>5</v>
      </c>
      <c r="BQ125" s="19">
        <f t="shared" si="94"/>
        <v>1.1666666666666667</v>
      </c>
      <c r="BR125" s="17">
        <f t="shared" si="95"/>
        <v>0.5</v>
      </c>
    </row>
    <row r="126" spans="1:70" x14ac:dyDescent="0.25">
      <c r="A126" t="s">
        <v>130</v>
      </c>
      <c r="B126">
        <v>132</v>
      </c>
      <c r="C126">
        <v>122</v>
      </c>
      <c r="D126">
        <v>123</v>
      </c>
      <c r="E126">
        <v>114</v>
      </c>
      <c r="F126">
        <v>137</v>
      </c>
      <c r="G126">
        <v>160</v>
      </c>
      <c r="H126">
        <v>140</v>
      </c>
      <c r="I126">
        <v>53</v>
      </c>
      <c r="J126">
        <v>51</v>
      </c>
      <c r="K126">
        <v>47</v>
      </c>
      <c r="L126">
        <v>47</v>
      </c>
      <c r="M126">
        <v>67</v>
      </c>
      <c r="N126">
        <v>50</v>
      </c>
      <c r="O126">
        <v>68</v>
      </c>
      <c r="P126">
        <v>79</v>
      </c>
      <c r="Q126">
        <v>71</v>
      </c>
      <c r="R126">
        <v>76</v>
      </c>
      <c r="S126">
        <v>67</v>
      </c>
      <c r="T126">
        <v>70</v>
      </c>
      <c r="U126">
        <v>110</v>
      </c>
      <c r="V126">
        <v>72</v>
      </c>
      <c r="W126" s="8">
        <f t="shared" si="48"/>
        <v>-7.575757575757576E-2</v>
      </c>
      <c r="X126" s="8">
        <f t="shared" si="49"/>
        <v>8.1967213114754103E-3</v>
      </c>
      <c r="Y126" s="8">
        <f t="shared" si="50"/>
        <v>-7.3170731707317069E-2</v>
      </c>
      <c r="Z126" s="8">
        <f t="shared" si="51"/>
        <v>0.20175438596491227</v>
      </c>
      <c r="AA126" s="8">
        <f t="shared" si="52"/>
        <v>0.16788321167883211</v>
      </c>
      <c r="AB126" s="8">
        <f t="shared" si="53"/>
        <v>-0.125</v>
      </c>
      <c r="AC126" s="12">
        <f t="shared" si="54"/>
        <v>1.7317668581721162E-2</v>
      </c>
      <c r="AD126" s="12">
        <f t="shared" si="55"/>
        <v>-3.2487005197920832E-2</v>
      </c>
      <c r="AE126" s="1">
        <f t="shared" si="56"/>
        <v>-10</v>
      </c>
      <c r="AF126" s="1">
        <f t="shared" si="57"/>
        <v>1</v>
      </c>
      <c r="AG126" s="1">
        <f t="shared" si="58"/>
        <v>-9</v>
      </c>
      <c r="AH126" s="1">
        <f t="shared" si="59"/>
        <v>23</v>
      </c>
      <c r="AI126" s="1">
        <f t="shared" si="60"/>
        <v>23</v>
      </c>
      <c r="AJ126" s="1">
        <f t="shared" si="61"/>
        <v>-20</v>
      </c>
      <c r="AK126" s="17">
        <f t="shared" si="62"/>
        <v>1.3333333333333333</v>
      </c>
      <c r="AL126" s="17">
        <f t="shared" si="63"/>
        <v>-4</v>
      </c>
      <c r="AM126" s="1">
        <f t="shared" si="64"/>
        <v>-3.7735849056603772E-2</v>
      </c>
      <c r="AN126" s="1">
        <f t="shared" si="65"/>
        <v>-7.8431372549019607E-2</v>
      </c>
      <c r="AO126" s="1">
        <f t="shared" si="66"/>
        <v>0</v>
      </c>
      <c r="AP126" s="1">
        <f t="shared" si="67"/>
        <v>0.42553191489361702</v>
      </c>
      <c r="AQ126" s="1">
        <f t="shared" si="68"/>
        <v>-0.2537313432835821</v>
      </c>
      <c r="AR126" s="1">
        <f t="shared" si="69"/>
        <v>0.36</v>
      </c>
      <c r="AS126" s="12">
        <f t="shared" si="70"/>
        <v>6.9272225000735252E-2</v>
      </c>
      <c r="AT126" s="12">
        <f t="shared" si="71"/>
        <v>-1.8867924528301886E-2</v>
      </c>
      <c r="AU126" s="1">
        <f t="shared" si="72"/>
        <v>-2</v>
      </c>
      <c r="AV126" s="1">
        <f t="shared" si="73"/>
        <v>-4</v>
      </c>
      <c r="AW126" s="1">
        <f t="shared" si="74"/>
        <v>0</v>
      </c>
      <c r="AX126" s="1">
        <f t="shared" si="75"/>
        <v>20</v>
      </c>
      <c r="AY126" s="1">
        <f t="shared" si="76"/>
        <v>-17</v>
      </c>
      <c r="AZ126" s="1">
        <f t="shared" si="77"/>
        <v>18</v>
      </c>
      <c r="BA126" s="19">
        <f t="shared" si="78"/>
        <v>2.5</v>
      </c>
      <c r="BB126" s="19">
        <f t="shared" si="79"/>
        <v>-1</v>
      </c>
      <c r="BC126" s="9">
        <f t="shared" si="80"/>
        <v>-0.10126582278481013</v>
      </c>
      <c r="BD126" s="9">
        <f t="shared" si="81"/>
        <v>7.0422535211267609E-2</v>
      </c>
      <c r="BE126" s="9">
        <f t="shared" si="82"/>
        <v>-0.11842105263157894</v>
      </c>
      <c r="BF126" s="9">
        <f t="shared" si="83"/>
        <v>4.4776119402985072E-2</v>
      </c>
      <c r="BG126" s="9">
        <f t="shared" si="84"/>
        <v>0.5714285714285714</v>
      </c>
      <c r="BH126" s="9">
        <f t="shared" si="85"/>
        <v>-0.34545454545454546</v>
      </c>
      <c r="BI126" s="12">
        <f t="shared" si="86"/>
        <v>2.0247634195314928E-2</v>
      </c>
      <c r="BJ126" s="13">
        <f t="shared" si="87"/>
        <v>-2.8244851690912523E-2</v>
      </c>
      <c r="BK126" s="1">
        <f t="shared" si="88"/>
        <v>-8</v>
      </c>
      <c r="BL126" s="1">
        <f t="shared" si="89"/>
        <v>5</v>
      </c>
      <c r="BM126" s="1">
        <f t="shared" si="90"/>
        <v>-9</v>
      </c>
      <c r="BN126" s="1">
        <f t="shared" si="91"/>
        <v>3</v>
      </c>
      <c r="BO126" s="1">
        <f t="shared" si="92"/>
        <v>40</v>
      </c>
      <c r="BP126" s="1">
        <f t="shared" si="93"/>
        <v>-38</v>
      </c>
      <c r="BQ126" s="19">
        <f t="shared" si="94"/>
        <v>-1.1666666666666667</v>
      </c>
      <c r="BR126" s="17">
        <f t="shared" si="95"/>
        <v>-2.5</v>
      </c>
    </row>
    <row r="127" spans="1:70" x14ac:dyDescent="0.25">
      <c r="A127" t="s">
        <v>211</v>
      </c>
      <c r="B127">
        <v>29</v>
      </c>
      <c r="C127">
        <v>18</v>
      </c>
      <c r="D127">
        <v>30</v>
      </c>
      <c r="E127">
        <v>33</v>
      </c>
      <c r="F127">
        <v>23</v>
      </c>
      <c r="G127">
        <v>39</v>
      </c>
      <c r="H127">
        <v>37</v>
      </c>
      <c r="I127">
        <v>17</v>
      </c>
      <c r="J127">
        <v>12</v>
      </c>
      <c r="K127">
        <v>17</v>
      </c>
      <c r="L127">
        <v>16</v>
      </c>
      <c r="M127">
        <v>10</v>
      </c>
      <c r="N127">
        <v>28</v>
      </c>
      <c r="O127">
        <v>26</v>
      </c>
      <c r="P127">
        <v>12</v>
      </c>
      <c r="Q127">
        <v>6</v>
      </c>
      <c r="R127">
        <v>13</v>
      </c>
      <c r="S127">
        <v>17</v>
      </c>
      <c r="T127">
        <v>13</v>
      </c>
      <c r="U127">
        <v>11</v>
      </c>
      <c r="V127">
        <v>11</v>
      </c>
      <c r="W127" s="8">
        <f t="shared" si="48"/>
        <v>-0.37931034482758619</v>
      </c>
      <c r="X127" s="8">
        <f t="shared" si="49"/>
        <v>0.66666666666666663</v>
      </c>
      <c r="Y127" s="8">
        <f t="shared" si="50"/>
        <v>0.1</v>
      </c>
      <c r="Z127" s="8">
        <f t="shared" si="51"/>
        <v>-0.30303030303030304</v>
      </c>
      <c r="AA127" s="8">
        <f t="shared" si="52"/>
        <v>0.69565217391304346</v>
      </c>
      <c r="AB127" s="8">
        <f t="shared" si="53"/>
        <v>-5.128205128205128E-2</v>
      </c>
      <c r="AC127" s="12">
        <f t="shared" si="54"/>
        <v>0.12144935690662824</v>
      </c>
      <c r="AD127" s="12">
        <f t="shared" si="55"/>
        <v>2.435897435897437E-2</v>
      </c>
      <c r="AE127" s="1">
        <f t="shared" si="56"/>
        <v>-11</v>
      </c>
      <c r="AF127" s="1">
        <f t="shared" si="57"/>
        <v>12</v>
      </c>
      <c r="AG127" s="1">
        <f t="shared" si="58"/>
        <v>3</v>
      </c>
      <c r="AH127" s="1">
        <f t="shared" si="59"/>
        <v>-10</v>
      </c>
      <c r="AI127" s="1">
        <f t="shared" si="60"/>
        <v>16</v>
      </c>
      <c r="AJ127" s="1">
        <f t="shared" si="61"/>
        <v>-2</v>
      </c>
      <c r="AK127" s="17">
        <f t="shared" si="62"/>
        <v>1.3333333333333333</v>
      </c>
      <c r="AL127" s="17">
        <f t="shared" si="63"/>
        <v>0.5</v>
      </c>
      <c r="AM127" s="1">
        <f t="shared" si="64"/>
        <v>-0.29411764705882354</v>
      </c>
      <c r="AN127" s="1">
        <f t="shared" si="65"/>
        <v>0.41666666666666669</v>
      </c>
      <c r="AO127" s="1">
        <f t="shared" si="66"/>
        <v>-5.8823529411764705E-2</v>
      </c>
      <c r="AP127" s="1">
        <f t="shared" si="67"/>
        <v>-0.375</v>
      </c>
      <c r="AQ127" s="1">
        <f t="shared" si="68"/>
        <v>1.8</v>
      </c>
      <c r="AR127" s="1">
        <f t="shared" si="69"/>
        <v>-7.1428571428571425E-2</v>
      </c>
      <c r="AS127" s="12">
        <f t="shared" si="70"/>
        <v>0.23621615312791786</v>
      </c>
      <c r="AT127" s="12">
        <f t="shared" si="71"/>
        <v>-6.5126050420168058E-2</v>
      </c>
      <c r="AU127" s="1">
        <f t="shared" si="72"/>
        <v>-5</v>
      </c>
      <c r="AV127" s="1">
        <f t="shared" si="73"/>
        <v>5</v>
      </c>
      <c r="AW127" s="1">
        <f t="shared" si="74"/>
        <v>-1</v>
      </c>
      <c r="AX127" s="1">
        <f t="shared" si="75"/>
        <v>-6</v>
      </c>
      <c r="AY127" s="1">
        <f t="shared" si="76"/>
        <v>18</v>
      </c>
      <c r="AZ127" s="1">
        <f t="shared" si="77"/>
        <v>-2</v>
      </c>
      <c r="BA127" s="19">
        <f t="shared" si="78"/>
        <v>1.5</v>
      </c>
      <c r="BB127" s="19">
        <f t="shared" si="79"/>
        <v>-1.5</v>
      </c>
      <c r="BC127" s="9">
        <f t="shared" si="80"/>
        <v>-0.5</v>
      </c>
      <c r="BD127" s="9">
        <f t="shared" si="81"/>
        <v>1.1666666666666667</v>
      </c>
      <c r="BE127" s="9">
        <f t="shared" si="82"/>
        <v>0.30769230769230771</v>
      </c>
      <c r="BF127" s="9">
        <f t="shared" si="83"/>
        <v>-0.23529411764705882</v>
      </c>
      <c r="BG127" s="9">
        <f t="shared" si="84"/>
        <v>-0.15384615384615385</v>
      </c>
      <c r="BH127" s="9">
        <f t="shared" si="85"/>
        <v>0</v>
      </c>
      <c r="BI127" s="12">
        <f t="shared" si="86"/>
        <v>9.7536450477626949E-2</v>
      </c>
      <c r="BJ127" s="13">
        <f t="shared" si="87"/>
        <v>-7.6923076923076927E-2</v>
      </c>
      <c r="BK127" s="1">
        <f t="shared" si="88"/>
        <v>-6</v>
      </c>
      <c r="BL127" s="1">
        <f t="shared" si="89"/>
        <v>7</v>
      </c>
      <c r="BM127" s="1">
        <f t="shared" si="90"/>
        <v>4</v>
      </c>
      <c r="BN127" s="1">
        <f t="shared" si="91"/>
        <v>-4</v>
      </c>
      <c r="BO127" s="1">
        <f t="shared" si="92"/>
        <v>-2</v>
      </c>
      <c r="BP127" s="1">
        <f t="shared" si="93"/>
        <v>0</v>
      </c>
      <c r="BQ127" s="19">
        <f t="shared" si="94"/>
        <v>-0.16666666666666666</v>
      </c>
      <c r="BR127" s="17">
        <f t="shared" si="95"/>
        <v>-1</v>
      </c>
    </row>
    <row r="128" spans="1:70" x14ac:dyDescent="0.25">
      <c r="A128" t="s">
        <v>291</v>
      </c>
      <c r="B128">
        <v>12</v>
      </c>
      <c r="C128">
        <v>16</v>
      </c>
      <c r="D128">
        <v>13</v>
      </c>
      <c r="E128">
        <v>45</v>
      </c>
      <c r="F128">
        <v>32</v>
      </c>
      <c r="G128">
        <v>31</v>
      </c>
      <c r="H128">
        <v>20</v>
      </c>
      <c r="I128">
        <v>7</v>
      </c>
      <c r="J128">
        <v>5</v>
      </c>
      <c r="K128">
        <v>7</v>
      </c>
      <c r="L128">
        <v>23</v>
      </c>
      <c r="M128">
        <v>15</v>
      </c>
      <c r="N128">
        <v>16</v>
      </c>
      <c r="O128">
        <v>15</v>
      </c>
      <c r="P128">
        <v>5</v>
      </c>
      <c r="Q128">
        <v>11</v>
      </c>
      <c r="R128">
        <v>6</v>
      </c>
      <c r="S128">
        <v>22</v>
      </c>
      <c r="T128">
        <v>17</v>
      </c>
      <c r="U128">
        <v>15</v>
      </c>
      <c r="V128">
        <v>5</v>
      </c>
      <c r="W128" s="8">
        <f t="shared" si="48"/>
        <v>0.33333333333333331</v>
      </c>
      <c r="X128" s="8">
        <f t="shared" si="49"/>
        <v>-0.1875</v>
      </c>
      <c r="Y128" s="8">
        <f t="shared" si="50"/>
        <v>2.4615384615384617</v>
      </c>
      <c r="Z128" s="8">
        <f t="shared" si="51"/>
        <v>-0.28888888888888886</v>
      </c>
      <c r="AA128" s="8">
        <f t="shared" si="52"/>
        <v>-3.125E-2</v>
      </c>
      <c r="AB128" s="8">
        <f t="shared" si="53"/>
        <v>-0.35483870967741937</v>
      </c>
      <c r="AC128" s="12">
        <f t="shared" si="54"/>
        <v>0.32206569938424784</v>
      </c>
      <c r="AD128" s="12">
        <f t="shared" si="55"/>
        <v>-0.109375</v>
      </c>
      <c r="AE128" s="1">
        <f t="shared" si="56"/>
        <v>4</v>
      </c>
      <c r="AF128" s="1">
        <f t="shared" si="57"/>
        <v>-3</v>
      </c>
      <c r="AG128" s="1">
        <f t="shared" si="58"/>
        <v>32</v>
      </c>
      <c r="AH128" s="1">
        <f t="shared" si="59"/>
        <v>-13</v>
      </c>
      <c r="AI128" s="1">
        <f t="shared" si="60"/>
        <v>-1</v>
      </c>
      <c r="AJ128" s="1">
        <f t="shared" si="61"/>
        <v>-11</v>
      </c>
      <c r="AK128" s="17">
        <f t="shared" si="62"/>
        <v>1.3333333333333333</v>
      </c>
      <c r="AL128" s="17">
        <f t="shared" si="63"/>
        <v>-2</v>
      </c>
      <c r="AM128" s="1">
        <f t="shared" si="64"/>
        <v>-0.2857142857142857</v>
      </c>
      <c r="AN128" s="1">
        <f t="shared" si="65"/>
        <v>0.4</v>
      </c>
      <c r="AO128" s="1">
        <f t="shared" si="66"/>
        <v>2.2857142857142856</v>
      </c>
      <c r="AP128" s="1">
        <f t="shared" si="67"/>
        <v>-0.34782608695652173</v>
      </c>
      <c r="AQ128" s="1">
        <f t="shared" si="68"/>
        <v>6.6666666666666666E-2</v>
      </c>
      <c r="AR128" s="1">
        <f t="shared" si="69"/>
        <v>-6.25E-2</v>
      </c>
      <c r="AS128" s="12">
        <f t="shared" si="70"/>
        <v>0.34272342995169081</v>
      </c>
      <c r="AT128" s="12">
        <f t="shared" si="71"/>
        <v>2.0833333333333259E-3</v>
      </c>
      <c r="AU128" s="1">
        <f t="shared" si="72"/>
        <v>-2</v>
      </c>
      <c r="AV128" s="1">
        <f t="shared" si="73"/>
        <v>2</v>
      </c>
      <c r="AW128" s="1">
        <f t="shared" si="74"/>
        <v>16</v>
      </c>
      <c r="AX128" s="1">
        <f t="shared" si="75"/>
        <v>-8</v>
      </c>
      <c r="AY128" s="1">
        <f t="shared" si="76"/>
        <v>1</v>
      </c>
      <c r="AZ128" s="1">
        <f t="shared" si="77"/>
        <v>-1</v>
      </c>
      <c r="BA128" s="19">
        <f t="shared" si="78"/>
        <v>1.3333333333333333</v>
      </c>
      <c r="BB128" s="19">
        <f t="shared" si="79"/>
        <v>0</v>
      </c>
      <c r="BC128" s="9">
        <f t="shared" si="80"/>
        <v>1.2</v>
      </c>
      <c r="BD128" s="9">
        <f t="shared" si="81"/>
        <v>-0.45454545454545453</v>
      </c>
      <c r="BE128" s="9">
        <f t="shared" si="82"/>
        <v>2.6666666666666665</v>
      </c>
      <c r="BF128" s="9">
        <f t="shared" si="83"/>
        <v>-0.22727272727272727</v>
      </c>
      <c r="BG128" s="9">
        <f t="shared" si="84"/>
        <v>-0.11764705882352941</v>
      </c>
      <c r="BH128" s="9">
        <f t="shared" si="85"/>
        <v>-0.66666666666666663</v>
      </c>
      <c r="BI128" s="12">
        <f t="shared" si="86"/>
        <v>0.40008912655971485</v>
      </c>
      <c r="BJ128" s="13">
        <f t="shared" si="87"/>
        <v>-0.17245989304812834</v>
      </c>
      <c r="BK128" s="1">
        <f t="shared" si="88"/>
        <v>6</v>
      </c>
      <c r="BL128" s="1">
        <f t="shared" si="89"/>
        <v>-5</v>
      </c>
      <c r="BM128" s="1">
        <f t="shared" si="90"/>
        <v>16</v>
      </c>
      <c r="BN128" s="1">
        <f t="shared" si="91"/>
        <v>-5</v>
      </c>
      <c r="BO128" s="1">
        <f t="shared" si="92"/>
        <v>-2</v>
      </c>
      <c r="BP128" s="1">
        <f t="shared" si="93"/>
        <v>-10</v>
      </c>
      <c r="BQ128" s="19">
        <f t="shared" si="94"/>
        <v>0</v>
      </c>
      <c r="BR128" s="17">
        <f t="shared" si="95"/>
        <v>-3.5</v>
      </c>
    </row>
    <row r="129" spans="1:70" x14ac:dyDescent="0.25">
      <c r="A129" t="s">
        <v>311</v>
      </c>
      <c r="B129">
        <v>10</v>
      </c>
      <c r="C129">
        <v>14</v>
      </c>
      <c r="D129">
        <v>10</v>
      </c>
      <c r="E129">
        <v>7</v>
      </c>
      <c r="F129">
        <v>12</v>
      </c>
      <c r="G129">
        <v>17</v>
      </c>
      <c r="H129">
        <v>18</v>
      </c>
      <c r="I129">
        <v>5</v>
      </c>
      <c r="J129">
        <v>9</v>
      </c>
      <c r="K129">
        <v>6</v>
      </c>
      <c r="L129">
        <v>5</v>
      </c>
      <c r="M129">
        <v>6</v>
      </c>
      <c r="N129">
        <v>12</v>
      </c>
      <c r="O129">
        <v>11</v>
      </c>
      <c r="P129">
        <v>5</v>
      </c>
      <c r="Q129">
        <v>5</v>
      </c>
      <c r="R129">
        <v>4</v>
      </c>
      <c r="S129">
        <v>2</v>
      </c>
      <c r="T129">
        <v>6</v>
      </c>
      <c r="U129">
        <v>5</v>
      </c>
      <c r="V129">
        <v>7</v>
      </c>
      <c r="W129" s="8">
        <f t="shared" si="48"/>
        <v>0.4</v>
      </c>
      <c r="X129" s="8">
        <f t="shared" si="49"/>
        <v>-0.2857142857142857</v>
      </c>
      <c r="Y129" s="8">
        <f t="shared" si="50"/>
        <v>-0.3</v>
      </c>
      <c r="Z129" s="8">
        <f t="shared" si="51"/>
        <v>0.7142857142857143</v>
      </c>
      <c r="AA129" s="8">
        <f t="shared" si="52"/>
        <v>0.41666666666666669</v>
      </c>
      <c r="AB129" s="8">
        <f t="shared" si="53"/>
        <v>5.8823529411764705E-2</v>
      </c>
      <c r="AC129" s="12">
        <f t="shared" si="54"/>
        <v>0.16734360410831003</v>
      </c>
      <c r="AD129" s="12">
        <f t="shared" si="55"/>
        <v>0.22941176470588237</v>
      </c>
      <c r="AE129" s="1">
        <f t="shared" si="56"/>
        <v>4</v>
      </c>
      <c r="AF129" s="1">
        <f t="shared" si="57"/>
        <v>-4</v>
      </c>
      <c r="AG129" s="1">
        <f t="shared" si="58"/>
        <v>-3</v>
      </c>
      <c r="AH129" s="1">
        <f t="shared" si="59"/>
        <v>5</v>
      </c>
      <c r="AI129" s="1">
        <f t="shared" si="60"/>
        <v>5</v>
      </c>
      <c r="AJ129" s="1">
        <f t="shared" si="61"/>
        <v>1</v>
      </c>
      <c r="AK129" s="17">
        <f t="shared" si="62"/>
        <v>1.3333333333333333</v>
      </c>
      <c r="AL129" s="17">
        <f t="shared" si="63"/>
        <v>2.5</v>
      </c>
      <c r="AM129" s="1">
        <f t="shared" si="64"/>
        <v>0.8</v>
      </c>
      <c r="AN129" s="1">
        <f t="shared" si="65"/>
        <v>-0.33333333333333331</v>
      </c>
      <c r="AO129" s="1">
        <f t="shared" si="66"/>
        <v>-0.16666666666666666</v>
      </c>
      <c r="AP129" s="1">
        <f t="shared" si="67"/>
        <v>0.2</v>
      </c>
      <c r="AQ129" s="1">
        <f t="shared" si="68"/>
        <v>1</v>
      </c>
      <c r="AR129" s="1">
        <f t="shared" si="69"/>
        <v>-8.3333333333333329E-2</v>
      </c>
      <c r="AS129" s="12">
        <f t="shared" si="70"/>
        <v>0.23611111111111113</v>
      </c>
      <c r="AT129" s="12">
        <f t="shared" si="71"/>
        <v>5.8333333333333334E-2</v>
      </c>
      <c r="AU129" s="1">
        <f t="shared" si="72"/>
        <v>4</v>
      </c>
      <c r="AV129" s="1">
        <f t="shared" si="73"/>
        <v>-3</v>
      </c>
      <c r="AW129" s="1">
        <f t="shared" si="74"/>
        <v>-1</v>
      </c>
      <c r="AX129" s="1">
        <f t="shared" si="75"/>
        <v>1</v>
      </c>
      <c r="AY129" s="1">
        <f t="shared" si="76"/>
        <v>6</v>
      </c>
      <c r="AZ129" s="1">
        <f t="shared" si="77"/>
        <v>-1</v>
      </c>
      <c r="BA129" s="19">
        <f t="shared" si="78"/>
        <v>1</v>
      </c>
      <c r="BB129" s="19">
        <f t="shared" si="79"/>
        <v>0</v>
      </c>
      <c r="BC129" s="9">
        <f t="shared" si="80"/>
        <v>0</v>
      </c>
      <c r="BD129" s="9">
        <f t="shared" si="81"/>
        <v>-0.2</v>
      </c>
      <c r="BE129" s="9">
        <f t="shared" si="82"/>
        <v>-0.5</v>
      </c>
      <c r="BF129" s="9">
        <f t="shared" si="83"/>
        <v>2</v>
      </c>
      <c r="BG129" s="9">
        <f t="shared" si="84"/>
        <v>-0.16666666666666666</v>
      </c>
      <c r="BH129" s="9">
        <f t="shared" si="85"/>
        <v>0.4</v>
      </c>
      <c r="BI129" s="12">
        <f t="shared" si="86"/>
        <v>0.25555555555555554</v>
      </c>
      <c r="BJ129" s="13">
        <f t="shared" si="87"/>
        <v>-8.3333333333333329E-2</v>
      </c>
      <c r="BK129" s="1">
        <f t="shared" si="88"/>
        <v>0</v>
      </c>
      <c r="BL129" s="1">
        <f t="shared" si="89"/>
        <v>-1</v>
      </c>
      <c r="BM129" s="1">
        <f t="shared" si="90"/>
        <v>-2</v>
      </c>
      <c r="BN129" s="1">
        <f t="shared" si="91"/>
        <v>4</v>
      </c>
      <c r="BO129" s="1">
        <f t="shared" si="92"/>
        <v>-1</v>
      </c>
      <c r="BP129" s="1">
        <f t="shared" si="93"/>
        <v>2</v>
      </c>
      <c r="BQ129" s="19">
        <f t="shared" si="94"/>
        <v>0.33333333333333331</v>
      </c>
      <c r="BR129" s="17">
        <f t="shared" si="95"/>
        <v>-0.5</v>
      </c>
    </row>
    <row r="130" spans="1:70" x14ac:dyDescent="0.25">
      <c r="A130" t="s">
        <v>340</v>
      </c>
      <c r="B130">
        <v>7</v>
      </c>
      <c r="C130">
        <v>13</v>
      </c>
      <c r="D130">
        <v>9</v>
      </c>
      <c r="E130">
        <v>12</v>
      </c>
      <c r="F130">
        <v>19</v>
      </c>
      <c r="G130">
        <v>14</v>
      </c>
      <c r="H130">
        <v>15</v>
      </c>
      <c r="I130">
        <v>5</v>
      </c>
      <c r="J130">
        <v>7</v>
      </c>
      <c r="K130">
        <v>4</v>
      </c>
      <c r="L130">
        <v>6</v>
      </c>
      <c r="M130">
        <v>12</v>
      </c>
      <c r="N130">
        <v>6</v>
      </c>
      <c r="O130">
        <v>4</v>
      </c>
      <c r="P130">
        <v>2</v>
      </c>
      <c r="Q130">
        <v>6</v>
      </c>
      <c r="R130">
        <v>5</v>
      </c>
      <c r="S130">
        <v>6</v>
      </c>
      <c r="T130">
        <v>7</v>
      </c>
      <c r="U130">
        <v>8</v>
      </c>
      <c r="V130">
        <v>11</v>
      </c>
      <c r="W130" s="8">
        <f t="shared" ref="W130:W193" si="96">+(C130-B130)/B130</f>
        <v>0.8571428571428571</v>
      </c>
      <c r="X130" s="8">
        <f t="shared" ref="X130:X193" si="97">+(D130-C130)/C130</f>
        <v>-0.30769230769230771</v>
      </c>
      <c r="Y130" s="8">
        <f t="shared" ref="Y130:Y193" si="98">+(E130-D130)/D130</f>
        <v>0.33333333333333331</v>
      </c>
      <c r="Z130" s="8">
        <f t="shared" ref="Z130:Z193" si="99">+(F130-E130)/E130</f>
        <v>0.58333333333333337</v>
      </c>
      <c r="AA130" s="8">
        <f t="shared" ref="AA130:AA193" si="100">+(G130-F130)/F130</f>
        <v>-0.26315789473684209</v>
      </c>
      <c r="AB130" s="8">
        <f t="shared" ref="AB130:AB193" si="101">+(H130-G130)/G130</f>
        <v>7.1428571428571425E-2</v>
      </c>
      <c r="AC130" s="12">
        <f t="shared" ref="AC130:AC193" si="102">+AVERAGE(W130:AB130)</f>
        <v>0.21239798213482428</v>
      </c>
      <c r="AD130" s="12">
        <f t="shared" ref="AD130:AD193" si="103">MEDIAN(W130:AB130)</f>
        <v>0.20238095238095236</v>
      </c>
      <c r="AE130" s="1">
        <f t="shared" ref="AE130:AE193" si="104">C130-B130</f>
        <v>6</v>
      </c>
      <c r="AF130" s="1">
        <f t="shared" ref="AF130:AF193" si="105">D130-C130</f>
        <v>-4</v>
      </c>
      <c r="AG130" s="1">
        <f t="shared" ref="AG130:AG193" si="106">E130-D130</f>
        <v>3</v>
      </c>
      <c r="AH130" s="1">
        <f t="shared" ref="AH130:AH193" si="107">F130-E130</f>
        <v>7</v>
      </c>
      <c r="AI130" s="1">
        <f t="shared" ref="AI130:AI193" si="108">G130-F130</f>
        <v>-5</v>
      </c>
      <c r="AJ130" s="1">
        <f t="shared" ref="AJ130:AJ193" si="109">H130-G130</f>
        <v>1</v>
      </c>
      <c r="AK130" s="17">
        <f t="shared" ref="AK130:AK193" si="110">+AVERAGE(AE130:AJ130)</f>
        <v>1.3333333333333333</v>
      </c>
      <c r="AL130" s="17">
        <f t="shared" ref="AL130:AL193" si="111">+MEDIAN(AE130:AJ130)</f>
        <v>2</v>
      </c>
      <c r="AM130" s="1">
        <f t="shared" ref="AM130:AM193" si="112">+(J130-I130)/I130</f>
        <v>0.4</v>
      </c>
      <c r="AN130" s="1">
        <f t="shared" ref="AN130:AN193" si="113">+(K130-J130)/J130</f>
        <v>-0.42857142857142855</v>
      </c>
      <c r="AO130" s="1">
        <f t="shared" ref="AO130:AO193" si="114">+(L130-K130)/K130</f>
        <v>0.5</v>
      </c>
      <c r="AP130" s="1">
        <f t="shared" ref="AP130:AP193" si="115">+(M130-L130)/L130</f>
        <v>1</v>
      </c>
      <c r="AQ130" s="1">
        <f t="shared" ref="AQ130:AQ193" si="116">+(N130-M130)/M130</f>
        <v>-0.5</v>
      </c>
      <c r="AR130" s="1">
        <f t="shared" ref="AR130:AR193" si="117">+(O130-N130)/N130</f>
        <v>-0.33333333333333331</v>
      </c>
      <c r="AS130" s="12">
        <f t="shared" ref="AS130:AS193" si="118">+AVERAGE(AM130:AR130)</f>
        <v>0.10634920634920637</v>
      </c>
      <c r="AT130" s="12">
        <f t="shared" ref="AT130:AT193" si="119">+MEDIAN(AM130:AR130)</f>
        <v>3.3333333333333381E-2</v>
      </c>
      <c r="AU130" s="1">
        <f t="shared" ref="AU130:AU193" si="120">J130-I130</f>
        <v>2</v>
      </c>
      <c r="AV130" s="1">
        <f t="shared" ref="AV130:AV193" si="121">K130-J130</f>
        <v>-3</v>
      </c>
      <c r="AW130" s="1">
        <f t="shared" ref="AW130:AW193" si="122">L130-K130</f>
        <v>2</v>
      </c>
      <c r="AX130" s="1">
        <f t="shared" ref="AX130:AX193" si="123">M130-L130</f>
        <v>6</v>
      </c>
      <c r="AY130" s="1">
        <f t="shared" ref="AY130:AY193" si="124">N130-M130</f>
        <v>-6</v>
      </c>
      <c r="AZ130" s="1">
        <f t="shared" ref="AZ130:AZ193" si="125">O130-N130</f>
        <v>-2</v>
      </c>
      <c r="BA130" s="19">
        <f t="shared" ref="BA130:BA193" si="126">+AVERAGE(AU130:AZ130)</f>
        <v>-0.16666666666666666</v>
      </c>
      <c r="BB130" s="19">
        <f t="shared" ref="BB130:BB193" si="127">MEDIAN(AU130:AZ130)</f>
        <v>0</v>
      </c>
      <c r="BC130" s="9">
        <f t="shared" ref="BC130:BC193" si="128">+(Q130-P130)/P130</f>
        <v>2</v>
      </c>
      <c r="BD130" s="9">
        <f t="shared" ref="BD130:BD193" si="129">+(R130-Q130)/Q130</f>
        <v>-0.16666666666666666</v>
      </c>
      <c r="BE130" s="9">
        <f t="shared" ref="BE130:BE193" si="130">+(S130-R130)/R130</f>
        <v>0.2</v>
      </c>
      <c r="BF130" s="9">
        <f t="shared" ref="BF130:BF193" si="131">+(T130-S130)/S130</f>
        <v>0.16666666666666666</v>
      </c>
      <c r="BG130" s="9">
        <f t="shared" ref="BG130:BG193" si="132">+(U130-T130)/T130</f>
        <v>0.14285714285714285</v>
      </c>
      <c r="BH130" s="9">
        <f t="shared" ref="BH130:BH193" si="133">+(V130-U130)/U130</f>
        <v>0.375</v>
      </c>
      <c r="BI130" s="12">
        <f t="shared" ref="BI130:BI193" si="134">+AVERAGE(BC130:BH130)</f>
        <v>0.45297619047619042</v>
      </c>
      <c r="BJ130" s="13">
        <f t="shared" ref="BJ130:BJ193" si="135">MEDIAN(BC130:BH130)</f>
        <v>0.18333333333333335</v>
      </c>
      <c r="BK130" s="1">
        <f t="shared" ref="BK130:BK193" si="136">+Q130-P130</f>
        <v>4</v>
      </c>
      <c r="BL130" s="1">
        <f t="shared" ref="BL130:BL193" si="137">+R130-Q130</f>
        <v>-1</v>
      </c>
      <c r="BM130" s="1">
        <f t="shared" ref="BM130:BM193" si="138">+S130-R130</f>
        <v>1</v>
      </c>
      <c r="BN130" s="1">
        <f t="shared" ref="BN130:BN193" si="139">+T130-S130</f>
        <v>1</v>
      </c>
      <c r="BO130" s="1">
        <f t="shared" ref="BO130:BO193" si="140">+U130-T130</f>
        <v>1</v>
      </c>
      <c r="BP130" s="1">
        <f t="shared" ref="BP130:BP193" si="141">+V130-U130</f>
        <v>3</v>
      </c>
      <c r="BQ130" s="19">
        <f t="shared" ref="BQ130:BQ193" si="142">+AVERAGE(BK130:BP130)</f>
        <v>1.5</v>
      </c>
      <c r="BR130" s="17">
        <f t="shared" ref="BR130:BR193" si="143">MEDIAN(BK130:BP130)</f>
        <v>1</v>
      </c>
    </row>
    <row r="131" spans="1:70" x14ac:dyDescent="0.25">
      <c r="A131" t="s">
        <v>401</v>
      </c>
      <c r="B131">
        <v>4</v>
      </c>
      <c r="C131">
        <v>10</v>
      </c>
      <c r="D131">
        <v>6</v>
      </c>
      <c r="E131">
        <v>1</v>
      </c>
      <c r="F131">
        <v>10</v>
      </c>
      <c r="G131">
        <v>3</v>
      </c>
      <c r="H131">
        <v>12</v>
      </c>
      <c r="I131">
        <v>3</v>
      </c>
      <c r="J131">
        <v>6</v>
      </c>
      <c r="K131">
        <v>2</v>
      </c>
      <c r="L131">
        <v>1</v>
      </c>
      <c r="M131">
        <v>7</v>
      </c>
      <c r="N131">
        <v>2</v>
      </c>
      <c r="O131">
        <v>4</v>
      </c>
      <c r="P131">
        <v>1</v>
      </c>
      <c r="Q131">
        <v>4</v>
      </c>
      <c r="R131">
        <v>4</v>
      </c>
      <c r="T131">
        <v>3</v>
      </c>
      <c r="U131">
        <v>1</v>
      </c>
      <c r="V131">
        <v>8</v>
      </c>
      <c r="W131" s="8">
        <f t="shared" si="96"/>
        <v>1.5</v>
      </c>
      <c r="X131" s="8">
        <f t="shared" si="97"/>
        <v>-0.4</v>
      </c>
      <c r="Y131" s="8">
        <f t="shared" si="98"/>
        <v>-0.83333333333333337</v>
      </c>
      <c r="Z131" s="8">
        <f t="shared" si="99"/>
        <v>9</v>
      </c>
      <c r="AA131" s="8">
        <f t="shared" si="100"/>
        <v>-0.7</v>
      </c>
      <c r="AB131" s="8">
        <f t="shared" si="101"/>
        <v>3</v>
      </c>
      <c r="AC131" s="12">
        <f t="shared" si="102"/>
        <v>1.927777777777778</v>
      </c>
      <c r="AD131" s="12">
        <f t="shared" si="103"/>
        <v>0.54999999999999993</v>
      </c>
      <c r="AE131" s="1">
        <f t="shared" si="104"/>
        <v>6</v>
      </c>
      <c r="AF131" s="1">
        <f t="shared" si="105"/>
        <v>-4</v>
      </c>
      <c r="AG131" s="1">
        <f t="shared" si="106"/>
        <v>-5</v>
      </c>
      <c r="AH131" s="1">
        <f t="shared" si="107"/>
        <v>9</v>
      </c>
      <c r="AI131" s="1">
        <f t="shared" si="108"/>
        <v>-7</v>
      </c>
      <c r="AJ131" s="1">
        <f t="shared" si="109"/>
        <v>9</v>
      </c>
      <c r="AK131" s="17">
        <f t="shared" si="110"/>
        <v>1.3333333333333333</v>
      </c>
      <c r="AL131" s="17">
        <f t="shared" si="111"/>
        <v>1</v>
      </c>
      <c r="AM131" s="1">
        <f t="shared" si="112"/>
        <v>1</v>
      </c>
      <c r="AN131" s="1">
        <f t="shared" si="113"/>
        <v>-0.66666666666666663</v>
      </c>
      <c r="AO131" s="1">
        <f t="shared" si="114"/>
        <v>-0.5</v>
      </c>
      <c r="AP131" s="1">
        <f t="shared" si="115"/>
        <v>6</v>
      </c>
      <c r="AQ131" s="1">
        <f t="shared" si="116"/>
        <v>-0.7142857142857143</v>
      </c>
      <c r="AR131" s="1">
        <f t="shared" si="117"/>
        <v>1</v>
      </c>
      <c r="AS131" s="12">
        <f t="shared" si="118"/>
        <v>1.0198412698412698</v>
      </c>
      <c r="AT131" s="12">
        <f t="shared" si="119"/>
        <v>0.25</v>
      </c>
      <c r="AU131" s="1">
        <f t="shared" si="120"/>
        <v>3</v>
      </c>
      <c r="AV131" s="1">
        <f t="shared" si="121"/>
        <v>-4</v>
      </c>
      <c r="AW131" s="1">
        <f t="shared" si="122"/>
        <v>-1</v>
      </c>
      <c r="AX131" s="1">
        <f t="shared" si="123"/>
        <v>6</v>
      </c>
      <c r="AY131" s="1">
        <f t="shared" si="124"/>
        <v>-5</v>
      </c>
      <c r="AZ131" s="1">
        <f t="shared" si="125"/>
        <v>2</v>
      </c>
      <c r="BA131" s="19">
        <f t="shared" si="126"/>
        <v>0.16666666666666666</v>
      </c>
      <c r="BB131" s="19">
        <f t="shared" si="127"/>
        <v>0.5</v>
      </c>
      <c r="BC131" s="9">
        <f t="shared" si="128"/>
        <v>3</v>
      </c>
      <c r="BD131" s="9">
        <f t="shared" si="129"/>
        <v>0</v>
      </c>
      <c r="BE131" s="9">
        <f t="shared" si="130"/>
        <v>-1</v>
      </c>
      <c r="BF131" s="9" t="e">
        <f t="shared" si="131"/>
        <v>#DIV/0!</v>
      </c>
      <c r="BG131" s="9">
        <f t="shared" si="132"/>
        <v>-0.66666666666666663</v>
      </c>
      <c r="BH131" s="9">
        <f t="shared" si="133"/>
        <v>7</v>
      </c>
      <c r="BI131" s="12" t="e">
        <f t="shared" si="134"/>
        <v>#DIV/0!</v>
      </c>
      <c r="BJ131" s="13" t="e">
        <f t="shared" si="135"/>
        <v>#DIV/0!</v>
      </c>
      <c r="BK131" s="1">
        <f t="shared" si="136"/>
        <v>3</v>
      </c>
      <c r="BL131" s="1">
        <f t="shared" si="137"/>
        <v>0</v>
      </c>
      <c r="BM131" s="1">
        <f t="shared" si="138"/>
        <v>-4</v>
      </c>
      <c r="BN131" s="1">
        <f t="shared" si="139"/>
        <v>3</v>
      </c>
      <c r="BO131" s="1">
        <f t="shared" si="140"/>
        <v>-2</v>
      </c>
      <c r="BP131" s="1">
        <f t="shared" si="141"/>
        <v>7</v>
      </c>
      <c r="BQ131" s="19">
        <f t="shared" si="142"/>
        <v>1.1666666666666667</v>
      </c>
      <c r="BR131" s="17">
        <f t="shared" si="143"/>
        <v>1.5</v>
      </c>
    </row>
    <row r="132" spans="1:70" x14ac:dyDescent="0.25">
      <c r="A132" t="s">
        <v>412</v>
      </c>
      <c r="B132">
        <v>4</v>
      </c>
      <c r="C132">
        <v>3</v>
      </c>
      <c r="D132">
        <v>2</v>
      </c>
      <c r="E132">
        <v>5</v>
      </c>
      <c r="F132">
        <v>9</v>
      </c>
      <c r="G132">
        <v>11</v>
      </c>
      <c r="H132">
        <v>12</v>
      </c>
      <c r="I132">
        <v>4</v>
      </c>
      <c r="J132">
        <v>3</v>
      </c>
      <c r="K132">
        <v>2</v>
      </c>
      <c r="L132">
        <v>5</v>
      </c>
      <c r="M132">
        <v>9</v>
      </c>
      <c r="N132">
        <v>11</v>
      </c>
      <c r="O132">
        <v>12</v>
      </c>
      <c r="W132" s="8">
        <f t="shared" si="96"/>
        <v>-0.25</v>
      </c>
      <c r="X132" s="8">
        <f t="shared" si="97"/>
        <v>-0.33333333333333331</v>
      </c>
      <c r="Y132" s="8">
        <f t="shared" si="98"/>
        <v>1.5</v>
      </c>
      <c r="Z132" s="8">
        <f t="shared" si="99"/>
        <v>0.8</v>
      </c>
      <c r="AA132" s="8">
        <f t="shared" si="100"/>
        <v>0.22222222222222221</v>
      </c>
      <c r="AB132" s="8">
        <f t="shared" si="101"/>
        <v>9.0909090909090912E-2</v>
      </c>
      <c r="AC132" s="12">
        <f t="shared" si="102"/>
        <v>0.33829966329966332</v>
      </c>
      <c r="AD132" s="12">
        <f t="shared" si="103"/>
        <v>0.15656565656565657</v>
      </c>
      <c r="AE132" s="1">
        <f t="shared" si="104"/>
        <v>-1</v>
      </c>
      <c r="AF132" s="1">
        <f t="shared" si="105"/>
        <v>-1</v>
      </c>
      <c r="AG132" s="1">
        <f t="shared" si="106"/>
        <v>3</v>
      </c>
      <c r="AH132" s="1">
        <f t="shared" si="107"/>
        <v>4</v>
      </c>
      <c r="AI132" s="1">
        <f t="shared" si="108"/>
        <v>2</v>
      </c>
      <c r="AJ132" s="1">
        <f t="shared" si="109"/>
        <v>1</v>
      </c>
      <c r="AK132" s="17">
        <f t="shared" si="110"/>
        <v>1.3333333333333333</v>
      </c>
      <c r="AL132" s="17">
        <f t="shared" si="111"/>
        <v>1.5</v>
      </c>
      <c r="AM132" s="1">
        <f t="shared" si="112"/>
        <v>-0.25</v>
      </c>
      <c r="AN132" s="1">
        <f t="shared" si="113"/>
        <v>-0.33333333333333331</v>
      </c>
      <c r="AO132" s="1">
        <f t="shared" si="114"/>
        <v>1.5</v>
      </c>
      <c r="AP132" s="1">
        <f t="shared" si="115"/>
        <v>0.8</v>
      </c>
      <c r="AQ132" s="1">
        <f t="shared" si="116"/>
        <v>0.22222222222222221</v>
      </c>
      <c r="AR132" s="1">
        <f t="shared" si="117"/>
        <v>9.0909090909090912E-2</v>
      </c>
      <c r="AS132" s="12">
        <f t="shared" si="118"/>
        <v>0.33829966329966332</v>
      </c>
      <c r="AT132" s="12">
        <f t="shared" si="119"/>
        <v>0.15656565656565657</v>
      </c>
      <c r="AU132" s="1">
        <f t="shared" si="120"/>
        <v>-1</v>
      </c>
      <c r="AV132" s="1">
        <f t="shared" si="121"/>
        <v>-1</v>
      </c>
      <c r="AW132" s="1">
        <f t="shared" si="122"/>
        <v>3</v>
      </c>
      <c r="AX132" s="1">
        <f t="shared" si="123"/>
        <v>4</v>
      </c>
      <c r="AY132" s="1">
        <f t="shared" si="124"/>
        <v>2</v>
      </c>
      <c r="AZ132" s="1">
        <f t="shared" si="125"/>
        <v>1</v>
      </c>
      <c r="BA132" s="19">
        <f t="shared" si="126"/>
        <v>1.3333333333333333</v>
      </c>
      <c r="BB132" s="19">
        <f t="shared" si="127"/>
        <v>1.5</v>
      </c>
      <c r="BC132" s="9" t="e">
        <f t="shared" si="128"/>
        <v>#DIV/0!</v>
      </c>
      <c r="BD132" s="9" t="e">
        <f t="shared" si="129"/>
        <v>#DIV/0!</v>
      </c>
      <c r="BE132" s="9" t="e">
        <f t="shared" si="130"/>
        <v>#DIV/0!</v>
      </c>
      <c r="BF132" s="9" t="e">
        <f t="shared" si="131"/>
        <v>#DIV/0!</v>
      </c>
      <c r="BG132" s="9" t="e">
        <f t="shared" si="132"/>
        <v>#DIV/0!</v>
      </c>
      <c r="BH132" s="9" t="e">
        <f t="shared" si="133"/>
        <v>#DIV/0!</v>
      </c>
      <c r="BI132" s="12" t="e">
        <f t="shared" si="134"/>
        <v>#DIV/0!</v>
      </c>
      <c r="BJ132" s="13" t="e">
        <f t="shared" si="135"/>
        <v>#DIV/0!</v>
      </c>
      <c r="BK132" s="1">
        <f t="shared" si="136"/>
        <v>0</v>
      </c>
      <c r="BL132" s="1">
        <f t="shared" si="137"/>
        <v>0</v>
      </c>
      <c r="BM132" s="1">
        <f t="shared" si="138"/>
        <v>0</v>
      </c>
      <c r="BN132" s="1">
        <f t="shared" si="139"/>
        <v>0</v>
      </c>
      <c r="BO132" s="1">
        <f t="shared" si="140"/>
        <v>0</v>
      </c>
      <c r="BP132" s="1">
        <f t="shared" si="141"/>
        <v>0</v>
      </c>
      <c r="BQ132" s="19">
        <f t="shared" si="142"/>
        <v>0</v>
      </c>
      <c r="BR132" s="17">
        <f t="shared" si="143"/>
        <v>0</v>
      </c>
    </row>
    <row r="133" spans="1:70" x14ac:dyDescent="0.25">
      <c r="A133" t="s">
        <v>166</v>
      </c>
      <c r="B133">
        <v>67</v>
      </c>
      <c r="C133">
        <v>71</v>
      </c>
      <c r="D133">
        <v>53</v>
      </c>
      <c r="E133">
        <v>66</v>
      </c>
      <c r="F133">
        <v>70</v>
      </c>
      <c r="G133">
        <v>78</v>
      </c>
      <c r="H133">
        <v>74</v>
      </c>
      <c r="I133">
        <v>26</v>
      </c>
      <c r="J133">
        <v>33</v>
      </c>
      <c r="K133">
        <v>26</v>
      </c>
      <c r="L133">
        <v>31</v>
      </c>
      <c r="M133">
        <v>48</v>
      </c>
      <c r="N133">
        <v>39</v>
      </c>
      <c r="O133">
        <v>30</v>
      </c>
      <c r="P133">
        <v>41</v>
      </c>
      <c r="Q133">
        <v>38</v>
      </c>
      <c r="R133">
        <v>27</v>
      </c>
      <c r="S133">
        <v>35</v>
      </c>
      <c r="T133">
        <v>22</v>
      </c>
      <c r="U133">
        <v>39</v>
      </c>
      <c r="V133">
        <v>44</v>
      </c>
      <c r="W133" s="8">
        <f t="shared" si="96"/>
        <v>5.9701492537313432E-2</v>
      </c>
      <c r="X133" s="8">
        <f t="shared" si="97"/>
        <v>-0.25352112676056338</v>
      </c>
      <c r="Y133" s="8">
        <f t="shared" si="98"/>
        <v>0.24528301886792453</v>
      </c>
      <c r="Z133" s="8">
        <f t="shared" si="99"/>
        <v>6.0606060606060608E-2</v>
      </c>
      <c r="AA133" s="8">
        <f t="shared" si="100"/>
        <v>0.11428571428571428</v>
      </c>
      <c r="AB133" s="8">
        <f t="shared" si="101"/>
        <v>-5.128205128205128E-2</v>
      </c>
      <c r="AC133" s="12">
        <f t="shared" si="102"/>
        <v>2.9178851375733034E-2</v>
      </c>
      <c r="AD133" s="12">
        <f t="shared" si="103"/>
        <v>6.0153776571687023E-2</v>
      </c>
      <c r="AE133" s="1">
        <f t="shared" si="104"/>
        <v>4</v>
      </c>
      <c r="AF133" s="1">
        <f t="shared" si="105"/>
        <v>-18</v>
      </c>
      <c r="AG133" s="1">
        <f t="shared" si="106"/>
        <v>13</v>
      </c>
      <c r="AH133" s="1">
        <f t="shared" si="107"/>
        <v>4</v>
      </c>
      <c r="AI133" s="1">
        <f t="shared" si="108"/>
        <v>8</v>
      </c>
      <c r="AJ133" s="1">
        <f t="shared" si="109"/>
        <v>-4</v>
      </c>
      <c r="AK133" s="17">
        <f t="shared" si="110"/>
        <v>1.1666666666666667</v>
      </c>
      <c r="AL133" s="17">
        <f t="shared" si="111"/>
        <v>4</v>
      </c>
      <c r="AM133" s="1">
        <f t="shared" si="112"/>
        <v>0.26923076923076922</v>
      </c>
      <c r="AN133" s="1">
        <f t="shared" si="113"/>
        <v>-0.21212121212121213</v>
      </c>
      <c r="AO133" s="1">
        <f t="shared" si="114"/>
        <v>0.19230769230769232</v>
      </c>
      <c r="AP133" s="1">
        <f t="shared" si="115"/>
        <v>0.54838709677419351</v>
      </c>
      <c r="AQ133" s="1">
        <f t="shared" si="116"/>
        <v>-0.1875</v>
      </c>
      <c r="AR133" s="1">
        <f t="shared" si="117"/>
        <v>-0.23076923076923078</v>
      </c>
      <c r="AS133" s="12">
        <f t="shared" si="118"/>
        <v>6.3255852570368684E-2</v>
      </c>
      <c r="AT133" s="12">
        <f t="shared" si="119"/>
        <v>2.4038461538461453E-3</v>
      </c>
      <c r="AU133" s="1">
        <f t="shared" si="120"/>
        <v>7</v>
      </c>
      <c r="AV133" s="1">
        <f t="shared" si="121"/>
        <v>-7</v>
      </c>
      <c r="AW133" s="1">
        <f t="shared" si="122"/>
        <v>5</v>
      </c>
      <c r="AX133" s="1">
        <f t="shared" si="123"/>
        <v>17</v>
      </c>
      <c r="AY133" s="1">
        <f t="shared" si="124"/>
        <v>-9</v>
      </c>
      <c r="AZ133" s="1">
        <f t="shared" si="125"/>
        <v>-9</v>
      </c>
      <c r="BA133" s="19">
        <f t="shared" si="126"/>
        <v>0.66666666666666663</v>
      </c>
      <c r="BB133" s="19">
        <f t="shared" si="127"/>
        <v>-1</v>
      </c>
      <c r="BC133" s="9">
        <f t="shared" si="128"/>
        <v>-7.3170731707317069E-2</v>
      </c>
      <c r="BD133" s="9">
        <f t="shared" si="129"/>
        <v>-0.28947368421052633</v>
      </c>
      <c r="BE133" s="9">
        <f t="shared" si="130"/>
        <v>0.29629629629629628</v>
      </c>
      <c r="BF133" s="9">
        <f t="shared" si="131"/>
        <v>-0.37142857142857144</v>
      </c>
      <c r="BG133" s="9">
        <f t="shared" si="132"/>
        <v>0.77272727272727271</v>
      </c>
      <c r="BH133" s="9">
        <f t="shared" si="133"/>
        <v>0.12820512820512819</v>
      </c>
      <c r="BI133" s="12">
        <f t="shared" si="134"/>
        <v>7.7192618313713726E-2</v>
      </c>
      <c r="BJ133" s="13">
        <f t="shared" si="135"/>
        <v>2.7517198248905569E-2</v>
      </c>
      <c r="BK133" s="1">
        <f t="shared" si="136"/>
        <v>-3</v>
      </c>
      <c r="BL133" s="1">
        <f t="shared" si="137"/>
        <v>-11</v>
      </c>
      <c r="BM133" s="1">
        <f t="shared" si="138"/>
        <v>8</v>
      </c>
      <c r="BN133" s="1">
        <f t="shared" si="139"/>
        <v>-13</v>
      </c>
      <c r="BO133" s="1">
        <f t="shared" si="140"/>
        <v>17</v>
      </c>
      <c r="BP133" s="1">
        <f t="shared" si="141"/>
        <v>5</v>
      </c>
      <c r="BQ133" s="19">
        <f t="shared" si="142"/>
        <v>0.5</v>
      </c>
      <c r="BR133" s="17">
        <f t="shared" si="143"/>
        <v>1</v>
      </c>
    </row>
    <row r="134" spans="1:70" x14ac:dyDescent="0.25">
      <c r="A134" t="s">
        <v>191</v>
      </c>
      <c r="B134">
        <v>42</v>
      </c>
      <c r="C134">
        <v>48</v>
      </c>
      <c r="D134">
        <v>38</v>
      </c>
      <c r="E134">
        <v>38</v>
      </c>
      <c r="F134">
        <v>55</v>
      </c>
      <c r="G134">
        <v>50</v>
      </c>
      <c r="H134">
        <v>49</v>
      </c>
      <c r="I134">
        <v>22</v>
      </c>
      <c r="J134">
        <v>21</v>
      </c>
      <c r="K134">
        <v>17</v>
      </c>
      <c r="L134">
        <v>20</v>
      </c>
      <c r="M134">
        <v>29</v>
      </c>
      <c r="N134">
        <v>32</v>
      </c>
      <c r="O134">
        <v>22</v>
      </c>
      <c r="P134">
        <v>20</v>
      </c>
      <c r="Q134">
        <v>27</v>
      </c>
      <c r="R134">
        <v>21</v>
      </c>
      <c r="S134">
        <v>18</v>
      </c>
      <c r="T134">
        <v>26</v>
      </c>
      <c r="U134">
        <v>18</v>
      </c>
      <c r="V134">
        <v>27</v>
      </c>
      <c r="W134" s="8">
        <f t="shared" si="96"/>
        <v>0.14285714285714285</v>
      </c>
      <c r="X134" s="8">
        <f t="shared" si="97"/>
        <v>-0.20833333333333334</v>
      </c>
      <c r="Y134" s="8">
        <f t="shared" si="98"/>
        <v>0</v>
      </c>
      <c r="Z134" s="8">
        <f t="shared" si="99"/>
        <v>0.44736842105263158</v>
      </c>
      <c r="AA134" s="8">
        <f t="shared" si="100"/>
        <v>-9.0909090909090912E-2</v>
      </c>
      <c r="AB134" s="8">
        <f t="shared" si="101"/>
        <v>-0.02</v>
      </c>
      <c r="AC134" s="12">
        <f t="shared" si="102"/>
        <v>4.5163856611225017E-2</v>
      </c>
      <c r="AD134" s="12">
        <f t="shared" si="103"/>
        <v>-0.01</v>
      </c>
      <c r="AE134" s="1">
        <f t="shared" si="104"/>
        <v>6</v>
      </c>
      <c r="AF134" s="1">
        <f t="shared" si="105"/>
        <v>-10</v>
      </c>
      <c r="AG134" s="1">
        <f t="shared" si="106"/>
        <v>0</v>
      </c>
      <c r="AH134" s="1">
        <f t="shared" si="107"/>
        <v>17</v>
      </c>
      <c r="AI134" s="1">
        <f t="shared" si="108"/>
        <v>-5</v>
      </c>
      <c r="AJ134" s="1">
        <f t="shared" si="109"/>
        <v>-1</v>
      </c>
      <c r="AK134" s="17">
        <f t="shared" si="110"/>
        <v>1.1666666666666667</v>
      </c>
      <c r="AL134" s="17">
        <f t="shared" si="111"/>
        <v>-0.5</v>
      </c>
      <c r="AM134" s="1">
        <f t="shared" si="112"/>
        <v>-4.5454545454545456E-2</v>
      </c>
      <c r="AN134" s="1">
        <f t="shared" si="113"/>
        <v>-0.19047619047619047</v>
      </c>
      <c r="AO134" s="1">
        <f t="shared" si="114"/>
        <v>0.17647058823529413</v>
      </c>
      <c r="AP134" s="1">
        <f t="shared" si="115"/>
        <v>0.45</v>
      </c>
      <c r="AQ134" s="1">
        <f t="shared" si="116"/>
        <v>0.10344827586206896</v>
      </c>
      <c r="AR134" s="1">
        <f t="shared" si="117"/>
        <v>-0.3125</v>
      </c>
      <c r="AS134" s="12">
        <f t="shared" si="118"/>
        <v>3.0248021361104532E-2</v>
      </c>
      <c r="AT134" s="12">
        <f t="shared" si="119"/>
        <v>2.8996865203761754E-2</v>
      </c>
      <c r="AU134" s="1">
        <f t="shared" si="120"/>
        <v>-1</v>
      </c>
      <c r="AV134" s="1">
        <f t="shared" si="121"/>
        <v>-4</v>
      </c>
      <c r="AW134" s="1">
        <f t="shared" si="122"/>
        <v>3</v>
      </c>
      <c r="AX134" s="1">
        <f t="shared" si="123"/>
        <v>9</v>
      </c>
      <c r="AY134" s="1">
        <f t="shared" si="124"/>
        <v>3</v>
      </c>
      <c r="AZ134" s="1">
        <f t="shared" si="125"/>
        <v>-10</v>
      </c>
      <c r="BA134" s="19">
        <f t="shared" si="126"/>
        <v>0</v>
      </c>
      <c r="BB134" s="19">
        <f t="shared" si="127"/>
        <v>1</v>
      </c>
      <c r="BC134" s="9">
        <f t="shared" si="128"/>
        <v>0.35</v>
      </c>
      <c r="BD134" s="9">
        <f t="shared" si="129"/>
        <v>-0.22222222222222221</v>
      </c>
      <c r="BE134" s="9">
        <f t="shared" si="130"/>
        <v>-0.14285714285714285</v>
      </c>
      <c r="BF134" s="9">
        <f t="shared" si="131"/>
        <v>0.44444444444444442</v>
      </c>
      <c r="BG134" s="9">
        <f t="shared" si="132"/>
        <v>-0.30769230769230771</v>
      </c>
      <c r="BH134" s="9">
        <f t="shared" si="133"/>
        <v>0.5</v>
      </c>
      <c r="BI134" s="12">
        <f t="shared" si="134"/>
        <v>0.10361212861212861</v>
      </c>
      <c r="BJ134" s="13">
        <f t="shared" si="135"/>
        <v>0.10357142857142856</v>
      </c>
      <c r="BK134" s="1">
        <f t="shared" si="136"/>
        <v>7</v>
      </c>
      <c r="BL134" s="1">
        <f t="shared" si="137"/>
        <v>-6</v>
      </c>
      <c r="BM134" s="1">
        <f t="shared" si="138"/>
        <v>-3</v>
      </c>
      <c r="BN134" s="1">
        <f t="shared" si="139"/>
        <v>8</v>
      </c>
      <c r="BO134" s="1">
        <f t="shared" si="140"/>
        <v>-8</v>
      </c>
      <c r="BP134" s="1">
        <f t="shared" si="141"/>
        <v>9</v>
      </c>
      <c r="BQ134" s="19">
        <f t="shared" si="142"/>
        <v>1.1666666666666667</v>
      </c>
      <c r="BR134" s="17">
        <f t="shared" si="143"/>
        <v>2</v>
      </c>
    </row>
    <row r="135" spans="1:70" x14ac:dyDescent="0.25">
      <c r="A135" t="s">
        <v>255</v>
      </c>
      <c r="B135">
        <v>18</v>
      </c>
      <c r="C135">
        <v>11</v>
      </c>
      <c r="D135">
        <v>14</v>
      </c>
      <c r="E135">
        <v>16</v>
      </c>
      <c r="F135">
        <v>20</v>
      </c>
      <c r="G135">
        <v>20</v>
      </c>
      <c r="H135">
        <v>25</v>
      </c>
      <c r="I135">
        <v>10</v>
      </c>
      <c r="J135">
        <v>7</v>
      </c>
      <c r="K135">
        <v>12</v>
      </c>
      <c r="L135">
        <v>8</v>
      </c>
      <c r="M135">
        <v>10</v>
      </c>
      <c r="N135">
        <v>17</v>
      </c>
      <c r="O135">
        <v>16</v>
      </c>
      <c r="P135">
        <v>8</v>
      </c>
      <c r="Q135">
        <v>4</v>
      </c>
      <c r="R135">
        <v>2</v>
      </c>
      <c r="S135">
        <v>8</v>
      </c>
      <c r="T135">
        <v>10</v>
      </c>
      <c r="U135">
        <v>3</v>
      </c>
      <c r="V135">
        <v>9</v>
      </c>
      <c r="W135" s="8">
        <f t="shared" si="96"/>
        <v>-0.3888888888888889</v>
      </c>
      <c r="X135" s="8">
        <f t="shared" si="97"/>
        <v>0.27272727272727271</v>
      </c>
      <c r="Y135" s="8">
        <f t="shared" si="98"/>
        <v>0.14285714285714285</v>
      </c>
      <c r="Z135" s="8">
        <f t="shared" si="99"/>
        <v>0.25</v>
      </c>
      <c r="AA135" s="8">
        <f t="shared" si="100"/>
        <v>0</v>
      </c>
      <c r="AB135" s="8">
        <f t="shared" si="101"/>
        <v>0.25</v>
      </c>
      <c r="AC135" s="12">
        <f t="shared" si="102"/>
        <v>8.7782587782587781E-2</v>
      </c>
      <c r="AD135" s="12">
        <f t="shared" si="103"/>
        <v>0.19642857142857142</v>
      </c>
      <c r="AE135" s="1">
        <f t="shared" si="104"/>
        <v>-7</v>
      </c>
      <c r="AF135" s="1">
        <f t="shared" si="105"/>
        <v>3</v>
      </c>
      <c r="AG135" s="1">
        <f t="shared" si="106"/>
        <v>2</v>
      </c>
      <c r="AH135" s="1">
        <f t="shared" si="107"/>
        <v>4</v>
      </c>
      <c r="AI135" s="1">
        <f t="shared" si="108"/>
        <v>0</v>
      </c>
      <c r="AJ135" s="1">
        <f t="shared" si="109"/>
        <v>5</v>
      </c>
      <c r="AK135" s="17">
        <f t="shared" si="110"/>
        <v>1.1666666666666667</v>
      </c>
      <c r="AL135" s="17">
        <f t="shared" si="111"/>
        <v>2.5</v>
      </c>
      <c r="AM135" s="1">
        <f t="shared" si="112"/>
        <v>-0.3</v>
      </c>
      <c r="AN135" s="1">
        <f t="shared" si="113"/>
        <v>0.7142857142857143</v>
      </c>
      <c r="AO135" s="1">
        <f t="shared" si="114"/>
        <v>-0.33333333333333331</v>
      </c>
      <c r="AP135" s="1">
        <f t="shared" si="115"/>
        <v>0.25</v>
      </c>
      <c r="AQ135" s="1">
        <f t="shared" si="116"/>
        <v>0.7</v>
      </c>
      <c r="AR135" s="1">
        <f t="shared" si="117"/>
        <v>-5.8823529411764705E-2</v>
      </c>
      <c r="AS135" s="12">
        <f t="shared" si="118"/>
        <v>0.16202147525676935</v>
      </c>
      <c r="AT135" s="12">
        <f t="shared" si="119"/>
        <v>9.5588235294117654E-2</v>
      </c>
      <c r="AU135" s="1">
        <f t="shared" si="120"/>
        <v>-3</v>
      </c>
      <c r="AV135" s="1">
        <f t="shared" si="121"/>
        <v>5</v>
      </c>
      <c r="AW135" s="1">
        <f t="shared" si="122"/>
        <v>-4</v>
      </c>
      <c r="AX135" s="1">
        <f t="shared" si="123"/>
        <v>2</v>
      </c>
      <c r="AY135" s="1">
        <f t="shared" si="124"/>
        <v>7</v>
      </c>
      <c r="AZ135" s="1">
        <f t="shared" si="125"/>
        <v>-1</v>
      </c>
      <c r="BA135" s="19">
        <f t="shared" si="126"/>
        <v>1</v>
      </c>
      <c r="BB135" s="19">
        <f t="shared" si="127"/>
        <v>0.5</v>
      </c>
      <c r="BC135" s="9">
        <f t="shared" si="128"/>
        <v>-0.5</v>
      </c>
      <c r="BD135" s="9">
        <f t="shared" si="129"/>
        <v>-0.5</v>
      </c>
      <c r="BE135" s="9">
        <f t="shared" si="130"/>
        <v>3</v>
      </c>
      <c r="BF135" s="9">
        <f t="shared" si="131"/>
        <v>0.25</v>
      </c>
      <c r="BG135" s="9">
        <f t="shared" si="132"/>
        <v>-0.7</v>
      </c>
      <c r="BH135" s="9">
        <f t="shared" si="133"/>
        <v>2</v>
      </c>
      <c r="BI135" s="12">
        <f t="shared" si="134"/>
        <v>0.59166666666666667</v>
      </c>
      <c r="BJ135" s="13">
        <f t="shared" si="135"/>
        <v>-0.125</v>
      </c>
      <c r="BK135" s="1">
        <f t="shared" si="136"/>
        <v>-4</v>
      </c>
      <c r="BL135" s="1">
        <f t="shared" si="137"/>
        <v>-2</v>
      </c>
      <c r="BM135" s="1">
        <f t="shared" si="138"/>
        <v>6</v>
      </c>
      <c r="BN135" s="1">
        <f t="shared" si="139"/>
        <v>2</v>
      </c>
      <c r="BO135" s="1">
        <f t="shared" si="140"/>
        <v>-7</v>
      </c>
      <c r="BP135" s="1">
        <f t="shared" si="141"/>
        <v>6</v>
      </c>
      <c r="BQ135" s="19">
        <f t="shared" si="142"/>
        <v>0.16666666666666666</v>
      </c>
      <c r="BR135" s="17">
        <f t="shared" si="143"/>
        <v>0</v>
      </c>
    </row>
    <row r="136" spans="1:70" x14ac:dyDescent="0.25">
      <c r="A136" t="s">
        <v>270</v>
      </c>
      <c r="B136">
        <v>16</v>
      </c>
      <c r="C136">
        <v>8</v>
      </c>
      <c r="D136">
        <v>11</v>
      </c>
      <c r="E136">
        <v>21</v>
      </c>
      <c r="F136">
        <v>8</v>
      </c>
      <c r="G136">
        <v>18</v>
      </c>
      <c r="H136">
        <v>23</v>
      </c>
      <c r="I136">
        <v>10</v>
      </c>
      <c r="J136">
        <v>5</v>
      </c>
      <c r="K136">
        <v>8</v>
      </c>
      <c r="L136">
        <v>11</v>
      </c>
      <c r="M136">
        <v>5</v>
      </c>
      <c r="N136">
        <v>9</v>
      </c>
      <c r="O136">
        <v>12</v>
      </c>
      <c r="P136">
        <v>6</v>
      </c>
      <c r="Q136">
        <v>3</v>
      </c>
      <c r="R136">
        <v>3</v>
      </c>
      <c r="S136">
        <v>10</v>
      </c>
      <c r="T136">
        <v>3</v>
      </c>
      <c r="U136">
        <v>9</v>
      </c>
      <c r="V136">
        <v>11</v>
      </c>
      <c r="W136" s="8">
        <f t="shared" si="96"/>
        <v>-0.5</v>
      </c>
      <c r="X136" s="8">
        <f t="shared" si="97"/>
        <v>0.375</v>
      </c>
      <c r="Y136" s="8">
        <f t="shared" si="98"/>
        <v>0.90909090909090906</v>
      </c>
      <c r="Z136" s="8">
        <f t="shared" si="99"/>
        <v>-0.61904761904761907</v>
      </c>
      <c r="AA136" s="8">
        <f t="shared" si="100"/>
        <v>1.25</v>
      </c>
      <c r="AB136" s="8">
        <f t="shared" si="101"/>
        <v>0.27777777777777779</v>
      </c>
      <c r="AC136" s="12">
        <f t="shared" si="102"/>
        <v>0.28213684463684463</v>
      </c>
      <c r="AD136" s="12">
        <f t="shared" si="103"/>
        <v>0.3263888888888889</v>
      </c>
      <c r="AE136" s="1">
        <f t="shared" si="104"/>
        <v>-8</v>
      </c>
      <c r="AF136" s="1">
        <f t="shared" si="105"/>
        <v>3</v>
      </c>
      <c r="AG136" s="1">
        <f t="shared" si="106"/>
        <v>10</v>
      </c>
      <c r="AH136" s="1">
        <f t="shared" si="107"/>
        <v>-13</v>
      </c>
      <c r="AI136" s="1">
        <f t="shared" si="108"/>
        <v>10</v>
      </c>
      <c r="AJ136" s="1">
        <f t="shared" si="109"/>
        <v>5</v>
      </c>
      <c r="AK136" s="17">
        <f t="shared" si="110"/>
        <v>1.1666666666666667</v>
      </c>
      <c r="AL136" s="17">
        <f t="shared" si="111"/>
        <v>4</v>
      </c>
      <c r="AM136" s="1">
        <f t="shared" si="112"/>
        <v>-0.5</v>
      </c>
      <c r="AN136" s="1">
        <f t="shared" si="113"/>
        <v>0.6</v>
      </c>
      <c r="AO136" s="1">
        <f t="shared" si="114"/>
        <v>0.375</v>
      </c>
      <c r="AP136" s="1">
        <f t="shared" si="115"/>
        <v>-0.54545454545454541</v>
      </c>
      <c r="AQ136" s="1">
        <f t="shared" si="116"/>
        <v>0.8</v>
      </c>
      <c r="AR136" s="1">
        <f t="shared" si="117"/>
        <v>0.33333333333333331</v>
      </c>
      <c r="AS136" s="12">
        <f t="shared" si="118"/>
        <v>0.17714646464646466</v>
      </c>
      <c r="AT136" s="12">
        <f t="shared" si="119"/>
        <v>0.35416666666666663</v>
      </c>
      <c r="AU136" s="1">
        <f t="shared" si="120"/>
        <v>-5</v>
      </c>
      <c r="AV136" s="1">
        <f t="shared" si="121"/>
        <v>3</v>
      </c>
      <c r="AW136" s="1">
        <f t="shared" si="122"/>
        <v>3</v>
      </c>
      <c r="AX136" s="1">
        <f t="shared" si="123"/>
        <v>-6</v>
      </c>
      <c r="AY136" s="1">
        <f t="shared" si="124"/>
        <v>4</v>
      </c>
      <c r="AZ136" s="1">
        <f t="shared" si="125"/>
        <v>3</v>
      </c>
      <c r="BA136" s="19">
        <f t="shared" si="126"/>
        <v>0.33333333333333331</v>
      </c>
      <c r="BB136" s="19">
        <f t="shared" si="127"/>
        <v>3</v>
      </c>
      <c r="BC136" s="9">
        <f t="shared" si="128"/>
        <v>-0.5</v>
      </c>
      <c r="BD136" s="9">
        <f t="shared" si="129"/>
        <v>0</v>
      </c>
      <c r="BE136" s="9">
        <f t="shared" si="130"/>
        <v>2.3333333333333335</v>
      </c>
      <c r="BF136" s="9">
        <f t="shared" si="131"/>
        <v>-0.7</v>
      </c>
      <c r="BG136" s="9">
        <f t="shared" si="132"/>
        <v>2</v>
      </c>
      <c r="BH136" s="9">
        <f t="shared" si="133"/>
        <v>0.22222222222222221</v>
      </c>
      <c r="BI136" s="12">
        <f t="shared" si="134"/>
        <v>0.55925925925925934</v>
      </c>
      <c r="BJ136" s="13">
        <f t="shared" si="135"/>
        <v>0.1111111111111111</v>
      </c>
      <c r="BK136" s="1">
        <f t="shared" si="136"/>
        <v>-3</v>
      </c>
      <c r="BL136" s="1">
        <f t="shared" si="137"/>
        <v>0</v>
      </c>
      <c r="BM136" s="1">
        <f t="shared" si="138"/>
        <v>7</v>
      </c>
      <c r="BN136" s="1">
        <f t="shared" si="139"/>
        <v>-7</v>
      </c>
      <c r="BO136" s="1">
        <f t="shared" si="140"/>
        <v>6</v>
      </c>
      <c r="BP136" s="1">
        <f t="shared" si="141"/>
        <v>2</v>
      </c>
      <c r="BQ136" s="19">
        <f t="shared" si="142"/>
        <v>0.83333333333333337</v>
      </c>
      <c r="BR136" s="17">
        <f t="shared" si="143"/>
        <v>1</v>
      </c>
    </row>
    <row r="137" spans="1:70" x14ac:dyDescent="0.25">
      <c r="A137" t="s">
        <v>282</v>
      </c>
      <c r="B137">
        <v>13</v>
      </c>
      <c r="C137">
        <v>14</v>
      </c>
      <c r="D137">
        <v>11</v>
      </c>
      <c r="E137">
        <v>8</v>
      </c>
      <c r="F137">
        <v>9</v>
      </c>
      <c r="G137">
        <v>11</v>
      </c>
      <c r="H137">
        <v>20</v>
      </c>
      <c r="I137">
        <v>4</v>
      </c>
      <c r="J137">
        <v>7</v>
      </c>
      <c r="K137">
        <v>4</v>
      </c>
      <c r="L137">
        <v>3</v>
      </c>
      <c r="M137">
        <v>4</v>
      </c>
      <c r="N137">
        <v>5</v>
      </c>
      <c r="O137">
        <v>12</v>
      </c>
      <c r="P137">
        <v>9</v>
      </c>
      <c r="Q137">
        <v>7</v>
      </c>
      <c r="R137">
        <v>7</v>
      </c>
      <c r="S137">
        <v>5</v>
      </c>
      <c r="T137">
        <v>5</v>
      </c>
      <c r="U137">
        <v>6</v>
      </c>
      <c r="V137">
        <v>8</v>
      </c>
      <c r="W137" s="8">
        <f t="shared" si="96"/>
        <v>7.6923076923076927E-2</v>
      </c>
      <c r="X137" s="8">
        <f t="shared" si="97"/>
        <v>-0.21428571428571427</v>
      </c>
      <c r="Y137" s="8">
        <f t="shared" si="98"/>
        <v>-0.27272727272727271</v>
      </c>
      <c r="Z137" s="8">
        <f t="shared" si="99"/>
        <v>0.125</v>
      </c>
      <c r="AA137" s="8">
        <f t="shared" si="100"/>
        <v>0.22222222222222221</v>
      </c>
      <c r="AB137" s="8">
        <f t="shared" si="101"/>
        <v>0.81818181818181823</v>
      </c>
      <c r="AC137" s="12">
        <f t="shared" si="102"/>
        <v>0.12588568838568839</v>
      </c>
      <c r="AD137" s="12">
        <f t="shared" si="103"/>
        <v>0.10096153846153846</v>
      </c>
      <c r="AE137" s="1">
        <f t="shared" si="104"/>
        <v>1</v>
      </c>
      <c r="AF137" s="1">
        <f t="shared" si="105"/>
        <v>-3</v>
      </c>
      <c r="AG137" s="1">
        <f t="shared" si="106"/>
        <v>-3</v>
      </c>
      <c r="AH137" s="1">
        <f t="shared" si="107"/>
        <v>1</v>
      </c>
      <c r="AI137" s="1">
        <f t="shared" si="108"/>
        <v>2</v>
      </c>
      <c r="AJ137" s="1">
        <f t="shared" si="109"/>
        <v>9</v>
      </c>
      <c r="AK137" s="17">
        <f t="shared" si="110"/>
        <v>1.1666666666666667</v>
      </c>
      <c r="AL137" s="17">
        <f t="shared" si="111"/>
        <v>1</v>
      </c>
      <c r="AM137" s="1">
        <f t="shared" si="112"/>
        <v>0.75</v>
      </c>
      <c r="AN137" s="1">
        <f t="shared" si="113"/>
        <v>-0.42857142857142855</v>
      </c>
      <c r="AO137" s="1">
        <f t="shared" si="114"/>
        <v>-0.25</v>
      </c>
      <c r="AP137" s="1">
        <f t="shared" si="115"/>
        <v>0.33333333333333331</v>
      </c>
      <c r="AQ137" s="1">
        <f t="shared" si="116"/>
        <v>0.25</v>
      </c>
      <c r="AR137" s="1">
        <f t="shared" si="117"/>
        <v>1.4</v>
      </c>
      <c r="AS137" s="12">
        <f t="shared" si="118"/>
        <v>0.34246031746031741</v>
      </c>
      <c r="AT137" s="12">
        <f t="shared" si="119"/>
        <v>0.29166666666666663</v>
      </c>
      <c r="AU137" s="1">
        <f t="shared" si="120"/>
        <v>3</v>
      </c>
      <c r="AV137" s="1">
        <f t="shared" si="121"/>
        <v>-3</v>
      </c>
      <c r="AW137" s="1">
        <f t="shared" si="122"/>
        <v>-1</v>
      </c>
      <c r="AX137" s="1">
        <f t="shared" si="123"/>
        <v>1</v>
      </c>
      <c r="AY137" s="1">
        <f t="shared" si="124"/>
        <v>1</v>
      </c>
      <c r="AZ137" s="1">
        <f t="shared" si="125"/>
        <v>7</v>
      </c>
      <c r="BA137" s="19">
        <f t="shared" si="126"/>
        <v>1.3333333333333333</v>
      </c>
      <c r="BB137" s="19">
        <f t="shared" si="127"/>
        <v>1</v>
      </c>
      <c r="BC137" s="9">
        <f t="shared" si="128"/>
        <v>-0.22222222222222221</v>
      </c>
      <c r="BD137" s="9">
        <f t="shared" si="129"/>
        <v>0</v>
      </c>
      <c r="BE137" s="9">
        <f t="shared" si="130"/>
        <v>-0.2857142857142857</v>
      </c>
      <c r="BF137" s="9">
        <f t="shared" si="131"/>
        <v>0</v>
      </c>
      <c r="BG137" s="9">
        <f t="shared" si="132"/>
        <v>0.2</v>
      </c>
      <c r="BH137" s="9">
        <f t="shared" si="133"/>
        <v>0.33333333333333331</v>
      </c>
      <c r="BI137" s="12">
        <f t="shared" si="134"/>
        <v>4.2328042328042366E-3</v>
      </c>
      <c r="BJ137" s="13">
        <f t="shared" si="135"/>
        <v>0</v>
      </c>
      <c r="BK137" s="1">
        <f t="shared" si="136"/>
        <v>-2</v>
      </c>
      <c r="BL137" s="1">
        <f t="shared" si="137"/>
        <v>0</v>
      </c>
      <c r="BM137" s="1">
        <f t="shared" si="138"/>
        <v>-2</v>
      </c>
      <c r="BN137" s="1">
        <f t="shared" si="139"/>
        <v>0</v>
      </c>
      <c r="BO137" s="1">
        <f t="shared" si="140"/>
        <v>1</v>
      </c>
      <c r="BP137" s="1">
        <f t="shared" si="141"/>
        <v>2</v>
      </c>
      <c r="BQ137" s="19">
        <f t="shared" si="142"/>
        <v>-0.16666666666666666</v>
      </c>
      <c r="BR137" s="17">
        <f t="shared" si="143"/>
        <v>0</v>
      </c>
    </row>
    <row r="138" spans="1:70" x14ac:dyDescent="0.25">
      <c r="A138" t="s">
        <v>429</v>
      </c>
      <c r="B138">
        <v>3</v>
      </c>
      <c r="C138">
        <v>2</v>
      </c>
      <c r="D138">
        <v>1</v>
      </c>
      <c r="E138">
        <v>15</v>
      </c>
      <c r="F138">
        <v>13</v>
      </c>
      <c r="G138">
        <v>11</v>
      </c>
      <c r="H138">
        <v>10</v>
      </c>
      <c r="I138">
        <v>1</v>
      </c>
      <c r="J138">
        <v>1</v>
      </c>
      <c r="L138">
        <v>6</v>
      </c>
      <c r="M138">
        <v>5</v>
      </c>
      <c r="N138">
        <v>4</v>
      </c>
      <c r="O138">
        <v>3</v>
      </c>
      <c r="P138">
        <v>2</v>
      </c>
      <c r="Q138">
        <v>1</v>
      </c>
      <c r="R138">
        <v>1</v>
      </c>
      <c r="S138">
        <v>9</v>
      </c>
      <c r="T138">
        <v>8</v>
      </c>
      <c r="U138">
        <v>7</v>
      </c>
      <c r="V138">
        <v>7</v>
      </c>
      <c r="W138" s="8">
        <f t="shared" si="96"/>
        <v>-0.33333333333333331</v>
      </c>
      <c r="X138" s="8">
        <f t="shared" si="97"/>
        <v>-0.5</v>
      </c>
      <c r="Y138" s="8">
        <f t="shared" si="98"/>
        <v>14</v>
      </c>
      <c r="Z138" s="8">
        <f t="shared" si="99"/>
        <v>-0.13333333333333333</v>
      </c>
      <c r="AA138" s="8">
        <f t="shared" si="100"/>
        <v>-0.15384615384615385</v>
      </c>
      <c r="AB138" s="8">
        <f t="shared" si="101"/>
        <v>-9.0909090909090912E-2</v>
      </c>
      <c r="AC138" s="12">
        <f t="shared" si="102"/>
        <v>2.1314296814296814</v>
      </c>
      <c r="AD138" s="12">
        <f t="shared" si="103"/>
        <v>-0.14358974358974358</v>
      </c>
      <c r="AE138" s="1">
        <f t="shared" si="104"/>
        <v>-1</v>
      </c>
      <c r="AF138" s="1">
        <f t="shared" si="105"/>
        <v>-1</v>
      </c>
      <c r="AG138" s="1">
        <f t="shared" si="106"/>
        <v>14</v>
      </c>
      <c r="AH138" s="1">
        <f t="shared" si="107"/>
        <v>-2</v>
      </c>
      <c r="AI138" s="1">
        <f t="shared" si="108"/>
        <v>-2</v>
      </c>
      <c r="AJ138" s="1">
        <f t="shared" si="109"/>
        <v>-1</v>
      </c>
      <c r="AK138" s="17">
        <f t="shared" si="110"/>
        <v>1.1666666666666667</v>
      </c>
      <c r="AL138" s="17">
        <f t="shared" si="111"/>
        <v>-1</v>
      </c>
      <c r="AM138" s="1">
        <f t="shared" si="112"/>
        <v>0</v>
      </c>
      <c r="AN138" s="1">
        <f t="shared" si="113"/>
        <v>-1</v>
      </c>
      <c r="AO138" s="1" t="e">
        <f t="shared" si="114"/>
        <v>#DIV/0!</v>
      </c>
      <c r="AP138" s="1">
        <f t="shared" si="115"/>
        <v>-0.16666666666666666</v>
      </c>
      <c r="AQ138" s="1">
        <f t="shared" si="116"/>
        <v>-0.2</v>
      </c>
      <c r="AR138" s="1">
        <f t="shared" si="117"/>
        <v>-0.25</v>
      </c>
      <c r="AS138" s="12" t="e">
        <f t="shared" si="118"/>
        <v>#DIV/0!</v>
      </c>
      <c r="AT138" s="12" t="e">
        <f t="shared" si="119"/>
        <v>#DIV/0!</v>
      </c>
      <c r="AU138" s="1">
        <f t="shared" si="120"/>
        <v>0</v>
      </c>
      <c r="AV138" s="1">
        <f t="shared" si="121"/>
        <v>-1</v>
      </c>
      <c r="AW138" s="1">
        <f t="shared" si="122"/>
        <v>6</v>
      </c>
      <c r="AX138" s="1">
        <f t="shared" si="123"/>
        <v>-1</v>
      </c>
      <c r="AY138" s="1">
        <f t="shared" si="124"/>
        <v>-1</v>
      </c>
      <c r="AZ138" s="1">
        <f t="shared" si="125"/>
        <v>-1</v>
      </c>
      <c r="BA138" s="19">
        <f t="shared" si="126"/>
        <v>0.33333333333333331</v>
      </c>
      <c r="BB138" s="19">
        <f t="shared" si="127"/>
        <v>-1</v>
      </c>
      <c r="BC138" s="9">
        <f t="shared" si="128"/>
        <v>-0.5</v>
      </c>
      <c r="BD138" s="9">
        <f t="shared" si="129"/>
        <v>0</v>
      </c>
      <c r="BE138" s="9">
        <f t="shared" si="130"/>
        <v>8</v>
      </c>
      <c r="BF138" s="9">
        <f t="shared" si="131"/>
        <v>-0.1111111111111111</v>
      </c>
      <c r="BG138" s="9">
        <f t="shared" si="132"/>
        <v>-0.125</v>
      </c>
      <c r="BH138" s="9">
        <f t="shared" si="133"/>
        <v>0</v>
      </c>
      <c r="BI138" s="12">
        <f t="shared" si="134"/>
        <v>1.2106481481481481</v>
      </c>
      <c r="BJ138" s="13">
        <f t="shared" si="135"/>
        <v>-5.5555555555555552E-2</v>
      </c>
      <c r="BK138" s="1">
        <f t="shared" si="136"/>
        <v>-1</v>
      </c>
      <c r="BL138" s="1">
        <f t="shared" si="137"/>
        <v>0</v>
      </c>
      <c r="BM138" s="1">
        <f t="shared" si="138"/>
        <v>8</v>
      </c>
      <c r="BN138" s="1">
        <f t="shared" si="139"/>
        <v>-1</v>
      </c>
      <c r="BO138" s="1">
        <f t="shared" si="140"/>
        <v>-1</v>
      </c>
      <c r="BP138" s="1">
        <f t="shared" si="141"/>
        <v>0</v>
      </c>
      <c r="BQ138" s="19">
        <f t="shared" si="142"/>
        <v>0.83333333333333337</v>
      </c>
      <c r="BR138" s="17">
        <f t="shared" si="143"/>
        <v>-0.5</v>
      </c>
    </row>
    <row r="139" spans="1:70" x14ac:dyDescent="0.25">
      <c r="A139" t="s">
        <v>447</v>
      </c>
      <c r="B139">
        <v>2</v>
      </c>
      <c r="C139">
        <v>6</v>
      </c>
      <c r="D139">
        <v>6</v>
      </c>
      <c r="E139">
        <v>3</v>
      </c>
      <c r="F139">
        <v>6</v>
      </c>
      <c r="G139">
        <v>3</v>
      </c>
      <c r="H139">
        <v>9</v>
      </c>
      <c r="J139">
        <v>5</v>
      </c>
      <c r="K139">
        <v>4</v>
      </c>
      <c r="L139">
        <v>2</v>
      </c>
      <c r="M139">
        <v>4</v>
      </c>
      <c r="O139">
        <v>4</v>
      </c>
      <c r="P139">
        <v>2</v>
      </c>
      <c r="Q139">
        <v>1</v>
      </c>
      <c r="R139">
        <v>2</v>
      </c>
      <c r="S139">
        <v>1</v>
      </c>
      <c r="T139">
        <v>2</v>
      </c>
      <c r="U139">
        <v>3</v>
      </c>
      <c r="V139">
        <v>5</v>
      </c>
      <c r="W139" s="8">
        <f t="shared" si="96"/>
        <v>2</v>
      </c>
      <c r="X139" s="8">
        <f t="shared" si="97"/>
        <v>0</v>
      </c>
      <c r="Y139" s="8">
        <f t="shared" si="98"/>
        <v>-0.5</v>
      </c>
      <c r="Z139" s="8">
        <f t="shared" si="99"/>
        <v>1</v>
      </c>
      <c r="AA139" s="8">
        <f t="shared" si="100"/>
        <v>-0.5</v>
      </c>
      <c r="AB139" s="8">
        <f t="shared" si="101"/>
        <v>2</v>
      </c>
      <c r="AC139" s="12">
        <f t="shared" si="102"/>
        <v>0.66666666666666663</v>
      </c>
      <c r="AD139" s="12">
        <f t="shared" si="103"/>
        <v>0.5</v>
      </c>
      <c r="AE139" s="1">
        <f t="shared" si="104"/>
        <v>4</v>
      </c>
      <c r="AF139" s="1">
        <f t="shared" si="105"/>
        <v>0</v>
      </c>
      <c r="AG139" s="1">
        <f t="shared" si="106"/>
        <v>-3</v>
      </c>
      <c r="AH139" s="1">
        <f t="shared" si="107"/>
        <v>3</v>
      </c>
      <c r="AI139" s="1">
        <f t="shared" si="108"/>
        <v>-3</v>
      </c>
      <c r="AJ139" s="1">
        <f t="shared" si="109"/>
        <v>6</v>
      </c>
      <c r="AK139" s="17">
        <f t="shared" si="110"/>
        <v>1.1666666666666667</v>
      </c>
      <c r="AL139" s="17">
        <f t="shared" si="111"/>
        <v>1.5</v>
      </c>
      <c r="AM139" s="1" t="e">
        <f t="shared" si="112"/>
        <v>#DIV/0!</v>
      </c>
      <c r="AN139" s="1">
        <f t="shared" si="113"/>
        <v>-0.2</v>
      </c>
      <c r="AO139" s="1">
        <f t="shared" si="114"/>
        <v>-0.5</v>
      </c>
      <c r="AP139" s="1">
        <f t="shared" si="115"/>
        <v>1</v>
      </c>
      <c r="AQ139" s="1">
        <f t="shared" si="116"/>
        <v>-1</v>
      </c>
      <c r="AR139" s="1" t="e">
        <f t="shared" si="117"/>
        <v>#DIV/0!</v>
      </c>
      <c r="AS139" s="12" t="e">
        <f t="shared" si="118"/>
        <v>#DIV/0!</v>
      </c>
      <c r="AT139" s="12" t="e">
        <f t="shared" si="119"/>
        <v>#DIV/0!</v>
      </c>
      <c r="AU139" s="1">
        <f t="shared" si="120"/>
        <v>5</v>
      </c>
      <c r="AV139" s="1">
        <f t="shared" si="121"/>
        <v>-1</v>
      </c>
      <c r="AW139" s="1">
        <f t="shared" si="122"/>
        <v>-2</v>
      </c>
      <c r="AX139" s="1">
        <f t="shared" si="123"/>
        <v>2</v>
      </c>
      <c r="AY139" s="1">
        <f t="shared" si="124"/>
        <v>-4</v>
      </c>
      <c r="AZ139" s="1">
        <f t="shared" si="125"/>
        <v>4</v>
      </c>
      <c r="BA139" s="19">
        <f t="shared" si="126"/>
        <v>0.66666666666666663</v>
      </c>
      <c r="BB139" s="19">
        <f t="shared" si="127"/>
        <v>0.5</v>
      </c>
      <c r="BC139" s="9">
        <f t="shared" si="128"/>
        <v>-0.5</v>
      </c>
      <c r="BD139" s="9">
        <f t="shared" si="129"/>
        <v>1</v>
      </c>
      <c r="BE139" s="9">
        <f t="shared" si="130"/>
        <v>-0.5</v>
      </c>
      <c r="BF139" s="9">
        <f t="shared" si="131"/>
        <v>1</v>
      </c>
      <c r="BG139" s="9">
        <f t="shared" si="132"/>
        <v>0.5</v>
      </c>
      <c r="BH139" s="9">
        <f t="shared" si="133"/>
        <v>0.66666666666666663</v>
      </c>
      <c r="BI139" s="12">
        <f t="shared" si="134"/>
        <v>0.3611111111111111</v>
      </c>
      <c r="BJ139" s="13">
        <f t="shared" si="135"/>
        <v>0.58333333333333326</v>
      </c>
      <c r="BK139" s="1">
        <f t="shared" si="136"/>
        <v>-1</v>
      </c>
      <c r="BL139" s="1">
        <f t="shared" si="137"/>
        <v>1</v>
      </c>
      <c r="BM139" s="1">
        <f t="shared" si="138"/>
        <v>-1</v>
      </c>
      <c r="BN139" s="1">
        <f t="shared" si="139"/>
        <v>1</v>
      </c>
      <c r="BO139" s="1">
        <f t="shared" si="140"/>
        <v>1</v>
      </c>
      <c r="BP139" s="1">
        <f t="shared" si="141"/>
        <v>2</v>
      </c>
      <c r="BQ139" s="19">
        <f t="shared" si="142"/>
        <v>0.5</v>
      </c>
      <c r="BR139" s="17">
        <f t="shared" si="143"/>
        <v>1</v>
      </c>
    </row>
    <row r="140" spans="1:70" x14ac:dyDescent="0.25">
      <c r="A140" t="s">
        <v>201</v>
      </c>
      <c r="B140">
        <v>34</v>
      </c>
      <c r="C140">
        <v>34</v>
      </c>
      <c r="D140">
        <v>41</v>
      </c>
      <c r="E140">
        <v>27</v>
      </c>
      <c r="F140">
        <v>28</v>
      </c>
      <c r="G140">
        <v>23</v>
      </c>
      <c r="H140">
        <v>40</v>
      </c>
      <c r="I140">
        <v>19</v>
      </c>
      <c r="J140">
        <v>20</v>
      </c>
      <c r="K140">
        <v>23</v>
      </c>
      <c r="L140">
        <v>20</v>
      </c>
      <c r="M140">
        <v>17</v>
      </c>
      <c r="N140">
        <v>13</v>
      </c>
      <c r="O140">
        <v>25</v>
      </c>
      <c r="P140">
        <v>15</v>
      </c>
      <c r="Q140">
        <v>14</v>
      </c>
      <c r="R140">
        <v>18</v>
      </c>
      <c r="S140">
        <v>7</v>
      </c>
      <c r="T140">
        <v>11</v>
      </c>
      <c r="U140">
        <v>10</v>
      </c>
      <c r="V140">
        <v>15</v>
      </c>
      <c r="W140" s="8">
        <f t="shared" si="96"/>
        <v>0</v>
      </c>
      <c r="X140" s="8">
        <f t="shared" si="97"/>
        <v>0.20588235294117646</v>
      </c>
      <c r="Y140" s="8">
        <f t="shared" si="98"/>
        <v>-0.34146341463414637</v>
      </c>
      <c r="Z140" s="8">
        <f t="shared" si="99"/>
        <v>3.7037037037037035E-2</v>
      </c>
      <c r="AA140" s="8">
        <f t="shared" si="100"/>
        <v>-0.17857142857142858</v>
      </c>
      <c r="AB140" s="8">
        <f t="shared" si="101"/>
        <v>0.73913043478260865</v>
      </c>
      <c r="AC140" s="12">
        <f t="shared" si="102"/>
        <v>7.7002496925874533E-2</v>
      </c>
      <c r="AD140" s="12">
        <f t="shared" si="103"/>
        <v>1.8518518518518517E-2</v>
      </c>
      <c r="AE140" s="1">
        <f t="shared" si="104"/>
        <v>0</v>
      </c>
      <c r="AF140" s="1">
        <f t="shared" si="105"/>
        <v>7</v>
      </c>
      <c r="AG140" s="1">
        <f t="shared" si="106"/>
        <v>-14</v>
      </c>
      <c r="AH140" s="1">
        <f t="shared" si="107"/>
        <v>1</v>
      </c>
      <c r="AI140" s="1">
        <f t="shared" si="108"/>
        <v>-5</v>
      </c>
      <c r="AJ140" s="1">
        <f t="shared" si="109"/>
        <v>17</v>
      </c>
      <c r="AK140" s="17">
        <f t="shared" si="110"/>
        <v>1</v>
      </c>
      <c r="AL140" s="17">
        <f t="shared" si="111"/>
        <v>0.5</v>
      </c>
      <c r="AM140" s="1">
        <f t="shared" si="112"/>
        <v>5.2631578947368418E-2</v>
      </c>
      <c r="AN140" s="1">
        <f t="shared" si="113"/>
        <v>0.15</v>
      </c>
      <c r="AO140" s="1">
        <f t="shared" si="114"/>
        <v>-0.13043478260869565</v>
      </c>
      <c r="AP140" s="1">
        <f t="shared" si="115"/>
        <v>-0.15</v>
      </c>
      <c r="AQ140" s="1">
        <f t="shared" si="116"/>
        <v>-0.23529411764705882</v>
      </c>
      <c r="AR140" s="1">
        <f t="shared" si="117"/>
        <v>0.92307692307692313</v>
      </c>
      <c r="AS140" s="12">
        <f t="shared" si="118"/>
        <v>0.10166326696142285</v>
      </c>
      <c r="AT140" s="12">
        <f t="shared" si="119"/>
        <v>-3.8901601830663615E-2</v>
      </c>
      <c r="AU140" s="1">
        <f t="shared" si="120"/>
        <v>1</v>
      </c>
      <c r="AV140" s="1">
        <f t="shared" si="121"/>
        <v>3</v>
      </c>
      <c r="AW140" s="1">
        <f t="shared" si="122"/>
        <v>-3</v>
      </c>
      <c r="AX140" s="1">
        <f t="shared" si="123"/>
        <v>-3</v>
      </c>
      <c r="AY140" s="1">
        <f t="shared" si="124"/>
        <v>-4</v>
      </c>
      <c r="AZ140" s="1">
        <f t="shared" si="125"/>
        <v>12</v>
      </c>
      <c r="BA140" s="19">
        <f t="shared" si="126"/>
        <v>1</v>
      </c>
      <c r="BB140" s="19">
        <f t="shared" si="127"/>
        <v>-1</v>
      </c>
      <c r="BC140" s="9">
        <f t="shared" si="128"/>
        <v>-6.6666666666666666E-2</v>
      </c>
      <c r="BD140" s="9">
        <f t="shared" si="129"/>
        <v>0.2857142857142857</v>
      </c>
      <c r="BE140" s="9">
        <f t="shared" si="130"/>
        <v>-0.61111111111111116</v>
      </c>
      <c r="BF140" s="9">
        <f t="shared" si="131"/>
        <v>0.5714285714285714</v>
      </c>
      <c r="BG140" s="9">
        <f t="shared" si="132"/>
        <v>-9.0909090909090912E-2</v>
      </c>
      <c r="BH140" s="9">
        <f t="shared" si="133"/>
        <v>0.5</v>
      </c>
      <c r="BI140" s="12">
        <f t="shared" si="134"/>
        <v>9.8075998075998053E-2</v>
      </c>
      <c r="BJ140" s="13">
        <f t="shared" si="135"/>
        <v>0.10952380952380951</v>
      </c>
      <c r="BK140" s="1">
        <f t="shared" si="136"/>
        <v>-1</v>
      </c>
      <c r="BL140" s="1">
        <f t="shared" si="137"/>
        <v>4</v>
      </c>
      <c r="BM140" s="1">
        <f t="shared" si="138"/>
        <v>-11</v>
      </c>
      <c r="BN140" s="1">
        <f t="shared" si="139"/>
        <v>4</v>
      </c>
      <c r="BO140" s="1">
        <f t="shared" si="140"/>
        <v>-1</v>
      </c>
      <c r="BP140" s="1">
        <f t="shared" si="141"/>
        <v>5</v>
      </c>
      <c r="BQ140" s="19">
        <f t="shared" si="142"/>
        <v>0</v>
      </c>
      <c r="BR140" s="17">
        <f t="shared" si="143"/>
        <v>1.5</v>
      </c>
    </row>
    <row r="141" spans="1:70" x14ac:dyDescent="0.25">
      <c r="A141" t="s">
        <v>223</v>
      </c>
      <c r="B141">
        <v>26</v>
      </c>
      <c r="C141">
        <v>30</v>
      </c>
      <c r="D141">
        <v>32</v>
      </c>
      <c r="E141">
        <v>17</v>
      </c>
      <c r="F141">
        <v>38</v>
      </c>
      <c r="G141">
        <v>37</v>
      </c>
      <c r="H141">
        <v>32</v>
      </c>
      <c r="I141">
        <v>15</v>
      </c>
      <c r="J141">
        <v>15</v>
      </c>
      <c r="K141">
        <v>18</v>
      </c>
      <c r="L141">
        <v>11</v>
      </c>
      <c r="M141">
        <v>19</v>
      </c>
      <c r="N141">
        <v>22</v>
      </c>
      <c r="O141">
        <v>22</v>
      </c>
      <c r="P141">
        <v>11</v>
      </c>
      <c r="Q141">
        <v>15</v>
      </c>
      <c r="R141">
        <v>14</v>
      </c>
      <c r="S141">
        <v>6</v>
      </c>
      <c r="T141">
        <v>19</v>
      </c>
      <c r="U141">
        <v>15</v>
      </c>
      <c r="V141">
        <v>10</v>
      </c>
      <c r="W141" s="8">
        <f t="shared" si="96"/>
        <v>0.15384615384615385</v>
      </c>
      <c r="X141" s="8">
        <f t="shared" si="97"/>
        <v>6.6666666666666666E-2</v>
      </c>
      <c r="Y141" s="8">
        <f t="shared" si="98"/>
        <v>-0.46875</v>
      </c>
      <c r="Z141" s="8">
        <f t="shared" si="99"/>
        <v>1.2352941176470589</v>
      </c>
      <c r="AA141" s="8">
        <f t="shared" si="100"/>
        <v>-2.6315789473684209E-2</v>
      </c>
      <c r="AB141" s="8">
        <f t="shared" si="101"/>
        <v>-0.13513513513513514</v>
      </c>
      <c r="AC141" s="12">
        <f t="shared" si="102"/>
        <v>0.13760100225851002</v>
      </c>
      <c r="AD141" s="12">
        <f t="shared" si="103"/>
        <v>2.0175438596491228E-2</v>
      </c>
      <c r="AE141" s="1">
        <f t="shared" si="104"/>
        <v>4</v>
      </c>
      <c r="AF141" s="1">
        <f t="shared" si="105"/>
        <v>2</v>
      </c>
      <c r="AG141" s="1">
        <f t="shared" si="106"/>
        <v>-15</v>
      </c>
      <c r="AH141" s="1">
        <f t="shared" si="107"/>
        <v>21</v>
      </c>
      <c r="AI141" s="1">
        <f t="shared" si="108"/>
        <v>-1</v>
      </c>
      <c r="AJ141" s="1">
        <f t="shared" si="109"/>
        <v>-5</v>
      </c>
      <c r="AK141" s="17">
        <f t="shared" si="110"/>
        <v>1</v>
      </c>
      <c r="AL141" s="17">
        <f t="shared" si="111"/>
        <v>0.5</v>
      </c>
      <c r="AM141" s="1">
        <f t="shared" si="112"/>
        <v>0</v>
      </c>
      <c r="AN141" s="1">
        <f t="shared" si="113"/>
        <v>0.2</v>
      </c>
      <c r="AO141" s="1">
        <f t="shared" si="114"/>
        <v>-0.3888888888888889</v>
      </c>
      <c r="AP141" s="1">
        <f t="shared" si="115"/>
        <v>0.72727272727272729</v>
      </c>
      <c r="AQ141" s="1">
        <f t="shared" si="116"/>
        <v>0.15789473684210525</v>
      </c>
      <c r="AR141" s="1">
        <f t="shared" si="117"/>
        <v>0</v>
      </c>
      <c r="AS141" s="12">
        <f t="shared" si="118"/>
        <v>0.11604642920432395</v>
      </c>
      <c r="AT141" s="12">
        <f t="shared" si="119"/>
        <v>7.8947368421052627E-2</v>
      </c>
      <c r="AU141" s="1">
        <f t="shared" si="120"/>
        <v>0</v>
      </c>
      <c r="AV141" s="1">
        <f t="shared" si="121"/>
        <v>3</v>
      </c>
      <c r="AW141" s="1">
        <f t="shared" si="122"/>
        <v>-7</v>
      </c>
      <c r="AX141" s="1">
        <f t="shared" si="123"/>
        <v>8</v>
      </c>
      <c r="AY141" s="1">
        <f t="shared" si="124"/>
        <v>3</v>
      </c>
      <c r="AZ141" s="1">
        <f t="shared" si="125"/>
        <v>0</v>
      </c>
      <c r="BA141" s="19">
        <f t="shared" si="126"/>
        <v>1.1666666666666667</v>
      </c>
      <c r="BB141" s="19">
        <f t="shared" si="127"/>
        <v>1.5</v>
      </c>
      <c r="BC141" s="9">
        <f t="shared" si="128"/>
        <v>0.36363636363636365</v>
      </c>
      <c r="BD141" s="9">
        <f t="shared" si="129"/>
        <v>-6.6666666666666666E-2</v>
      </c>
      <c r="BE141" s="9">
        <f t="shared" si="130"/>
        <v>-0.5714285714285714</v>
      </c>
      <c r="BF141" s="9">
        <f t="shared" si="131"/>
        <v>2.1666666666666665</v>
      </c>
      <c r="BG141" s="9">
        <f t="shared" si="132"/>
        <v>-0.21052631578947367</v>
      </c>
      <c r="BH141" s="9">
        <f t="shared" si="133"/>
        <v>-0.33333333333333331</v>
      </c>
      <c r="BI141" s="12">
        <f t="shared" si="134"/>
        <v>0.22472469051416422</v>
      </c>
      <c r="BJ141" s="13">
        <f t="shared" si="135"/>
        <v>-0.13859649122807016</v>
      </c>
      <c r="BK141" s="1">
        <f t="shared" si="136"/>
        <v>4</v>
      </c>
      <c r="BL141" s="1">
        <f t="shared" si="137"/>
        <v>-1</v>
      </c>
      <c r="BM141" s="1">
        <f t="shared" si="138"/>
        <v>-8</v>
      </c>
      <c r="BN141" s="1">
        <f t="shared" si="139"/>
        <v>13</v>
      </c>
      <c r="BO141" s="1">
        <f t="shared" si="140"/>
        <v>-4</v>
      </c>
      <c r="BP141" s="1">
        <f t="shared" si="141"/>
        <v>-5</v>
      </c>
      <c r="BQ141" s="19">
        <f t="shared" si="142"/>
        <v>-0.16666666666666666</v>
      </c>
      <c r="BR141" s="17">
        <f t="shared" si="143"/>
        <v>-2.5</v>
      </c>
    </row>
    <row r="142" spans="1:70" x14ac:dyDescent="0.25">
      <c r="A142" t="s">
        <v>317</v>
      </c>
      <c r="B142">
        <v>10</v>
      </c>
      <c r="C142">
        <v>15</v>
      </c>
      <c r="D142">
        <v>7</v>
      </c>
      <c r="E142">
        <v>12</v>
      </c>
      <c r="F142">
        <v>27</v>
      </c>
      <c r="G142">
        <v>19</v>
      </c>
      <c r="H142">
        <v>16</v>
      </c>
      <c r="I142">
        <v>5</v>
      </c>
      <c r="J142">
        <v>2</v>
      </c>
      <c r="K142">
        <v>1</v>
      </c>
      <c r="L142">
        <v>7</v>
      </c>
      <c r="M142">
        <v>9</v>
      </c>
      <c r="N142">
        <v>4</v>
      </c>
      <c r="O142">
        <v>8</v>
      </c>
      <c r="P142">
        <v>5</v>
      </c>
      <c r="Q142">
        <v>13</v>
      </c>
      <c r="R142">
        <v>6</v>
      </c>
      <c r="S142">
        <v>5</v>
      </c>
      <c r="T142">
        <v>18</v>
      </c>
      <c r="U142">
        <v>15</v>
      </c>
      <c r="V142">
        <v>8</v>
      </c>
      <c r="W142" s="8">
        <f t="shared" si="96"/>
        <v>0.5</v>
      </c>
      <c r="X142" s="8">
        <f t="shared" si="97"/>
        <v>-0.53333333333333333</v>
      </c>
      <c r="Y142" s="8">
        <f t="shared" si="98"/>
        <v>0.7142857142857143</v>
      </c>
      <c r="Z142" s="8">
        <f t="shared" si="99"/>
        <v>1.25</v>
      </c>
      <c r="AA142" s="8">
        <f t="shared" si="100"/>
        <v>-0.29629629629629628</v>
      </c>
      <c r="AB142" s="8">
        <f t="shared" si="101"/>
        <v>-0.15789473684210525</v>
      </c>
      <c r="AC142" s="12">
        <f t="shared" si="102"/>
        <v>0.2461268913023299</v>
      </c>
      <c r="AD142" s="12">
        <f t="shared" si="103"/>
        <v>0.1710526315789474</v>
      </c>
      <c r="AE142" s="1">
        <f t="shared" si="104"/>
        <v>5</v>
      </c>
      <c r="AF142" s="1">
        <f t="shared" si="105"/>
        <v>-8</v>
      </c>
      <c r="AG142" s="1">
        <f t="shared" si="106"/>
        <v>5</v>
      </c>
      <c r="AH142" s="1">
        <f t="shared" si="107"/>
        <v>15</v>
      </c>
      <c r="AI142" s="1">
        <f t="shared" si="108"/>
        <v>-8</v>
      </c>
      <c r="AJ142" s="1">
        <f t="shared" si="109"/>
        <v>-3</v>
      </c>
      <c r="AK142" s="17">
        <f t="shared" si="110"/>
        <v>1</v>
      </c>
      <c r="AL142" s="17">
        <f t="shared" si="111"/>
        <v>1</v>
      </c>
      <c r="AM142" s="1">
        <f t="shared" si="112"/>
        <v>-0.6</v>
      </c>
      <c r="AN142" s="1">
        <f t="shared" si="113"/>
        <v>-0.5</v>
      </c>
      <c r="AO142" s="1">
        <f t="shared" si="114"/>
        <v>6</v>
      </c>
      <c r="AP142" s="1">
        <f t="shared" si="115"/>
        <v>0.2857142857142857</v>
      </c>
      <c r="AQ142" s="1">
        <f t="shared" si="116"/>
        <v>-0.55555555555555558</v>
      </c>
      <c r="AR142" s="1">
        <f t="shared" si="117"/>
        <v>1</v>
      </c>
      <c r="AS142" s="12">
        <f t="shared" si="118"/>
        <v>0.93835978835978839</v>
      </c>
      <c r="AT142" s="12">
        <f t="shared" si="119"/>
        <v>-0.10714285714285715</v>
      </c>
      <c r="AU142" s="1">
        <f t="shared" si="120"/>
        <v>-3</v>
      </c>
      <c r="AV142" s="1">
        <f t="shared" si="121"/>
        <v>-1</v>
      </c>
      <c r="AW142" s="1">
        <f t="shared" si="122"/>
        <v>6</v>
      </c>
      <c r="AX142" s="1">
        <f t="shared" si="123"/>
        <v>2</v>
      </c>
      <c r="AY142" s="1">
        <f t="shared" si="124"/>
        <v>-5</v>
      </c>
      <c r="AZ142" s="1">
        <f t="shared" si="125"/>
        <v>4</v>
      </c>
      <c r="BA142" s="19">
        <f t="shared" si="126"/>
        <v>0.5</v>
      </c>
      <c r="BB142" s="19">
        <f t="shared" si="127"/>
        <v>0.5</v>
      </c>
      <c r="BC142" s="9">
        <f t="shared" si="128"/>
        <v>1.6</v>
      </c>
      <c r="BD142" s="9">
        <f t="shared" si="129"/>
        <v>-0.53846153846153844</v>
      </c>
      <c r="BE142" s="9">
        <f t="shared" si="130"/>
        <v>-0.16666666666666666</v>
      </c>
      <c r="BF142" s="9">
        <f t="shared" si="131"/>
        <v>2.6</v>
      </c>
      <c r="BG142" s="9">
        <f t="shared" si="132"/>
        <v>-0.16666666666666666</v>
      </c>
      <c r="BH142" s="9">
        <f t="shared" si="133"/>
        <v>-0.46666666666666667</v>
      </c>
      <c r="BI142" s="12">
        <f t="shared" si="134"/>
        <v>0.47692307692307701</v>
      </c>
      <c r="BJ142" s="13">
        <f t="shared" si="135"/>
        <v>-0.16666666666666666</v>
      </c>
      <c r="BK142" s="1">
        <f t="shared" si="136"/>
        <v>8</v>
      </c>
      <c r="BL142" s="1">
        <f t="shared" si="137"/>
        <v>-7</v>
      </c>
      <c r="BM142" s="1">
        <f t="shared" si="138"/>
        <v>-1</v>
      </c>
      <c r="BN142" s="1">
        <f t="shared" si="139"/>
        <v>13</v>
      </c>
      <c r="BO142" s="1">
        <f t="shared" si="140"/>
        <v>-3</v>
      </c>
      <c r="BP142" s="1">
        <f t="shared" si="141"/>
        <v>-7</v>
      </c>
      <c r="BQ142" s="19">
        <f t="shared" si="142"/>
        <v>0.5</v>
      </c>
      <c r="BR142" s="17">
        <f t="shared" si="143"/>
        <v>-2</v>
      </c>
    </row>
    <row r="143" spans="1:70" x14ac:dyDescent="0.25">
      <c r="A143" t="s">
        <v>329</v>
      </c>
      <c r="B143">
        <v>8</v>
      </c>
      <c r="C143">
        <v>7</v>
      </c>
      <c r="D143">
        <v>5</v>
      </c>
      <c r="E143">
        <v>10</v>
      </c>
      <c r="F143">
        <v>11</v>
      </c>
      <c r="G143">
        <v>14</v>
      </c>
      <c r="H143">
        <v>14</v>
      </c>
      <c r="P143">
        <v>8</v>
      </c>
      <c r="Q143">
        <v>7</v>
      </c>
      <c r="R143">
        <v>5</v>
      </c>
      <c r="S143">
        <v>10</v>
      </c>
      <c r="T143">
        <v>11</v>
      </c>
      <c r="U143">
        <v>14</v>
      </c>
      <c r="V143">
        <v>14</v>
      </c>
      <c r="W143" s="8">
        <f t="shared" si="96"/>
        <v>-0.125</v>
      </c>
      <c r="X143" s="8">
        <f t="shared" si="97"/>
        <v>-0.2857142857142857</v>
      </c>
      <c r="Y143" s="8">
        <f t="shared" si="98"/>
        <v>1</v>
      </c>
      <c r="Z143" s="8">
        <f t="shared" si="99"/>
        <v>0.1</v>
      </c>
      <c r="AA143" s="8">
        <f t="shared" si="100"/>
        <v>0.27272727272727271</v>
      </c>
      <c r="AB143" s="8">
        <f t="shared" si="101"/>
        <v>0</v>
      </c>
      <c r="AC143" s="12">
        <f t="shared" si="102"/>
        <v>0.16033549783549783</v>
      </c>
      <c r="AD143" s="12">
        <f t="shared" si="103"/>
        <v>0.05</v>
      </c>
      <c r="AE143" s="1">
        <f t="shared" si="104"/>
        <v>-1</v>
      </c>
      <c r="AF143" s="1">
        <f t="shared" si="105"/>
        <v>-2</v>
      </c>
      <c r="AG143" s="1">
        <f t="shared" si="106"/>
        <v>5</v>
      </c>
      <c r="AH143" s="1">
        <f t="shared" si="107"/>
        <v>1</v>
      </c>
      <c r="AI143" s="1">
        <f t="shared" si="108"/>
        <v>3</v>
      </c>
      <c r="AJ143" s="1">
        <f t="shared" si="109"/>
        <v>0</v>
      </c>
      <c r="AK143" s="17">
        <f t="shared" si="110"/>
        <v>1</v>
      </c>
      <c r="AL143" s="17">
        <f t="shared" si="111"/>
        <v>0.5</v>
      </c>
      <c r="AM143" s="1" t="e">
        <f t="shared" si="112"/>
        <v>#DIV/0!</v>
      </c>
      <c r="AN143" s="1" t="e">
        <f t="shared" si="113"/>
        <v>#DIV/0!</v>
      </c>
      <c r="AO143" s="1" t="e">
        <f t="shared" si="114"/>
        <v>#DIV/0!</v>
      </c>
      <c r="AP143" s="1" t="e">
        <f t="shared" si="115"/>
        <v>#DIV/0!</v>
      </c>
      <c r="AQ143" s="1" t="e">
        <f t="shared" si="116"/>
        <v>#DIV/0!</v>
      </c>
      <c r="AR143" s="1" t="e">
        <f t="shared" si="117"/>
        <v>#DIV/0!</v>
      </c>
      <c r="AS143" s="12" t="e">
        <f t="shared" si="118"/>
        <v>#DIV/0!</v>
      </c>
      <c r="AT143" s="12" t="e">
        <f t="shared" si="119"/>
        <v>#DIV/0!</v>
      </c>
      <c r="AU143" s="1">
        <f t="shared" si="120"/>
        <v>0</v>
      </c>
      <c r="AV143" s="1">
        <f t="shared" si="121"/>
        <v>0</v>
      </c>
      <c r="AW143" s="1">
        <f t="shared" si="122"/>
        <v>0</v>
      </c>
      <c r="AX143" s="1">
        <f t="shared" si="123"/>
        <v>0</v>
      </c>
      <c r="AY143" s="1">
        <f t="shared" si="124"/>
        <v>0</v>
      </c>
      <c r="AZ143" s="1">
        <f t="shared" si="125"/>
        <v>0</v>
      </c>
      <c r="BA143" s="19">
        <f t="shared" si="126"/>
        <v>0</v>
      </c>
      <c r="BB143" s="19">
        <f t="shared" si="127"/>
        <v>0</v>
      </c>
      <c r="BC143" s="9">
        <f t="shared" si="128"/>
        <v>-0.125</v>
      </c>
      <c r="BD143" s="9">
        <f t="shared" si="129"/>
        <v>-0.2857142857142857</v>
      </c>
      <c r="BE143" s="9">
        <f t="shared" si="130"/>
        <v>1</v>
      </c>
      <c r="BF143" s="9">
        <f t="shared" si="131"/>
        <v>0.1</v>
      </c>
      <c r="BG143" s="9">
        <f t="shared" si="132"/>
        <v>0.27272727272727271</v>
      </c>
      <c r="BH143" s="9">
        <f t="shared" si="133"/>
        <v>0</v>
      </c>
      <c r="BI143" s="12">
        <f t="shared" si="134"/>
        <v>0.16033549783549783</v>
      </c>
      <c r="BJ143" s="13">
        <f t="shared" si="135"/>
        <v>0.05</v>
      </c>
      <c r="BK143" s="1">
        <f t="shared" si="136"/>
        <v>-1</v>
      </c>
      <c r="BL143" s="1">
        <f t="shared" si="137"/>
        <v>-2</v>
      </c>
      <c r="BM143" s="1">
        <f t="shared" si="138"/>
        <v>5</v>
      </c>
      <c r="BN143" s="1">
        <f t="shared" si="139"/>
        <v>1</v>
      </c>
      <c r="BO143" s="1">
        <f t="shared" si="140"/>
        <v>3</v>
      </c>
      <c r="BP143" s="1">
        <f t="shared" si="141"/>
        <v>0</v>
      </c>
      <c r="BQ143" s="19">
        <f t="shared" si="142"/>
        <v>1</v>
      </c>
      <c r="BR143" s="17">
        <f t="shared" si="143"/>
        <v>0.5</v>
      </c>
    </row>
    <row r="144" spans="1:70" x14ac:dyDescent="0.25">
      <c r="A144" t="s">
        <v>331</v>
      </c>
      <c r="B144">
        <v>8</v>
      </c>
      <c r="C144">
        <v>5</v>
      </c>
      <c r="D144">
        <v>9</v>
      </c>
      <c r="E144">
        <v>14</v>
      </c>
      <c r="F144">
        <v>11</v>
      </c>
      <c r="G144">
        <v>15</v>
      </c>
      <c r="H144">
        <v>14</v>
      </c>
      <c r="I144">
        <v>3</v>
      </c>
      <c r="J144">
        <v>1</v>
      </c>
      <c r="K144">
        <v>8</v>
      </c>
      <c r="L144">
        <v>3</v>
      </c>
      <c r="M144">
        <v>9</v>
      </c>
      <c r="N144">
        <v>7</v>
      </c>
      <c r="O144">
        <v>9</v>
      </c>
      <c r="P144">
        <v>5</v>
      </c>
      <c r="Q144">
        <v>4</v>
      </c>
      <c r="R144">
        <v>1</v>
      </c>
      <c r="S144">
        <v>11</v>
      </c>
      <c r="T144">
        <v>2</v>
      </c>
      <c r="U144">
        <v>8</v>
      </c>
      <c r="V144">
        <v>5</v>
      </c>
      <c r="W144" s="8">
        <f t="shared" si="96"/>
        <v>-0.375</v>
      </c>
      <c r="X144" s="8">
        <f t="shared" si="97"/>
        <v>0.8</v>
      </c>
      <c r="Y144" s="8">
        <f t="shared" si="98"/>
        <v>0.55555555555555558</v>
      </c>
      <c r="Z144" s="8">
        <f t="shared" si="99"/>
        <v>-0.21428571428571427</v>
      </c>
      <c r="AA144" s="8">
        <f t="shared" si="100"/>
        <v>0.36363636363636365</v>
      </c>
      <c r="AB144" s="8">
        <f t="shared" si="101"/>
        <v>-6.6666666666666666E-2</v>
      </c>
      <c r="AC144" s="12">
        <f t="shared" si="102"/>
        <v>0.17720658970658973</v>
      </c>
      <c r="AD144" s="12">
        <f t="shared" si="103"/>
        <v>0.1484848484848485</v>
      </c>
      <c r="AE144" s="1">
        <f t="shared" si="104"/>
        <v>-3</v>
      </c>
      <c r="AF144" s="1">
        <f t="shared" si="105"/>
        <v>4</v>
      </c>
      <c r="AG144" s="1">
        <f t="shared" si="106"/>
        <v>5</v>
      </c>
      <c r="AH144" s="1">
        <f t="shared" si="107"/>
        <v>-3</v>
      </c>
      <c r="AI144" s="1">
        <f t="shared" si="108"/>
        <v>4</v>
      </c>
      <c r="AJ144" s="1">
        <f t="shared" si="109"/>
        <v>-1</v>
      </c>
      <c r="AK144" s="17">
        <f t="shared" si="110"/>
        <v>1</v>
      </c>
      <c r="AL144" s="17">
        <f t="shared" si="111"/>
        <v>1.5</v>
      </c>
      <c r="AM144" s="1">
        <f t="shared" si="112"/>
        <v>-0.66666666666666663</v>
      </c>
      <c r="AN144" s="1">
        <f t="shared" si="113"/>
        <v>7</v>
      </c>
      <c r="AO144" s="1">
        <f t="shared" si="114"/>
        <v>-0.625</v>
      </c>
      <c r="AP144" s="1">
        <f t="shared" si="115"/>
        <v>2</v>
      </c>
      <c r="AQ144" s="1">
        <f t="shared" si="116"/>
        <v>-0.22222222222222221</v>
      </c>
      <c r="AR144" s="1">
        <f t="shared" si="117"/>
        <v>0.2857142857142857</v>
      </c>
      <c r="AS144" s="12">
        <f t="shared" si="118"/>
        <v>1.2953042328042328</v>
      </c>
      <c r="AT144" s="12">
        <f t="shared" si="119"/>
        <v>3.1746031746031744E-2</v>
      </c>
      <c r="AU144" s="1">
        <f t="shared" si="120"/>
        <v>-2</v>
      </c>
      <c r="AV144" s="1">
        <f t="shared" si="121"/>
        <v>7</v>
      </c>
      <c r="AW144" s="1">
        <f t="shared" si="122"/>
        <v>-5</v>
      </c>
      <c r="AX144" s="1">
        <f t="shared" si="123"/>
        <v>6</v>
      </c>
      <c r="AY144" s="1">
        <f t="shared" si="124"/>
        <v>-2</v>
      </c>
      <c r="AZ144" s="1">
        <f t="shared" si="125"/>
        <v>2</v>
      </c>
      <c r="BA144" s="19">
        <f t="shared" si="126"/>
        <v>1</v>
      </c>
      <c r="BB144" s="19">
        <f t="shared" si="127"/>
        <v>0</v>
      </c>
      <c r="BC144" s="9">
        <f t="shared" si="128"/>
        <v>-0.2</v>
      </c>
      <c r="BD144" s="9">
        <f t="shared" si="129"/>
        <v>-0.75</v>
      </c>
      <c r="BE144" s="9">
        <f t="shared" si="130"/>
        <v>10</v>
      </c>
      <c r="BF144" s="9">
        <f t="shared" si="131"/>
        <v>-0.81818181818181823</v>
      </c>
      <c r="BG144" s="9">
        <f t="shared" si="132"/>
        <v>3</v>
      </c>
      <c r="BH144" s="9">
        <f t="shared" si="133"/>
        <v>-0.375</v>
      </c>
      <c r="BI144" s="12">
        <f t="shared" si="134"/>
        <v>1.8094696969696971</v>
      </c>
      <c r="BJ144" s="13">
        <f t="shared" si="135"/>
        <v>-0.28749999999999998</v>
      </c>
      <c r="BK144" s="1">
        <f t="shared" si="136"/>
        <v>-1</v>
      </c>
      <c r="BL144" s="1">
        <f t="shared" si="137"/>
        <v>-3</v>
      </c>
      <c r="BM144" s="1">
        <f t="shared" si="138"/>
        <v>10</v>
      </c>
      <c r="BN144" s="1">
        <f t="shared" si="139"/>
        <v>-9</v>
      </c>
      <c r="BO144" s="1">
        <f t="shared" si="140"/>
        <v>6</v>
      </c>
      <c r="BP144" s="1">
        <f t="shared" si="141"/>
        <v>-3</v>
      </c>
      <c r="BQ144" s="19">
        <f t="shared" si="142"/>
        <v>0</v>
      </c>
      <c r="BR144" s="17">
        <f t="shared" si="143"/>
        <v>-2</v>
      </c>
    </row>
    <row r="145" spans="1:70" x14ac:dyDescent="0.25">
      <c r="A145" t="s">
        <v>357</v>
      </c>
      <c r="B145">
        <v>6</v>
      </c>
      <c r="C145">
        <v>11</v>
      </c>
      <c r="D145">
        <v>8</v>
      </c>
      <c r="E145">
        <v>7</v>
      </c>
      <c r="F145">
        <v>15</v>
      </c>
      <c r="G145">
        <v>9</v>
      </c>
      <c r="H145">
        <v>12</v>
      </c>
      <c r="I145">
        <v>3</v>
      </c>
      <c r="J145">
        <v>6</v>
      </c>
      <c r="K145">
        <v>4</v>
      </c>
      <c r="L145">
        <v>4</v>
      </c>
      <c r="M145">
        <v>13</v>
      </c>
      <c r="N145">
        <v>1</v>
      </c>
      <c r="O145">
        <v>6</v>
      </c>
      <c r="P145">
        <v>3</v>
      </c>
      <c r="Q145">
        <v>5</v>
      </c>
      <c r="R145">
        <v>4</v>
      </c>
      <c r="S145">
        <v>3</v>
      </c>
      <c r="T145">
        <v>2</v>
      </c>
      <c r="U145">
        <v>8</v>
      </c>
      <c r="V145">
        <v>6</v>
      </c>
      <c r="W145" s="8">
        <f t="shared" si="96"/>
        <v>0.83333333333333337</v>
      </c>
      <c r="X145" s="8">
        <f t="shared" si="97"/>
        <v>-0.27272727272727271</v>
      </c>
      <c r="Y145" s="8">
        <f t="shared" si="98"/>
        <v>-0.125</v>
      </c>
      <c r="Z145" s="8">
        <f t="shared" si="99"/>
        <v>1.1428571428571428</v>
      </c>
      <c r="AA145" s="8">
        <f t="shared" si="100"/>
        <v>-0.4</v>
      </c>
      <c r="AB145" s="8">
        <f t="shared" si="101"/>
        <v>0.33333333333333331</v>
      </c>
      <c r="AC145" s="12">
        <f t="shared" si="102"/>
        <v>0.25196608946608945</v>
      </c>
      <c r="AD145" s="12">
        <f t="shared" si="103"/>
        <v>0.10416666666666666</v>
      </c>
      <c r="AE145" s="1">
        <f t="shared" si="104"/>
        <v>5</v>
      </c>
      <c r="AF145" s="1">
        <f t="shared" si="105"/>
        <v>-3</v>
      </c>
      <c r="AG145" s="1">
        <f t="shared" si="106"/>
        <v>-1</v>
      </c>
      <c r="AH145" s="1">
        <f t="shared" si="107"/>
        <v>8</v>
      </c>
      <c r="AI145" s="1">
        <f t="shared" si="108"/>
        <v>-6</v>
      </c>
      <c r="AJ145" s="1">
        <f t="shared" si="109"/>
        <v>3</v>
      </c>
      <c r="AK145" s="17">
        <f t="shared" si="110"/>
        <v>1</v>
      </c>
      <c r="AL145" s="17">
        <f t="shared" si="111"/>
        <v>1</v>
      </c>
      <c r="AM145" s="1">
        <f t="shared" si="112"/>
        <v>1</v>
      </c>
      <c r="AN145" s="1">
        <f t="shared" si="113"/>
        <v>-0.33333333333333331</v>
      </c>
      <c r="AO145" s="1">
        <f t="shared" si="114"/>
        <v>0</v>
      </c>
      <c r="AP145" s="1">
        <f t="shared" si="115"/>
        <v>2.25</v>
      </c>
      <c r="AQ145" s="1">
        <f t="shared" si="116"/>
        <v>-0.92307692307692313</v>
      </c>
      <c r="AR145" s="1">
        <f t="shared" si="117"/>
        <v>5</v>
      </c>
      <c r="AS145" s="12">
        <f t="shared" si="118"/>
        <v>1.1655982905982907</v>
      </c>
      <c r="AT145" s="12">
        <f t="shared" si="119"/>
        <v>0.5</v>
      </c>
      <c r="AU145" s="1">
        <f t="shared" si="120"/>
        <v>3</v>
      </c>
      <c r="AV145" s="1">
        <f t="shared" si="121"/>
        <v>-2</v>
      </c>
      <c r="AW145" s="1">
        <f t="shared" si="122"/>
        <v>0</v>
      </c>
      <c r="AX145" s="1">
        <f t="shared" si="123"/>
        <v>9</v>
      </c>
      <c r="AY145" s="1">
        <f t="shared" si="124"/>
        <v>-12</v>
      </c>
      <c r="AZ145" s="1">
        <f t="shared" si="125"/>
        <v>5</v>
      </c>
      <c r="BA145" s="19">
        <f t="shared" si="126"/>
        <v>0.5</v>
      </c>
      <c r="BB145" s="19">
        <f t="shared" si="127"/>
        <v>1.5</v>
      </c>
      <c r="BC145" s="9">
        <f t="shared" si="128"/>
        <v>0.66666666666666663</v>
      </c>
      <c r="BD145" s="9">
        <f t="shared" si="129"/>
        <v>-0.2</v>
      </c>
      <c r="BE145" s="9">
        <f t="shared" si="130"/>
        <v>-0.25</v>
      </c>
      <c r="BF145" s="9">
        <f t="shared" si="131"/>
        <v>-0.33333333333333331</v>
      </c>
      <c r="BG145" s="9">
        <f t="shared" si="132"/>
        <v>3</v>
      </c>
      <c r="BH145" s="9">
        <f t="shared" si="133"/>
        <v>-0.25</v>
      </c>
      <c r="BI145" s="12">
        <f t="shared" si="134"/>
        <v>0.43888888888888888</v>
      </c>
      <c r="BJ145" s="13">
        <f t="shared" si="135"/>
        <v>-0.22500000000000001</v>
      </c>
      <c r="BK145" s="1">
        <f t="shared" si="136"/>
        <v>2</v>
      </c>
      <c r="BL145" s="1">
        <f t="shared" si="137"/>
        <v>-1</v>
      </c>
      <c r="BM145" s="1">
        <f t="shared" si="138"/>
        <v>-1</v>
      </c>
      <c r="BN145" s="1">
        <f t="shared" si="139"/>
        <v>-1</v>
      </c>
      <c r="BO145" s="1">
        <f t="shared" si="140"/>
        <v>6</v>
      </c>
      <c r="BP145" s="1">
        <f t="shared" si="141"/>
        <v>-2</v>
      </c>
      <c r="BQ145" s="19">
        <f t="shared" si="142"/>
        <v>0.5</v>
      </c>
      <c r="BR145" s="17">
        <f t="shared" si="143"/>
        <v>-1</v>
      </c>
    </row>
    <row r="146" spans="1:70" x14ac:dyDescent="0.25">
      <c r="A146" t="s">
        <v>374</v>
      </c>
      <c r="B146">
        <v>5</v>
      </c>
      <c r="C146">
        <v>6</v>
      </c>
      <c r="D146">
        <v>12</v>
      </c>
      <c r="E146">
        <v>6</v>
      </c>
      <c r="F146">
        <v>5</v>
      </c>
      <c r="G146">
        <v>9</v>
      </c>
      <c r="H146">
        <v>11</v>
      </c>
      <c r="I146">
        <v>4</v>
      </c>
      <c r="J146">
        <v>1</v>
      </c>
      <c r="K146">
        <v>4</v>
      </c>
      <c r="L146">
        <v>5</v>
      </c>
      <c r="M146">
        <v>1</v>
      </c>
      <c r="N146">
        <v>7</v>
      </c>
      <c r="O146">
        <v>7</v>
      </c>
      <c r="P146">
        <v>1</v>
      </c>
      <c r="Q146">
        <v>5</v>
      </c>
      <c r="R146">
        <v>8</v>
      </c>
      <c r="S146">
        <v>1</v>
      </c>
      <c r="T146">
        <v>4</v>
      </c>
      <c r="U146">
        <v>2</v>
      </c>
      <c r="V146">
        <v>4</v>
      </c>
      <c r="W146" s="8">
        <f t="shared" si="96"/>
        <v>0.2</v>
      </c>
      <c r="X146" s="8">
        <f t="shared" si="97"/>
        <v>1</v>
      </c>
      <c r="Y146" s="8">
        <f t="shared" si="98"/>
        <v>-0.5</v>
      </c>
      <c r="Z146" s="8">
        <f t="shared" si="99"/>
        <v>-0.16666666666666666</v>
      </c>
      <c r="AA146" s="8">
        <f t="shared" si="100"/>
        <v>0.8</v>
      </c>
      <c r="AB146" s="8">
        <f t="shared" si="101"/>
        <v>0.22222222222222221</v>
      </c>
      <c r="AC146" s="12">
        <f t="shared" si="102"/>
        <v>0.2592592592592593</v>
      </c>
      <c r="AD146" s="12">
        <f t="shared" si="103"/>
        <v>0.21111111111111111</v>
      </c>
      <c r="AE146" s="1">
        <f t="shared" si="104"/>
        <v>1</v>
      </c>
      <c r="AF146" s="1">
        <f t="shared" si="105"/>
        <v>6</v>
      </c>
      <c r="AG146" s="1">
        <f t="shared" si="106"/>
        <v>-6</v>
      </c>
      <c r="AH146" s="1">
        <f t="shared" si="107"/>
        <v>-1</v>
      </c>
      <c r="AI146" s="1">
        <f t="shared" si="108"/>
        <v>4</v>
      </c>
      <c r="AJ146" s="1">
        <f t="shared" si="109"/>
        <v>2</v>
      </c>
      <c r="AK146" s="17">
        <f t="shared" si="110"/>
        <v>1</v>
      </c>
      <c r="AL146" s="17">
        <f t="shared" si="111"/>
        <v>1.5</v>
      </c>
      <c r="AM146" s="1">
        <f t="shared" si="112"/>
        <v>-0.75</v>
      </c>
      <c r="AN146" s="1">
        <f t="shared" si="113"/>
        <v>3</v>
      </c>
      <c r="AO146" s="1">
        <f t="shared" si="114"/>
        <v>0.25</v>
      </c>
      <c r="AP146" s="1">
        <f t="shared" si="115"/>
        <v>-0.8</v>
      </c>
      <c r="AQ146" s="1">
        <f t="shared" si="116"/>
        <v>6</v>
      </c>
      <c r="AR146" s="1">
        <f t="shared" si="117"/>
        <v>0</v>
      </c>
      <c r="AS146" s="12">
        <f t="shared" si="118"/>
        <v>1.2833333333333334</v>
      </c>
      <c r="AT146" s="12">
        <f t="shared" si="119"/>
        <v>0.125</v>
      </c>
      <c r="AU146" s="1">
        <f t="shared" si="120"/>
        <v>-3</v>
      </c>
      <c r="AV146" s="1">
        <f t="shared" si="121"/>
        <v>3</v>
      </c>
      <c r="AW146" s="1">
        <f t="shared" si="122"/>
        <v>1</v>
      </c>
      <c r="AX146" s="1">
        <f t="shared" si="123"/>
        <v>-4</v>
      </c>
      <c r="AY146" s="1">
        <f t="shared" si="124"/>
        <v>6</v>
      </c>
      <c r="AZ146" s="1">
        <f t="shared" si="125"/>
        <v>0</v>
      </c>
      <c r="BA146" s="19">
        <f t="shared" si="126"/>
        <v>0.5</v>
      </c>
      <c r="BB146" s="19">
        <f t="shared" si="127"/>
        <v>0.5</v>
      </c>
      <c r="BC146" s="9">
        <f t="shared" si="128"/>
        <v>4</v>
      </c>
      <c r="BD146" s="9">
        <f t="shared" si="129"/>
        <v>0.6</v>
      </c>
      <c r="BE146" s="9">
        <f t="shared" si="130"/>
        <v>-0.875</v>
      </c>
      <c r="BF146" s="9">
        <f t="shared" si="131"/>
        <v>3</v>
      </c>
      <c r="BG146" s="9">
        <f t="shared" si="132"/>
        <v>-0.5</v>
      </c>
      <c r="BH146" s="9">
        <f t="shared" si="133"/>
        <v>1</v>
      </c>
      <c r="BI146" s="12">
        <f t="shared" si="134"/>
        <v>1.2041666666666666</v>
      </c>
      <c r="BJ146" s="13">
        <f t="shared" si="135"/>
        <v>0.8</v>
      </c>
      <c r="BK146" s="1">
        <f t="shared" si="136"/>
        <v>4</v>
      </c>
      <c r="BL146" s="1">
        <f t="shared" si="137"/>
        <v>3</v>
      </c>
      <c r="BM146" s="1">
        <f t="shared" si="138"/>
        <v>-7</v>
      </c>
      <c r="BN146" s="1">
        <f t="shared" si="139"/>
        <v>3</v>
      </c>
      <c r="BO146" s="1">
        <f t="shared" si="140"/>
        <v>-2</v>
      </c>
      <c r="BP146" s="1">
        <f t="shared" si="141"/>
        <v>2</v>
      </c>
      <c r="BQ146" s="19">
        <f t="shared" si="142"/>
        <v>0.5</v>
      </c>
      <c r="BR146" s="17">
        <f t="shared" si="143"/>
        <v>2.5</v>
      </c>
    </row>
    <row r="147" spans="1:70" x14ac:dyDescent="0.25">
      <c r="A147" t="s">
        <v>377</v>
      </c>
      <c r="B147">
        <v>5</v>
      </c>
      <c r="C147">
        <v>4</v>
      </c>
      <c r="D147">
        <v>8</v>
      </c>
      <c r="E147">
        <v>7</v>
      </c>
      <c r="F147">
        <v>2</v>
      </c>
      <c r="G147">
        <v>7</v>
      </c>
      <c r="H147">
        <v>11</v>
      </c>
      <c r="I147">
        <v>1</v>
      </c>
      <c r="M147">
        <v>1</v>
      </c>
      <c r="O147">
        <v>1</v>
      </c>
      <c r="P147">
        <v>4</v>
      </c>
      <c r="Q147">
        <v>4</v>
      </c>
      <c r="R147">
        <v>8</v>
      </c>
      <c r="S147">
        <v>7</v>
      </c>
      <c r="T147">
        <v>1</v>
      </c>
      <c r="U147">
        <v>7</v>
      </c>
      <c r="V147">
        <v>10</v>
      </c>
      <c r="W147" s="8">
        <f t="shared" si="96"/>
        <v>-0.2</v>
      </c>
      <c r="X147" s="8">
        <f t="shared" si="97"/>
        <v>1</v>
      </c>
      <c r="Y147" s="8">
        <f t="shared" si="98"/>
        <v>-0.125</v>
      </c>
      <c r="Z147" s="8">
        <f t="shared" si="99"/>
        <v>-0.7142857142857143</v>
      </c>
      <c r="AA147" s="8">
        <f t="shared" si="100"/>
        <v>2.5</v>
      </c>
      <c r="AB147" s="8">
        <f t="shared" si="101"/>
        <v>0.5714285714285714</v>
      </c>
      <c r="AC147" s="12">
        <f t="shared" si="102"/>
        <v>0.50535714285714295</v>
      </c>
      <c r="AD147" s="12">
        <f t="shared" si="103"/>
        <v>0.2232142857142857</v>
      </c>
      <c r="AE147" s="1">
        <f t="shared" si="104"/>
        <v>-1</v>
      </c>
      <c r="AF147" s="1">
        <f t="shared" si="105"/>
        <v>4</v>
      </c>
      <c r="AG147" s="1">
        <f t="shared" si="106"/>
        <v>-1</v>
      </c>
      <c r="AH147" s="1">
        <f t="shared" si="107"/>
        <v>-5</v>
      </c>
      <c r="AI147" s="1">
        <f t="shared" si="108"/>
        <v>5</v>
      </c>
      <c r="AJ147" s="1">
        <f t="shared" si="109"/>
        <v>4</v>
      </c>
      <c r="AK147" s="17">
        <f t="shared" si="110"/>
        <v>1</v>
      </c>
      <c r="AL147" s="17">
        <f t="shared" si="111"/>
        <v>1.5</v>
      </c>
      <c r="AM147" s="1">
        <f t="shared" si="112"/>
        <v>-1</v>
      </c>
      <c r="AN147" s="1" t="e">
        <f t="shared" si="113"/>
        <v>#DIV/0!</v>
      </c>
      <c r="AO147" s="1" t="e">
        <f t="shared" si="114"/>
        <v>#DIV/0!</v>
      </c>
      <c r="AP147" s="1" t="e">
        <f t="shared" si="115"/>
        <v>#DIV/0!</v>
      </c>
      <c r="AQ147" s="1">
        <f t="shared" si="116"/>
        <v>-1</v>
      </c>
      <c r="AR147" s="1" t="e">
        <f t="shared" si="117"/>
        <v>#DIV/0!</v>
      </c>
      <c r="AS147" s="12" t="e">
        <f t="shared" si="118"/>
        <v>#DIV/0!</v>
      </c>
      <c r="AT147" s="12" t="e">
        <f t="shared" si="119"/>
        <v>#DIV/0!</v>
      </c>
      <c r="AU147" s="1">
        <f t="shared" si="120"/>
        <v>-1</v>
      </c>
      <c r="AV147" s="1">
        <f t="shared" si="121"/>
        <v>0</v>
      </c>
      <c r="AW147" s="1">
        <f t="shared" si="122"/>
        <v>0</v>
      </c>
      <c r="AX147" s="1">
        <f t="shared" si="123"/>
        <v>1</v>
      </c>
      <c r="AY147" s="1">
        <f t="shared" si="124"/>
        <v>-1</v>
      </c>
      <c r="AZ147" s="1">
        <f t="shared" si="125"/>
        <v>1</v>
      </c>
      <c r="BA147" s="19">
        <f t="shared" si="126"/>
        <v>0</v>
      </c>
      <c r="BB147" s="19">
        <f t="shared" si="127"/>
        <v>0</v>
      </c>
      <c r="BC147" s="9">
        <f t="shared" si="128"/>
        <v>0</v>
      </c>
      <c r="BD147" s="9">
        <f t="shared" si="129"/>
        <v>1</v>
      </c>
      <c r="BE147" s="9">
        <f t="shared" si="130"/>
        <v>-0.125</v>
      </c>
      <c r="BF147" s="9">
        <f t="shared" si="131"/>
        <v>-0.8571428571428571</v>
      </c>
      <c r="BG147" s="9">
        <f t="shared" si="132"/>
        <v>6</v>
      </c>
      <c r="BH147" s="9">
        <f t="shared" si="133"/>
        <v>0.42857142857142855</v>
      </c>
      <c r="BI147" s="12">
        <f t="shared" si="134"/>
        <v>1.0744047619047621</v>
      </c>
      <c r="BJ147" s="13">
        <f t="shared" si="135"/>
        <v>0.21428571428571427</v>
      </c>
      <c r="BK147" s="1">
        <f t="shared" si="136"/>
        <v>0</v>
      </c>
      <c r="BL147" s="1">
        <f t="shared" si="137"/>
        <v>4</v>
      </c>
      <c r="BM147" s="1">
        <f t="shared" si="138"/>
        <v>-1</v>
      </c>
      <c r="BN147" s="1">
        <f t="shared" si="139"/>
        <v>-6</v>
      </c>
      <c r="BO147" s="1">
        <f t="shared" si="140"/>
        <v>6</v>
      </c>
      <c r="BP147" s="1">
        <f t="shared" si="141"/>
        <v>3</v>
      </c>
      <c r="BQ147" s="19">
        <f t="shared" si="142"/>
        <v>1</v>
      </c>
      <c r="BR147" s="17">
        <f t="shared" si="143"/>
        <v>1.5</v>
      </c>
    </row>
    <row r="148" spans="1:70" x14ac:dyDescent="0.25">
      <c r="A148" t="s">
        <v>393</v>
      </c>
      <c r="B148">
        <v>4</v>
      </c>
      <c r="C148">
        <v>7</v>
      </c>
      <c r="D148">
        <v>6</v>
      </c>
      <c r="E148">
        <v>9</v>
      </c>
      <c r="F148">
        <v>11</v>
      </c>
      <c r="G148">
        <v>11</v>
      </c>
      <c r="H148">
        <v>10</v>
      </c>
      <c r="I148">
        <v>1</v>
      </c>
      <c r="J148">
        <v>3</v>
      </c>
      <c r="L148">
        <v>1</v>
      </c>
      <c r="M148">
        <v>4</v>
      </c>
      <c r="N148">
        <v>7</v>
      </c>
      <c r="O148">
        <v>5</v>
      </c>
      <c r="P148">
        <v>3</v>
      </c>
      <c r="Q148">
        <v>4</v>
      </c>
      <c r="R148">
        <v>6</v>
      </c>
      <c r="S148">
        <v>8</v>
      </c>
      <c r="T148">
        <v>7</v>
      </c>
      <c r="U148">
        <v>4</v>
      </c>
      <c r="V148">
        <v>5</v>
      </c>
      <c r="W148" s="8">
        <f t="shared" si="96"/>
        <v>0.75</v>
      </c>
      <c r="X148" s="8">
        <f t="shared" si="97"/>
        <v>-0.14285714285714285</v>
      </c>
      <c r="Y148" s="8">
        <f t="shared" si="98"/>
        <v>0.5</v>
      </c>
      <c r="Z148" s="8">
        <f t="shared" si="99"/>
        <v>0.22222222222222221</v>
      </c>
      <c r="AA148" s="8">
        <f t="shared" si="100"/>
        <v>0</v>
      </c>
      <c r="AB148" s="8">
        <f t="shared" si="101"/>
        <v>-9.0909090909090912E-2</v>
      </c>
      <c r="AC148" s="12">
        <f t="shared" si="102"/>
        <v>0.20640933140933146</v>
      </c>
      <c r="AD148" s="12">
        <f t="shared" si="103"/>
        <v>0.1111111111111111</v>
      </c>
      <c r="AE148" s="1">
        <f t="shared" si="104"/>
        <v>3</v>
      </c>
      <c r="AF148" s="1">
        <f t="shared" si="105"/>
        <v>-1</v>
      </c>
      <c r="AG148" s="1">
        <f t="shared" si="106"/>
        <v>3</v>
      </c>
      <c r="AH148" s="1">
        <f t="shared" si="107"/>
        <v>2</v>
      </c>
      <c r="AI148" s="1">
        <f t="shared" si="108"/>
        <v>0</v>
      </c>
      <c r="AJ148" s="1">
        <f t="shared" si="109"/>
        <v>-1</v>
      </c>
      <c r="AK148" s="17">
        <f t="shared" si="110"/>
        <v>1</v>
      </c>
      <c r="AL148" s="17">
        <f t="shared" si="111"/>
        <v>1</v>
      </c>
      <c r="AM148" s="1">
        <f t="shared" si="112"/>
        <v>2</v>
      </c>
      <c r="AN148" s="1">
        <f t="shared" si="113"/>
        <v>-1</v>
      </c>
      <c r="AO148" s="1" t="e">
        <f t="shared" si="114"/>
        <v>#DIV/0!</v>
      </c>
      <c r="AP148" s="1">
        <f t="shared" si="115"/>
        <v>3</v>
      </c>
      <c r="AQ148" s="1">
        <f t="shared" si="116"/>
        <v>0.75</v>
      </c>
      <c r="AR148" s="1">
        <f t="shared" si="117"/>
        <v>-0.2857142857142857</v>
      </c>
      <c r="AS148" s="12" t="e">
        <f t="shared" si="118"/>
        <v>#DIV/0!</v>
      </c>
      <c r="AT148" s="12" t="e">
        <f t="shared" si="119"/>
        <v>#DIV/0!</v>
      </c>
      <c r="AU148" s="1">
        <f t="shared" si="120"/>
        <v>2</v>
      </c>
      <c r="AV148" s="1">
        <f t="shared" si="121"/>
        <v>-3</v>
      </c>
      <c r="AW148" s="1">
        <f t="shared" si="122"/>
        <v>1</v>
      </c>
      <c r="AX148" s="1">
        <f t="shared" si="123"/>
        <v>3</v>
      </c>
      <c r="AY148" s="1">
        <f t="shared" si="124"/>
        <v>3</v>
      </c>
      <c r="AZ148" s="1">
        <f t="shared" si="125"/>
        <v>-2</v>
      </c>
      <c r="BA148" s="19">
        <f t="shared" si="126"/>
        <v>0.66666666666666663</v>
      </c>
      <c r="BB148" s="19">
        <f t="shared" si="127"/>
        <v>1.5</v>
      </c>
      <c r="BC148" s="9">
        <f t="shared" si="128"/>
        <v>0.33333333333333331</v>
      </c>
      <c r="BD148" s="9">
        <f t="shared" si="129"/>
        <v>0.5</v>
      </c>
      <c r="BE148" s="9">
        <f t="shared" si="130"/>
        <v>0.33333333333333331</v>
      </c>
      <c r="BF148" s="9">
        <f t="shared" si="131"/>
        <v>-0.125</v>
      </c>
      <c r="BG148" s="9">
        <f t="shared" si="132"/>
        <v>-0.42857142857142855</v>
      </c>
      <c r="BH148" s="9">
        <f t="shared" si="133"/>
        <v>0.25</v>
      </c>
      <c r="BI148" s="12">
        <f t="shared" si="134"/>
        <v>0.14384920634920631</v>
      </c>
      <c r="BJ148" s="13">
        <f t="shared" si="135"/>
        <v>0.29166666666666663</v>
      </c>
      <c r="BK148" s="1">
        <f t="shared" si="136"/>
        <v>1</v>
      </c>
      <c r="BL148" s="1">
        <f t="shared" si="137"/>
        <v>2</v>
      </c>
      <c r="BM148" s="1">
        <f t="shared" si="138"/>
        <v>2</v>
      </c>
      <c r="BN148" s="1">
        <f t="shared" si="139"/>
        <v>-1</v>
      </c>
      <c r="BO148" s="1">
        <f t="shared" si="140"/>
        <v>-3</v>
      </c>
      <c r="BP148" s="1">
        <f t="shared" si="141"/>
        <v>1</v>
      </c>
      <c r="BQ148" s="19">
        <f t="shared" si="142"/>
        <v>0.33333333333333331</v>
      </c>
      <c r="BR148" s="17">
        <f t="shared" si="143"/>
        <v>1</v>
      </c>
    </row>
    <row r="149" spans="1:70" x14ac:dyDescent="0.25">
      <c r="A149" t="s">
        <v>416</v>
      </c>
      <c r="B149">
        <v>3</v>
      </c>
      <c r="C149">
        <v>12</v>
      </c>
      <c r="D149">
        <v>3</v>
      </c>
      <c r="E149">
        <v>13</v>
      </c>
      <c r="F149">
        <v>6</v>
      </c>
      <c r="G149">
        <v>11</v>
      </c>
      <c r="H149">
        <v>9</v>
      </c>
      <c r="I149">
        <v>1</v>
      </c>
      <c r="J149">
        <v>4</v>
      </c>
      <c r="K149">
        <v>2</v>
      </c>
      <c r="L149">
        <v>4</v>
      </c>
      <c r="M149">
        <v>2</v>
      </c>
      <c r="N149">
        <v>7</v>
      </c>
      <c r="O149">
        <v>4</v>
      </c>
      <c r="P149">
        <v>2</v>
      </c>
      <c r="Q149">
        <v>8</v>
      </c>
      <c r="R149">
        <v>1</v>
      </c>
      <c r="S149">
        <v>9</v>
      </c>
      <c r="T149">
        <v>4</v>
      </c>
      <c r="U149">
        <v>4</v>
      </c>
      <c r="V149">
        <v>5</v>
      </c>
      <c r="W149" s="8">
        <f t="shared" si="96"/>
        <v>3</v>
      </c>
      <c r="X149" s="8">
        <f t="shared" si="97"/>
        <v>-0.75</v>
      </c>
      <c r="Y149" s="8">
        <f t="shared" si="98"/>
        <v>3.3333333333333335</v>
      </c>
      <c r="Z149" s="8">
        <f t="shared" si="99"/>
        <v>-0.53846153846153844</v>
      </c>
      <c r="AA149" s="8">
        <f t="shared" si="100"/>
        <v>0.83333333333333337</v>
      </c>
      <c r="AB149" s="8">
        <f t="shared" si="101"/>
        <v>-0.18181818181818182</v>
      </c>
      <c r="AC149" s="12">
        <f t="shared" si="102"/>
        <v>0.9493978243978245</v>
      </c>
      <c r="AD149" s="12">
        <f t="shared" si="103"/>
        <v>0.32575757575757575</v>
      </c>
      <c r="AE149" s="1">
        <f t="shared" si="104"/>
        <v>9</v>
      </c>
      <c r="AF149" s="1">
        <f t="shared" si="105"/>
        <v>-9</v>
      </c>
      <c r="AG149" s="1">
        <f t="shared" si="106"/>
        <v>10</v>
      </c>
      <c r="AH149" s="1">
        <f t="shared" si="107"/>
        <v>-7</v>
      </c>
      <c r="AI149" s="1">
        <f t="shared" si="108"/>
        <v>5</v>
      </c>
      <c r="AJ149" s="1">
        <f t="shared" si="109"/>
        <v>-2</v>
      </c>
      <c r="AK149" s="17">
        <f t="shared" si="110"/>
        <v>1</v>
      </c>
      <c r="AL149" s="17">
        <f t="shared" si="111"/>
        <v>1.5</v>
      </c>
      <c r="AM149" s="1">
        <f t="shared" si="112"/>
        <v>3</v>
      </c>
      <c r="AN149" s="1">
        <f t="shared" si="113"/>
        <v>-0.5</v>
      </c>
      <c r="AO149" s="1">
        <f t="shared" si="114"/>
        <v>1</v>
      </c>
      <c r="AP149" s="1">
        <f t="shared" si="115"/>
        <v>-0.5</v>
      </c>
      <c r="AQ149" s="1">
        <f t="shared" si="116"/>
        <v>2.5</v>
      </c>
      <c r="AR149" s="1">
        <f t="shared" si="117"/>
        <v>-0.42857142857142855</v>
      </c>
      <c r="AS149" s="12">
        <f t="shared" si="118"/>
        <v>0.84523809523809523</v>
      </c>
      <c r="AT149" s="12">
        <f t="shared" si="119"/>
        <v>0.28571428571428575</v>
      </c>
      <c r="AU149" s="1">
        <f t="shared" si="120"/>
        <v>3</v>
      </c>
      <c r="AV149" s="1">
        <f t="shared" si="121"/>
        <v>-2</v>
      </c>
      <c r="AW149" s="1">
        <f t="shared" si="122"/>
        <v>2</v>
      </c>
      <c r="AX149" s="1">
        <f t="shared" si="123"/>
        <v>-2</v>
      </c>
      <c r="AY149" s="1">
        <f t="shared" si="124"/>
        <v>5</v>
      </c>
      <c r="AZ149" s="1">
        <f t="shared" si="125"/>
        <v>-3</v>
      </c>
      <c r="BA149" s="19">
        <f t="shared" si="126"/>
        <v>0.5</v>
      </c>
      <c r="BB149" s="19">
        <f t="shared" si="127"/>
        <v>0</v>
      </c>
      <c r="BC149" s="9">
        <f t="shared" si="128"/>
        <v>3</v>
      </c>
      <c r="BD149" s="9">
        <f t="shared" si="129"/>
        <v>-0.875</v>
      </c>
      <c r="BE149" s="9">
        <f t="shared" si="130"/>
        <v>8</v>
      </c>
      <c r="BF149" s="9">
        <f t="shared" si="131"/>
        <v>-0.55555555555555558</v>
      </c>
      <c r="BG149" s="9">
        <f t="shared" si="132"/>
        <v>0</v>
      </c>
      <c r="BH149" s="9">
        <f t="shared" si="133"/>
        <v>0.25</v>
      </c>
      <c r="BI149" s="12">
        <f t="shared" si="134"/>
        <v>1.6365740740740742</v>
      </c>
      <c r="BJ149" s="13">
        <f t="shared" si="135"/>
        <v>0.125</v>
      </c>
      <c r="BK149" s="1">
        <f t="shared" si="136"/>
        <v>6</v>
      </c>
      <c r="BL149" s="1">
        <f t="shared" si="137"/>
        <v>-7</v>
      </c>
      <c r="BM149" s="1">
        <f t="shared" si="138"/>
        <v>8</v>
      </c>
      <c r="BN149" s="1">
        <f t="shared" si="139"/>
        <v>-5</v>
      </c>
      <c r="BO149" s="1">
        <f t="shared" si="140"/>
        <v>0</v>
      </c>
      <c r="BP149" s="1">
        <f t="shared" si="141"/>
        <v>1</v>
      </c>
      <c r="BQ149" s="19">
        <f t="shared" si="142"/>
        <v>0.5</v>
      </c>
      <c r="BR149" s="17">
        <f t="shared" si="143"/>
        <v>0.5</v>
      </c>
    </row>
    <row r="150" spans="1:70" x14ac:dyDescent="0.25">
      <c r="A150" t="s">
        <v>488</v>
      </c>
      <c r="B150">
        <v>1</v>
      </c>
      <c r="C150">
        <v>3</v>
      </c>
      <c r="D150">
        <v>4</v>
      </c>
      <c r="E150">
        <v>5</v>
      </c>
      <c r="F150">
        <v>2</v>
      </c>
      <c r="G150">
        <v>3</v>
      </c>
      <c r="H150">
        <v>7</v>
      </c>
      <c r="J150">
        <v>2</v>
      </c>
      <c r="K150">
        <v>3</v>
      </c>
      <c r="L150">
        <v>3</v>
      </c>
      <c r="M150">
        <v>1</v>
      </c>
      <c r="N150">
        <v>1</v>
      </c>
      <c r="O150">
        <v>4</v>
      </c>
      <c r="P150">
        <v>1</v>
      </c>
      <c r="Q150">
        <v>1</v>
      </c>
      <c r="R150">
        <v>1</v>
      </c>
      <c r="S150">
        <v>2</v>
      </c>
      <c r="T150">
        <v>1</v>
      </c>
      <c r="U150">
        <v>2</v>
      </c>
      <c r="V150">
        <v>3</v>
      </c>
      <c r="W150" s="8">
        <f t="shared" si="96"/>
        <v>2</v>
      </c>
      <c r="X150" s="8">
        <f t="shared" si="97"/>
        <v>0.33333333333333331</v>
      </c>
      <c r="Y150" s="8">
        <f t="shared" si="98"/>
        <v>0.25</v>
      </c>
      <c r="Z150" s="8">
        <f t="shared" si="99"/>
        <v>-0.6</v>
      </c>
      <c r="AA150" s="8">
        <f t="shared" si="100"/>
        <v>0.5</v>
      </c>
      <c r="AB150" s="8">
        <f t="shared" si="101"/>
        <v>1.3333333333333333</v>
      </c>
      <c r="AC150" s="12">
        <f t="shared" si="102"/>
        <v>0.63611111111111107</v>
      </c>
      <c r="AD150" s="12">
        <f t="shared" si="103"/>
        <v>0.41666666666666663</v>
      </c>
      <c r="AE150" s="1">
        <f t="shared" si="104"/>
        <v>2</v>
      </c>
      <c r="AF150" s="1">
        <f t="shared" si="105"/>
        <v>1</v>
      </c>
      <c r="AG150" s="1">
        <f t="shared" si="106"/>
        <v>1</v>
      </c>
      <c r="AH150" s="1">
        <f t="shared" si="107"/>
        <v>-3</v>
      </c>
      <c r="AI150" s="1">
        <f t="shared" si="108"/>
        <v>1</v>
      </c>
      <c r="AJ150" s="1">
        <f t="shared" si="109"/>
        <v>4</v>
      </c>
      <c r="AK150" s="17">
        <f t="shared" si="110"/>
        <v>1</v>
      </c>
      <c r="AL150" s="17">
        <f t="shared" si="111"/>
        <v>1</v>
      </c>
      <c r="AM150" s="1" t="e">
        <f t="shared" si="112"/>
        <v>#DIV/0!</v>
      </c>
      <c r="AN150" s="1">
        <f t="shared" si="113"/>
        <v>0.5</v>
      </c>
      <c r="AO150" s="1">
        <f t="shared" si="114"/>
        <v>0</v>
      </c>
      <c r="AP150" s="1">
        <f t="shared" si="115"/>
        <v>-0.66666666666666663</v>
      </c>
      <c r="AQ150" s="1">
        <f t="shared" si="116"/>
        <v>0</v>
      </c>
      <c r="AR150" s="1">
        <f t="shared" si="117"/>
        <v>3</v>
      </c>
      <c r="AS150" s="12" t="e">
        <f t="shared" si="118"/>
        <v>#DIV/0!</v>
      </c>
      <c r="AT150" s="12" t="e">
        <f t="shared" si="119"/>
        <v>#DIV/0!</v>
      </c>
      <c r="AU150" s="1">
        <f t="shared" si="120"/>
        <v>2</v>
      </c>
      <c r="AV150" s="1">
        <f t="shared" si="121"/>
        <v>1</v>
      </c>
      <c r="AW150" s="1">
        <f t="shared" si="122"/>
        <v>0</v>
      </c>
      <c r="AX150" s="1">
        <f t="shared" si="123"/>
        <v>-2</v>
      </c>
      <c r="AY150" s="1">
        <f t="shared" si="124"/>
        <v>0</v>
      </c>
      <c r="AZ150" s="1">
        <f t="shared" si="125"/>
        <v>3</v>
      </c>
      <c r="BA150" s="19">
        <f t="shared" si="126"/>
        <v>0.66666666666666663</v>
      </c>
      <c r="BB150" s="19">
        <f t="shared" si="127"/>
        <v>0.5</v>
      </c>
      <c r="BC150" s="9">
        <f t="shared" si="128"/>
        <v>0</v>
      </c>
      <c r="BD150" s="9">
        <f t="shared" si="129"/>
        <v>0</v>
      </c>
      <c r="BE150" s="9">
        <f t="shared" si="130"/>
        <v>1</v>
      </c>
      <c r="BF150" s="9">
        <f t="shared" si="131"/>
        <v>-0.5</v>
      </c>
      <c r="BG150" s="9">
        <f t="shared" si="132"/>
        <v>1</v>
      </c>
      <c r="BH150" s="9">
        <f t="shared" si="133"/>
        <v>0.5</v>
      </c>
      <c r="BI150" s="12">
        <f t="shared" si="134"/>
        <v>0.33333333333333331</v>
      </c>
      <c r="BJ150" s="13">
        <f t="shared" si="135"/>
        <v>0.25</v>
      </c>
      <c r="BK150" s="1">
        <f t="shared" si="136"/>
        <v>0</v>
      </c>
      <c r="BL150" s="1">
        <f t="shared" si="137"/>
        <v>0</v>
      </c>
      <c r="BM150" s="1">
        <f t="shared" si="138"/>
        <v>1</v>
      </c>
      <c r="BN150" s="1">
        <f t="shared" si="139"/>
        <v>-1</v>
      </c>
      <c r="BO150" s="1">
        <f t="shared" si="140"/>
        <v>1</v>
      </c>
      <c r="BP150" s="1">
        <f t="shared" si="141"/>
        <v>1</v>
      </c>
      <c r="BQ150" s="19">
        <f t="shared" si="142"/>
        <v>0.33333333333333331</v>
      </c>
      <c r="BR150" s="17">
        <f t="shared" si="143"/>
        <v>0.5</v>
      </c>
    </row>
    <row r="151" spans="1:70" x14ac:dyDescent="0.25">
      <c r="A151" t="s">
        <v>517</v>
      </c>
      <c r="B151">
        <v>1</v>
      </c>
      <c r="C151">
        <v>2</v>
      </c>
      <c r="D151">
        <v>4</v>
      </c>
      <c r="E151">
        <v>11</v>
      </c>
      <c r="F151">
        <v>7</v>
      </c>
      <c r="G151">
        <v>9</v>
      </c>
      <c r="H151">
        <v>7</v>
      </c>
      <c r="I151">
        <v>1</v>
      </c>
      <c r="J151">
        <v>1</v>
      </c>
      <c r="K151">
        <v>2</v>
      </c>
      <c r="L151">
        <v>6</v>
      </c>
      <c r="M151">
        <v>3</v>
      </c>
      <c r="N151">
        <v>7</v>
      </c>
      <c r="O151">
        <v>5</v>
      </c>
      <c r="Q151">
        <v>1</v>
      </c>
      <c r="R151">
        <v>2</v>
      </c>
      <c r="S151">
        <v>5</v>
      </c>
      <c r="T151">
        <v>4</v>
      </c>
      <c r="U151">
        <v>2</v>
      </c>
      <c r="V151">
        <v>2</v>
      </c>
      <c r="W151" s="8">
        <f t="shared" si="96"/>
        <v>1</v>
      </c>
      <c r="X151" s="8">
        <f t="shared" si="97"/>
        <v>1</v>
      </c>
      <c r="Y151" s="8">
        <f t="shared" si="98"/>
        <v>1.75</v>
      </c>
      <c r="Z151" s="8">
        <f t="shared" si="99"/>
        <v>-0.36363636363636365</v>
      </c>
      <c r="AA151" s="8">
        <f t="shared" si="100"/>
        <v>0.2857142857142857</v>
      </c>
      <c r="AB151" s="8">
        <f t="shared" si="101"/>
        <v>-0.22222222222222221</v>
      </c>
      <c r="AC151" s="12">
        <f t="shared" si="102"/>
        <v>0.57497594997594992</v>
      </c>
      <c r="AD151" s="12">
        <f t="shared" si="103"/>
        <v>0.64285714285714279</v>
      </c>
      <c r="AE151" s="1">
        <f t="shared" si="104"/>
        <v>1</v>
      </c>
      <c r="AF151" s="1">
        <f t="shared" si="105"/>
        <v>2</v>
      </c>
      <c r="AG151" s="1">
        <f t="shared" si="106"/>
        <v>7</v>
      </c>
      <c r="AH151" s="1">
        <f t="shared" si="107"/>
        <v>-4</v>
      </c>
      <c r="AI151" s="1">
        <f t="shared" si="108"/>
        <v>2</v>
      </c>
      <c r="AJ151" s="1">
        <f t="shared" si="109"/>
        <v>-2</v>
      </c>
      <c r="AK151" s="17">
        <f t="shared" si="110"/>
        <v>1</v>
      </c>
      <c r="AL151" s="17">
        <f t="shared" si="111"/>
        <v>1.5</v>
      </c>
      <c r="AM151" s="1">
        <f t="shared" si="112"/>
        <v>0</v>
      </c>
      <c r="AN151" s="1">
        <f t="shared" si="113"/>
        <v>1</v>
      </c>
      <c r="AO151" s="1">
        <f t="shared" si="114"/>
        <v>2</v>
      </c>
      <c r="AP151" s="1">
        <f t="shared" si="115"/>
        <v>-0.5</v>
      </c>
      <c r="AQ151" s="1">
        <f t="shared" si="116"/>
        <v>1.3333333333333333</v>
      </c>
      <c r="AR151" s="1">
        <f t="shared" si="117"/>
        <v>-0.2857142857142857</v>
      </c>
      <c r="AS151" s="12">
        <f t="shared" si="118"/>
        <v>0.59126984126984128</v>
      </c>
      <c r="AT151" s="12">
        <f t="shared" si="119"/>
        <v>0.5</v>
      </c>
      <c r="AU151" s="1">
        <f t="shared" si="120"/>
        <v>0</v>
      </c>
      <c r="AV151" s="1">
        <f t="shared" si="121"/>
        <v>1</v>
      </c>
      <c r="AW151" s="1">
        <f t="shared" si="122"/>
        <v>4</v>
      </c>
      <c r="AX151" s="1">
        <f t="shared" si="123"/>
        <v>-3</v>
      </c>
      <c r="AY151" s="1">
        <f t="shared" si="124"/>
        <v>4</v>
      </c>
      <c r="AZ151" s="1">
        <f t="shared" si="125"/>
        <v>-2</v>
      </c>
      <c r="BA151" s="19">
        <f t="shared" si="126"/>
        <v>0.66666666666666663</v>
      </c>
      <c r="BB151" s="19">
        <f t="shared" si="127"/>
        <v>0.5</v>
      </c>
      <c r="BC151" s="9" t="e">
        <f t="shared" si="128"/>
        <v>#DIV/0!</v>
      </c>
      <c r="BD151" s="9">
        <f t="shared" si="129"/>
        <v>1</v>
      </c>
      <c r="BE151" s="9">
        <f t="shared" si="130"/>
        <v>1.5</v>
      </c>
      <c r="BF151" s="9">
        <f t="shared" si="131"/>
        <v>-0.2</v>
      </c>
      <c r="BG151" s="9">
        <f t="shared" si="132"/>
        <v>-0.5</v>
      </c>
      <c r="BH151" s="9">
        <f t="shared" si="133"/>
        <v>0</v>
      </c>
      <c r="BI151" s="12" t="e">
        <f t="shared" si="134"/>
        <v>#DIV/0!</v>
      </c>
      <c r="BJ151" s="13" t="e">
        <f t="shared" si="135"/>
        <v>#DIV/0!</v>
      </c>
      <c r="BK151" s="1">
        <f t="shared" si="136"/>
        <v>1</v>
      </c>
      <c r="BL151" s="1">
        <f t="shared" si="137"/>
        <v>1</v>
      </c>
      <c r="BM151" s="1">
        <f t="shared" si="138"/>
        <v>3</v>
      </c>
      <c r="BN151" s="1">
        <f t="shared" si="139"/>
        <v>-1</v>
      </c>
      <c r="BO151" s="1">
        <f t="shared" si="140"/>
        <v>-2</v>
      </c>
      <c r="BP151" s="1">
        <f t="shared" si="141"/>
        <v>0</v>
      </c>
      <c r="BQ151" s="19">
        <f t="shared" si="142"/>
        <v>0.33333333333333331</v>
      </c>
      <c r="BR151" s="17">
        <f t="shared" si="143"/>
        <v>0.5</v>
      </c>
    </row>
    <row r="152" spans="1:70" x14ac:dyDescent="0.25">
      <c r="A152" t="s">
        <v>182</v>
      </c>
      <c r="B152">
        <v>50</v>
      </c>
      <c r="C152">
        <v>53</v>
      </c>
      <c r="D152">
        <v>42</v>
      </c>
      <c r="E152">
        <v>47</v>
      </c>
      <c r="F152">
        <v>49</v>
      </c>
      <c r="G152">
        <v>56</v>
      </c>
      <c r="H152">
        <v>55</v>
      </c>
      <c r="I152">
        <v>25</v>
      </c>
      <c r="J152">
        <v>29</v>
      </c>
      <c r="K152">
        <v>21</v>
      </c>
      <c r="L152">
        <v>23</v>
      </c>
      <c r="M152">
        <v>26</v>
      </c>
      <c r="N152">
        <v>34</v>
      </c>
      <c r="O152">
        <v>25</v>
      </c>
      <c r="P152">
        <v>25</v>
      </c>
      <c r="Q152">
        <v>24</v>
      </c>
      <c r="R152">
        <v>21</v>
      </c>
      <c r="S152">
        <v>24</v>
      </c>
      <c r="T152">
        <v>23</v>
      </c>
      <c r="U152">
        <v>22</v>
      </c>
      <c r="V152">
        <v>30</v>
      </c>
      <c r="W152" s="8">
        <f t="shared" si="96"/>
        <v>0.06</v>
      </c>
      <c r="X152" s="8">
        <f t="shared" si="97"/>
        <v>-0.20754716981132076</v>
      </c>
      <c r="Y152" s="8">
        <f t="shared" si="98"/>
        <v>0.11904761904761904</v>
      </c>
      <c r="Z152" s="8">
        <f t="shared" si="99"/>
        <v>4.2553191489361701E-2</v>
      </c>
      <c r="AA152" s="8">
        <f t="shared" si="100"/>
        <v>0.14285714285714285</v>
      </c>
      <c r="AB152" s="8">
        <f t="shared" si="101"/>
        <v>-1.7857142857142856E-2</v>
      </c>
      <c r="AC152" s="12">
        <f t="shared" si="102"/>
        <v>2.3175606787609996E-2</v>
      </c>
      <c r="AD152" s="12">
        <f t="shared" si="103"/>
        <v>5.1276595744680853E-2</v>
      </c>
      <c r="AE152" s="1">
        <f t="shared" si="104"/>
        <v>3</v>
      </c>
      <c r="AF152" s="1">
        <f t="shared" si="105"/>
        <v>-11</v>
      </c>
      <c r="AG152" s="1">
        <f t="shared" si="106"/>
        <v>5</v>
      </c>
      <c r="AH152" s="1">
        <f t="shared" si="107"/>
        <v>2</v>
      </c>
      <c r="AI152" s="1">
        <f t="shared" si="108"/>
        <v>7</v>
      </c>
      <c r="AJ152" s="1">
        <f t="shared" si="109"/>
        <v>-1</v>
      </c>
      <c r="AK152" s="17">
        <f t="shared" si="110"/>
        <v>0.83333333333333337</v>
      </c>
      <c r="AL152" s="17">
        <f t="shared" si="111"/>
        <v>2.5</v>
      </c>
      <c r="AM152" s="1">
        <f t="shared" si="112"/>
        <v>0.16</v>
      </c>
      <c r="AN152" s="1">
        <f t="shared" si="113"/>
        <v>-0.27586206896551724</v>
      </c>
      <c r="AO152" s="1">
        <f t="shared" si="114"/>
        <v>9.5238095238095233E-2</v>
      </c>
      <c r="AP152" s="1">
        <f t="shared" si="115"/>
        <v>0.13043478260869565</v>
      </c>
      <c r="AQ152" s="1">
        <f t="shared" si="116"/>
        <v>0.30769230769230771</v>
      </c>
      <c r="AR152" s="1">
        <f t="shared" si="117"/>
        <v>-0.26470588235294118</v>
      </c>
      <c r="AS152" s="12">
        <f t="shared" si="118"/>
        <v>2.5466205703440031E-2</v>
      </c>
      <c r="AT152" s="12">
        <f t="shared" si="119"/>
        <v>0.11283643892339544</v>
      </c>
      <c r="AU152" s="1">
        <f t="shared" si="120"/>
        <v>4</v>
      </c>
      <c r="AV152" s="1">
        <f t="shared" si="121"/>
        <v>-8</v>
      </c>
      <c r="AW152" s="1">
        <f t="shared" si="122"/>
        <v>2</v>
      </c>
      <c r="AX152" s="1">
        <f t="shared" si="123"/>
        <v>3</v>
      </c>
      <c r="AY152" s="1">
        <f t="shared" si="124"/>
        <v>8</v>
      </c>
      <c r="AZ152" s="1">
        <f t="shared" si="125"/>
        <v>-9</v>
      </c>
      <c r="BA152" s="19">
        <f t="shared" si="126"/>
        <v>0</v>
      </c>
      <c r="BB152" s="19">
        <f t="shared" si="127"/>
        <v>2.5</v>
      </c>
      <c r="BC152" s="9">
        <f t="shared" si="128"/>
        <v>-0.04</v>
      </c>
      <c r="BD152" s="9">
        <f t="shared" si="129"/>
        <v>-0.125</v>
      </c>
      <c r="BE152" s="9">
        <f t="shared" si="130"/>
        <v>0.14285714285714285</v>
      </c>
      <c r="BF152" s="9">
        <f t="shared" si="131"/>
        <v>-4.1666666666666664E-2</v>
      </c>
      <c r="BG152" s="9">
        <f t="shared" si="132"/>
        <v>-4.3478260869565216E-2</v>
      </c>
      <c r="BH152" s="9">
        <f t="shared" si="133"/>
        <v>0.36363636363636365</v>
      </c>
      <c r="BI152" s="12">
        <f t="shared" si="134"/>
        <v>4.2724763159545764E-2</v>
      </c>
      <c r="BJ152" s="13">
        <f t="shared" si="135"/>
        <v>-4.0833333333333333E-2</v>
      </c>
      <c r="BK152" s="1">
        <f t="shared" si="136"/>
        <v>-1</v>
      </c>
      <c r="BL152" s="1">
        <f t="shared" si="137"/>
        <v>-3</v>
      </c>
      <c r="BM152" s="1">
        <f t="shared" si="138"/>
        <v>3</v>
      </c>
      <c r="BN152" s="1">
        <f t="shared" si="139"/>
        <v>-1</v>
      </c>
      <c r="BO152" s="1">
        <f t="shared" si="140"/>
        <v>-1</v>
      </c>
      <c r="BP152" s="1">
        <f t="shared" si="141"/>
        <v>8</v>
      </c>
      <c r="BQ152" s="19">
        <f t="shared" si="142"/>
        <v>0.83333333333333337</v>
      </c>
      <c r="BR152" s="17">
        <f t="shared" si="143"/>
        <v>-1</v>
      </c>
    </row>
    <row r="153" spans="1:70" x14ac:dyDescent="0.25">
      <c r="A153" t="s">
        <v>208</v>
      </c>
      <c r="B153">
        <v>31</v>
      </c>
      <c r="C153">
        <v>34</v>
      </c>
      <c r="D153">
        <v>32</v>
      </c>
      <c r="E153">
        <v>21</v>
      </c>
      <c r="F153">
        <v>37</v>
      </c>
      <c r="G153">
        <v>42</v>
      </c>
      <c r="H153">
        <v>36</v>
      </c>
      <c r="I153">
        <v>19</v>
      </c>
      <c r="J153">
        <v>24</v>
      </c>
      <c r="K153">
        <v>23</v>
      </c>
      <c r="L153">
        <v>11</v>
      </c>
      <c r="M153">
        <v>27</v>
      </c>
      <c r="N153">
        <v>23</v>
      </c>
      <c r="O153">
        <v>23</v>
      </c>
      <c r="P153">
        <v>12</v>
      </c>
      <c r="Q153">
        <v>10</v>
      </c>
      <c r="R153">
        <v>9</v>
      </c>
      <c r="S153">
        <v>10</v>
      </c>
      <c r="T153">
        <v>10</v>
      </c>
      <c r="U153">
        <v>19</v>
      </c>
      <c r="V153">
        <v>13</v>
      </c>
      <c r="W153" s="8">
        <f t="shared" si="96"/>
        <v>9.6774193548387094E-2</v>
      </c>
      <c r="X153" s="8">
        <f t="shared" si="97"/>
        <v>-5.8823529411764705E-2</v>
      </c>
      <c r="Y153" s="8">
        <f t="shared" si="98"/>
        <v>-0.34375</v>
      </c>
      <c r="Z153" s="8">
        <f t="shared" si="99"/>
        <v>0.76190476190476186</v>
      </c>
      <c r="AA153" s="8">
        <f t="shared" si="100"/>
        <v>0.13513513513513514</v>
      </c>
      <c r="AB153" s="8">
        <f t="shared" si="101"/>
        <v>-0.14285714285714285</v>
      </c>
      <c r="AC153" s="12">
        <f t="shared" si="102"/>
        <v>7.4730569719896098E-2</v>
      </c>
      <c r="AD153" s="12">
        <f t="shared" si="103"/>
        <v>1.8975332068311188E-2</v>
      </c>
      <c r="AE153" s="1">
        <f t="shared" si="104"/>
        <v>3</v>
      </c>
      <c r="AF153" s="1">
        <f t="shared" si="105"/>
        <v>-2</v>
      </c>
      <c r="AG153" s="1">
        <f t="shared" si="106"/>
        <v>-11</v>
      </c>
      <c r="AH153" s="1">
        <f t="shared" si="107"/>
        <v>16</v>
      </c>
      <c r="AI153" s="1">
        <f t="shared" si="108"/>
        <v>5</v>
      </c>
      <c r="AJ153" s="1">
        <f t="shared" si="109"/>
        <v>-6</v>
      </c>
      <c r="AK153" s="17">
        <f t="shared" si="110"/>
        <v>0.83333333333333337</v>
      </c>
      <c r="AL153" s="17">
        <f t="shared" si="111"/>
        <v>0.5</v>
      </c>
      <c r="AM153" s="1">
        <f t="shared" si="112"/>
        <v>0.26315789473684209</v>
      </c>
      <c r="AN153" s="1">
        <f t="shared" si="113"/>
        <v>-4.1666666666666664E-2</v>
      </c>
      <c r="AO153" s="1">
        <f t="shared" si="114"/>
        <v>-0.52173913043478259</v>
      </c>
      <c r="AP153" s="1">
        <f t="shared" si="115"/>
        <v>1.4545454545454546</v>
      </c>
      <c r="AQ153" s="1">
        <f t="shared" si="116"/>
        <v>-0.14814814814814814</v>
      </c>
      <c r="AR153" s="1">
        <f t="shared" si="117"/>
        <v>0</v>
      </c>
      <c r="AS153" s="12">
        <f t="shared" si="118"/>
        <v>0.16769156733878321</v>
      </c>
      <c r="AT153" s="12">
        <f t="shared" si="119"/>
        <v>-2.0833333333333332E-2</v>
      </c>
      <c r="AU153" s="1">
        <f t="shared" si="120"/>
        <v>5</v>
      </c>
      <c r="AV153" s="1">
        <f t="shared" si="121"/>
        <v>-1</v>
      </c>
      <c r="AW153" s="1">
        <f t="shared" si="122"/>
        <v>-12</v>
      </c>
      <c r="AX153" s="1">
        <f t="shared" si="123"/>
        <v>16</v>
      </c>
      <c r="AY153" s="1">
        <f t="shared" si="124"/>
        <v>-4</v>
      </c>
      <c r="AZ153" s="1">
        <f t="shared" si="125"/>
        <v>0</v>
      </c>
      <c r="BA153" s="19">
        <f t="shared" si="126"/>
        <v>0.66666666666666663</v>
      </c>
      <c r="BB153" s="19">
        <f t="shared" si="127"/>
        <v>-0.5</v>
      </c>
      <c r="BC153" s="9">
        <f t="shared" si="128"/>
        <v>-0.16666666666666666</v>
      </c>
      <c r="BD153" s="9">
        <f t="shared" si="129"/>
        <v>-0.1</v>
      </c>
      <c r="BE153" s="9">
        <f t="shared" si="130"/>
        <v>0.1111111111111111</v>
      </c>
      <c r="BF153" s="9">
        <f t="shared" si="131"/>
        <v>0</v>
      </c>
      <c r="BG153" s="9">
        <f t="shared" si="132"/>
        <v>0.9</v>
      </c>
      <c r="BH153" s="9">
        <f t="shared" si="133"/>
        <v>-0.31578947368421051</v>
      </c>
      <c r="BI153" s="12">
        <f t="shared" si="134"/>
        <v>7.1442495126705655E-2</v>
      </c>
      <c r="BJ153" s="13">
        <f t="shared" si="135"/>
        <v>-0.05</v>
      </c>
      <c r="BK153" s="1">
        <f t="shared" si="136"/>
        <v>-2</v>
      </c>
      <c r="BL153" s="1">
        <f t="shared" si="137"/>
        <v>-1</v>
      </c>
      <c r="BM153" s="1">
        <f t="shared" si="138"/>
        <v>1</v>
      </c>
      <c r="BN153" s="1">
        <f t="shared" si="139"/>
        <v>0</v>
      </c>
      <c r="BO153" s="1">
        <f t="shared" si="140"/>
        <v>9</v>
      </c>
      <c r="BP153" s="1">
        <f t="shared" si="141"/>
        <v>-6</v>
      </c>
      <c r="BQ153" s="19">
        <f t="shared" si="142"/>
        <v>0.16666666666666666</v>
      </c>
      <c r="BR153" s="17">
        <f t="shared" si="143"/>
        <v>-0.5</v>
      </c>
    </row>
    <row r="154" spans="1:70" x14ac:dyDescent="0.25">
      <c r="A154" t="s">
        <v>214</v>
      </c>
      <c r="B154">
        <v>28</v>
      </c>
      <c r="C154">
        <v>30</v>
      </c>
      <c r="D154">
        <v>34</v>
      </c>
      <c r="E154">
        <v>25</v>
      </c>
      <c r="F154">
        <v>33</v>
      </c>
      <c r="G154">
        <v>27</v>
      </c>
      <c r="H154">
        <v>33</v>
      </c>
      <c r="I154">
        <v>28</v>
      </c>
      <c r="J154">
        <v>30</v>
      </c>
      <c r="K154">
        <v>34</v>
      </c>
      <c r="L154">
        <v>25</v>
      </c>
      <c r="M154">
        <v>33</v>
      </c>
      <c r="N154">
        <v>27</v>
      </c>
      <c r="O154">
        <v>33</v>
      </c>
      <c r="W154" s="8">
        <f t="shared" si="96"/>
        <v>7.1428571428571425E-2</v>
      </c>
      <c r="X154" s="8">
        <f t="shared" si="97"/>
        <v>0.13333333333333333</v>
      </c>
      <c r="Y154" s="8">
        <f t="shared" si="98"/>
        <v>-0.26470588235294118</v>
      </c>
      <c r="Z154" s="8">
        <f t="shared" si="99"/>
        <v>0.32</v>
      </c>
      <c r="AA154" s="8">
        <f t="shared" si="100"/>
        <v>-0.18181818181818182</v>
      </c>
      <c r="AB154" s="8">
        <f t="shared" si="101"/>
        <v>0.22222222222222221</v>
      </c>
      <c r="AC154" s="12">
        <f t="shared" si="102"/>
        <v>5.0076677135500659E-2</v>
      </c>
      <c r="AD154" s="12">
        <f t="shared" si="103"/>
        <v>0.10238095238095238</v>
      </c>
      <c r="AE154" s="1">
        <f t="shared" si="104"/>
        <v>2</v>
      </c>
      <c r="AF154" s="1">
        <f t="shared" si="105"/>
        <v>4</v>
      </c>
      <c r="AG154" s="1">
        <f t="shared" si="106"/>
        <v>-9</v>
      </c>
      <c r="AH154" s="1">
        <f t="shared" si="107"/>
        <v>8</v>
      </c>
      <c r="AI154" s="1">
        <f t="shared" si="108"/>
        <v>-6</v>
      </c>
      <c r="AJ154" s="1">
        <f t="shared" si="109"/>
        <v>6</v>
      </c>
      <c r="AK154" s="17">
        <f t="shared" si="110"/>
        <v>0.83333333333333337</v>
      </c>
      <c r="AL154" s="17">
        <f t="shared" si="111"/>
        <v>3</v>
      </c>
      <c r="AM154" s="1">
        <f t="shared" si="112"/>
        <v>7.1428571428571425E-2</v>
      </c>
      <c r="AN154" s="1">
        <f t="shared" si="113"/>
        <v>0.13333333333333333</v>
      </c>
      <c r="AO154" s="1">
        <f t="shared" si="114"/>
        <v>-0.26470588235294118</v>
      </c>
      <c r="AP154" s="1">
        <f t="shared" si="115"/>
        <v>0.32</v>
      </c>
      <c r="AQ154" s="1">
        <f t="shared" si="116"/>
        <v>-0.18181818181818182</v>
      </c>
      <c r="AR154" s="1">
        <f t="shared" si="117"/>
        <v>0.22222222222222221</v>
      </c>
      <c r="AS154" s="12">
        <f t="shared" si="118"/>
        <v>5.0076677135500659E-2</v>
      </c>
      <c r="AT154" s="12">
        <f t="shared" si="119"/>
        <v>0.10238095238095238</v>
      </c>
      <c r="AU154" s="1">
        <f t="shared" si="120"/>
        <v>2</v>
      </c>
      <c r="AV154" s="1">
        <f t="shared" si="121"/>
        <v>4</v>
      </c>
      <c r="AW154" s="1">
        <f t="shared" si="122"/>
        <v>-9</v>
      </c>
      <c r="AX154" s="1">
        <f t="shared" si="123"/>
        <v>8</v>
      </c>
      <c r="AY154" s="1">
        <f t="shared" si="124"/>
        <v>-6</v>
      </c>
      <c r="AZ154" s="1">
        <f t="shared" si="125"/>
        <v>6</v>
      </c>
      <c r="BA154" s="19">
        <f t="shared" si="126"/>
        <v>0.83333333333333337</v>
      </c>
      <c r="BB154" s="19">
        <f t="shared" si="127"/>
        <v>3</v>
      </c>
      <c r="BC154" s="9" t="e">
        <f t="shared" si="128"/>
        <v>#DIV/0!</v>
      </c>
      <c r="BD154" s="9" t="e">
        <f t="shared" si="129"/>
        <v>#DIV/0!</v>
      </c>
      <c r="BE154" s="9" t="e">
        <f t="shared" si="130"/>
        <v>#DIV/0!</v>
      </c>
      <c r="BF154" s="9" t="e">
        <f t="shared" si="131"/>
        <v>#DIV/0!</v>
      </c>
      <c r="BG154" s="9" t="e">
        <f t="shared" si="132"/>
        <v>#DIV/0!</v>
      </c>
      <c r="BH154" s="9" t="e">
        <f t="shared" si="133"/>
        <v>#DIV/0!</v>
      </c>
      <c r="BI154" s="12" t="e">
        <f t="shared" si="134"/>
        <v>#DIV/0!</v>
      </c>
      <c r="BJ154" s="13" t="e">
        <f t="shared" si="135"/>
        <v>#DIV/0!</v>
      </c>
      <c r="BK154" s="1">
        <f t="shared" si="136"/>
        <v>0</v>
      </c>
      <c r="BL154" s="1">
        <f t="shared" si="137"/>
        <v>0</v>
      </c>
      <c r="BM154" s="1">
        <f t="shared" si="138"/>
        <v>0</v>
      </c>
      <c r="BN154" s="1">
        <f t="shared" si="139"/>
        <v>0</v>
      </c>
      <c r="BO154" s="1">
        <f t="shared" si="140"/>
        <v>0</v>
      </c>
      <c r="BP154" s="1">
        <f t="shared" si="141"/>
        <v>0</v>
      </c>
      <c r="BQ154" s="19">
        <f t="shared" si="142"/>
        <v>0</v>
      </c>
      <c r="BR154" s="17">
        <f t="shared" si="143"/>
        <v>0</v>
      </c>
    </row>
    <row r="155" spans="1:70" x14ac:dyDescent="0.25">
      <c r="A155" t="s">
        <v>220</v>
      </c>
      <c r="B155">
        <v>26</v>
      </c>
      <c r="C155">
        <v>34</v>
      </c>
      <c r="D155">
        <v>36</v>
      </c>
      <c r="E155">
        <v>41</v>
      </c>
      <c r="F155">
        <v>47</v>
      </c>
      <c r="G155">
        <v>36</v>
      </c>
      <c r="H155">
        <v>31</v>
      </c>
      <c r="I155">
        <v>13</v>
      </c>
      <c r="J155">
        <v>14</v>
      </c>
      <c r="K155">
        <v>16</v>
      </c>
      <c r="L155">
        <v>21</v>
      </c>
      <c r="M155">
        <v>20</v>
      </c>
      <c r="N155">
        <v>13</v>
      </c>
      <c r="O155">
        <v>13</v>
      </c>
      <c r="P155">
        <v>13</v>
      </c>
      <c r="Q155">
        <v>20</v>
      </c>
      <c r="R155">
        <v>20</v>
      </c>
      <c r="S155">
        <v>20</v>
      </c>
      <c r="T155">
        <v>27</v>
      </c>
      <c r="U155">
        <v>23</v>
      </c>
      <c r="V155">
        <v>18</v>
      </c>
      <c r="W155" s="8">
        <f t="shared" si="96"/>
        <v>0.30769230769230771</v>
      </c>
      <c r="X155" s="8">
        <f t="shared" si="97"/>
        <v>5.8823529411764705E-2</v>
      </c>
      <c r="Y155" s="8">
        <f t="shared" si="98"/>
        <v>0.1388888888888889</v>
      </c>
      <c r="Z155" s="8">
        <f t="shared" si="99"/>
        <v>0.14634146341463414</v>
      </c>
      <c r="AA155" s="8">
        <f t="shared" si="100"/>
        <v>-0.23404255319148937</v>
      </c>
      <c r="AB155" s="8">
        <f t="shared" si="101"/>
        <v>-0.1388888888888889</v>
      </c>
      <c r="AC155" s="12">
        <f t="shared" si="102"/>
        <v>4.6469124554536195E-2</v>
      </c>
      <c r="AD155" s="12">
        <f t="shared" si="103"/>
        <v>9.8856209150326807E-2</v>
      </c>
      <c r="AE155" s="1">
        <f t="shared" si="104"/>
        <v>8</v>
      </c>
      <c r="AF155" s="1">
        <f t="shared" si="105"/>
        <v>2</v>
      </c>
      <c r="AG155" s="1">
        <f t="shared" si="106"/>
        <v>5</v>
      </c>
      <c r="AH155" s="1">
        <f t="shared" si="107"/>
        <v>6</v>
      </c>
      <c r="AI155" s="1">
        <f t="shared" si="108"/>
        <v>-11</v>
      </c>
      <c r="AJ155" s="1">
        <f t="shared" si="109"/>
        <v>-5</v>
      </c>
      <c r="AK155" s="17">
        <f t="shared" si="110"/>
        <v>0.83333333333333337</v>
      </c>
      <c r="AL155" s="17">
        <f t="shared" si="111"/>
        <v>3.5</v>
      </c>
      <c r="AM155" s="1">
        <f t="shared" si="112"/>
        <v>7.6923076923076927E-2</v>
      </c>
      <c r="AN155" s="1">
        <f t="shared" si="113"/>
        <v>0.14285714285714285</v>
      </c>
      <c r="AO155" s="1">
        <f t="shared" si="114"/>
        <v>0.3125</v>
      </c>
      <c r="AP155" s="1">
        <f t="shared" si="115"/>
        <v>-4.7619047619047616E-2</v>
      </c>
      <c r="AQ155" s="1">
        <f t="shared" si="116"/>
        <v>-0.35</v>
      </c>
      <c r="AR155" s="1">
        <f t="shared" si="117"/>
        <v>0</v>
      </c>
      <c r="AS155" s="12">
        <f t="shared" si="118"/>
        <v>2.2443528693528697E-2</v>
      </c>
      <c r="AT155" s="12">
        <f t="shared" si="119"/>
        <v>3.8461538461538464E-2</v>
      </c>
      <c r="AU155" s="1">
        <f t="shared" si="120"/>
        <v>1</v>
      </c>
      <c r="AV155" s="1">
        <f t="shared" si="121"/>
        <v>2</v>
      </c>
      <c r="AW155" s="1">
        <f t="shared" si="122"/>
        <v>5</v>
      </c>
      <c r="AX155" s="1">
        <f t="shared" si="123"/>
        <v>-1</v>
      </c>
      <c r="AY155" s="1">
        <f t="shared" si="124"/>
        <v>-7</v>
      </c>
      <c r="AZ155" s="1">
        <f t="shared" si="125"/>
        <v>0</v>
      </c>
      <c r="BA155" s="19">
        <f t="shared" si="126"/>
        <v>0</v>
      </c>
      <c r="BB155" s="19">
        <f t="shared" si="127"/>
        <v>0.5</v>
      </c>
      <c r="BC155" s="9">
        <f t="shared" si="128"/>
        <v>0.53846153846153844</v>
      </c>
      <c r="BD155" s="9">
        <f t="shared" si="129"/>
        <v>0</v>
      </c>
      <c r="BE155" s="9">
        <f t="shared" si="130"/>
        <v>0</v>
      </c>
      <c r="BF155" s="9">
        <f t="shared" si="131"/>
        <v>0.35</v>
      </c>
      <c r="BG155" s="9">
        <f t="shared" si="132"/>
        <v>-0.14814814814814814</v>
      </c>
      <c r="BH155" s="9">
        <f t="shared" si="133"/>
        <v>-0.21739130434782608</v>
      </c>
      <c r="BI155" s="12">
        <f t="shared" si="134"/>
        <v>8.7153680994260699E-2</v>
      </c>
      <c r="BJ155" s="13">
        <f t="shared" si="135"/>
        <v>0</v>
      </c>
      <c r="BK155" s="1">
        <f t="shared" si="136"/>
        <v>7</v>
      </c>
      <c r="BL155" s="1">
        <f t="shared" si="137"/>
        <v>0</v>
      </c>
      <c r="BM155" s="1">
        <f t="shared" si="138"/>
        <v>0</v>
      </c>
      <c r="BN155" s="1">
        <f t="shared" si="139"/>
        <v>7</v>
      </c>
      <c r="BO155" s="1">
        <f t="shared" si="140"/>
        <v>-4</v>
      </c>
      <c r="BP155" s="1">
        <f t="shared" si="141"/>
        <v>-5</v>
      </c>
      <c r="BQ155" s="19">
        <f t="shared" si="142"/>
        <v>0.83333333333333337</v>
      </c>
      <c r="BR155" s="17">
        <f t="shared" si="143"/>
        <v>0</v>
      </c>
    </row>
    <row r="156" spans="1:70" x14ac:dyDescent="0.25">
      <c r="A156" t="s">
        <v>280</v>
      </c>
      <c r="B156">
        <v>14</v>
      </c>
      <c r="C156">
        <v>16</v>
      </c>
      <c r="D156">
        <v>9</v>
      </c>
      <c r="E156">
        <v>3</v>
      </c>
      <c r="F156">
        <v>5</v>
      </c>
      <c r="G156">
        <v>7</v>
      </c>
      <c r="H156">
        <v>19</v>
      </c>
      <c r="I156">
        <v>8</v>
      </c>
      <c r="J156">
        <v>10</v>
      </c>
      <c r="K156">
        <v>6</v>
      </c>
      <c r="L156">
        <v>3</v>
      </c>
      <c r="M156">
        <v>2</v>
      </c>
      <c r="N156">
        <v>5</v>
      </c>
      <c r="O156">
        <v>9</v>
      </c>
      <c r="P156">
        <v>6</v>
      </c>
      <c r="Q156">
        <v>6</v>
      </c>
      <c r="R156">
        <v>3</v>
      </c>
      <c r="T156">
        <v>3</v>
      </c>
      <c r="U156">
        <v>2</v>
      </c>
      <c r="V156">
        <v>10</v>
      </c>
      <c r="W156" s="8">
        <f t="shared" si="96"/>
        <v>0.14285714285714285</v>
      </c>
      <c r="X156" s="8">
        <f t="shared" si="97"/>
        <v>-0.4375</v>
      </c>
      <c r="Y156" s="8">
        <f t="shared" si="98"/>
        <v>-0.66666666666666663</v>
      </c>
      <c r="Z156" s="8">
        <f t="shared" si="99"/>
        <v>0.66666666666666663</v>
      </c>
      <c r="AA156" s="8">
        <f t="shared" si="100"/>
        <v>0.4</v>
      </c>
      <c r="AB156" s="8">
        <f t="shared" si="101"/>
        <v>1.7142857142857142</v>
      </c>
      <c r="AC156" s="12">
        <f t="shared" si="102"/>
        <v>0.3032738095238095</v>
      </c>
      <c r="AD156" s="12">
        <f t="shared" si="103"/>
        <v>0.27142857142857146</v>
      </c>
      <c r="AE156" s="1">
        <f t="shared" si="104"/>
        <v>2</v>
      </c>
      <c r="AF156" s="1">
        <f t="shared" si="105"/>
        <v>-7</v>
      </c>
      <c r="AG156" s="1">
        <f t="shared" si="106"/>
        <v>-6</v>
      </c>
      <c r="AH156" s="1">
        <f t="shared" si="107"/>
        <v>2</v>
      </c>
      <c r="AI156" s="1">
        <f t="shared" si="108"/>
        <v>2</v>
      </c>
      <c r="AJ156" s="1">
        <f t="shared" si="109"/>
        <v>12</v>
      </c>
      <c r="AK156" s="17">
        <f t="shared" si="110"/>
        <v>0.83333333333333337</v>
      </c>
      <c r="AL156" s="17">
        <f t="shared" si="111"/>
        <v>2</v>
      </c>
      <c r="AM156" s="1">
        <f t="shared" si="112"/>
        <v>0.25</v>
      </c>
      <c r="AN156" s="1">
        <f t="shared" si="113"/>
        <v>-0.4</v>
      </c>
      <c r="AO156" s="1">
        <f t="shared" si="114"/>
        <v>-0.5</v>
      </c>
      <c r="AP156" s="1">
        <f t="shared" si="115"/>
        <v>-0.33333333333333331</v>
      </c>
      <c r="AQ156" s="1">
        <f t="shared" si="116"/>
        <v>1.5</v>
      </c>
      <c r="AR156" s="1">
        <f t="shared" si="117"/>
        <v>0.8</v>
      </c>
      <c r="AS156" s="12">
        <f t="shared" si="118"/>
        <v>0.21944444444444444</v>
      </c>
      <c r="AT156" s="12">
        <f t="shared" si="119"/>
        <v>-4.1666666666666685E-2</v>
      </c>
      <c r="AU156" s="1">
        <f t="shared" si="120"/>
        <v>2</v>
      </c>
      <c r="AV156" s="1">
        <f t="shared" si="121"/>
        <v>-4</v>
      </c>
      <c r="AW156" s="1">
        <f t="shared" si="122"/>
        <v>-3</v>
      </c>
      <c r="AX156" s="1">
        <f t="shared" si="123"/>
        <v>-1</v>
      </c>
      <c r="AY156" s="1">
        <f t="shared" si="124"/>
        <v>3</v>
      </c>
      <c r="AZ156" s="1">
        <f t="shared" si="125"/>
        <v>4</v>
      </c>
      <c r="BA156" s="19">
        <f t="shared" si="126"/>
        <v>0.16666666666666666</v>
      </c>
      <c r="BB156" s="19">
        <f t="shared" si="127"/>
        <v>0.5</v>
      </c>
      <c r="BC156" s="9">
        <f t="shared" si="128"/>
        <v>0</v>
      </c>
      <c r="BD156" s="9">
        <f t="shared" si="129"/>
        <v>-0.5</v>
      </c>
      <c r="BE156" s="9">
        <f t="shared" si="130"/>
        <v>-1</v>
      </c>
      <c r="BF156" s="9" t="e">
        <f t="shared" si="131"/>
        <v>#DIV/0!</v>
      </c>
      <c r="BG156" s="9">
        <f t="shared" si="132"/>
        <v>-0.33333333333333331</v>
      </c>
      <c r="BH156" s="9">
        <f t="shared" si="133"/>
        <v>4</v>
      </c>
      <c r="BI156" s="12" t="e">
        <f t="shared" si="134"/>
        <v>#DIV/0!</v>
      </c>
      <c r="BJ156" s="13" t="e">
        <f t="shared" si="135"/>
        <v>#DIV/0!</v>
      </c>
      <c r="BK156" s="1">
        <f t="shared" si="136"/>
        <v>0</v>
      </c>
      <c r="BL156" s="1">
        <f t="shared" si="137"/>
        <v>-3</v>
      </c>
      <c r="BM156" s="1">
        <f t="shared" si="138"/>
        <v>-3</v>
      </c>
      <c r="BN156" s="1">
        <f t="shared" si="139"/>
        <v>3</v>
      </c>
      <c r="BO156" s="1">
        <f t="shared" si="140"/>
        <v>-1</v>
      </c>
      <c r="BP156" s="1">
        <f t="shared" si="141"/>
        <v>8</v>
      </c>
      <c r="BQ156" s="19">
        <f t="shared" si="142"/>
        <v>0.66666666666666663</v>
      </c>
      <c r="BR156" s="17">
        <f t="shared" si="143"/>
        <v>-0.5</v>
      </c>
    </row>
    <row r="157" spans="1:70" x14ac:dyDescent="0.25">
      <c r="A157" t="s">
        <v>307</v>
      </c>
      <c r="B157">
        <v>10</v>
      </c>
      <c r="C157">
        <v>7</v>
      </c>
      <c r="D157">
        <v>8</v>
      </c>
      <c r="E157">
        <v>19</v>
      </c>
      <c r="F157">
        <v>12</v>
      </c>
      <c r="G157">
        <v>5</v>
      </c>
      <c r="H157">
        <v>15</v>
      </c>
      <c r="I157">
        <v>1</v>
      </c>
      <c r="J157">
        <v>2</v>
      </c>
      <c r="K157">
        <v>2</v>
      </c>
      <c r="L157">
        <v>6</v>
      </c>
      <c r="M157">
        <v>5</v>
      </c>
      <c r="N157">
        <v>2</v>
      </c>
      <c r="O157">
        <v>4</v>
      </c>
      <c r="P157">
        <v>9</v>
      </c>
      <c r="Q157">
        <v>5</v>
      </c>
      <c r="R157">
        <v>6</v>
      </c>
      <c r="S157">
        <v>13</v>
      </c>
      <c r="T157">
        <v>7</v>
      </c>
      <c r="U157">
        <v>3</v>
      </c>
      <c r="V157">
        <v>11</v>
      </c>
      <c r="W157" s="8">
        <f t="shared" si="96"/>
        <v>-0.3</v>
      </c>
      <c r="X157" s="8">
        <f t="shared" si="97"/>
        <v>0.14285714285714285</v>
      </c>
      <c r="Y157" s="8">
        <f t="shared" si="98"/>
        <v>1.375</v>
      </c>
      <c r="Z157" s="8">
        <f t="shared" si="99"/>
        <v>-0.36842105263157893</v>
      </c>
      <c r="AA157" s="8">
        <f t="shared" si="100"/>
        <v>-0.58333333333333337</v>
      </c>
      <c r="AB157" s="8">
        <f t="shared" si="101"/>
        <v>2</v>
      </c>
      <c r="AC157" s="12">
        <f t="shared" si="102"/>
        <v>0.37768379281537179</v>
      </c>
      <c r="AD157" s="12">
        <f t="shared" si="103"/>
        <v>-7.857142857142857E-2</v>
      </c>
      <c r="AE157" s="1">
        <f t="shared" si="104"/>
        <v>-3</v>
      </c>
      <c r="AF157" s="1">
        <f t="shared" si="105"/>
        <v>1</v>
      </c>
      <c r="AG157" s="1">
        <f t="shared" si="106"/>
        <v>11</v>
      </c>
      <c r="AH157" s="1">
        <f t="shared" si="107"/>
        <v>-7</v>
      </c>
      <c r="AI157" s="1">
        <f t="shared" si="108"/>
        <v>-7</v>
      </c>
      <c r="AJ157" s="1">
        <f t="shared" si="109"/>
        <v>10</v>
      </c>
      <c r="AK157" s="17">
        <f t="shared" si="110"/>
        <v>0.83333333333333337</v>
      </c>
      <c r="AL157" s="17">
        <f t="shared" si="111"/>
        <v>-1</v>
      </c>
      <c r="AM157" s="1">
        <f t="shared" si="112"/>
        <v>1</v>
      </c>
      <c r="AN157" s="1">
        <f t="shared" si="113"/>
        <v>0</v>
      </c>
      <c r="AO157" s="1">
        <f t="shared" si="114"/>
        <v>2</v>
      </c>
      <c r="AP157" s="1">
        <f t="shared" si="115"/>
        <v>-0.16666666666666666</v>
      </c>
      <c r="AQ157" s="1">
        <f t="shared" si="116"/>
        <v>-0.6</v>
      </c>
      <c r="AR157" s="1">
        <f t="shared" si="117"/>
        <v>1</v>
      </c>
      <c r="AS157" s="12">
        <f t="shared" si="118"/>
        <v>0.53888888888888886</v>
      </c>
      <c r="AT157" s="12">
        <f t="shared" si="119"/>
        <v>0.5</v>
      </c>
      <c r="AU157" s="1">
        <f t="shared" si="120"/>
        <v>1</v>
      </c>
      <c r="AV157" s="1">
        <f t="shared" si="121"/>
        <v>0</v>
      </c>
      <c r="AW157" s="1">
        <f t="shared" si="122"/>
        <v>4</v>
      </c>
      <c r="AX157" s="1">
        <f t="shared" si="123"/>
        <v>-1</v>
      </c>
      <c r="AY157" s="1">
        <f t="shared" si="124"/>
        <v>-3</v>
      </c>
      <c r="AZ157" s="1">
        <f t="shared" si="125"/>
        <v>2</v>
      </c>
      <c r="BA157" s="19">
        <f t="shared" si="126"/>
        <v>0.5</v>
      </c>
      <c r="BB157" s="19">
        <f t="shared" si="127"/>
        <v>0.5</v>
      </c>
      <c r="BC157" s="9">
        <f t="shared" si="128"/>
        <v>-0.44444444444444442</v>
      </c>
      <c r="BD157" s="9">
        <f t="shared" si="129"/>
        <v>0.2</v>
      </c>
      <c r="BE157" s="9">
        <f t="shared" si="130"/>
        <v>1.1666666666666667</v>
      </c>
      <c r="BF157" s="9">
        <f t="shared" si="131"/>
        <v>-0.46153846153846156</v>
      </c>
      <c r="BG157" s="9">
        <f t="shared" si="132"/>
        <v>-0.5714285714285714</v>
      </c>
      <c r="BH157" s="9">
        <f t="shared" si="133"/>
        <v>2.6666666666666665</v>
      </c>
      <c r="BI157" s="12">
        <f t="shared" si="134"/>
        <v>0.42598697598697594</v>
      </c>
      <c r="BJ157" s="13">
        <f t="shared" si="135"/>
        <v>-0.12222222222222223</v>
      </c>
      <c r="BK157" s="1">
        <f t="shared" si="136"/>
        <v>-4</v>
      </c>
      <c r="BL157" s="1">
        <f t="shared" si="137"/>
        <v>1</v>
      </c>
      <c r="BM157" s="1">
        <f t="shared" si="138"/>
        <v>7</v>
      </c>
      <c r="BN157" s="1">
        <f t="shared" si="139"/>
        <v>-6</v>
      </c>
      <c r="BO157" s="1">
        <f t="shared" si="140"/>
        <v>-4</v>
      </c>
      <c r="BP157" s="1">
        <f t="shared" si="141"/>
        <v>8</v>
      </c>
      <c r="BQ157" s="19">
        <f t="shared" si="142"/>
        <v>0.33333333333333331</v>
      </c>
      <c r="BR157" s="17">
        <f t="shared" si="143"/>
        <v>-1.5</v>
      </c>
    </row>
    <row r="158" spans="1:70" x14ac:dyDescent="0.25">
      <c r="A158" t="s">
        <v>319</v>
      </c>
      <c r="B158">
        <v>9</v>
      </c>
      <c r="C158">
        <v>10</v>
      </c>
      <c r="D158">
        <v>13</v>
      </c>
      <c r="E158">
        <v>12</v>
      </c>
      <c r="F158">
        <v>20</v>
      </c>
      <c r="G158">
        <v>8</v>
      </c>
      <c r="H158">
        <v>14</v>
      </c>
      <c r="I158">
        <v>6</v>
      </c>
      <c r="J158">
        <v>9</v>
      </c>
      <c r="K158">
        <v>9</v>
      </c>
      <c r="L158">
        <v>10</v>
      </c>
      <c r="M158">
        <v>16</v>
      </c>
      <c r="N158">
        <v>7</v>
      </c>
      <c r="O158">
        <v>7</v>
      </c>
      <c r="P158">
        <v>3</v>
      </c>
      <c r="Q158">
        <v>1</v>
      </c>
      <c r="R158">
        <v>4</v>
      </c>
      <c r="S158">
        <v>2</v>
      </c>
      <c r="T158">
        <v>4</v>
      </c>
      <c r="U158">
        <v>1</v>
      </c>
      <c r="V158">
        <v>7</v>
      </c>
      <c r="W158" s="8">
        <f t="shared" si="96"/>
        <v>0.1111111111111111</v>
      </c>
      <c r="X158" s="8">
        <f t="shared" si="97"/>
        <v>0.3</v>
      </c>
      <c r="Y158" s="8">
        <f t="shared" si="98"/>
        <v>-7.6923076923076927E-2</v>
      </c>
      <c r="Z158" s="8">
        <f t="shared" si="99"/>
        <v>0.66666666666666663</v>
      </c>
      <c r="AA158" s="8">
        <f t="shared" si="100"/>
        <v>-0.6</v>
      </c>
      <c r="AB158" s="8">
        <f t="shared" si="101"/>
        <v>0.75</v>
      </c>
      <c r="AC158" s="12">
        <f t="shared" si="102"/>
        <v>0.1918091168091168</v>
      </c>
      <c r="AD158" s="12">
        <f t="shared" si="103"/>
        <v>0.20555555555555555</v>
      </c>
      <c r="AE158" s="1">
        <f t="shared" si="104"/>
        <v>1</v>
      </c>
      <c r="AF158" s="1">
        <f t="shared" si="105"/>
        <v>3</v>
      </c>
      <c r="AG158" s="1">
        <f t="shared" si="106"/>
        <v>-1</v>
      </c>
      <c r="AH158" s="1">
        <f t="shared" si="107"/>
        <v>8</v>
      </c>
      <c r="AI158" s="1">
        <f t="shared" si="108"/>
        <v>-12</v>
      </c>
      <c r="AJ158" s="1">
        <f t="shared" si="109"/>
        <v>6</v>
      </c>
      <c r="AK158" s="17">
        <f t="shared" si="110"/>
        <v>0.83333333333333337</v>
      </c>
      <c r="AL158" s="17">
        <f t="shared" si="111"/>
        <v>2</v>
      </c>
      <c r="AM158" s="1">
        <f t="shared" si="112"/>
        <v>0.5</v>
      </c>
      <c r="AN158" s="1">
        <f t="shared" si="113"/>
        <v>0</v>
      </c>
      <c r="AO158" s="1">
        <f t="shared" si="114"/>
        <v>0.1111111111111111</v>
      </c>
      <c r="AP158" s="1">
        <f t="shared" si="115"/>
        <v>0.6</v>
      </c>
      <c r="AQ158" s="1">
        <f t="shared" si="116"/>
        <v>-0.5625</v>
      </c>
      <c r="AR158" s="1">
        <f t="shared" si="117"/>
        <v>0</v>
      </c>
      <c r="AS158" s="12">
        <f t="shared" si="118"/>
        <v>0.10810185185185188</v>
      </c>
      <c r="AT158" s="12">
        <f t="shared" si="119"/>
        <v>5.5555555555555552E-2</v>
      </c>
      <c r="AU158" s="1">
        <f t="shared" si="120"/>
        <v>3</v>
      </c>
      <c r="AV158" s="1">
        <f t="shared" si="121"/>
        <v>0</v>
      </c>
      <c r="AW158" s="1">
        <f t="shared" si="122"/>
        <v>1</v>
      </c>
      <c r="AX158" s="1">
        <f t="shared" si="123"/>
        <v>6</v>
      </c>
      <c r="AY158" s="1">
        <f t="shared" si="124"/>
        <v>-9</v>
      </c>
      <c r="AZ158" s="1">
        <f t="shared" si="125"/>
        <v>0</v>
      </c>
      <c r="BA158" s="19">
        <f t="shared" si="126"/>
        <v>0.16666666666666666</v>
      </c>
      <c r="BB158" s="19">
        <f t="shared" si="127"/>
        <v>0.5</v>
      </c>
      <c r="BC158" s="9">
        <f t="shared" si="128"/>
        <v>-0.66666666666666663</v>
      </c>
      <c r="BD158" s="9">
        <f t="shared" si="129"/>
        <v>3</v>
      </c>
      <c r="BE158" s="9">
        <f t="shared" si="130"/>
        <v>-0.5</v>
      </c>
      <c r="BF158" s="9">
        <f t="shared" si="131"/>
        <v>1</v>
      </c>
      <c r="BG158" s="9">
        <f t="shared" si="132"/>
        <v>-0.75</v>
      </c>
      <c r="BH158" s="9">
        <f t="shared" si="133"/>
        <v>6</v>
      </c>
      <c r="BI158" s="12">
        <f t="shared" si="134"/>
        <v>1.3472222222222223</v>
      </c>
      <c r="BJ158" s="13">
        <f t="shared" si="135"/>
        <v>0.25</v>
      </c>
      <c r="BK158" s="1">
        <f t="shared" si="136"/>
        <v>-2</v>
      </c>
      <c r="BL158" s="1">
        <f t="shared" si="137"/>
        <v>3</v>
      </c>
      <c r="BM158" s="1">
        <f t="shared" si="138"/>
        <v>-2</v>
      </c>
      <c r="BN158" s="1">
        <f t="shared" si="139"/>
        <v>2</v>
      </c>
      <c r="BO158" s="1">
        <f t="shared" si="140"/>
        <v>-3</v>
      </c>
      <c r="BP158" s="1">
        <f t="shared" si="141"/>
        <v>6</v>
      </c>
      <c r="BQ158" s="19">
        <f t="shared" si="142"/>
        <v>0.66666666666666663</v>
      </c>
      <c r="BR158" s="17">
        <f t="shared" si="143"/>
        <v>0</v>
      </c>
    </row>
    <row r="159" spans="1:70" x14ac:dyDescent="0.25">
      <c r="A159" t="s">
        <v>344</v>
      </c>
      <c r="B159">
        <v>7</v>
      </c>
      <c r="C159">
        <v>9</v>
      </c>
      <c r="D159">
        <v>9</v>
      </c>
      <c r="E159">
        <v>4</v>
      </c>
      <c r="F159">
        <v>4</v>
      </c>
      <c r="G159">
        <v>10</v>
      </c>
      <c r="H159">
        <v>12</v>
      </c>
      <c r="I159">
        <v>4</v>
      </c>
      <c r="J159">
        <v>3</v>
      </c>
      <c r="K159">
        <v>4</v>
      </c>
      <c r="L159">
        <v>3</v>
      </c>
      <c r="M159">
        <v>3</v>
      </c>
      <c r="N159">
        <v>6</v>
      </c>
      <c r="O159">
        <v>4</v>
      </c>
      <c r="P159">
        <v>3</v>
      </c>
      <c r="Q159">
        <v>6</v>
      </c>
      <c r="R159">
        <v>5</v>
      </c>
      <c r="S159">
        <v>1</v>
      </c>
      <c r="T159">
        <v>1</v>
      </c>
      <c r="U159">
        <v>4</v>
      </c>
      <c r="V159">
        <v>8</v>
      </c>
      <c r="W159" s="8">
        <f t="shared" si="96"/>
        <v>0.2857142857142857</v>
      </c>
      <c r="X159" s="8">
        <f t="shared" si="97"/>
        <v>0</v>
      </c>
      <c r="Y159" s="8">
        <f t="shared" si="98"/>
        <v>-0.55555555555555558</v>
      </c>
      <c r="Z159" s="8">
        <f t="shared" si="99"/>
        <v>0</v>
      </c>
      <c r="AA159" s="8">
        <f t="shared" si="100"/>
        <v>1.5</v>
      </c>
      <c r="AB159" s="8">
        <f t="shared" si="101"/>
        <v>0.2</v>
      </c>
      <c r="AC159" s="12">
        <f t="shared" si="102"/>
        <v>0.23835978835978835</v>
      </c>
      <c r="AD159" s="12">
        <f t="shared" si="103"/>
        <v>0.1</v>
      </c>
      <c r="AE159" s="1">
        <f t="shared" si="104"/>
        <v>2</v>
      </c>
      <c r="AF159" s="1">
        <f t="shared" si="105"/>
        <v>0</v>
      </c>
      <c r="AG159" s="1">
        <f t="shared" si="106"/>
        <v>-5</v>
      </c>
      <c r="AH159" s="1">
        <f t="shared" si="107"/>
        <v>0</v>
      </c>
      <c r="AI159" s="1">
        <f t="shared" si="108"/>
        <v>6</v>
      </c>
      <c r="AJ159" s="1">
        <f t="shared" si="109"/>
        <v>2</v>
      </c>
      <c r="AK159" s="17">
        <f t="shared" si="110"/>
        <v>0.83333333333333337</v>
      </c>
      <c r="AL159" s="17">
        <f t="shared" si="111"/>
        <v>1</v>
      </c>
      <c r="AM159" s="1">
        <f t="shared" si="112"/>
        <v>-0.25</v>
      </c>
      <c r="AN159" s="1">
        <f t="shared" si="113"/>
        <v>0.33333333333333331</v>
      </c>
      <c r="AO159" s="1">
        <f t="shared" si="114"/>
        <v>-0.25</v>
      </c>
      <c r="AP159" s="1">
        <f t="shared" si="115"/>
        <v>0</v>
      </c>
      <c r="AQ159" s="1">
        <f t="shared" si="116"/>
        <v>1</v>
      </c>
      <c r="AR159" s="1">
        <f t="shared" si="117"/>
        <v>-0.33333333333333331</v>
      </c>
      <c r="AS159" s="12">
        <f t="shared" si="118"/>
        <v>8.3333333333333329E-2</v>
      </c>
      <c r="AT159" s="12">
        <f t="shared" si="119"/>
        <v>-0.125</v>
      </c>
      <c r="AU159" s="1">
        <f t="shared" si="120"/>
        <v>-1</v>
      </c>
      <c r="AV159" s="1">
        <f t="shared" si="121"/>
        <v>1</v>
      </c>
      <c r="AW159" s="1">
        <f t="shared" si="122"/>
        <v>-1</v>
      </c>
      <c r="AX159" s="1">
        <f t="shared" si="123"/>
        <v>0</v>
      </c>
      <c r="AY159" s="1">
        <f t="shared" si="124"/>
        <v>3</v>
      </c>
      <c r="AZ159" s="1">
        <f t="shared" si="125"/>
        <v>-2</v>
      </c>
      <c r="BA159" s="19">
        <f t="shared" si="126"/>
        <v>0</v>
      </c>
      <c r="BB159" s="19">
        <f t="shared" si="127"/>
        <v>-0.5</v>
      </c>
      <c r="BC159" s="9">
        <f t="shared" si="128"/>
        <v>1</v>
      </c>
      <c r="BD159" s="9">
        <f t="shared" si="129"/>
        <v>-0.16666666666666666</v>
      </c>
      <c r="BE159" s="9">
        <f t="shared" si="130"/>
        <v>-0.8</v>
      </c>
      <c r="BF159" s="9">
        <f t="shared" si="131"/>
        <v>0</v>
      </c>
      <c r="BG159" s="9">
        <f t="shared" si="132"/>
        <v>3</v>
      </c>
      <c r="BH159" s="9">
        <f t="shared" si="133"/>
        <v>1</v>
      </c>
      <c r="BI159" s="12">
        <f t="shared" si="134"/>
        <v>0.67222222222222217</v>
      </c>
      <c r="BJ159" s="13">
        <f t="shared" si="135"/>
        <v>0.5</v>
      </c>
      <c r="BK159" s="1">
        <f t="shared" si="136"/>
        <v>3</v>
      </c>
      <c r="BL159" s="1">
        <f t="shared" si="137"/>
        <v>-1</v>
      </c>
      <c r="BM159" s="1">
        <f t="shared" si="138"/>
        <v>-4</v>
      </c>
      <c r="BN159" s="1">
        <f t="shared" si="139"/>
        <v>0</v>
      </c>
      <c r="BO159" s="1">
        <f t="shared" si="140"/>
        <v>3</v>
      </c>
      <c r="BP159" s="1">
        <f t="shared" si="141"/>
        <v>4</v>
      </c>
      <c r="BQ159" s="19">
        <f t="shared" si="142"/>
        <v>0.83333333333333337</v>
      </c>
      <c r="BR159" s="17">
        <f t="shared" si="143"/>
        <v>1.5</v>
      </c>
    </row>
    <row r="160" spans="1:70" x14ac:dyDescent="0.25">
      <c r="A160" t="s">
        <v>361</v>
      </c>
      <c r="B160">
        <v>6</v>
      </c>
      <c r="C160">
        <v>4</v>
      </c>
      <c r="D160">
        <v>4</v>
      </c>
      <c r="E160">
        <v>10</v>
      </c>
      <c r="F160">
        <v>4</v>
      </c>
      <c r="G160">
        <v>4</v>
      </c>
      <c r="H160">
        <v>11</v>
      </c>
      <c r="I160">
        <v>2</v>
      </c>
      <c r="J160">
        <v>2</v>
      </c>
      <c r="K160">
        <v>1</v>
      </c>
      <c r="L160">
        <v>9</v>
      </c>
      <c r="M160">
        <v>2</v>
      </c>
      <c r="N160">
        <v>3</v>
      </c>
      <c r="O160">
        <v>6</v>
      </c>
      <c r="P160">
        <v>4</v>
      </c>
      <c r="Q160">
        <v>2</v>
      </c>
      <c r="R160">
        <v>3</v>
      </c>
      <c r="S160">
        <v>1</v>
      </c>
      <c r="T160">
        <v>2</v>
      </c>
      <c r="U160">
        <v>1</v>
      </c>
      <c r="V160">
        <v>5</v>
      </c>
      <c r="W160" s="8">
        <f t="shared" si="96"/>
        <v>-0.33333333333333331</v>
      </c>
      <c r="X160" s="8">
        <f t="shared" si="97"/>
        <v>0</v>
      </c>
      <c r="Y160" s="8">
        <f t="shared" si="98"/>
        <v>1.5</v>
      </c>
      <c r="Z160" s="8">
        <f t="shared" si="99"/>
        <v>-0.6</v>
      </c>
      <c r="AA160" s="8">
        <f t="shared" si="100"/>
        <v>0</v>
      </c>
      <c r="AB160" s="8">
        <f t="shared" si="101"/>
        <v>1.75</v>
      </c>
      <c r="AC160" s="12">
        <f t="shared" si="102"/>
        <v>0.38611111111111113</v>
      </c>
      <c r="AD160" s="12">
        <f t="shared" si="103"/>
        <v>0</v>
      </c>
      <c r="AE160" s="1">
        <f t="shared" si="104"/>
        <v>-2</v>
      </c>
      <c r="AF160" s="1">
        <f t="shared" si="105"/>
        <v>0</v>
      </c>
      <c r="AG160" s="1">
        <f t="shared" si="106"/>
        <v>6</v>
      </c>
      <c r="AH160" s="1">
        <f t="shared" si="107"/>
        <v>-6</v>
      </c>
      <c r="AI160" s="1">
        <f t="shared" si="108"/>
        <v>0</v>
      </c>
      <c r="AJ160" s="1">
        <f t="shared" si="109"/>
        <v>7</v>
      </c>
      <c r="AK160" s="17">
        <f t="shared" si="110"/>
        <v>0.83333333333333337</v>
      </c>
      <c r="AL160" s="17">
        <f t="shared" si="111"/>
        <v>0</v>
      </c>
      <c r="AM160" s="1">
        <f t="shared" si="112"/>
        <v>0</v>
      </c>
      <c r="AN160" s="1">
        <f t="shared" si="113"/>
        <v>-0.5</v>
      </c>
      <c r="AO160" s="1">
        <f t="shared" si="114"/>
        <v>8</v>
      </c>
      <c r="AP160" s="1">
        <f t="shared" si="115"/>
        <v>-0.77777777777777779</v>
      </c>
      <c r="AQ160" s="1">
        <f t="shared" si="116"/>
        <v>0.5</v>
      </c>
      <c r="AR160" s="1">
        <f t="shared" si="117"/>
        <v>1</v>
      </c>
      <c r="AS160" s="12">
        <f t="shared" si="118"/>
        <v>1.3703703703703702</v>
      </c>
      <c r="AT160" s="12">
        <f t="shared" si="119"/>
        <v>0.25</v>
      </c>
      <c r="AU160" s="1">
        <f t="shared" si="120"/>
        <v>0</v>
      </c>
      <c r="AV160" s="1">
        <f t="shared" si="121"/>
        <v>-1</v>
      </c>
      <c r="AW160" s="1">
        <f t="shared" si="122"/>
        <v>8</v>
      </c>
      <c r="AX160" s="1">
        <f t="shared" si="123"/>
        <v>-7</v>
      </c>
      <c r="AY160" s="1">
        <f t="shared" si="124"/>
        <v>1</v>
      </c>
      <c r="AZ160" s="1">
        <f t="shared" si="125"/>
        <v>3</v>
      </c>
      <c r="BA160" s="19">
        <f t="shared" si="126"/>
        <v>0.66666666666666663</v>
      </c>
      <c r="BB160" s="19">
        <f t="shared" si="127"/>
        <v>0.5</v>
      </c>
      <c r="BC160" s="9">
        <f t="shared" si="128"/>
        <v>-0.5</v>
      </c>
      <c r="BD160" s="9">
        <f t="shared" si="129"/>
        <v>0.5</v>
      </c>
      <c r="BE160" s="9">
        <f t="shared" si="130"/>
        <v>-0.66666666666666663</v>
      </c>
      <c r="BF160" s="9">
        <f t="shared" si="131"/>
        <v>1</v>
      </c>
      <c r="BG160" s="9">
        <f t="shared" si="132"/>
        <v>-0.5</v>
      </c>
      <c r="BH160" s="9">
        <f t="shared" si="133"/>
        <v>4</v>
      </c>
      <c r="BI160" s="12">
        <f t="shared" si="134"/>
        <v>0.63888888888888895</v>
      </c>
      <c r="BJ160" s="13">
        <f t="shared" si="135"/>
        <v>0</v>
      </c>
      <c r="BK160" s="1">
        <f t="shared" si="136"/>
        <v>-2</v>
      </c>
      <c r="BL160" s="1">
        <f t="shared" si="137"/>
        <v>1</v>
      </c>
      <c r="BM160" s="1">
        <f t="shared" si="138"/>
        <v>-2</v>
      </c>
      <c r="BN160" s="1">
        <f t="shared" si="139"/>
        <v>1</v>
      </c>
      <c r="BO160" s="1">
        <f t="shared" si="140"/>
        <v>-1</v>
      </c>
      <c r="BP160" s="1">
        <f t="shared" si="141"/>
        <v>4</v>
      </c>
      <c r="BQ160" s="19">
        <f t="shared" si="142"/>
        <v>0.16666666666666666</v>
      </c>
      <c r="BR160" s="17">
        <f t="shared" si="143"/>
        <v>0</v>
      </c>
    </row>
    <row r="161" spans="1:70" x14ac:dyDescent="0.25">
      <c r="A161" t="s">
        <v>388</v>
      </c>
      <c r="B161">
        <v>4</v>
      </c>
      <c r="C161">
        <v>6</v>
      </c>
      <c r="D161">
        <v>7</v>
      </c>
      <c r="E161">
        <v>9</v>
      </c>
      <c r="F161">
        <v>10</v>
      </c>
      <c r="G161">
        <v>3</v>
      </c>
      <c r="H161">
        <v>9</v>
      </c>
      <c r="I161">
        <v>3</v>
      </c>
      <c r="J161">
        <v>3</v>
      </c>
      <c r="K161">
        <v>5</v>
      </c>
      <c r="L161">
        <v>6</v>
      </c>
      <c r="M161">
        <v>6</v>
      </c>
      <c r="N161">
        <v>2</v>
      </c>
      <c r="O161">
        <v>4</v>
      </c>
      <c r="P161">
        <v>1</v>
      </c>
      <c r="Q161">
        <v>3</v>
      </c>
      <c r="R161">
        <v>2</v>
      </c>
      <c r="S161">
        <v>3</v>
      </c>
      <c r="T161">
        <v>4</v>
      </c>
      <c r="U161">
        <v>1</v>
      </c>
      <c r="V161">
        <v>5</v>
      </c>
      <c r="W161" s="8">
        <f t="shared" si="96"/>
        <v>0.5</v>
      </c>
      <c r="X161" s="8">
        <f t="shared" si="97"/>
        <v>0.16666666666666666</v>
      </c>
      <c r="Y161" s="8">
        <f t="shared" si="98"/>
        <v>0.2857142857142857</v>
      </c>
      <c r="Z161" s="8">
        <f t="shared" si="99"/>
        <v>0.1111111111111111</v>
      </c>
      <c r="AA161" s="8">
        <f t="shared" si="100"/>
        <v>-0.7</v>
      </c>
      <c r="AB161" s="8">
        <f t="shared" si="101"/>
        <v>2</v>
      </c>
      <c r="AC161" s="12">
        <f t="shared" si="102"/>
        <v>0.39391534391534394</v>
      </c>
      <c r="AD161" s="12">
        <f t="shared" si="103"/>
        <v>0.22619047619047616</v>
      </c>
      <c r="AE161" s="1">
        <f t="shared" si="104"/>
        <v>2</v>
      </c>
      <c r="AF161" s="1">
        <f t="shared" si="105"/>
        <v>1</v>
      </c>
      <c r="AG161" s="1">
        <f t="shared" si="106"/>
        <v>2</v>
      </c>
      <c r="AH161" s="1">
        <f t="shared" si="107"/>
        <v>1</v>
      </c>
      <c r="AI161" s="1">
        <f t="shared" si="108"/>
        <v>-7</v>
      </c>
      <c r="AJ161" s="1">
        <f t="shared" si="109"/>
        <v>6</v>
      </c>
      <c r="AK161" s="17">
        <f t="shared" si="110"/>
        <v>0.83333333333333337</v>
      </c>
      <c r="AL161" s="17">
        <f t="shared" si="111"/>
        <v>1.5</v>
      </c>
      <c r="AM161" s="1">
        <f t="shared" si="112"/>
        <v>0</v>
      </c>
      <c r="AN161" s="1">
        <f t="shared" si="113"/>
        <v>0.66666666666666663</v>
      </c>
      <c r="AO161" s="1">
        <f t="shared" si="114"/>
        <v>0.2</v>
      </c>
      <c r="AP161" s="1">
        <f t="shared" si="115"/>
        <v>0</v>
      </c>
      <c r="AQ161" s="1">
        <f t="shared" si="116"/>
        <v>-0.66666666666666663</v>
      </c>
      <c r="AR161" s="1">
        <f t="shared" si="117"/>
        <v>1</v>
      </c>
      <c r="AS161" s="12">
        <f t="shared" si="118"/>
        <v>0.20000000000000004</v>
      </c>
      <c r="AT161" s="12">
        <f t="shared" si="119"/>
        <v>0.1</v>
      </c>
      <c r="AU161" s="1">
        <f t="shared" si="120"/>
        <v>0</v>
      </c>
      <c r="AV161" s="1">
        <f t="shared" si="121"/>
        <v>2</v>
      </c>
      <c r="AW161" s="1">
        <f t="shared" si="122"/>
        <v>1</v>
      </c>
      <c r="AX161" s="1">
        <f t="shared" si="123"/>
        <v>0</v>
      </c>
      <c r="AY161" s="1">
        <f t="shared" si="124"/>
        <v>-4</v>
      </c>
      <c r="AZ161" s="1">
        <f t="shared" si="125"/>
        <v>2</v>
      </c>
      <c r="BA161" s="19">
        <f t="shared" si="126"/>
        <v>0.16666666666666666</v>
      </c>
      <c r="BB161" s="19">
        <f t="shared" si="127"/>
        <v>0.5</v>
      </c>
      <c r="BC161" s="9">
        <f t="shared" si="128"/>
        <v>2</v>
      </c>
      <c r="BD161" s="9">
        <f t="shared" si="129"/>
        <v>-0.33333333333333331</v>
      </c>
      <c r="BE161" s="9">
        <f t="shared" si="130"/>
        <v>0.5</v>
      </c>
      <c r="BF161" s="9">
        <f t="shared" si="131"/>
        <v>0.33333333333333331</v>
      </c>
      <c r="BG161" s="9">
        <f t="shared" si="132"/>
        <v>-0.75</v>
      </c>
      <c r="BH161" s="9">
        <f t="shared" si="133"/>
        <v>4</v>
      </c>
      <c r="BI161" s="12">
        <f t="shared" si="134"/>
        <v>0.95833333333333337</v>
      </c>
      <c r="BJ161" s="13">
        <f t="shared" si="135"/>
        <v>0.41666666666666663</v>
      </c>
      <c r="BK161" s="1">
        <f t="shared" si="136"/>
        <v>2</v>
      </c>
      <c r="BL161" s="1">
        <f t="shared" si="137"/>
        <v>-1</v>
      </c>
      <c r="BM161" s="1">
        <f t="shared" si="138"/>
        <v>1</v>
      </c>
      <c r="BN161" s="1">
        <f t="shared" si="139"/>
        <v>1</v>
      </c>
      <c r="BO161" s="1">
        <f t="shared" si="140"/>
        <v>-3</v>
      </c>
      <c r="BP161" s="1">
        <f t="shared" si="141"/>
        <v>4</v>
      </c>
      <c r="BQ161" s="19">
        <f t="shared" si="142"/>
        <v>0.66666666666666663</v>
      </c>
      <c r="BR161" s="17">
        <f t="shared" si="143"/>
        <v>1</v>
      </c>
    </row>
    <row r="162" spans="1:70" x14ac:dyDescent="0.25">
      <c r="A162" t="s">
        <v>489</v>
      </c>
      <c r="B162">
        <v>1</v>
      </c>
      <c r="C162">
        <v>5</v>
      </c>
      <c r="D162">
        <v>7</v>
      </c>
      <c r="E162">
        <v>3</v>
      </c>
      <c r="F162">
        <v>4</v>
      </c>
      <c r="G162">
        <v>6</v>
      </c>
      <c r="H162">
        <v>6</v>
      </c>
      <c r="I162">
        <v>1</v>
      </c>
      <c r="J162">
        <v>4</v>
      </c>
      <c r="K162">
        <v>5</v>
      </c>
      <c r="L162">
        <v>1</v>
      </c>
      <c r="M162">
        <v>4</v>
      </c>
      <c r="N162">
        <v>4</v>
      </c>
      <c r="O162">
        <v>4</v>
      </c>
      <c r="Q162">
        <v>1</v>
      </c>
      <c r="R162">
        <v>2</v>
      </c>
      <c r="S162">
        <v>2</v>
      </c>
      <c r="U162">
        <v>2</v>
      </c>
      <c r="V162">
        <v>2</v>
      </c>
      <c r="W162" s="8">
        <f t="shared" si="96"/>
        <v>4</v>
      </c>
      <c r="X162" s="8">
        <f t="shared" si="97"/>
        <v>0.4</v>
      </c>
      <c r="Y162" s="8">
        <f t="shared" si="98"/>
        <v>-0.5714285714285714</v>
      </c>
      <c r="Z162" s="8">
        <f t="shared" si="99"/>
        <v>0.33333333333333331</v>
      </c>
      <c r="AA162" s="8">
        <f t="shared" si="100"/>
        <v>0.5</v>
      </c>
      <c r="AB162" s="8">
        <f t="shared" si="101"/>
        <v>0</v>
      </c>
      <c r="AC162" s="12">
        <f t="shared" si="102"/>
        <v>0.776984126984127</v>
      </c>
      <c r="AD162" s="12">
        <f t="shared" si="103"/>
        <v>0.3666666666666667</v>
      </c>
      <c r="AE162" s="1">
        <f t="shared" si="104"/>
        <v>4</v>
      </c>
      <c r="AF162" s="1">
        <f t="shared" si="105"/>
        <v>2</v>
      </c>
      <c r="AG162" s="1">
        <f t="shared" si="106"/>
        <v>-4</v>
      </c>
      <c r="AH162" s="1">
        <f t="shared" si="107"/>
        <v>1</v>
      </c>
      <c r="AI162" s="1">
        <f t="shared" si="108"/>
        <v>2</v>
      </c>
      <c r="AJ162" s="1">
        <f t="shared" si="109"/>
        <v>0</v>
      </c>
      <c r="AK162" s="17">
        <f t="shared" si="110"/>
        <v>0.83333333333333337</v>
      </c>
      <c r="AL162" s="17">
        <f t="shared" si="111"/>
        <v>1.5</v>
      </c>
      <c r="AM162" s="1">
        <f t="shared" si="112"/>
        <v>3</v>
      </c>
      <c r="AN162" s="1">
        <f t="shared" si="113"/>
        <v>0.25</v>
      </c>
      <c r="AO162" s="1">
        <f t="shared" si="114"/>
        <v>-0.8</v>
      </c>
      <c r="AP162" s="1">
        <f t="shared" si="115"/>
        <v>3</v>
      </c>
      <c r="AQ162" s="1">
        <f t="shared" si="116"/>
        <v>0</v>
      </c>
      <c r="AR162" s="1">
        <f t="shared" si="117"/>
        <v>0</v>
      </c>
      <c r="AS162" s="12">
        <f t="shared" si="118"/>
        <v>0.90833333333333333</v>
      </c>
      <c r="AT162" s="12">
        <f t="shared" si="119"/>
        <v>0.125</v>
      </c>
      <c r="AU162" s="1">
        <f t="shared" si="120"/>
        <v>3</v>
      </c>
      <c r="AV162" s="1">
        <f t="shared" si="121"/>
        <v>1</v>
      </c>
      <c r="AW162" s="1">
        <f t="shared" si="122"/>
        <v>-4</v>
      </c>
      <c r="AX162" s="1">
        <f t="shared" si="123"/>
        <v>3</v>
      </c>
      <c r="AY162" s="1">
        <f t="shared" si="124"/>
        <v>0</v>
      </c>
      <c r="AZ162" s="1">
        <f t="shared" si="125"/>
        <v>0</v>
      </c>
      <c r="BA162" s="19">
        <f t="shared" si="126"/>
        <v>0.5</v>
      </c>
      <c r="BB162" s="19">
        <f t="shared" si="127"/>
        <v>0.5</v>
      </c>
      <c r="BC162" s="9" t="e">
        <f t="shared" si="128"/>
        <v>#DIV/0!</v>
      </c>
      <c r="BD162" s="9">
        <f t="shared" si="129"/>
        <v>1</v>
      </c>
      <c r="BE162" s="9">
        <f t="shared" si="130"/>
        <v>0</v>
      </c>
      <c r="BF162" s="9">
        <f t="shared" si="131"/>
        <v>-1</v>
      </c>
      <c r="BG162" s="9" t="e">
        <f t="shared" si="132"/>
        <v>#DIV/0!</v>
      </c>
      <c r="BH162" s="9">
        <f t="shared" si="133"/>
        <v>0</v>
      </c>
      <c r="BI162" s="12" t="e">
        <f t="shared" si="134"/>
        <v>#DIV/0!</v>
      </c>
      <c r="BJ162" s="13" t="e">
        <f t="shared" si="135"/>
        <v>#DIV/0!</v>
      </c>
      <c r="BK162" s="1">
        <f t="shared" si="136"/>
        <v>1</v>
      </c>
      <c r="BL162" s="1">
        <f t="shared" si="137"/>
        <v>1</v>
      </c>
      <c r="BM162" s="1">
        <f t="shared" si="138"/>
        <v>0</v>
      </c>
      <c r="BN162" s="1">
        <f t="shared" si="139"/>
        <v>-2</v>
      </c>
      <c r="BO162" s="1">
        <f t="shared" si="140"/>
        <v>2</v>
      </c>
      <c r="BP162" s="1">
        <f t="shared" si="141"/>
        <v>0</v>
      </c>
      <c r="BQ162" s="19">
        <f t="shared" si="142"/>
        <v>0.33333333333333331</v>
      </c>
      <c r="BR162" s="17">
        <f t="shared" si="143"/>
        <v>0.5</v>
      </c>
    </row>
    <row r="163" spans="1:70" x14ac:dyDescent="0.25">
      <c r="A163" t="s">
        <v>499</v>
      </c>
      <c r="B163">
        <v>1</v>
      </c>
      <c r="C163">
        <v>2</v>
      </c>
      <c r="D163">
        <v>1</v>
      </c>
      <c r="E163">
        <v>6</v>
      </c>
      <c r="F163">
        <v>6</v>
      </c>
      <c r="G163">
        <v>10</v>
      </c>
      <c r="H163">
        <v>6</v>
      </c>
      <c r="J163">
        <v>1</v>
      </c>
      <c r="K163">
        <v>1</v>
      </c>
      <c r="L163">
        <v>4</v>
      </c>
      <c r="M163">
        <v>2</v>
      </c>
      <c r="N163">
        <v>3</v>
      </c>
      <c r="O163">
        <v>4</v>
      </c>
      <c r="P163">
        <v>1</v>
      </c>
      <c r="Q163">
        <v>1</v>
      </c>
      <c r="S163">
        <v>2</v>
      </c>
      <c r="T163">
        <v>4</v>
      </c>
      <c r="U163">
        <v>7</v>
      </c>
      <c r="V163">
        <v>2</v>
      </c>
      <c r="W163" s="8">
        <f t="shared" si="96"/>
        <v>1</v>
      </c>
      <c r="X163" s="8">
        <f t="shared" si="97"/>
        <v>-0.5</v>
      </c>
      <c r="Y163" s="8">
        <f t="shared" si="98"/>
        <v>5</v>
      </c>
      <c r="Z163" s="8">
        <f t="shared" si="99"/>
        <v>0</v>
      </c>
      <c r="AA163" s="8">
        <f t="shared" si="100"/>
        <v>0.66666666666666663</v>
      </c>
      <c r="AB163" s="8">
        <f t="shared" si="101"/>
        <v>-0.4</v>
      </c>
      <c r="AC163" s="12">
        <f t="shared" si="102"/>
        <v>0.96111111111111114</v>
      </c>
      <c r="AD163" s="12">
        <f t="shared" si="103"/>
        <v>0.33333333333333331</v>
      </c>
      <c r="AE163" s="1">
        <f t="shared" si="104"/>
        <v>1</v>
      </c>
      <c r="AF163" s="1">
        <f t="shared" si="105"/>
        <v>-1</v>
      </c>
      <c r="AG163" s="1">
        <f t="shared" si="106"/>
        <v>5</v>
      </c>
      <c r="AH163" s="1">
        <f t="shared" si="107"/>
        <v>0</v>
      </c>
      <c r="AI163" s="1">
        <f t="shared" si="108"/>
        <v>4</v>
      </c>
      <c r="AJ163" s="1">
        <f t="shared" si="109"/>
        <v>-4</v>
      </c>
      <c r="AK163" s="17">
        <f t="shared" si="110"/>
        <v>0.83333333333333337</v>
      </c>
      <c r="AL163" s="17">
        <f t="shared" si="111"/>
        <v>0.5</v>
      </c>
      <c r="AM163" s="1" t="e">
        <f t="shared" si="112"/>
        <v>#DIV/0!</v>
      </c>
      <c r="AN163" s="1">
        <f t="shared" si="113"/>
        <v>0</v>
      </c>
      <c r="AO163" s="1">
        <f t="shared" si="114"/>
        <v>3</v>
      </c>
      <c r="AP163" s="1">
        <f t="shared" si="115"/>
        <v>-0.5</v>
      </c>
      <c r="AQ163" s="1">
        <f t="shared" si="116"/>
        <v>0.5</v>
      </c>
      <c r="AR163" s="1">
        <f t="shared" si="117"/>
        <v>0.33333333333333331</v>
      </c>
      <c r="AS163" s="12" t="e">
        <f t="shared" si="118"/>
        <v>#DIV/0!</v>
      </c>
      <c r="AT163" s="12" t="e">
        <f t="shared" si="119"/>
        <v>#DIV/0!</v>
      </c>
      <c r="AU163" s="1">
        <f t="shared" si="120"/>
        <v>1</v>
      </c>
      <c r="AV163" s="1">
        <f t="shared" si="121"/>
        <v>0</v>
      </c>
      <c r="AW163" s="1">
        <f t="shared" si="122"/>
        <v>3</v>
      </c>
      <c r="AX163" s="1">
        <f t="shared" si="123"/>
        <v>-2</v>
      </c>
      <c r="AY163" s="1">
        <f t="shared" si="124"/>
        <v>1</v>
      </c>
      <c r="AZ163" s="1">
        <f t="shared" si="125"/>
        <v>1</v>
      </c>
      <c r="BA163" s="19">
        <f t="shared" si="126"/>
        <v>0.66666666666666663</v>
      </c>
      <c r="BB163" s="19">
        <f t="shared" si="127"/>
        <v>1</v>
      </c>
      <c r="BC163" s="9">
        <f t="shared" si="128"/>
        <v>0</v>
      </c>
      <c r="BD163" s="9">
        <f t="shared" si="129"/>
        <v>-1</v>
      </c>
      <c r="BE163" s="9" t="e">
        <f t="shared" si="130"/>
        <v>#DIV/0!</v>
      </c>
      <c r="BF163" s="9">
        <f t="shared" si="131"/>
        <v>1</v>
      </c>
      <c r="BG163" s="9">
        <f t="shared" si="132"/>
        <v>0.75</v>
      </c>
      <c r="BH163" s="9">
        <f t="shared" si="133"/>
        <v>-0.7142857142857143</v>
      </c>
      <c r="BI163" s="12" t="e">
        <f t="shared" si="134"/>
        <v>#DIV/0!</v>
      </c>
      <c r="BJ163" s="13" t="e">
        <f t="shared" si="135"/>
        <v>#DIV/0!</v>
      </c>
      <c r="BK163" s="1">
        <f t="shared" si="136"/>
        <v>0</v>
      </c>
      <c r="BL163" s="1">
        <f t="shared" si="137"/>
        <v>-1</v>
      </c>
      <c r="BM163" s="1">
        <f t="shared" si="138"/>
        <v>2</v>
      </c>
      <c r="BN163" s="1">
        <f t="shared" si="139"/>
        <v>2</v>
      </c>
      <c r="BO163" s="1">
        <f t="shared" si="140"/>
        <v>3</v>
      </c>
      <c r="BP163" s="1">
        <f t="shared" si="141"/>
        <v>-5</v>
      </c>
      <c r="BQ163" s="19">
        <f t="shared" si="142"/>
        <v>0.16666666666666666</v>
      </c>
      <c r="BR163" s="17">
        <f t="shared" si="143"/>
        <v>1</v>
      </c>
    </row>
    <row r="164" spans="1:70" x14ac:dyDescent="0.25">
      <c r="A164" t="s">
        <v>518</v>
      </c>
      <c r="B164">
        <v>1</v>
      </c>
      <c r="C164">
        <v>1</v>
      </c>
      <c r="D164">
        <v>3</v>
      </c>
      <c r="E164">
        <v>12</v>
      </c>
      <c r="F164">
        <v>11</v>
      </c>
      <c r="G164">
        <v>6</v>
      </c>
      <c r="H164">
        <v>6</v>
      </c>
      <c r="I164">
        <v>1</v>
      </c>
      <c r="L164">
        <v>7</v>
      </c>
      <c r="M164">
        <v>4</v>
      </c>
      <c r="N164">
        <v>1</v>
      </c>
      <c r="O164">
        <v>2</v>
      </c>
      <c r="Q164">
        <v>1</v>
      </c>
      <c r="R164">
        <v>3</v>
      </c>
      <c r="S164">
        <v>5</v>
      </c>
      <c r="T164">
        <v>7</v>
      </c>
      <c r="U164">
        <v>5</v>
      </c>
      <c r="V164">
        <v>4</v>
      </c>
      <c r="W164" s="8">
        <f t="shared" si="96"/>
        <v>0</v>
      </c>
      <c r="X164" s="8">
        <f t="shared" si="97"/>
        <v>2</v>
      </c>
      <c r="Y164" s="8">
        <f t="shared" si="98"/>
        <v>3</v>
      </c>
      <c r="Z164" s="8">
        <f t="shared" si="99"/>
        <v>-8.3333333333333329E-2</v>
      </c>
      <c r="AA164" s="8">
        <f t="shared" si="100"/>
        <v>-0.45454545454545453</v>
      </c>
      <c r="AB164" s="8">
        <f t="shared" si="101"/>
        <v>0</v>
      </c>
      <c r="AC164" s="12">
        <f t="shared" si="102"/>
        <v>0.74368686868686884</v>
      </c>
      <c r="AD164" s="12">
        <f t="shared" si="103"/>
        <v>0</v>
      </c>
      <c r="AE164" s="1">
        <f t="shared" si="104"/>
        <v>0</v>
      </c>
      <c r="AF164" s="1">
        <f t="shared" si="105"/>
        <v>2</v>
      </c>
      <c r="AG164" s="1">
        <f t="shared" si="106"/>
        <v>9</v>
      </c>
      <c r="AH164" s="1">
        <f t="shared" si="107"/>
        <v>-1</v>
      </c>
      <c r="AI164" s="1">
        <f t="shared" si="108"/>
        <v>-5</v>
      </c>
      <c r="AJ164" s="1">
        <f t="shared" si="109"/>
        <v>0</v>
      </c>
      <c r="AK164" s="17">
        <f t="shared" si="110"/>
        <v>0.83333333333333337</v>
      </c>
      <c r="AL164" s="17">
        <f t="shared" si="111"/>
        <v>0</v>
      </c>
      <c r="AM164" s="1">
        <f t="shared" si="112"/>
        <v>-1</v>
      </c>
      <c r="AN164" s="1" t="e">
        <f t="shared" si="113"/>
        <v>#DIV/0!</v>
      </c>
      <c r="AO164" s="1" t="e">
        <f t="shared" si="114"/>
        <v>#DIV/0!</v>
      </c>
      <c r="AP164" s="1">
        <f t="shared" si="115"/>
        <v>-0.42857142857142855</v>
      </c>
      <c r="AQ164" s="1">
        <f t="shared" si="116"/>
        <v>-0.75</v>
      </c>
      <c r="AR164" s="1">
        <f t="shared" si="117"/>
        <v>1</v>
      </c>
      <c r="AS164" s="12" t="e">
        <f t="shared" si="118"/>
        <v>#DIV/0!</v>
      </c>
      <c r="AT164" s="12" t="e">
        <f t="shared" si="119"/>
        <v>#DIV/0!</v>
      </c>
      <c r="AU164" s="1">
        <f t="shared" si="120"/>
        <v>-1</v>
      </c>
      <c r="AV164" s="1">
        <f t="shared" si="121"/>
        <v>0</v>
      </c>
      <c r="AW164" s="1">
        <f t="shared" si="122"/>
        <v>7</v>
      </c>
      <c r="AX164" s="1">
        <f t="shared" si="123"/>
        <v>-3</v>
      </c>
      <c r="AY164" s="1">
        <f t="shared" si="124"/>
        <v>-3</v>
      </c>
      <c r="AZ164" s="1">
        <f t="shared" si="125"/>
        <v>1</v>
      </c>
      <c r="BA164" s="19">
        <f t="shared" si="126"/>
        <v>0.16666666666666666</v>
      </c>
      <c r="BB164" s="19">
        <f t="shared" si="127"/>
        <v>-0.5</v>
      </c>
      <c r="BC164" s="9" t="e">
        <f t="shared" si="128"/>
        <v>#DIV/0!</v>
      </c>
      <c r="BD164" s="9">
        <f t="shared" si="129"/>
        <v>2</v>
      </c>
      <c r="BE164" s="9">
        <f t="shared" si="130"/>
        <v>0.66666666666666663</v>
      </c>
      <c r="BF164" s="9">
        <f t="shared" si="131"/>
        <v>0.4</v>
      </c>
      <c r="BG164" s="9">
        <f t="shared" si="132"/>
        <v>-0.2857142857142857</v>
      </c>
      <c r="BH164" s="9">
        <f t="shared" si="133"/>
        <v>-0.2</v>
      </c>
      <c r="BI164" s="12" t="e">
        <f t="shared" si="134"/>
        <v>#DIV/0!</v>
      </c>
      <c r="BJ164" s="13" t="e">
        <f t="shared" si="135"/>
        <v>#DIV/0!</v>
      </c>
      <c r="BK164" s="1">
        <f t="shared" si="136"/>
        <v>1</v>
      </c>
      <c r="BL164" s="1">
        <f t="shared" si="137"/>
        <v>2</v>
      </c>
      <c r="BM164" s="1">
        <f t="shared" si="138"/>
        <v>2</v>
      </c>
      <c r="BN164" s="1">
        <f t="shared" si="139"/>
        <v>2</v>
      </c>
      <c r="BO164" s="1">
        <f t="shared" si="140"/>
        <v>-2</v>
      </c>
      <c r="BP164" s="1">
        <f t="shared" si="141"/>
        <v>-1</v>
      </c>
      <c r="BQ164" s="19">
        <f t="shared" si="142"/>
        <v>0.66666666666666663</v>
      </c>
      <c r="BR164" s="17">
        <f t="shared" si="143"/>
        <v>1.5</v>
      </c>
    </row>
    <row r="165" spans="1:70" x14ac:dyDescent="0.25">
      <c r="A165" t="s">
        <v>601</v>
      </c>
      <c r="C165">
        <v>1</v>
      </c>
      <c r="D165">
        <v>2</v>
      </c>
      <c r="E165">
        <v>4</v>
      </c>
      <c r="F165">
        <v>5</v>
      </c>
      <c r="G165">
        <v>1</v>
      </c>
      <c r="H165">
        <v>5</v>
      </c>
      <c r="K165">
        <v>2</v>
      </c>
      <c r="L165">
        <v>2</v>
      </c>
      <c r="M165">
        <v>1</v>
      </c>
      <c r="O165">
        <v>3</v>
      </c>
      <c r="Q165">
        <v>1</v>
      </c>
      <c r="S165">
        <v>2</v>
      </c>
      <c r="T165">
        <v>4</v>
      </c>
      <c r="U165">
        <v>1</v>
      </c>
      <c r="V165">
        <v>2</v>
      </c>
      <c r="W165" s="8" t="e">
        <f t="shared" si="96"/>
        <v>#DIV/0!</v>
      </c>
      <c r="X165" s="8">
        <f t="shared" si="97"/>
        <v>1</v>
      </c>
      <c r="Y165" s="8">
        <f t="shared" si="98"/>
        <v>1</v>
      </c>
      <c r="Z165" s="8">
        <f t="shared" si="99"/>
        <v>0.25</v>
      </c>
      <c r="AA165" s="8">
        <f t="shared" si="100"/>
        <v>-0.8</v>
      </c>
      <c r="AB165" s="8">
        <f t="shared" si="101"/>
        <v>4</v>
      </c>
      <c r="AC165" s="12" t="e">
        <f t="shared" si="102"/>
        <v>#DIV/0!</v>
      </c>
      <c r="AD165" s="12" t="e">
        <f t="shared" si="103"/>
        <v>#DIV/0!</v>
      </c>
      <c r="AE165" s="1">
        <f t="shared" si="104"/>
        <v>1</v>
      </c>
      <c r="AF165" s="1">
        <f t="shared" si="105"/>
        <v>1</v>
      </c>
      <c r="AG165" s="1">
        <f t="shared" si="106"/>
        <v>2</v>
      </c>
      <c r="AH165" s="1">
        <f t="shared" si="107"/>
        <v>1</v>
      </c>
      <c r="AI165" s="1">
        <f t="shared" si="108"/>
        <v>-4</v>
      </c>
      <c r="AJ165" s="1">
        <f t="shared" si="109"/>
        <v>4</v>
      </c>
      <c r="AK165" s="17">
        <f t="shared" si="110"/>
        <v>0.83333333333333337</v>
      </c>
      <c r="AL165" s="17">
        <f t="shared" si="111"/>
        <v>1</v>
      </c>
      <c r="AM165" s="1" t="e">
        <f t="shared" si="112"/>
        <v>#DIV/0!</v>
      </c>
      <c r="AN165" s="1" t="e">
        <f t="shared" si="113"/>
        <v>#DIV/0!</v>
      </c>
      <c r="AO165" s="1">
        <f t="shared" si="114"/>
        <v>0</v>
      </c>
      <c r="AP165" s="1">
        <f t="shared" si="115"/>
        <v>-0.5</v>
      </c>
      <c r="AQ165" s="1">
        <f t="shared" si="116"/>
        <v>-1</v>
      </c>
      <c r="AR165" s="1" t="e">
        <f t="shared" si="117"/>
        <v>#DIV/0!</v>
      </c>
      <c r="AS165" s="12" t="e">
        <f t="shared" si="118"/>
        <v>#DIV/0!</v>
      </c>
      <c r="AT165" s="12" t="e">
        <f t="shared" si="119"/>
        <v>#DIV/0!</v>
      </c>
      <c r="AU165" s="1">
        <f t="shared" si="120"/>
        <v>0</v>
      </c>
      <c r="AV165" s="1">
        <f t="shared" si="121"/>
        <v>2</v>
      </c>
      <c r="AW165" s="1">
        <f t="shared" si="122"/>
        <v>0</v>
      </c>
      <c r="AX165" s="1">
        <f t="shared" si="123"/>
        <v>-1</v>
      </c>
      <c r="AY165" s="1">
        <f t="shared" si="124"/>
        <v>-1</v>
      </c>
      <c r="AZ165" s="1">
        <f t="shared" si="125"/>
        <v>3</v>
      </c>
      <c r="BA165" s="19">
        <f t="shared" si="126"/>
        <v>0.5</v>
      </c>
      <c r="BB165" s="19">
        <f t="shared" si="127"/>
        <v>0</v>
      </c>
      <c r="BC165" s="9" t="e">
        <f t="shared" si="128"/>
        <v>#DIV/0!</v>
      </c>
      <c r="BD165" s="9">
        <f t="shared" si="129"/>
        <v>-1</v>
      </c>
      <c r="BE165" s="9" t="e">
        <f t="shared" si="130"/>
        <v>#DIV/0!</v>
      </c>
      <c r="BF165" s="9">
        <f t="shared" si="131"/>
        <v>1</v>
      </c>
      <c r="BG165" s="9">
        <f t="shared" si="132"/>
        <v>-0.75</v>
      </c>
      <c r="BH165" s="9">
        <f t="shared" si="133"/>
        <v>1</v>
      </c>
      <c r="BI165" s="12" t="e">
        <f t="shared" si="134"/>
        <v>#DIV/0!</v>
      </c>
      <c r="BJ165" s="13" t="e">
        <f t="shared" si="135"/>
        <v>#DIV/0!</v>
      </c>
      <c r="BK165" s="1">
        <f t="shared" si="136"/>
        <v>1</v>
      </c>
      <c r="BL165" s="1">
        <f t="shared" si="137"/>
        <v>-1</v>
      </c>
      <c r="BM165" s="1">
        <f t="shared" si="138"/>
        <v>2</v>
      </c>
      <c r="BN165" s="1">
        <f t="shared" si="139"/>
        <v>2</v>
      </c>
      <c r="BO165" s="1">
        <f t="shared" si="140"/>
        <v>-3</v>
      </c>
      <c r="BP165" s="1">
        <f t="shared" si="141"/>
        <v>1</v>
      </c>
      <c r="BQ165" s="19">
        <f t="shared" si="142"/>
        <v>0.33333333333333331</v>
      </c>
      <c r="BR165" s="17">
        <f t="shared" si="143"/>
        <v>1</v>
      </c>
    </row>
    <row r="166" spans="1:70" x14ac:dyDescent="0.25">
      <c r="A166" t="s">
        <v>179</v>
      </c>
      <c r="B166">
        <v>53</v>
      </c>
      <c r="C166">
        <v>41</v>
      </c>
      <c r="D166">
        <v>52</v>
      </c>
      <c r="E166">
        <v>71</v>
      </c>
      <c r="F166">
        <v>69</v>
      </c>
      <c r="G166">
        <v>53</v>
      </c>
      <c r="H166">
        <v>57</v>
      </c>
      <c r="I166">
        <v>13</v>
      </c>
      <c r="J166">
        <v>14</v>
      </c>
      <c r="K166">
        <v>15</v>
      </c>
      <c r="L166">
        <v>23</v>
      </c>
      <c r="M166">
        <v>22</v>
      </c>
      <c r="N166">
        <v>19</v>
      </c>
      <c r="O166">
        <v>30</v>
      </c>
      <c r="P166">
        <v>40</v>
      </c>
      <c r="Q166">
        <v>27</v>
      </c>
      <c r="R166">
        <v>37</v>
      </c>
      <c r="S166">
        <v>48</v>
      </c>
      <c r="T166">
        <v>47</v>
      </c>
      <c r="U166">
        <v>34</v>
      </c>
      <c r="V166">
        <v>27</v>
      </c>
      <c r="W166" s="8">
        <f t="shared" si="96"/>
        <v>-0.22641509433962265</v>
      </c>
      <c r="X166" s="8">
        <f t="shared" si="97"/>
        <v>0.26829268292682928</v>
      </c>
      <c r="Y166" s="8">
        <f t="shared" si="98"/>
        <v>0.36538461538461536</v>
      </c>
      <c r="Z166" s="8">
        <f t="shared" si="99"/>
        <v>-2.8169014084507043E-2</v>
      </c>
      <c r="AA166" s="8">
        <f t="shared" si="100"/>
        <v>-0.2318840579710145</v>
      </c>
      <c r="AB166" s="8">
        <f t="shared" si="101"/>
        <v>7.5471698113207544E-2</v>
      </c>
      <c r="AC166" s="12">
        <f t="shared" si="102"/>
        <v>3.7113471671584665E-2</v>
      </c>
      <c r="AD166" s="12">
        <f t="shared" si="103"/>
        <v>2.3651342014350252E-2</v>
      </c>
      <c r="AE166" s="1">
        <f t="shared" si="104"/>
        <v>-12</v>
      </c>
      <c r="AF166" s="1">
        <f t="shared" si="105"/>
        <v>11</v>
      </c>
      <c r="AG166" s="1">
        <f t="shared" si="106"/>
        <v>19</v>
      </c>
      <c r="AH166" s="1">
        <f t="shared" si="107"/>
        <v>-2</v>
      </c>
      <c r="AI166" s="1">
        <f t="shared" si="108"/>
        <v>-16</v>
      </c>
      <c r="AJ166" s="1">
        <f t="shared" si="109"/>
        <v>4</v>
      </c>
      <c r="AK166" s="17">
        <f t="shared" si="110"/>
        <v>0.66666666666666663</v>
      </c>
      <c r="AL166" s="17">
        <f t="shared" si="111"/>
        <v>1</v>
      </c>
      <c r="AM166" s="1">
        <f t="shared" si="112"/>
        <v>7.6923076923076927E-2</v>
      </c>
      <c r="AN166" s="1">
        <f t="shared" si="113"/>
        <v>7.1428571428571425E-2</v>
      </c>
      <c r="AO166" s="1">
        <f t="shared" si="114"/>
        <v>0.53333333333333333</v>
      </c>
      <c r="AP166" s="1">
        <f t="shared" si="115"/>
        <v>-4.3478260869565216E-2</v>
      </c>
      <c r="AQ166" s="1">
        <f t="shared" si="116"/>
        <v>-0.13636363636363635</v>
      </c>
      <c r="AR166" s="1">
        <f t="shared" si="117"/>
        <v>0.57894736842105265</v>
      </c>
      <c r="AS166" s="12">
        <f t="shared" si="118"/>
        <v>0.18013174214547215</v>
      </c>
      <c r="AT166" s="12">
        <f t="shared" si="119"/>
        <v>7.4175824175824176E-2</v>
      </c>
      <c r="AU166" s="1">
        <f t="shared" si="120"/>
        <v>1</v>
      </c>
      <c r="AV166" s="1">
        <f t="shared" si="121"/>
        <v>1</v>
      </c>
      <c r="AW166" s="1">
        <f t="shared" si="122"/>
        <v>8</v>
      </c>
      <c r="AX166" s="1">
        <f t="shared" si="123"/>
        <v>-1</v>
      </c>
      <c r="AY166" s="1">
        <f t="shared" si="124"/>
        <v>-3</v>
      </c>
      <c r="AZ166" s="1">
        <f t="shared" si="125"/>
        <v>11</v>
      </c>
      <c r="BA166" s="19">
        <f t="shared" si="126"/>
        <v>2.8333333333333335</v>
      </c>
      <c r="BB166" s="19">
        <f t="shared" si="127"/>
        <v>1</v>
      </c>
      <c r="BC166" s="9">
        <f t="shared" si="128"/>
        <v>-0.32500000000000001</v>
      </c>
      <c r="BD166" s="9">
        <f t="shared" si="129"/>
        <v>0.37037037037037035</v>
      </c>
      <c r="BE166" s="9">
        <f t="shared" si="130"/>
        <v>0.29729729729729731</v>
      </c>
      <c r="BF166" s="9">
        <f t="shared" si="131"/>
        <v>-2.0833333333333332E-2</v>
      </c>
      <c r="BG166" s="9">
        <f t="shared" si="132"/>
        <v>-0.27659574468085107</v>
      </c>
      <c r="BH166" s="9">
        <f t="shared" si="133"/>
        <v>-0.20588235294117646</v>
      </c>
      <c r="BI166" s="12">
        <f t="shared" si="134"/>
        <v>-2.6773960547948866E-2</v>
      </c>
      <c r="BJ166" s="13">
        <f t="shared" si="135"/>
        <v>-0.1133578431372549</v>
      </c>
      <c r="BK166" s="1">
        <f t="shared" si="136"/>
        <v>-13</v>
      </c>
      <c r="BL166" s="1">
        <f t="shared" si="137"/>
        <v>10</v>
      </c>
      <c r="BM166" s="1">
        <f t="shared" si="138"/>
        <v>11</v>
      </c>
      <c r="BN166" s="1">
        <f t="shared" si="139"/>
        <v>-1</v>
      </c>
      <c r="BO166" s="1">
        <f t="shared" si="140"/>
        <v>-13</v>
      </c>
      <c r="BP166" s="1">
        <f t="shared" si="141"/>
        <v>-7</v>
      </c>
      <c r="BQ166" s="19">
        <f t="shared" si="142"/>
        <v>-2.1666666666666665</v>
      </c>
      <c r="BR166" s="17">
        <f t="shared" si="143"/>
        <v>-4</v>
      </c>
    </row>
    <row r="167" spans="1:70" x14ac:dyDescent="0.25">
      <c r="A167" t="s">
        <v>218</v>
      </c>
      <c r="B167">
        <v>27</v>
      </c>
      <c r="C167">
        <v>38</v>
      </c>
      <c r="D167">
        <v>28</v>
      </c>
      <c r="E167">
        <v>17</v>
      </c>
      <c r="F167">
        <v>32</v>
      </c>
      <c r="G167">
        <v>24</v>
      </c>
      <c r="H167">
        <v>31</v>
      </c>
      <c r="I167">
        <v>17</v>
      </c>
      <c r="J167">
        <v>27</v>
      </c>
      <c r="K167">
        <v>18</v>
      </c>
      <c r="L167">
        <v>13</v>
      </c>
      <c r="M167">
        <v>19</v>
      </c>
      <c r="N167">
        <v>16</v>
      </c>
      <c r="O167">
        <v>25</v>
      </c>
      <c r="P167">
        <v>10</v>
      </c>
      <c r="Q167">
        <v>11</v>
      </c>
      <c r="R167">
        <v>10</v>
      </c>
      <c r="S167">
        <v>4</v>
      </c>
      <c r="T167">
        <v>13</v>
      </c>
      <c r="U167">
        <v>8</v>
      </c>
      <c r="V167">
        <v>6</v>
      </c>
      <c r="W167" s="8">
        <f t="shared" si="96"/>
        <v>0.40740740740740738</v>
      </c>
      <c r="X167" s="8">
        <f t="shared" si="97"/>
        <v>-0.26315789473684209</v>
      </c>
      <c r="Y167" s="8">
        <f t="shared" si="98"/>
        <v>-0.39285714285714285</v>
      </c>
      <c r="Z167" s="8">
        <f t="shared" si="99"/>
        <v>0.88235294117647056</v>
      </c>
      <c r="AA167" s="8">
        <f t="shared" si="100"/>
        <v>-0.25</v>
      </c>
      <c r="AB167" s="8">
        <f t="shared" si="101"/>
        <v>0.29166666666666669</v>
      </c>
      <c r="AC167" s="12">
        <f t="shared" si="102"/>
        <v>0.11256866294275995</v>
      </c>
      <c r="AD167" s="12">
        <f t="shared" si="103"/>
        <v>2.083333333333337E-2</v>
      </c>
      <c r="AE167" s="1">
        <f t="shared" si="104"/>
        <v>11</v>
      </c>
      <c r="AF167" s="1">
        <f t="shared" si="105"/>
        <v>-10</v>
      </c>
      <c r="AG167" s="1">
        <f t="shared" si="106"/>
        <v>-11</v>
      </c>
      <c r="AH167" s="1">
        <f t="shared" si="107"/>
        <v>15</v>
      </c>
      <c r="AI167" s="1">
        <f t="shared" si="108"/>
        <v>-8</v>
      </c>
      <c r="AJ167" s="1">
        <f t="shared" si="109"/>
        <v>7</v>
      </c>
      <c r="AK167" s="17">
        <f t="shared" si="110"/>
        <v>0.66666666666666663</v>
      </c>
      <c r="AL167" s="17">
        <f t="shared" si="111"/>
        <v>-0.5</v>
      </c>
      <c r="AM167" s="1">
        <f t="shared" si="112"/>
        <v>0.58823529411764708</v>
      </c>
      <c r="AN167" s="1">
        <f t="shared" si="113"/>
        <v>-0.33333333333333331</v>
      </c>
      <c r="AO167" s="1">
        <f t="shared" si="114"/>
        <v>-0.27777777777777779</v>
      </c>
      <c r="AP167" s="1">
        <f t="shared" si="115"/>
        <v>0.46153846153846156</v>
      </c>
      <c r="AQ167" s="1">
        <f t="shared" si="116"/>
        <v>-0.15789473684210525</v>
      </c>
      <c r="AR167" s="1">
        <f t="shared" si="117"/>
        <v>0.5625</v>
      </c>
      <c r="AS167" s="12">
        <f t="shared" si="118"/>
        <v>0.14054465128381538</v>
      </c>
      <c r="AT167" s="12">
        <f t="shared" si="119"/>
        <v>0.15182186234817813</v>
      </c>
      <c r="AU167" s="1">
        <f t="shared" si="120"/>
        <v>10</v>
      </c>
      <c r="AV167" s="1">
        <f t="shared" si="121"/>
        <v>-9</v>
      </c>
      <c r="AW167" s="1">
        <f t="shared" si="122"/>
        <v>-5</v>
      </c>
      <c r="AX167" s="1">
        <f t="shared" si="123"/>
        <v>6</v>
      </c>
      <c r="AY167" s="1">
        <f t="shared" si="124"/>
        <v>-3</v>
      </c>
      <c r="AZ167" s="1">
        <f t="shared" si="125"/>
        <v>9</v>
      </c>
      <c r="BA167" s="19">
        <f t="shared" si="126"/>
        <v>1.3333333333333333</v>
      </c>
      <c r="BB167" s="19">
        <f t="shared" si="127"/>
        <v>1.5</v>
      </c>
      <c r="BC167" s="9">
        <f t="shared" si="128"/>
        <v>0.1</v>
      </c>
      <c r="BD167" s="9">
        <f t="shared" si="129"/>
        <v>-9.0909090909090912E-2</v>
      </c>
      <c r="BE167" s="9">
        <f t="shared" si="130"/>
        <v>-0.6</v>
      </c>
      <c r="BF167" s="9">
        <f t="shared" si="131"/>
        <v>2.25</v>
      </c>
      <c r="BG167" s="9">
        <f t="shared" si="132"/>
        <v>-0.38461538461538464</v>
      </c>
      <c r="BH167" s="9">
        <f t="shared" si="133"/>
        <v>-0.25</v>
      </c>
      <c r="BI167" s="12">
        <f t="shared" si="134"/>
        <v>0.17074592074592077</v>
      </c>
      <c r="BJ167" s="13">
        <f t="shared" si="135"/>
        <v>-0.17045454545454547</v>
      </c>
      <c r="BK167" s="1">
        <f t="shared" si="136"/>
        <v>1</v>
      </c>
      <c r="BL167" s="1">
        <f t="shared" si="137"/>
        <v>-1</v>
      </c>
      <c r="BM167" s="1">
        <f t="shared" si="138"/>
        <v>-6</v>
      </c>
      <c r="BN167" s="1">
        <f t="shared" si="139"/>
        <v>9</v>
      </c>
      <c r="BO167" s="1">
        <f t="shared" si="140"/>
        <v>-5</v>
      </c>
      <c r="BP167" s="1">
        <f t="shared" si="141"/>
        <v>-2</v>
      </c>
      <c r="BQ167" s="19">
        <f t="shared" si="142"/>
        <v>-0.66666666666666663</v>
      </c>
      <c r="BR167" s="17">
        <f t="shared" si="143"/>
        <v>-1.5</v>
      </c>
    </row>
    <row r="168" spans="1:70" x14ac:dyDescent="0.25">
      <c r="A168" t="s">
        <v>294</v>
      </c>
      <c r="B168">
        <v>12</v>
      </c>
      <c r="C168">
        <v>12</v>
      </c>
      <c r="D168">
        <v>22</v>
      </c>
      <c r="E168">
        <v>21</v>
      </c>
      <c r="F168">
        <v>13</v>
      </c>
      <c r="G168">
        <v>11</v>
      </c>
      <c r="H168">
        <v>16</v>
      </c>
      <c r="I168">
        <v>9</v>
      </c>
      <c r="J168">
        <v>6</v>
      </c>
      <c r="K168">
        <v>16</v>
      </c>
      <c r="L168">
        <v>11</v>
      </c>
      <c r="M168">
        <v>7</v>
      </c>
      <c r="N168">
        <v>7</v>
      </c>
      <c r="O168">
        <v>12</v>
      </c>
      <c r="P168">
        <v>3</v>
      </c>
      <c r="Q168">
        <v>6</v>
      </c>
      <c r="R168">
        <v>6</v>
      </c>
      <c r="S168">
        <v>10</v>
      </c>
      <c r="T168">
        <v>6</v>
      </c>
      <c r="U168">
        <v>4</v>
      </c>
      <c r="V168">
        <v>4</v>
      </c>
      <c r="W168" s="8">
        <f t="shared" si="96"/>
        <v>0</v>
      </c>
      <c r="X168" s="8">
        <f t="shared" si="97"/>
        <v>0.83333333333333337</v>
      </c>
      <c r="Y168" s="8">
        <f t="shared" si="98"/>
        <v>-4.5454545454545456E-2</v>
      </c>
      <c r="Z168" s="8">
        <f t="shared" si="99"/>
        <v>-0.38095238095238093</v>
      </c>
      <c r="AA168" s="8">
        <f t="shared" si="100"/>
        <v>-0.15384615384615385</v>
      </c>
      <c r="AB168" s="8">
        <f t="shared" si="101"/>
        <v>0.45454545454545453</v>
      </c>
      <c r="AC168" s="12">
        <f t="shared" si="102"/>
        <v>0.11793761793761796</v>
      </c>
      <c r="AD168" s="12">
        <f t="shared" si="103"/>
        <v>-2.2727272727272728E-2</v>
      </c>
      <c r="AE168" s="1">
        <f t="shared" si="104"/>
        <v>0</v>
      </c>
      <c r="AF168" s="1">
        <f t="shared" si="105"/>
        <v>10</v>
      </c>
      <c r="AG168" s="1">
        <f t="shared" si="106"/>
        <v>-1</v>
      </c>
      <c r="AH168" s="1">
        <f t="shared" si="107"/>
        <v>-8</v>
      </c>
      <c r="AI168" s="1">
        <f t="shared" si="108"/>
        <v>-2</v>
      </c>
      <c r="AJ168" s="1">
        <f t="shared" si="109"/>
        <v>5</v>
      </c>
      <c r="AK168" s="17">
        <f t="shared" si="110"/>
        <v>0.66666666666666663</v>
      </c>
      <c r="AL168" s="17">
        <f t="shared" si="111"/>
        <v>-0.5</v>
      </c>
      <c r="AM168" s="1">
        <f t="shared" si="112"/>
        <v>-0.33333333333333331</v>
      </c>
      <c r="AN168" s="1">
        <f t="shared" si="113"/>
        <v>1.6666666666666667</v>
      </c>
      <c r="AO168" s="1">
        <f t="shared" si="114"/>
        <v>-0.3125</v>
      </c>
      <c r="AP168" s="1">
        <f t="shared" si="115"/>
        <v>-0.36363636363636365</v>
      </c>
      <c r="AQ168" s="1">
        <f t="shared" si="116"/>
        <v>0</v>
      </c>
      <c r="AR168" s="1">
        <f t="shared" si="117"/>
        <v>0.7142857142857143</v>
      </c>
      <c r="AS168" s="12">
        <f t="shared" si="118"/>
        <v>0.22858044733044736</v>
      </c>
      <c r="AT168" s="12">
        <f t="shared" si="119"/>
        <v>-0.15625</v>
      </c>
      <c r="AU168" s="1">
        <f t="shared" si="120"/>
        <v>-3</v>
      </c>
      <c r="AV168" s="1">
        <f t="shared" si="121"/>
        <v>10</v>
      </c>
      <c r="AW168" s="1">
        <f t="shared" si="122"/>
        <v>-5</v>
      </c>
      <c r="AX168" s="1">
        <f t="shared" si="123"/>
        <v>-4</v>
      </c>
      <c r="AY168" s="1">
        <f t="shared" si="124"/>
        <v>0</v>
      </c>
      <c r="AZ168" s="1">
        <f t="shared" si="125"/>
        <v>5</v>
      </c>
      <c r="BA168" s="19">
        <f t="shared" si="126"/>
        <v>0.5</v>
      </c>
      <c r="BB168" s="19">
        <f t="shared" si="127"/>
        <v>-1.5</v>
      </c>
      <c r="BC168" s="9">
        <f t="shared" si="128"/>
        <v>1</v>
      </c>
      <c r="BD168" s="9">
        <f t="shared" si="129"/>
        <v>0</v>
      </c>
      <c r="BE168" s="9">
        <f t="shared" si="130"/>
        <v>0.66666666666666663</v>
      </c>
      <c r="BF168" s="9">
        <f t="shared" si="131"/>
        <v>-0.4</v>
      </c>
      <c r="BG168" s="9">
        <f t="shared" si="132"/>
        <v>-0.33333333333333331</v>
      </c>
      <c r="BH168" s="9">
        <f t="shared" si="133"/>
        <v>0</v>
      </c>
      <c r="BI168" s="12">
        <f t="shared" si="134"/>
        <v>0.15555555555555556</v>
      </c>
      <c r="BJ168" s="13">
        <f t="shared" si="135"/>
        <v>0</v>
      </c>
      <c r="BK168" s="1">
        <f t="shared" si="136"/>
        <v>3</v>
      </c>
      <c r="BL168" s="1">
        <f t="shared" si="137"/>
        <v>0</v>
      </c>
      <c r="BM168" s="1">
        <f t="shared" si="138"/>
        <v>4</v>
      </c>
      <c r="BN168" s="1">
        <f t="shared" si="139"/>
        <v>-4</v>
      </c>
      <c r="BO168" s="1">
        <f t="shared" si="140"/>
        <v>-2</v>
      </c>
      <c r="BP168" s="1">
        <f t="shared" si="141"/>
        <v>0</v>
      </c>
      <c r="BQ168" s="19">
        <f t="shared" si="142"/>
        <v>0.16666666666666666</v>
      </c>
      <c r="BR168" s="17">
        <f t="shared" si="143"/>
        <v>0</v>
      </c>
    </row>
    <row r="169" spans="1:70" x14ac:dyDescent="0.25">
      <c r="A169" t="s">
        <v>308</v>
      </c>
      <c r="B169">
        <v>10</v>
      </c>
      <c r="C169">
        <v>5</v>
      </c>
      <c r="D169">
        <v>7</v>
      </c>
      <c r="E169">
        <v>5</v>
      </c>
      <c r="F169">
        <v>13</v>
      </c>
      <c r="G169">
        <v>12</v>
      </c>
      <c r="H169">
        <v>14</v>
      </c>
      <c r="I169">
        <v>10</v>
      </c>
      <c r="J169">
        <v>4</v>
      </c>
      <c r="K169">
        <v>7</v>
      </c>
      <c r="L169">
        <v>5</v>
      </c>
      <c r="M169">
        <v>12</v>
      </c>
      <c r="N169">
        <v>10</v>
      </c>
      <c r="O169">
        <v>14</v>
      </c>
      <c r="Q169">
        <v>1</v>
      </c>
      <c r="T169">
        <v>1</v>
      </c>
      <c r="U169">
        <v>2</v>
      </c>
      <c r="W169" s="8">
        <f t="shared" si="96"/>
        <v>-0.5</v>
      </c>
      <c r="X169" s="8">
        <f t="shared" si="97"/>
        <v>0.4</v>
      </c>
      <c r="Y169" s="8">
        <f t="shared" si="98"/>
        <v>-0.2857142857142857</v>
      </c>
      <c r="Z169" s="8">
        <f t="shared" si="99"/>
        <v>1.6</v>
      </c>
      <c r="AA169" s="8">
        <f t="shared" si="100"/>
        <v>-7.6923076923076927E-2</v>
      </c>
      <c r="AB169" s="8">
        <f t="shared" si="101"/>
        <v>0.16666666666666666</v>
      </c>
      <c r="AC169" s="12">
        <f t="shared" si="102"/>
        <v>0.21733821733821737</v>
      </c>
      <c r="AD169" s="12">
        <f t="shared" si="103"/>
        <v>4.4871794871794865E-2</v>
      </c>
      <c r="AE169" s="1">
        <f t="shared" si="104"/>
        <v>-5</v>
      </c>
      <c r="AF169" s="1">
        <f t="shared" si="105"/>
        <v>2</v>
      </c>
      <c r="AG169" s="1">
        <f t="shared" si="106"/>
        <v>-2</v>
      </c>
      <c r="AH169" s="1">
        <f t="shared" si="107"/>
        <v>8</v>
      </c>
      <c r="AI169" s="1">
        <f t="shared" si="108"/>
        <v>-1</v>
      </c>
      <c r="AJ169" s="1">
        <f t="shared" si="109"/>
        <v>2</v>
      </c>
      <c r="AK169" s="17">
        <f t="shared" si="110"/>
        <v>0.66666666666666663</v>
      </c>
      <c r="AL169" s="17">
        <f t="shared" si="111"/>
        <v>0.5</v>
      </c>
      <c r="AM169" s="1">
        <f t="shared" si="112"/>
        <v>-0.6</v>
      </c>
      <c r="AN169" s="1">
        <f t="shared" si="113"/>
        <v>0.75</v>
      </c>
      <c r="AO169" s="1">
        <f t="shared" si="114"/>
        <v>-0.2857142857142857</v>
      </c>
      <c r="AP169" s="1">
        <f t="shared" si="115"/>
        <v>1.4</v>
      </c>
      <c r="AQ169" s="1">
        <f t="shared" si="116"/>
        <v>-0.16666666666666666</v>
      </c>
      <c r="AR169" s="1">
        <f t="shared" si="117"/>
        <v>0.4</v>
      </c>
      <c r="AS169" s="12">
        <f t="shared" si="118"/>
        <v>0.2496031746031746</v>
      </c>
      <c r="AT169" s="12">
        <f t="shared" si="119"/>
        <v>0.11666666666666667</v>
      </c>
      <c r="AU169" s="1">
        <f t="shared" si="120"/>
        <v>-6</v>
      </c>
      <c r="AV169" s="1">
        <f t="shared" si="121"/>
        <v>3</v>
      </c>
      <c r="AW169" s="1">
        <f t="shared" si="122"/>
        <v>-2</v>
      </c>
      <c r="AX169" s="1">
        <f t="shared" si="123"/>
        <v>7</v>
      </c>
      <c r="AY169" s="1">
        <f t="shared" si="124"/>
        <v>-2</v>
      </c>
      <c r="AZ169" s="1">
        <f t="shared" si="125"/>
        <v>4</v>
      </c>
      <c r="BA169" s="19">
        <f t="shared" si="126"/>
        <v>0.66666666666666663</v>
      </c>
      <c r="BB169" s="19">
        <f t="shared" si="127"/>
        <v>0.5</v>
      </c>
      <c r="BC169" s="9" t="e">
        <f t="shared" si="128"/>
        <v>#DIV/0!</v>
      </c>
      <c r="BD169" s="9">
        <f t="shared" si="129"/>
        <v>-1</v>
      </c>
      <c r="BE169" s="9" t="e">
        <f t="shared" si="130"/>
        <v>#DIV/0!</v>
      </c>
      <c r="BF169" s="9" t="e">
        <f t="shared" si="131"/>
        <v>#DIV/0!</v>
      </c>
      <c r="BG169" s="9">
        <f t="shared" si="132"/>
        <v>1</v>
      </c>
      <c r="BH169" s="9">
        <f t="shared" si="133"/>
        <v>-1</v>
      </c>
      <c r="BI169" s="12" t="e">
        <f t="shared" si="134"/>
        <v>#DIV/0!</v>
      </c>
      <c r="BJ169" s="13" t="e">
        <f t="shared" si="135"/>
        <v>#DIV/0!</v>
      </c>
      <c r="BK169" s="1">
        <f t="shared" si="136"/>
        <v>1</v>
      </c>
      <c r="BL169" s="1">
        <f t="shared" si="137"/>
        <v>-1</v>
      </c>
      <c r="BM169" s="1">
        <f t="shared" si="138"/>
        <v>0</v>
      </c>
      <c r="BN169" s="1">
        <f t="shared" si="139"/>
        <v>1</v>
      </c>
      <c r="BO169" s="1">
        <f t="shared" si="140"/>
        <v>1</v>
      </c>
      <c r="BP169" s="1">
        <f t="shared" si="141"/>
        <v>-2</v>
      </c>
      <c r="BQ169" s="19">
        <f t="shared" si="142"/>
        <v>0</v>
      </c>
      <c r="BR169" s="17">
        <f t="shared" si="143"/>
        <v>0.5</v>
      </c>
    </row>
    <row r="170" spans="1:70" x14ac:dyDescent="0.25">
      <c r="A170" t="s">
        <v>316</v>
      </c>
      <c r="B170">
        <v>10</v>
      </c>
      <c r="C170">
        <v>12</v>
      </c>
      <c r="D170">
        <v>13</v>
      </c>
      <c r="E170">
        <v>10</v>
      </c>
      <c r="F170">
        <v>9</v>
      </c>
      <c r="G170">
        <v>16</v>
      </c>
      <c r="H170">
        <v>14</v>
      </c>
      <c r="I170">
        <v>3</v>
      </c>
      <c r="J170">
        <v>7</v>
      </c>
      <c r="K170">
        <v>9</v>
      </c>
      <c r="L170">
        <v>3</v>
      </c>
      <c r="M170">
        <v>5</v>
      </c>
      <c r="N170">
        <v>7</v>
      </c>
      <c r="O170">
        <v>8</v>
      </c>
      <c r="P170">
        <v>7</v>
      </c>
      <c r="Q170">
        <v>5</v>
      </c>
      <c r="R170">
        <v>4</v>
      </c>
      <c r="S170">
        <v>7</v>
      </c>
      <c r="T170">
        <v>4</v>
      </c>
      <c r="U170">
        <v>9</v>
      </c>
      <c r="V170">
        <v>6</v>
      </c>
      <c r="W170" s="8">
        <f t="shared" si="96"/>
        <v>0.2</v>
      </c>
      <c r="X170" s="8">
        <f t="shared" si="97"/>
        <v>8.3333333333333329E-2</v>
      </c>
      <c r="Y170" s="8">
        <f t="shared" si="98"/>
        <v>-0.23076923076923078</v>
      </c>
      <c r="Z170" s="8">
        <f t="shared" si="99"/>
        <v>-0.1</v>
      </c>
      <c r="AA170" s="8">
        <f t="shared" si="100"/>
        <v>0.77777777777777779</v>
      </c>
      <c r="AB170" s="8">
        <f t="shared" si="101"/>
        <v>-0.125</v>
      </c>
      <c r="AC170" s="12">
        <f t="shared" si="102"/>
        <v>0.10089031339031339</v>
      </c>
      <c r="AD170" s="12">
        <f t="shared" si="103"/>
        <v>-8.3333333333333315E-3</v>
      </c>
      <c r="AE170" s="1">
        <f t="shared" si="104"/>
        <v>2</v>
      </c>
      <c r="AF170" s="1">
        <f t="shared" si="105"/>
        <v>1</v>
      </c>
      <c r="AG170" s="1">
        <f t="shared" si="106"/>
        <v>-3</v>
      </c>
      <c r="AH170" s="1">
        <f t="shared" si="107"/>
        <v>-1</v>
      </c>
      <c r="AI170" s="1">
        <f t="shared" si="108"/>
        <v>7</v>
      </c>
      <c r="AJ170" s="1">
        <f t="shared" si="109"/>
        <v>-2</v>
      </c>
      <c r="AK170" s="17">
        <f t="shared" si="110"/>
        <v>0.66666666666666663</v>
      </c>
      <c r="AL170" s="17">
        <f t="shared" si="111"/>
        <v>0</v>
      </c>
      <c r="AM170" s="1">
        <f t="shared" si="112"/>
        <v>1.3333333333333333</v>
      </c>
      <c r="AN170" s="1">
        <f t="shared" si="113"/>
        <v>0.2857142857142857</v>
      </c>
      <c r="AO170" s="1">
        <f t="shared" si="114"/>
        <v>-0.66666666666666663</v>
      </c>
      <c r="AP170" s="1">
        <f t="shared" si="115"/>
        <v>0.66666666666666663</v>
      </c>
      <c r="AQ170" s="1">
        <f t="shared" si="116"/>
        <v>0.4</v>
      </c>
      <c r="AR170" s="1">
        <f t="shared" si="117"/>
        <v>0.14285714285714285</v>
      </c>
      <c r="AS170" s="12">
        <f t="shared" si="118"/>
        <v>0.36031746031746031</v>
      </c>
      <c r="AT170" s="12">
        <f t="shared" si="119"/>
        <v>0.34285714285714286</v>
      </c>
      <c r="AU170" s="1">
        <f t="shared" si="120"/>
        <v>4</v>
      </c>
      <c r="AV170" s="1">
        <f t="shared" si="121"/>
        <v>2</v>
      </c>
      <c r="AW170" s="1">
        <f t="shared" si="122"/>
        <v>-6</v>
      </c>
      <c r="AX170" s="1">
        <f t="shared" si="123"/>
        <v>2</v>
      </c>
      <c r="AY170" s="1">
        <f t="shared" si="124"/>
        <v>2</v>
      </c>
      <c r="AZ170" s="1">
        <f t="shared" si="125"/>
        <v>1</v>
      </c>
      <c r="BA170" s="19">
        <f t="shared" si="126"/>
        <v>0.83333333333333337</v>
      </c>
      <c r="BB170" s="19">
        <f t="shared" si="127"/>
        <v>2</v>
      </c>
      <c r="BC170" s="9">
        <f t="shared" si="128"/>
        <v>-0.2857142857142857</v>
      </c>
      <c r="BD170" s="9">
        <f t="shared" si="129"/>
        <v>-0.2</v>
      </c>
      <c r="BE170" s="9">
        <f t="shared" si="130"/>
        <v>0.75</v>
      </c>
      <c r="BF170" s="9">
        <f t="shared" si="131"/>
        <v>-0.42857142857142855</v>
      </c>
      <c r="BG170" s="9">
        <f t="shared" si="132"/>
        <v>1.25</v>
      </c>
      <c r="BH170" s="9">
        <f t="shared" si="133"/>
        <v>-0.33333333333333331</v>
      </c>
      <c r="BI170" s="12">
        <f t="shared" si="134"/>
        <v>0.12539682539682542</v>
      </c>
      <c r="BJ170" s="13">
        <f t="shared" si="135"/>
        <v>-0.24285714285714285</v>
      </c>
      <c r="BK170" s="1">
        <f t="shared" si="136"/>
        <v>-2</v>
      </c>
      <c r="BL170" s="1">
        <f t="shared" si="137"/>
        <v>-1</v>
      </c>
      <c r="BM170" s="1">
        <f t="shared" si="138"/>
        <v>3</v>
      </c>
      <c r="BN170" s="1">
        <f t="shared" si="139"/>
        <v>-3</v>
      </c>
      <c r="BO170" s="1">
        <f t="shared" si="140"/>
        <v>5</v>
      </c>
      <c r="BP170" s="1">
        <f t="shared" si="141"/>
        <v>-3</v>
      </c>
      <c r="BQ170" s="19">
        <f t="shared" si="142"/>
        <v>-0.16666666666666666</v>
      </c>
      <c r="BR170" s="17">
        <f t="shared" si="143"/>
        <v>-1.5</v>
      </c>
    </row>
    <row r="171" spans="1:70" x14ac:dyDescent="0.25">
      <c r="A171" t="s">
        <v>320</v>
      </c>
      <c r="B171">
        <v>9</v>
      </c>
      <c r="C171">
        <v>11</v>
      </c>
      <c r="D171">
        <v>10</v>
      </c>
      <c r="E171">
        <v>7</v>
      </c>
      <c r="F171">
        <v>8</v>
      </c>
      <c r="G171">
        <v>10</v>
      </c>
      <c r="H171">
        <v>13</v>
      </c>
      <c r="I171">
        <v>5</v>
      </c>
      <c r="J171">
        <v>8</v>
      </c>
      <c r="K171">
        <v>6</v>
      </c>
      <c r="L171">
        <v>6</v>
      </c>
      <c r="M171">
        <v>6</v>
      </c>
      <c r="N171">
        <v>6</v>
      </c>
      <c r="O171">
        <v>9</v>
      </c>
      <c r="P171">
        <v>4</v>
      </c>
      <c r="Q171">
        <v>3</v>
      </c>
      <c r="R171">
        <v>4</v>
      </c>
      <c r="S171">
        <v>1</v>
      </c>
      <c r="T171">
        <v>2</v>
      </c>
      <c r="U171">
        <v>4</v>
      </c>
      <c r="V171">
        <v>4</v>
      </c>
      <c r="W171" s="8">
        <f t="shared" si="96"/>
        <v>0.22222222222222221</v>
      </c>
      <c r="X171" s="8">
        <f t="shared" si="97"/>
        <v>-9.0909090909090912E-2</v>
      </c>
      <c r="Y171" s="8">
        <f t="shared" si="98"/>
        <v>-0.3</v>
      </c>
      <c r="Z171" s="8">
        <f t="shared" si="99"/>
        <v>0.14285714285714285</v>
      </c>
      <c r="AA171" s="8">
        <f t="shared" si="100"/>
        <v>0.25</v>
      </c>
      <c r="AB171" s="8">
        <f t="shared" si="101"/>
        <v>0.3</v>
      </c>
      <c r="AC171" s="12">
        <f t="shared" si="102"/>
        <v>8.7361712361712363E-2</v>
      </c>
      <c r="AD171" s="12">
        <f t="shared" si="103"/>
        <v>0.18253968253968253</v>
      </c>
      <c r="AE171" s="1">
        <f t="shared" si="104"/>
        <v>2</v>
      </c>
      <c r="AF171" s="1">
        <f t="shared" si="105"/>
        <v>-1</v>
      </c>
      <c r="AG171" s="1">
        <f t="shared" si="106"/>
        <v>-3</v>
      </c>
      <c r="AH171" s="1">
        <f t="shared" si="107"/>
        <v>1</v>
      </c>
      <c r="AI171" s="1">
        <f t="shared" si="108"/>
        <v>2</v>
      </c>
      <c r="AJ171" s="1">
        <f t="shared" si="109"/>
        <v>3</v>
      </c>
      <c r="AK171" s="17">
        <f t="shared" si="110"/>
        <v>0.66666666666666663</v>
      </c>
      <c r="AL171" s="17">
        <f t="shared" si="111"/>
        <v>1.5</v>
      </c>
      <c r="AM171" s="1">
        <f t="shared" si="112"/>
        <v>0.6</v>
      </c>
      <c r="AN171" s="1">
        <f t="shared" si="113"/>
        <v>-0.25</v>
      </c>
      <c r="AO171" s="1">
        <f t="shared" si="114"/>
        <v>0</v>
      </c>
      <c r="AP171" s="1">
        <f t="shared" si="115"/>
        <v>0</v>
      </c>
      <c r="AQ171" s="1">
        <f t="shared" si="116"/>
        <v>0</v>
      </c>
      <c r="AR171" s="1">
        <f t="shared" si="117"/>
        <v>0.5</v>
      </c>
      <c r="AS171" s="12">
        <f t="shared" si="118"/>
        <v>0.14166666666666666</v>
      </c>
      <c r="AT171" s="12">
        <f t="shared" si="119"/>
        <v>0</v>
      </c>
      <c r="AU171" s="1">
        <f t="shared" si="120"/>
        <v>3</v>
      </c>
      <c r="AV171" s="1">
        <f t="shared" si="121"/>
        <v>-2</v>
      </c>
      <c r="AW171" s="1">
        <f t="shared" si="122"/>
        <v>0</v>
      </c>
      <c r="AX171" s="1">
        <f t="shared" si="123"/>
        <v>0</v>
      </c>
      <c r="AY171" s="1">
        <f t="shared" si="124"/>
        <v>0</v>
      </c>
      <c r="AZ171" s="1">
        <f t="shared" si="125"/>
        <v>3</v>
      </c>
      <c r="BA171" s="19">
        <f t="shared" si="126"/>
        <v>0.66666666666666663</v>
      </c>
      <c r="BB171" s="19">
        <f t="shared" si="127"/>
        <v>0</v>
      </c>
      <c r="BC171" s="9">
        <f t="shared" si="128"/>
        <v>-0.25</v>
      </c>
      <c r="BD171" s="9">
        <f t="shared" si="129"/>
        <v>0.33333333333333331</v>
      </c>
      <c r="BE171" s="9">
        <f t="shared" si="130"/>
        <v>-0.75</v>
      </c>
      <c r="BF171" s="9">
        <f t="shared" si="131"/>
        <v>1</v>
      </c>
      <c r="BG171" s="9">
        <f t="shared" si="132"/>
        <v>1</v>
      </c>
      <c r="BH171" s="9">
        <f t="shared" si="133"/>
        <v>0</v>
      </c>
      <c r="BI171" s="12">
        <f t="shared" si="134"/>
        <v>0.22222222222222221</v>
      </c>
      <c r="BJ171" s="13">
        <f t="shared" si="135"/>
        <v>0.16666666666666666</v>
      </c>
      <c r="BK171" s="1">
        <f t="shared" si="136"/>
        <v>-1</v>
      </c>
      <c r="BL171" s="1">
        <f t="shared" si="137"/>
        <v>1</v>
      </c>
      <c r="BM171" s="1">
        <f t="shared" si="138"/>
        <v>-3</v>
      </c>
      <c r="BN171" s="1">
        <f t="shared" si="139"/>
        <v>1</v>
      </c>
      <c r="BO171" s="1">
        <f t="shared" si="140"/>
        <v>2</v>
      </c>
      <c r="BP171" s="1">
        <f t="shared" si="141"/>
        <v>0</v>
      </c>
      <c r="BQ171" s="19">
        <f t="shared" si="142"/>
        <v>0</v>
      </c>
      <c r="BR171" s="17">
        <f t="shared" si="143"/>
        <v>0.5</v>
      </c>
    </row>
    <row r="172" spans="1:70" x14ac:dyDescent="0.25">
      <c r="A172" t="s">
        <v>351</v>
      </c>
      <c r="B172">
        <v>7</v>
      </c>
      <c r="C172">
        <v>6</v>
      </c>
      <c r="D172">
        <v>3</v>
      </c>
      <c r="F172">
        <v>3</v>
      </c>
      <c r="G172">
        <v>6</v>
      </c>
      <c r="H172">
        <v>11</v>
      </c>
      <c r="I172">
        <v>3</v>
      </c>
      <c r="J172">
        <v>2</v>
      </c>
      <c r="M172">
        <v>2</v>
      </c>
      <c r="N172">
        <v>1</v>
      </c>
      <c r="O172">
        <v>4</v>
      </c>
      <c r="P172">
        <v>4</v>
      </c>
      <c r="Q172">
        <v>4</v>
      </c>
      <c r="R172">
        <v>3</v>
      </c>
      <c r="T172">
        <v>1</v>
      </c>
      <c r="U172">
        <v>5</v>
      </c>
      <c r="V172">
        <v>7</v>
      </c>
      <c r="W172" s="8">
        <f t="shared" si="96"/>
        <v>-0.14285714285714285</v>
      </c>
      <c r="X172" s="8">
        <f t="shared" si="97"/>
        <v>-0.5</v>
      </c>
      <c r="Y172" s="8">
        <f t="shared" si="98"/>
        <v>-1</v>
      </c>
      <c r="Z172" s="8" t="e">
        <f t="shared" si="99"/>
        <v>#DIV/0!</v>
      </c>
      <c r="AA172" s="8">
        <f t="shared" si="100"/>
        <v>1</v>
      </c>
      <c r="AB172" s="8">
        <f t="shared" si="101"/>
        <v>0.83333333333333337</v>
      </c>
      <c r="AC172" s="12" t="e">
        <f t="shared" si="102"/>
        <v>#DIV/0!</v>
      </c>
      <c r="AD172" s="12" t="e">
        <f t="shared" si="103"/>
        <v>#DIV/0!</v>
      </c>
      <c r="AE172" s="1">
        <f t="shared" si="104"/>
        <v>-1</v>
      </c>
      <c r="AF172" s="1">
        <f t="shared" si="105"/>
        <v>-3</v>
      </c>
      <c r="AG172" s="1">
        <f t="shared" si="106"/>
        <v>-3</v>
      </c>
      <c r="AH172" s="1">
        <f t="shared" si="107"/>
        <v>3</v>
      </c>
      <c r="AI172" s="1">
        <f t="shared" si="108"/>
        <v>3</v>
      </c>
      <c r="AJ172" s="1">
        <f t="shared" si="109"/>
        <v>5</v>
      </c>
      <c r="AK172" s="17">
        <f t="shared" si="110"/>
        <v>0.66666666666666663</v>
      </c>
      <c r="AL172" s="17">
        <f t="shared" si="111"/>
        <v>1</v>
      </c>
      <c r="AM172" s="1">
        <f t="shared" si="112"/>
        <v>-0.33333333333333331</v>
      </c>
      <c r="AN172" s="1">
        <f t="shared" si="113"/>
        <v>-1</v>
      </c>
      <c r="AO172" s="1" t="e">
        <f t="shared" si="114"/>
        <v>#DIV/0!</v>
      </c>
      <c r="AP172" s="1" t="e">
        <f t="shared" si="115"/>
        <v>#DIV/0!</v>
      </c>
      <c r="AQ172" s="1">
        <f t="shared" si="116"/>
        <v>-0.5</v>
      </c>
      <c r="AR172" s="1">
        <f t="shared" si="117"/>
        <v>3</v>
      </c>
      <c r="AS172" s="12" t="e">
        <f t="shared" si="118"/>
        <v>#DIV/0!</v>
      </c>
      <c r="AT172" s="12" t="e">
        <f t="shared" si="119"/>
        <v>#DIV/0!</v>
      </c>
      <c r="AU172" s="1">
        <f t="shared" si="120"/>
        <v>-1</v>
      </c>
      <c r="AV172" s="1">
        <f t="shared" si="121"/>
        <v>-2</v>
      </c>
      <c r="AW172" s="1">
        <f t="shared" si="122"/>
        <v>0</v>
      </c>
      <c r="AX172" s="1">
        <f t="shared" si="123"/>
        <v>2</v>
      </c>
      <c r="AY172" s="1">
        <f t="shared" si="124"/>
        <v>-1</v>
      </c>
      <c r="AZ172" s="1">
        <f t="shared" si="125"/>
        <v>3</v>
      </c>
      <c r="BA172" s="19">
        <f t="shared" si="126"/>
        <v>0.16666666666666666</v>
      </c>
      <c r="BB172" s="19">
        <f t="shared" si="127"/>
        <v>-0.5</v>
      </c>
      <c r="BC172" s="9">
        <f t="shared" si="128"/>
        <v>0</v>
      </c>
      <c r="BD172" s="9">
        <f t="shared" si="129"/>
        <v>-0.25</v>
      </c>
      <c r="BE172" s="9">
        <f t="shared" si="130"/>
        <v>-1</v>
      </c>
      <c r="BF172" s="9" t="e">
        <f t="shared" si="131"/>
        <v>#DIV/0!</v>
      </c>
      <c r="BG172" s="9">
        <f t="shared" si="132"/>
        <v>4</v>
      </c>
      <c r="BH172" s="9">
        <f t="shared" si="133"/>
        <v>0.4</v>
      </c>
      <c r="BI172" s="12" t="e">
        <f t="shared" si="134"/>
        <v>#DIV/0!</v>
      </c>
      <c r="BJ172" s="13" t="e">
        <f t="shared" si="135"/>
        <v>#DIV/0!</v>
      </c>
      <c r="BK172" s="1">
        <f t="shared" si="136"/>
        <v>0</v>
      </c>
      <c r="BL172" s="1">
        <f t="shared" si="137"/>
        <v>-1</v>
      </c>
      <c r="BM172" s="1">
        <f t="shared" si="138"/>
        <v>-3</v>
      </c>
      <c r="BN172" s="1">
        <f t="shared" si="139"/>
        <v>1</v>
      </c>
      <c r="BO172" s="1">
        <f t="shared" si="140"/>
        <v>4</v>
      </c>
      <c r="BP172" s="1">
        <f t="shared" si="141"/>
        <v>2</v>
      </c>
      <c r="BQ172" s="19">
        <f t="shared" si="142"/>
        <v>0.5</v>
      </c>
      <c r="BR172" s="17">
        <f t="shared" si="143"/>
        <v>0.5</v>
      </c>
    </row>
    <row r="173" spans="1:70" x14ac:dyDescent="0.25">
      <c r="A173" t="s">
        <v>376</v>
      </c>
      <c r="B173">
        <v>5</v>
      </c>
      <c r="C173">
        <v>1</v>
      </c>
      <c r="D173">
        <v>1</v>
      </c>
      <c r="E173">
        <v>15</v>
      </c>
      <c r="F173">
        <v>9</v>
      </c>
      <c r="G173">
        <v>9</v>
      </c>
      <c r="H173">
        <v>9</v>
      </c>
      <c r="I173">
        <v>3</v>
      </c>
      <c r="J173">
        <v>1</v>
      </c>
      <c r="L173">
        <v>10</v>
      </c>
      <c r="M173">
        <v>3</v>
      </c>
      <c r="N173">
        <v>6</v>
      </c>
      <c r="O173">
        <v>6</v>
      </c>
      <c r="P173">
        <v>2</v>
      </c>
      <c r="R173">
        <v>1</v>
      </c>
      <c r="S173">
        <v>5</v>
      </c>
      <c r="T173">
        <v>6</v>
      </c>
      <c r="U173">
        <v>3</v>
      </c>
      <c r="V173">
        <v>3</v>
      </c>
      <c r="W173" s="8">
        <f t="shared" si="96"/>
        <v>-0.8</v>
      </c>
      <c r="X173" s="8">
        <f t="shared" si="97"/>
        <v>0</v>
      </c>
      <c r="Y173" s="8">
        <f t="shared" si="98"/>
        <v>14</v>
      </c>
      <c r="Z173" s="8">
        <f t="shared" si="99"/>
        <v>-0.4</v>
      </c>
      <c r="AA173" s="8">
        <f t="shared" si="100"/>
        <v>0</v>
      </c>
      <c r="AB173" s="8">
        <f t="shared" si="101"/>
        <v>0</v>
      </c>
      <c r="AC173" s="12">
        <f t="shared" si="102"/>
        <v>2.1333333333333333</v>
      </c>
      <c r="AD173" s="12">
        <f t="shared" si="103"/>
        <v>0</v>
      </c>
      <c r="AE173" s="1">
        <f t="shared" si="104"/>
        <v>-4</v>
      </c>
      <c r="AF173" s="1">
        <f t="shared" si="105"/>
        <v>0</v>
      </c>
      <c r="AG173" s="1">
        <f t="shared" si="106"/>
        <v>14</v>
      </c>
      <c r="AH173" s="1">
        <f t="shared" si="107"/>
        <v>-6</v>
      </c>
      <c r="AI173" s="1">
        <f t="shared" si="108"/>
        <v>0</v>
      </c>
      <c r="AJ173" s="1">
        <f t="shared" si="109"/>
        <v>0</v>
      </c>
      <c r="AK173" s="17">
        <f t="shared" si="110"/>
        <v>0.66666666666666663</v>
      </c>
      <c r="AL173" s="17">
        <f t="shared" si="111"/>
        <v>0</v>
      </c>
      <c r="AM173" s="1">
        <f t="shared" si="112"/>
        <v>-0.66666666666666663</v>
      </c>
      <c r="AN173" s="1">
        <f t="shared" si="113"/>
        <v>-1</v>
      </c>
      <c r="AO173" s="1" t="e">
        <f t="shared" si="114"/>
        <v>#DIV/0!</v>
      </c>
      <c r="AP173" s="1">
        <f t="shared" si="115"/>
        <v>-0.7</v>
      </c>
      <c r="AQ173" s="1">
        <f t="shared" si="116"/>
        <v>1</v>
      </c>
      <c r="AR173" s="1">
        <f t="shared" si="117"/>
        <v>0</v>
      </c>
      <c r="AS173" s="12" t="e">
        <f t="shared" si="118"/>
        <v>#DIV/0!</v>
      </c>
      <c r="AT173" s="12" t="e">
        <f t="shared" si="119"/>
        <v>#DIV/0!</v>
      </c>
      <c r="AU173" s="1">
        <f t="shared" si="120"/>
        <v>-2</v>
      </c>
      <c r="AV173" s="1">
        <f t="shared" si="121"/>
        <v>-1</v>
      </c>
      <c r="AW173" s="1">
        <f t="shared" si="122"/>
        <v>10</v>
      </c>
      <c r="AX173" s="1">
        <f t="shared" si="123"/>
        <v>-7</v>
      </c>
      <c r="AY173" s="1">
        <f t="shared" si="124"/>
        <v>3</v>
      </c>
      <c r="AZ173" s="1">
        <f t="shared" si="125"/>
        <v>0</v>
      </c>
      <c r="BA173" s="19">
        <f t="shared" si="126"/>
        <v>0.5</v>
      </c>
      <c r="BB173" s="19">
        <f t="shared" si="127"/>
        <v>-0.5</v>
      </c>
      <c r="BC173" s="9">
        <f t="shared" si="128"/>
        <v>-1</v>
      </c>
      <c r="BD173" s="9" t="e">
        <f t="shared" si="129"/>
        <v>#DIV/0!</v>
      </c>
      <c r="BE173" s="9">
        <f t="shared" si="130"/>
        <v>4</v>
      </c>
      <c r="BF173" s="9">
        <f t="shared" si="131"/>
        <v>0.2</v>
      </c>
      <c r="BG173" s="9">
        <f t="shared" si="132"/>
        <v>-0.5</v>
      </c>
      <c r="BH173" s="9">
        <f t="shared" si="133"/>
        <v>0</v>
      </c>
      <c r="BI173" s="12" t="e">
        <f t="shared" si="134"/>
        <v>#DIV/0!</v>
      </c>
      <c r="BJ173" s="13" t="e">
        <f t="shared" si="135"/>
        <v>#DIV/0!</v>
      </c>
      <c r="BK173" s="1">
        <f t="shared" si="136"/>
        <v>-2</v>
      </c>
      <c r="BL173" s="1">
        <f t="shared" si="137"/>
        <v>1</v>
      </c>
      <c r="BM173" s="1">
        <f t="shared" si="138"/>
        <v>4</v>
      </c>
      <c r="BN173" s="1">
        <f t="shared" si="139"/>
        <v>1</v>
      </c>
      <c r="BO173" s="1">
        <f t="shared" si="140"/>
        <v>-3</v>
      </c>
      <c r="BP173" s="1">
        <f t="shared" si="141"/>
        <v>0</v>
      </c>
      <c r="BQ173" s="19">
        <f t="shared" si="142"/>
        <v>0.16666666666666666</v>
      </c>
      <c r="BR173" s="17">
        <f t="shared" si="143"/>
        <v>0.5</v>
      </c>
    </row>
    <row r="174" spans="1:70" x14ac:dyDescent="0.25">
      <c r="A174" t="s">
        <v>379</v>
      </c>
      <c r="B174">
        <v>5</v>
      </c>
      <c r="C174">
        <v>4</v>
      </c>
      <c r="D174">
        <v>3</v>
      </c>
      <c r="E174">
        <v>4</v>
      </c>
      <c r="F174">
        <v>6</v>
      </c>
      <c r="G174">
        <v>6</v>
      </c>
      <c r="H174">
        <v>9</v>
      </c>
      <c r="J174">
        <v>1</v>
      </c>
      <c r="L174">
        <v>1</v>
      </c>
      <c r="M174">
        <v>5</v>
      </c>
      <c r="N174">
        <v>2</v>
      </c>
      <c r="O174">
        <v>5</v>
      </c>
      <c r="P174">
        <v>5</v>
      </c>
      <c r="Q174">
        <v>3</v>
      </c>
      <c r="R174">
        <v>3</v>
      </c>
      <c r="S174">
        <v>3</v>
      </c>
      <c r="T174">
        <v>1</v>
      </c>
      <c r="U174">
        <v>4</v>
      </c>
      <c r="V174">
        <v>4</v>
      </c>
      <c r="W174" s="8">
        <f t="shared" si="96"/>
        <v>-0.2</v>
      </c>
      <c r="X174" s="8">
        <f t="shared" si="97"/>
        <v>-0.25</v>
      </c>
      <c r="Y174" s="8">
        <f t="shared" si="98"/>
        <v>0.33333333333333331</v>
      </c>
      <c r="Z174" s="8">
        <f t="shared" si="99"/>
        <v>0.5</v>
      </c>
      <c r="AA174" s="8">
        <f t="shared" si="100"/>
        <v>0</v>
      </c>
      <c r="AB174" s="8">
        <f t="shared" si="101"/>
        <v>0.5</v>
      </c>
      <c r="AC174" s="12">
        <f t="shared" si="102"/>
        <v>0.14722222222222223</v>
      </c>
      <c r="AD174" s="12">
        <f t="shared" si="103"/>
        <v>0.16666666666666666</v>
      </c>
      <c r="AE174" s="1">
        <f t="shared" si="104"/>
        <v>-1</v>
      </c>
      <c r="AF174" s="1">
        <f t="shared" si="105"/>
        <v>-1</v>
      </c>
      <c r="AG174" s="1">
        <f t="shared" si="106"/>
        <v>1</v>
      </c>
      <c r="AH174" s="1">
        <f t="shared" si="107"/>
        <v>2</v>
      </c>
      <c r="AI174" s="1">
        <f t="shared" si="108"/>
        <v>0</v>
      </c>
      <c r="AJ174" s="1">
        <f t="shared" si="109"/>
        <v>3</v>
      </c>
      <c r="AK174" s="17">
        <f t="shared" si="110"/>
        <v>0.66666666666666663</v>
      </c>
      <c r="AL174" s="17">
        <f t="shared" si="111"/>
        <v>0.5</v>
      </c>
      <c r="AM174" s="1" t="e">
        <f t="shared" si="112"/>
        <v>#DIV/0!</v>
      </c>
      <c r="AN174" s="1">
        <f t="shared" si="113"/>
        <v>-1</v>
      </c>
      <c r="AO174" s="1" t="e">
        <f t="shared" si="114"/>
        <v>#DIV/0!</v>
      </c>
      <c r="AP174" s="1">
        <f t="shared" si="115"/>
        <v>4</v>
      </c>
      <c r="AQ174" s="1">
        <f t="shared" si="116"/>
        <v>-0.6</v>
      </c>
      <c r="AR174" s="1">
        <f t="shared" si="117"/>
        <v>1.5</v>
      </c>
      <c r="AS174" s="12" t="e">
        <f t="shared" si="118"/>
        <v>#DIV/0!</v>
      </c>
      <c r="AT174" s="12" t="e">
        <f t="shared" si="119"/>
        <v>#DIV/0!</v>
      </c>
      <c r="AU174" s="1">
        <f t="shared" si="120"/>
        <v>1</v>
      </c>
      <c r="AV174" s="1">
        <f t="shared" si="121"/>
        <v>-1</v>
      </c>
      <c r="AW174" s="1">
        <f t="shared" si="122"/>
        <v>1</v>
      </c>
      <c r="AX174" s="1">
        <f t="shared" si="123"/>
        <v>4</v>
      </c>
      <c r="AY174" s="1">
        <f t="shared" si="124"/>
        <v>-3</v>
      </c>
      <c r="AZ174" s="1">
        <f t="shared" si="125"/>
        <v>3</v>
      </c>
      <c r="BA174" s="19">
        <f t="shared" si="126"/>
        <v>0.83333333333333337</v>
      </c>
      <c r="BB174" s="19">
        <f t="shared" si="127"/>
        <v>1</v>
      </c>
      <c r="BC174" s="9">
        <f t="shared" si="128"/>
        <v>-0.4</v>
      </c>
      <c r="BD174" s="9">
        <f t="shared" si="129"/>
        <v>0</v>
      </c>
      <c r="BE174" s="9">
        <f t="shared" si="130"/>
        <v>0</v>
      </c>
      <c r="BF174" s="9">
        <f t="shared" si="131"/>
        <v>-0.66666666666666663</v>
      </c>
      <c r="BG174" s="9">
        <f t="shared" si="132"/>
        <v>3</v>
      </c>
      <c r="BH174" s="9">
        <f t="shared" si="133"/>
        <v>0</v>
      </c>
      <c r="BI174" s="12">
        <f t="shared" si="134"/>
        <v>0.32222222222222224</v>
      </c>
      <c r="BJ174" s="13">
        <f t="shared" si="135"/>
        <v>0</v>
      </c>
      <c r="BK174" s="1">
        <f t="shared" si="136"/>
        <v>-2</v>
      </c>
      <c r="BL174" s="1">
        <f t="shared" si="137"/>
        <v>0</v>
      </c>
      <c r="BM174" s="1">
        <f t="shared" si="138"/>
        <v>0</v>
      </c>
      <c r="BN174" s="1">
        <f t="shared" si="139"/>
        <v>-2</v>
      </c>
      <c r="BO174" s="1">
        <f t="shared" si="140"/>
        <v>3</v>
      </c>
      <c r="BP174" s="1">
        <f t="shared" si="141"/>
        <v>0</v>
      </c>
      <c r="BQ174" s="19">
        <f t="shared" si="142"/>
        <v>-0.16666666666666666</v>
      </c>
      <c r="BR174" s="17">
        <f t="shared" si="143"/>
        <v>0</v>
      </c>
    </row>
    <row r="175" spans="1:70" x14ac:dyDescent="0.25">
      <c r="A175" t="s">
        <v>387</v>
      </c>
      <c r="B175">
        <v>4</v>
      </c>
      <c r="C175">
        <v>6</v>
      </c>
      <c r="D175">
        <v>11</v>
      </c>
      <c r="E175">
        <v>8</v>
      </c>
      <c r="F175">
        <v>9</v>
      </c>
      <c r="G175">
        <v>7</v>
      </c>
      <c r="H175">
        <v>8</v>
      </c>
      <c r="I175">
        <v>2</v>
      </c>
      <c r="J175">
        <v>2</v>
      </c>
      <c r="K175">
        <v>7</v>
      </c>
      <c r="L175">
        <v>5</v>
      </c>
      <c r="M175">
        <v>7</v>
      </c>
      <c r="N175">
        <v>2</v>
      </c>
      <c r="O175">
        <v>2</v>
      </c>
      <c r="P175">
        <v>2</v>
      </c>
      <c r="Q175">
        <v>4</v>
      </c>
      <c r="R175">
        <v>4</v>
      </c>
      <c r="S175">
        <v>3</v>
      </c>
      <c r="T175">
        <v>2</v>
      </c>
      <c r="U175">
        <v>5</v>
      </c>
      <c r="V175">
        <v>6</v>
      </c>
      <c r="W175" s="8">
        <f t="shared" si="96"/>
        <v>0.5</v>
      </c>
      <c r="X175" s="8">
        <f t="shared" si="97"/>
        <v>0.83333333333333337</v>
      </c>
      <c r="Y175" s="8">
        <f t="shared" si="98"/>
        <v>-0.27272727272727271</v>
      </c>
      <c r="Z175" s="8">
        <f t="shared" si="99"/>
        <v>0.125</v>
      </c>
      <c r="AA175" s="8">
        <f t="shared" si="100"/>
        <v>-0.22222222222222221</v>
      </c>
      <c r="AB175" s="8">
        <f t="shared" si="101"/>
        <v>0.14285714285714285</v>
      </c>
      <c r="AC175" s="12">
        <f t="shared" si="102"/>
        <v>0.18437349687349691</v>
      </c>
      <c r="AD175" s="12">
        <f t="shared" si="103"/>
        <v>0.13392857142857142</v>
      </c>
      <c r="AE175" s="1">
        <f t="shared" si="104"/>
        <v>2</v>
      </c>
      <c r="AF175" s="1">
        <f t="shared" si="105"/>
        <v>5</v>
      </c>
      <c r="AG175" s="1">
        <f t="shared" si="106"/>
        <v>-3</v>
      </c>
      <c r="AH175" s="1">
        <f t="shared" si="107"/>
        <v>1</v>
      </c>
      <c r="AI175" s="1">
        <f t="shared" si="108"/>
        <v>-2</v>
      </c>
      <c r="AJ175" s="1">
        <f t="shared" si="109"/>
        <v>1</v>
      </c>
      <c r="AK175" s="17">
        <f t="shared" si="110"/>
        <v>0.66666666666666663</v>
      </c>
      <c r="AL175" s="17">
        <f t="shared" si="111"/>
        <v>1</v>
      </c>
      <c r="AM175" s="1">
        <f t="shared" si="112"/>
        <v>0</v>
      </c>
      <c r="AN175" s="1">
        <f t="shared" si="113"/>
        <v>2.5</v>
      </c>
      <c r="AO175" s="1">
        <f t="shared" si="114"/>
        <v>-0.2857142857142857</v>
      </c>
      <c r="AP175" s="1">
        <f t="shared" si="115"/>
        <v>0.4</v>
      </c>
      <c r="AQ175" s="1">
        <f t="shared" si="116"/>
        <v>-0.7142857142857143</v>
      </c>
      <c r="AR175" s="1">
        <f t="shared" si="117"/>
        <v>0</v>
      </c>
      <c r="AS175" s="12">
        <f t="shared" si="118"/>
        <v>0.31666666666666665</v>
      </c>
      <c r="AT175" s="12">
        <f t="shared" si="119"/>
        <v>0</v>
      </c>
      <c r="AU175" s="1">
        <f t="shared" si="120"/>
        <v>0</v>
      </c>
      <c r="AV175" s="1">
        <f t="shared" si="121"/>
        <v>5</v>
      </c>
      <c r="AW175" s="1">
        <f t="shared" si="122"/>
        <v>-2</v>
      </c>
      <c r="AX175" s="1">
        <f t="shared" si="123"/>
        <v>2</v>
      </c>
      <c r="AY175" s="1">
        <f t="shared" si="124"/>
        <v>-5</v>
      </c>
      <c r="AZ175" s="1">
        <f t="shared" si="125"/>
        <v>0</v>
      </c>
      <c r="BA175" s="19">
        <f t="shared" si="126"/>
        <v>0</v>
      </c>
      <c r="BB175" s="19">
        <f t="shared" si="127"/>
        <v>0</v>
      </c>
      <c r="BC175" s="9">
        <f t="shared" si="128"/>
        <v>1</v>
      </c>
      <c r="BD175" s="9">
        <f t="shared" si="129"/>
        <v>0</v>
      </c>
      <c r="BE175" s="9">
        <f t="shared" si="130"/>
        <v>-0.25</v>
      </c>
      <c r="BF175" s="9">
        <f t="shared" si="131"/>
        <v>-0.33333333333333331</v>
      </c>
      <c r="BG175" s="9">
        <f t="shared" si="132"/>
        <v>1.5</v>
      </c>
      <c r="BH175" s="9">
        <f t="shared" si="133"/>
        <v>0.2</v>
      </c>
      <c r="BI175" s="12">
        <f t="shared" si="134"/>
        <v>0.3527777777777778</v>
      </c>
      <c r="BJ175" s="13">
        <f t="shared" si="135"/>
        <v>0.1</v>
      </c>
      <c r="BK175" s="1">
        <f t="shared" si="136"/>
        <v>2</v>
      </c>
      <c r="BL175" s="1">
        <f t="shared" si="137"/>
        <v>0</v>
      </c>
      <c r="BM175" s="1">
        <f t="shared" si="138"/>
        <v>-1</v>
      </c>
      <c r="BN175" s="1">
        <f t="shared" si="139"/>
        <v>-1</v>
      </c>
      <c r="BO175" s="1">
        <f t="shared" si="140"/>
        <v>3</v>
      </c>
      <c r="BP175" s="1">
        <f t="shared" si="141"/>
        <v>1</v>
      </c>
      <c r="BQ175" s="19">
        <f t="shared" si="142"/>
        <v>0.66666666666666663</v>
      </c>
      <c r="BR175" s="17">
        <f t="shared" si="143"/>
        <v>0.5</v>
      </c>
    </row>
    <row r="176" spans="1:70" x14ac:dyDescent="0.25">
      <c r="A176" t="s">
        <v>389</v>
      </c>
      <c r="B176">
        <v>4</v>
      </c>
      <c r="C176">
        <v>3</v>
      </c>
      <c r="D176">
        <v>4</v>
      </c>
      <c r="E176">
        <v>2</v>
      </c>
      <c r="F176">
        <v>4</v>
      </c>
      <c r="G176">
        <v>2</v>
      </c>
      <c r="H176">
        <v>8</v>
      </c>
      <c r="I176">
        <v>3</v>
      </c>
      <c r="J176">
        <v>2</v>
      </c>
      <c r="K176">
        <v>1</v>
      </c>
      <c r="L176">
        <v>2</v>
      </c>
      <c r="M176">
        <v>2</v>
      </c>
      <c r="N176">
        <v>1</v>
      </c>
      <c r="O176">
        <v>5</v>
      </c>
      <c r="P176">
        <v>1</v>
      </c>
      <c r="Q176">
        <v>1</v>
      </c>
      <c r="R176">
        <v>3</v>
      </c>
      <c r="T176">
        <v>2</v>
      </c>
      <c r="U176">
        <v>1</v>
      </c>
      <c r="V176">
        <v>3</v>
      </c>
      <c r="W176" s="8">
        <f t="shared" si="96"/>
        <v>-0.25</v>
      </c>
      <c r="X176" s="8">
        <f t="shared" si="97"/>
        <v>0.33333333333333331</v>
      </c>
      <c r="Y176" s="8">
        <f t="shared" si="98"/>
        <v>-0.5</v>
      </c>
      <c r="Z176" s="8">
        <f t="shared" si="99"/>
        <v>1</v>
      </c>
      <c r="AA176" s="8">
        <f t="shared" si="100"/>
        <v>-0.5</v>
      </c>
      <c r="AB176" s="8">
        <f t="shared" si="101"/>
        <v>3</v>
      </c>
      <c r="AC176" s="12">
        <f t="shared" si="102"/>
        <v>0.51388888888888884</v>
      </c>
      <c r="AD176" s="12">
        <f t="shared" si="103"/>
        <v>4.166666666666663E-2</v>
      </c>
      <c r="AE176" s="1">
        <f t="shared" si="104"/>
        <v>-1</v>
      </c>
      <c r="AF176" s="1">
        <f t="shared" si="105"/>
        <v>1</v>
      </c>
      <c r="AG176" s="1">
        <f t="shared" si="106"/>
        <v>-2</v>
      </c>
      <c r="AH176" s="1">
        <f t="shared" si="107"/>
        <v>2</v>
      </c>
      <c r="AI176" s="1">
        <f t="shared" si="108"/>
        <v>-2</v>
      </c>
      <c r="AJ176" s="1">
        <f t="shared" si="109"/>
        <v>6</v>
      </c>
      <c r="AK176" s="17">
        <f t="shared" si="110"/>
        <v>0.66666666666666663</v>
      </c>
      <c r="AL176" s="17">
        <f t="shared" si="111"/>
        <v>0</v>
      </c>
      <c r="AM176" s="1">
        <f t="shared" si="112"/>
        <v>-0.33333333333333331</v>
      </c>
      <c r="AN176" s="1">
        <f t="shared" si="113"/>
        <v>-0.5</v>
      </c>
      <c r="AO176" s="1">
        <f t="shared" si="114"/>
        <v>1</v>
      </c>
      <c r="AP176" s="1">
        <f t="shared" si="115"/>
        <v>0</v>
      </c>
      <c r="AQ176" s="1">
        <f t="shared" si="116"/>
        <v>-0.5</v>
      </c>
      <c r="AR176" s="1">
        <f t="shared" si="117"/>
        <v>4</v>
      </c>
      <c r="AS176" s="12">
        <f t="shared" si="118"/>
        <v>0.61111111111111116</v>
      </c>
      <c r="AT176" s="12">
        <f t="shared" si="119"/>
        <v>-0.16666666666666666</v>
      </c>
      <c r="AU176" s="1">
        <f t="shared" si="120"/>
        <v>-1</v>
      </c>
      <c r="AV176" s="1">
        <f t="shared" si="121"/>
        <v>-1</v>
      </c>
      <c r="AW176" s="1">
        <f t="shared" si="122"/>
        <v>1</v>
      </c>
      <c r="AX176" s="1">
        <f t="shared" si="123"/>
        <v>0</v>
      </c>
      <c r="AY176" s="1">
        <f t="shared" si="124"/>
        <v>-1</v>
      </c>
      <c r="AZ176" s="1">
        <f t="shared" si="125"/>
        <v>4</v>
      </c>
      <c r="BA176" s="19">
        <f t="shared" si="126"/>
        <v>0.33333333333333331</v>
      </c>
      <c r="BB176" s="19">
        <f t="shared" si="127"/>
        <v>-0.5</v>
      </c>
      <c r="BC176" s="9">
        <f t="shared" si="128"/>
        <v>0</v>
      </c>
      <c r="BD176" s="9">
        <f t="shared" si="129"/>
        <v>2</v>
      </c>
      <c r="BE176" s="9">
        <f t="shared" si="130"/>
        <v>-1</v>
      </c>
      <c r="BF176" s="9" t="e">
        <f t="shared" si="131"/>
        <v>#DIV/0!</v>
      </c>
      <c r="BG176" s="9">
        <f t="shared" si="132"/>
        <v>-0.5</v>
      </c>
      <c r="BH176" s="9">
        <f t="shared" si="133"/>
        <v>2</v>
      </c>
      <c r="BI176" s="12" t="e">
        <f t="shared" si="134"/>
        <v>#DIV/0!</v>
      </c>
      <c r="BJ176" s="13" t="e">
        <f t="shared" si="135"/>
        <v>#DIV/0!</v>
      </c>
      <c r="BK176" s="1">
        <f t="shared" si="136"/>
        <v>0</v>
      </c>
      <c r="BL176" s="1">
        <f t="shared" si="137"/>
        <v>2</v>
      </c>
      <c r="BM176" s="1">
        <f t="shared" si="138"/>
        <v>-3</v>
      </c>
      <c r="BN176" s="1">
        <f t="shared" si="139"/>
        <v>2</v>
      </c>
      <c r="BO176" s="1">
        <f t="shared" si="140"/>
        <v>-1</v>
      </c>
      <c r="BP176" s="1">
        <f t="shared" si="141"/>
        <v>2</v>
      </c>
      <c r="BQ176" s="19">
        <f t="shared" si="142"/>
        <v>0.33333333333333331</v>
      </c>
      <c r="BR176" s="17">
        <f t="shared" si="143"/>
        <v>1</v>
      </c>
    </row>
    <row r="177" spans="1:70" x14ac:dyDescent="0.25">
      <c r="A177" t="s">
        <v>397</v>
      </c>
      <c r="B177">
        <v>4</v>
      </c>
      <c r="C177">
        <v>1</v>
      </c>
      <c r="D177">
        <v>3</v>
      </c>
      <c r="E177">
        <v>7</v>
      </c>
      <c r="F177">
        <v>9</v>
      </c>
      <c r="G177">
        <v>8</v>
      </c>
      <c r="H177">
        <v>8</v>
      </c>
      <c r="I177">
        <v>2</v>
      </c>
      <c r="J177">
        <v>1</v>
      </c>
      <c r="K177">
        <v>2</v>
      </c>
      <c r="L177">
        <v>5</v>
      </c>
      <c r="M177">
        <v>6</v>
      </c>
      <c r="N177">
        <v>5</v>
      </c>
      <c r="O177">
        <v>7</v>
      </c>
      <c r="P177">
        <v>2</v>
      </c>
      <c r="R177">
        <v>1</v>
      </c>
      <c r="S177">
        <v>2</v>
      </c>
      <c r="T177">
        <v>3</v>
      </c>
      <c r="U177">
        <v>3</v>
      </c>
      <c r="V177">
        <v>1</v>
      </c>
      <c r="W177" s="8">
        <f t="shared" si="96"/>
        <v>-0.75</v>
      </c>
      <c r="X177" s="8">
        <f t="shared" si="97"/>
        <v>2</v>
      </c>
      <c r="Y177" s="8">
        <f t="shared" si="98"/>
        <v>1.3333333333333333</v>
      </c>
      <c r="Z177" s="8">
        <f t="shared" si="99"/>
        <v>0.2857142857142857</v>
      </c>
      <c r="AA177" s="8">
        <f t="shared" si="100"/>
        <v>-0.1111111111111111</v>
      </c>
      <c r="AB177" s="8">
        <f t="shared" si="101"/>
        <v>0</v>
      </c>
      <c r="AC177" s="12">
        <f t="shared" si="102"/>
        <v>0.4596560846560846</v>
      </c>
      <c r="AD177" s="12">
        <f t="shared" si="103"/>
        <v>0.14285714285714285</v>
      </c>
      <c r="AE177" s="1">
        <f t="shared" si="104"/>
        <v>-3</v>
      </c>
      <c r="AF177" s="1">
        <f t="shared" si="105"/>
        <v>2</v>
      </c>
      <c r="AG177" s="1">
        <f t="shared" si="106"/>
        <v>4</v>
      </c>
      <c r="AH177" s="1">
        <f t="shared" si="107"/>
        <v>2</v>
      </c>
      <c r="AI177" s="1">
        <f t="shared" si="108"/>
        <v>-1</v>
      </c>
      <c r="AJ177" s="1">
        <f t="shared" si="109"/>
        <v>0</v>
      </c>
      <c r="AK177" s="17">
        <f t="shared" si="110"/>
        <v>0.66666666666666663</v>
      </c>
      <c r="AL177" s="17">
        <f t="shared" si="111"/>
        <v>1</v>
      </c>
      <c r="AM177" s="1">
        <f t="shared" si="112"/>
        <v>-0.5</v>
      </c>
      <c r="AN177" s="1">
        <f t="shared" si="113"/>
        <v>1</v>
      </c>
      <c r="AO177" s="1">
        <f t="shared" si="114"/>
        <v>1.5</v>
      </c>
      <c r="AP177" s="1">
        <f t="shared" si="115"/>
        <v>0.2</v>
      </c>
      <c r="AQ177" s="1">
        <f t="shared" si="116"/>
        <v>-0.16666666666666666</v>
      </c>
      <c r="AR177" s="1">
        <f t="shared" si="117"/>
        <v>0.4</v>
      </c>
      <c r="AS177" s="12">
        <f t="shared" si="118"/>
        <v>0.40555555555555561</v>
      </c>
      <c r="AT177" s="12">
        <f t="shared" si="119"/>
        <v>0.30000000000000004</v>
      </c>
      <c r="AU177" s="1">
        <f t="shared" si="120"/>
        <v>-1</v>
      </c>
      <c r="AV177" s="1">
        <f t="shared" si="121"/>
        <v>1</v>
      </c>
      <c r="AW177" s="1">
        <f t="shared" si="122"/>
        <v>3</v>
      </c>
      <c r="AX177" s="1">
        <f t="shared" si="123"/>
        <v>1</v>
      </c>
      <c r="AY177" s="1">
        <f t="shared" si="124"/>
        <v>-1</v>
      </c>
      <c r="AZ177" s="1">
        <f t="shared" si="125"/>
        <v>2</v>
      </c>
      <c r="BA177" s="19">
        <f t="shared" si="126"/>
        <v>0.83333333333333337</v>
      </c>
      <c r="BB177" s="19">
        <f t="shared" si="127"/>
        <v>1</v>
      </c>
      <c r="BC177" s="9">
        <f t="shared" si="128"/>
        <v>-1</v>
      </c>
      <c r="BD177" s="9" t="e">
        <f t="shared" si="129"/>
        <v>#DIV/0!</v>
      </c>
      <c r="BE177" s="9">
        <f t="shared" si="130"/>
        <v>1</v>
      </c>
      <c r="BF177" s="9">
        <f t="shared" si="131"/>
        <v>0.5</v>
      </c>
      <c r="BG177" s="9">
        <f t="shared" si="132"/>
        <v>0</v>
      </c>
      <c r="BH177" s="9">
        <f t="shared" si="133"/>
        <v>-0.66666666666666663</v>
      </c>
      <c r="BI177" s="12" t="e">
        <f t="shared" si="134"/>
        <v>#DIV/0!</v>
      </c>
      <c r="BJ177" s="13" t="e">
        <f t="shared" si="135"/>
        <v>#DIV/0!</v>
      </c>
      <c r="BK177" s="1">
        <f t="shared" si="136"/>
        <v>-2</v>
      </c>
      <c r="BL177" s="1">
        <f t="shared" si="137"/>
        <v>1</v>
      </c>
      <c r="BM177" s="1">
        <f t="shared" si="138"/>
        <v>1</v>
      </c>
      <c r="BN177" s="1">
        <f t="shared" si="139"/>
        <v>1</v>
      </c>
      <c r="BO177" s="1">
        <f t="shared" si="140"/>
        <v>0</v>
      </c>
      <c r="BP177" s="1">
        <f t="shared" si="141"/>
        <v>-2</v>
      </c>
      <c r="BQ177" s="19">
        <f t="shared" si="142"/>
        <v>-0.16666666666666666</v>
      </c>
      <c r="BR177" s="17">
        <f t="shared" si="143"/>
        <v>0.5</v>
      </c>
    </row>
    <row r="178" spans="1:70" x14ac:dyDescent="0.25">
      <c r="A178" t="s">
        <v>403</v>
      </c>
      <c r="B178">
        <v>4</v>
      </c>
      <c r="C178">
        <v>4</v>
      </c>
      <c r="D178">
        <v>3</v>
      </c>
      <c r="E178">
        <v>5</v>
      </c>
      <c r="F178">
        <v>4</v>
      </c>
      <c r="G178">
        <v>2</v>
      </c>
      <c r="H178">
        <v>8</v>
      </c>
      <c r="I178">
        <v>3</v>
      </c>
      <c r="J178">
        <v>2</v>
      </c>
      <c r="K178">
        <v>2</v>
      </c>
      <c r="L178">
        <v>1</v>
      </c>
      <c r="M178">
        <v>4</v>
      </c>
      <c r="O178">
        <v>4</v>
      </c>
      <c r="P178">
        <v>1</v>
      </c>
      <c r="Q178">
        <v>2</v>
      </c>
      <c r="R178">
        <v>1</v>
      </c>
      <c r="S178">
        <v>4</v>
      </c>
      <c r="U178">
        <v>2</v>
      </c>
      <c r="V178">
        <v>4</v>
      </c>
      <c r="W178" s="8">
        <f t="shared" si="96"/>
        <v>0</v>
      </c>
      <c r="X178" s="8">
        <f t="shared" si="97"/>
        <v>-0.25</v>
      </c>
      <c r="Y178" s="8">
        <f t="shared" si="98"/>
        <v>0.66666666666666663</v>
      </c>
      <c r="Z178" s="8">
        <f t="shared" si="99"/>
        <v>-0.2</v>
      </c>
      <c r="AA178" s="8">
        <f t="shared" si="100"/>
        <v>-0.5</v>
      </c>
      <c r="AB178" s="8">
        <f t="shared" si="101"/>
        <v>3</v>
      </c>
      <c r="AC178" s="12">
        <f t="shared" si="102"/>
        <v>0.45277777777777778</v>
      </c>
      <c r="AD178" s="12">
        <f t="shared" si="103"/>
        <v>-0.1</v>
      </c>
      <c r="AE178" s="1">
        <f t="shared" si="104"/>
        <v>0</v>
      </c>
      <c r="AF178" s="1">
        <f t="shared" si="105"/>
        <v>-1</v>
      </c>
      <c r="AG178" s="1">
        <f t="shared" si="106"/>
        <v>2</v>
      </c>
      <c r="AH178" s="1">
        <f t="shared" si="107"/>
        <v>-1</v>
      </c>
      <c r="AI178" s="1">
        <f t="shared" si="108"/>
        <v>-2</v>
      </c>
      <c r="AJ178" s="1">
        <f t="shared" si="109"/>
        <v>6</v>
      </c>
      <c r="AK178" s="17">
        <f t="shared" si="110"/>
        <v>0.66666666666666663</v>
      </c>
      <c r="AL178" s="17">
        <f t="shared" si="111"/>
        <v>-0.5</v>
      </c>
      <c r="AM178" s="1">
        <f t="shared" si="112"/>
        <v>-0.33333333333333331</v>
      </c>
      <c r="AN178" s="1">
        <f t="shared" si="113"/>
        <v>0</v>
      </c>
      <c r="AO178" s="1">
        <f t="shared" si="114"/>
        <v>-0.5</v>
      </c>
      <c r="AP178" s="1">
        <f t="shared" si="115"/>
        <v>3</v>
      </c>
      <c r="AQ178" s="1">
        <f t="shared" si="116"/>
        <v>-1</v>
      </c>
      <c r="AR178" s="1" t="e">
        <f t="shared" si="117"/>
        <v>#DIV/0!</v>
      </c>
      <c r="AS178" s="12" t="e">
        <f t="shared" si="118"/>
        <v>#DIV/0!</v>
      </c>
      <c r="AT178" s="12" t="e">
        <f t="shared" si="119"/>
        <v>#DIV/0!</v>
      </c>
      <c r="AU178" s="1">
        <f t="shared" si="120"/>
        <v>-1</v>
      </c>
      <c r="AV178" s="1">
        <f t="shared" si="121"/>
        <v>0</v>
      </c>
      <c r="AW178" s="1">
        <f t="shared" si="122"/>
        <v>-1</v>
      </c>
      <c r="AX178" s="1">
        <f t="shared" si="123"/>
        <v>3</v>
      </c>
      <c r="AY178" s="1">
        <f t="shared" si="124"/>
        <v>-4</v>
      </c>
      <c r="AZ178" s="1">
        <f t="shared" si="125"/>
        <v>4</v>
      </c>
      <c r="BA178" s="19">
        <f t="shared" si="126"/>
        <v>0.16666666666666666</v>
      </c>
      <c r="BB178" s="19">
        <f t="shared" si="127"/>
        <v>-0.5</v>
      </c>
      <c r="BC178" s="9">
        <f t="shared" si="128"/>
        <v>1</v>
      </c>
      <c r="BD178" s="9">
        <f t="shared" si="129"/>
        <v>-0.5</v>
      </c>
      <c r="BE178" s="9">
        <f t="shared" si="130"/>
        <v>3</v>
      </c>
      <c r="BF178" s="9">
        <f t="shared" si="131"/>
        <v>-1</v>
      </c>
      <c r="BG178" s="9" t="e">
        <f t="shared" si="132"/>
        <v>#DIV/0!</v>
      </c>
      <c r="BH178" s="9">
        <f t="shared" si="133"/>
        <v>1</v>
      </c>
      <c r="BI178" s="12" t="e">
        <f t="shared" si="134"/>
        <v>#DIV/0!</v>
      </c>
      <c r="BJ178" s="13" t="e">
        <f t="shared" si="135"/>
        <v>#DIV/0!</v>
      </c>
      <c r="BK178" s="1">
        <f t="shared" si="136"/>
        <v>1</v>
      </c>
      <c r="BL178" s="1">
        <f t="shared" si="137"/>
        <v>-1</v>
      </c>
      <c r="BM178" s="1">
        <f t="shared" si="138"/>
        <v>3</v>
      </c>
      <c r="BN178" s="1">
        <f t="shared" si="139"/>
        <v>-4</v>
      </c>
      <c r="BO178" s="1">
        <f t="shared" si="140"/>
        <v>2</v>
      </c>
      <c r="BP178" s="1">
        <f t="shared" si="141"/>
        <v>2</v>
      </c>
      <c r="BQ178" s="19">
        <f t="shared" si="142"/>
        <v>0.5</v>
      </c>
      <c r="BR178" s="17">
        <f t="shared" si="143"/>
        <v>1.5</v>
      </c>
    </row>
    <row r="179" spans="1:70" x14ac:dyDescent="0.25">
      <c r="A179" t="s">
        <v>424</v>
      </c>
      <c r="B179">
        <v>3</v>
      </c>
      <c r="C179">
        <v>9</v>
      </c>
      <c r="D179">
        <v>10</v>
      </c>
      <c r="E179">
        <v>6</v>
      </c>
      <c r="F179">
        <v>5</v>
      </c>
      <c r="G179">
        <v>7</v>
      </c>
      <c r="H179">
        <v>7</v>
      </c>
      <c r="I179">
        <v>1</v>
      </c>
      <c r="J179">
        <v>4</v>
      </c>
      <c r="K179">
        <v>5</v>
      </c>
      <c r="L179">
        <v>2</v>
      </c>
      <c r="M179">
        <v>3</v>
      </c>
      <c r="N179">
        <v>7</v>
      </c>
      <c r="O179">
        <v>4</v>
      </c>
      <c r="P179">
        <v>2</v>
      </c>
      <c r="Q179">
        <v>5</v>
      </c>
      <c r="R179">
        <v>5</v>
      </c>
      <c r="S179">
        <v>4</v>
      </c>
      <c r="T179">
        <v>2</v>
      </c>
      <c r="V179">
        <v>3</v>
      </c>
      <c r="W179" s="8">
        <f t="shared" si="96"/>
        <v>2</v>
      </c>
      <c r="X179" s="8">
        <f t="shared" si="97"/>
        <v>0.1111111111111111</v>
      </c>
      <c r="Y179" s="8">
        <f t="shared" si="98"/>
        <v>-0.4</v>
      </c>
      <c r="Z179" s="8">
        <f t="shared" si="99"/>
        <v>-0.16666666666666666</v>
      </c>
      <c r="AA179" s="8">
        <f t="shared" si="100"/>
        <v>0.4</v>
      </c>
      <c r="AB179" s="8">
        <f t="shared" si="101"/>
        <v>0</v>
      </c>
      <c r="AC179" s="12">
        <f t="shared" si="102"/>
        <v>0.32407407407407413</v>
      </c>
      <c r="AD179" s="12">
        <f t="shared" si="103"/>
        <v>5.5555555555555552E-2</v>
      </c>
      <c r="AE179" s="1">
        <f t="shared" si="104"/>
        <v>6</v>
      </c>
      <c r="AF179" s="1">
        <f t="shared" si="105"/>
        <v>1</v>
      </c>
      <c r="AG179" s="1">
        <f t="shared" si="106"/>
        <v>-4</v>
      </c>
      <c r="AH179" s="1">
        <f t="shared" si="107"/>
        <v>-1</v>
      </c>
      <c r="AI179" s="1">
        <f t="shared" si="108"/>
        <v>2</v>
      </c>
      <c r="AJ179" s="1">
        <f t="shared" si="109"/>
        <v>0</v>
      </c>
      <c r="AK179" s="17">
        <f t="shared" si="110"/>
        <v>0.66666666666666663</v>
      </c>
      <c r="AL179" s="17">
        <f t="shared" si="111"/>
        <v>0.5</v>
      </c>
      <c r="AM179" s="1">
        <f t="shared" si="112"/>
        <v>3</v>
      </c>
      <c r="AN179" s="1">
        <f t="shared" si="113"/>
        <v>0.25</v>
      </c>
      <c r="AO179" s="1">
        <f t="shared" si="114"/>
        <v>-0.6</v>
      </c>
      <c r="AP179" s="1">
        <f t="shared" si="115"/>
        <v>0.5</v>
      </c>
      <c r="AQ179" s="1">
        <f t="shared" si="116"/>
        <v>1.3333333333333333</v>
      </c>
      <c r="AR179" s="1">
        <f t="shared" si="117"/>
        <v>-0.42857142857142855</v>
      </c>
      <c r="AS179" s="12">
        <f t="shared" si="118"/>
        <v>0.67579365079365072</v>
      </c>
      <c r="AT179" s="12">
        <f t="shared" si="119"/>
        <v>0.375</v>
      </c>
      <c r="AU179" s="1">
        <f t="shared" si="120"/>
        <v>3</v>
      </c>
      <c r="AV179" s="1">
        <f t="shared" si="121"/>
        <v>1</v>
      </c>
      <c r="AW179" s="1">
        <f t="shared" si="122"/>
        <v>-3</v>
      </c>
      <c r="AX179" s="1">
        <f t="shared" si="123"/>
        <v>1</v>
      </c>
      <c r="AY179" s="1">
        <f t="shared" si="124"/>
        <v>4</v>
      </c>
      <c r="AZ179" s="1">
        <f t="shared" si="125"/>
        <v>-3</v>
      </c>
      <c r="BA179" s="19">
        <f t="shared" si="126"/>
        <v>0.5</v>
      </c>
      <c r="BB179" s="19">
        <f t="shared" si="127"/>
        <v>1</v>
      </c>
      <c r="BC179" s="9">
        <f t="shared" si="128"/>
        <v>1.5</v>
      </c>
      <c r="BD179" s="9">
        <f t="shared" si="129"/>
        <v>0</v>
      </c>
      <c r="BE179" s="9">
        <f t="shared" si="130"/>
        <v>-0.2</v>
      </c>
      <c r="BF179" s="9">
        <f t="shared" si="131"/>
        <v>-0.5</v>
      </c>
      <c r="BG179" s="9">
        <f t="shared" si="132"/>
        <v>-1</v>
      </c>
      <c r="BH179" s="9" t="e">
        <f t="shared" si="133"/>
        <v>#DIV/0!</v>
      </c>
      <c r="BI179" s="12" t="e">
        <f t="shared" si="134"/>
        <v>#DIV/0!</v>
      </c>
      <c r="BJ179" s="13" t="e">
        <f t="shared" si="135"/>
        <v>#DIV/0!</v>
      </c>
      <c r="BK179" s="1">
        <f t="shared" si="136"/>
        <v>3</v>
      </c>
      <c r="BL179" s="1">
        <f t="shared" si="137"/>
        <v>0</v>
      </c>
      <c r="BM179" s="1">
        <f t="shared" si="138"/>
        <v>-1</v>
      </c>
      <c r="BN179" s="1">
        <f t="shared" si="139"/>
        <v>-2</v>
      </c>
      <c r="BO179" s="1">
        <f t="shared" si="140"/>
        <v>-2</v>
      </c>
      <c r="BP179" s="1">
        <f t="shared" si="141"/>
        <v>3</v>
      </c>
      <c r="BQ179" s="19">
        <f t="shared" si="142"/>
        <v>0.16666666666666666</v>
      </c>
      <c r="BR179" s="17">
        <f t="shared" si="143"/>
        <v>-0.5</v>
      </c>
    </row>
    <row r="180" spans="1:70" x14ac:dyDescent="0.25">
      <c r="A180" t="s">
        <v>459</v>
      </c>
      <c r="B180">
        <v>2</v>
      </c>
      <c r="C180">
        <v>5</v>
      </c>
      <c r="D180">
        <v>5</v>
      </c>
      <c r="F180">
        <v>10</v>
      </c>
      <c r="G180">
        <v>1</v>
      </c>
      <c r="H180">
        <v>6</v>
      </c>
      <c r="I180">
        <v>1</v>
      </c>
      <c r="J180">
        <v>2</v>
      </c>
      <c r="K180">
        <v>4</v>
      </c>
      <c r="M180">
        <v>5</v>
      </c>
      <c r="N180">
        <v>1</v>
      </c>
      <c r="O180">
        <v>4</v>
      </c>
      <c r="P180">
        <v>1</v>
      </c>
      <c r="Q180">
        <v>3</v>
      </c>
      <c r="R180">
        <v>1</v>
      </c>
      <c r="T180">
        <v>5</v>
      </c>
      <c r="V180">
        <v>2</v>
      </c>
      <c r="W180" s="8">
        <f t="shared" si="96"/>
        <v>1.5</v>
      </c>
      <c r="X180" s="8">
        <f t="shared" si="97"/>
        <v>0</v>
      </c>
      <c r="Y180" s="8">
        <f t="shared" si="98"/>
        <v>-1</v>
      </c>
      <c r="Z180" s="8" t="e">
        <f t="shared" si="99"/>
        <v>#DIV/0!</v>
      </c>
      <c r="AA180" s="8">
        <f t="shared" si="100"/>
        <v>-0.9</v>
      </c>
      <c r="AB180" s="8">
        <f t="shared" si="101"/>
        <v>5</v>
      </c>
      <c r="AC180" s="12" t="e">
        <f t="shared" si="102"/>
        <v>#DIV/0!</v>
      </c>
      <c r="AD180" s="12" t="e">
        <f t="shared" si="103"/>
        <v>#DIV/0!</v>
      </c>
      <c r="AE180" s="1">
        <f t="shared" si="104"/>
        <v>3</v>
      </c>
      <c r="AF180" s="1">
        <f t="shared" si="105"/>
        <v>0</v>
      </c>
      <c r="AG180" s="1">
        <f t="shared" si="106"/>
        <v>-5</v>
      </c>
      <c r="AH180" s="1">
        <f t="shared" si="107"/>
        <v>10</v>
      </c>
      <c r="AI180" s="1">
        <f t="shared" si="108"/>
        <v>-9</v>
      </c>
      <c r="AJ180" s="1">
        <f t="shared" si="109"/>
        <v>5</v>
      </c>
      <c r="AK180" s="17">
        <f t="shared" si="110"/>
        <v>0.66666666666666663</v>
      </c>
      <c r="AL180" s="17">
        <f t="shared" si="111"/>
        <v>1.5</v>
      </c>
      <c r="AM180" s="1">
        <f t="shared" si="112"/>
        <v>1</v>
      </c>
      <c r="AN180" s="1">
        <f t="shared" si="113"/>
        <v>1</v>
      </c>
      <c r="AO180" s="1">
        <f t="shared" si="114"/>
        <v>-1</v>
      </c>
      <c r="AP180" s="1" t="e">
        <f t="shared" si="115"/>
        <v>#DIV/0!</v>
      </c>
      <c r="AQ180" s="1">
        <f t="shared" si="116"/>
        <v>-0.8</v>
      </c>
      <c r="AR180" s="1">
        <f t="shared" si="117"/>
        <v>3</v>
      </c>
      <c r="AS180" s="12" t="e">
        <f t="shared" si="118"/>
        <v>#DIV/0!</v>
      </c>
      <c r="AT180" s="12" t="e">
        <f t="shared" si="119"/>
        <v>#DIV/0!</v>
      </c>
      <c r="AU180" s="1">
        <f t="shared" si="120"/>
        <v>1</v>
      </c>
      <c r="AV180" s="1">
        <f t="shared" si="121"/>
        <v>2</v>
      </c>
      <c r="AW180" s="1">
        <f t="shared" si="122"/>
        <v>-4</v>
      </c>
      <c r="AX180" s="1">
        <f t="shared" si="123"/>
        <v>5</v>
      </c>
      <c r="AY180" s="1">
        <f t="shared" si="124"/>
        <v>-4</v>
      </c>
      <c r="AZ180" s="1">
        <f t="shared" si="125"/>
        <v>3</v>
      </c>
      <c r="BA180" s="19">
        <f t="shared" si="126"/>
        <v>0.5</v>
      </c>
      <c r="BB180" s="19">
        <f t="shared" si="127"/>
        <v>1.5</v>
      </c>
      <c r="BC180" s="9">
        <f t="shared" si="128"/>
        <v>2</v>
      </c>
      <c r="BD180" s="9">
        <f t="shared" si="129"/>
        <v>-0.66666666666666663</v>
      </c>
      <c r="BE180" s="9">
        <f t="shared" si="130"/>
        <v>-1</v>
      </c>
      <c r="BF180" s="9" t="e">
        <f t="shared" si="131"/>
        <v>#DIV/0!</v>
      </c>
      <c r="BG180" s="9">
        <f t="shared" si="132"/>
        <v>-1</v>
      </c>
      <c r="BH180" s="9" t="e">
        <f t="shared" si="133"/>
        <v>#DIV/0!</v>
      </c>
      <c r="BI180" s="12" t="e">
        <f t="shared" si="134"/>
        <v>#DIV/0!</v>
      </c>
      <c r="BJ180" s="13" t="e">
        <f t="shared" si="135"/>
        <v>#DIV/0!</v>
      </c>
      <c r="BK180" s="1">
        <f t="shared" si="136"/>
        <v>2</v>
      </c>
      <c r="BL180" s="1">
        <f t="shared" si="137"/>
        <v>-2</v>
      </c>
      <c r="BM180" s="1">
        <f t="shared" si="138"/>
        <v>-1</v>
      </c>
      <c r="BN180" s="1">
        <f t="shared" si="139"/>
        <v>5</v>
      </c>
      <c r="BO180" s="1">
        <f t="shared" si="140"/>
        <v>-5</v>
      </c>
      <c r="BP180" s="1">
        <f t="shared" si="141"/>
        <v>2</v>
      </c>
      <c r="BQ180" s="19">
        <f t="shared" si="142"/>
        <v>0.16666666666666666</v>
      </c>
      <c r="BR180" s="17">
        <f t="shared" si="143"/>
        <v>0.5</v>
      </c>
    </row>
    <row r="181" spans="1:70" x14ac:dyDescent="0.25">
      <c r="A181" t="s">
        <v>477</v>
      </c>
      <c r="B181">
        <v>2</v>
      </c>
      <c r="C181">
        <v>5</v>
      </c>
      <c r="D181">
        <v>4</v>
      </c>
      <c r="E181">
        <v>4</v>
      </c>
      <c r="G181">
        <v>2</v>
      </c>
      <c r="H181">
        <v>6</v>
      </c>
      <c r="I181">
        <v>1</v>
      </c>
      <c r="J181">
        <v>2</v>
      </c>
      <c r="K181">
        <v>2</v>
      </c>
      <c r="L181">
        <v>2</v>
      </c>
      <c r="N181">
        <v>1</v>
      </c>
      <c r="O181">
        <v>3</v>
      </c>
      <c r="P181">
        <v>1</v>
      </c>
      <c r="Q181">
        <v>3</v>
      </c>
      <c r="R181">
        <v>2</v>
      </c>
      <c r="S181">
        <v>2</v>
      </c>
      <c r="U181">
        <v>1</v>
      </c>
      <c r="V181">
        <v>3</v>
      </c>
      <c r="W181" s="8">
        <f t="shared" si="96"/>
        <v>1.5</v>
      </c>
      <c r="X181" s="8">
        <f t="shared" si="97"/>
        <v>-0.2</v>
      </c>
      <c r="Y181" s="8">
        <f t="shared" si="98"/>
        <v>0</v>
      </c>
      <c r="Z181" s="8">
        <f t="shared" si="99"/>
        <v>-1</v>
      </c>
      <c r="AA181" s="8" t="e">
        <f t="shared" si="100"/>
        <v>#DIV/0!</v>
      </c>
      <c r="AB181" s="8">
        <f t="shared" si="101"/>
        <v>2</v>
      </c>
      <c r="AC181" s="12" t="e">
        <f t="shared" si="102"/>
        <v>#DIV/0!</v>
      </c>
      <c r="AD181" s="12" t="e">
        <f t="shared" si="103"/>
        <v>#DIV/0!</v>
      </c>
      <c r="AE181" s="1">
        <f t="shared" si="104"/>
        <v>3</v>
      </c>
      <c r="AF181" s="1">
        <f t="shared" si="105"/>
        <v>-1</v>
      </c>
      <c r="AG181" s="1">
        <f t="shared" si="106"/>
        <v>0</v>
      </c>
      <c r="AH181" s="1">
        <f t="shared" si="107"/>
        <v>-4</v>
      </c>
      <c r="AI181" s="1">
        <f t="shared" si="108"/>
        <v>2</v>
      </c>
      <c r="AJ181" s="1">
        <f t="shared" si="109"/>
        <v>4</v>
      </c>
      <c r="AK181" s="17">
        <f t="shared" si="110"/>
        <v>0.66666666666666663</v>
      </c>
      <c r="AL181" s="17">
        <f t="shared" si="111"/>
        <v>1</v>
      </c>
      <c r="AM181" s="1">
        <f t="shared" si="112"/>
        <v>1</v>
      </c>
      <c r="AN181" s="1">
        <f t="shared" si="113"/>
        <v>0</v>
      </c>
      <c r="AO181" s="1">
        <f t="shared" si="114"/>
        <v>0</v>
      </c>
      <c r="AP181" s="1">
        <f t="shared" si="115"/>
        <v>-1</v>
      </c>
      <c r="AQ181" s="1" t="e">
        <f t="shared" si="116"/>
        <v>#DIV/0!</v>
      </c>
      <c r="AR181" s="1">
        <f t="shared" si="117"/>
        <v>2</v>
      </c>
      <c r="AS181" s="12" t="e">
        <f t="shared" si="118"/>
        <v>#DIV/0!</v>
      </c>
      <c r="AT181" s="12" t="e">
        <f t="shared" si="119"/>
        <v>#DIV/0!</v>
      </c>
      <c r="AU181" s="1">
        <f t="shared" si="120"/>
        <v>1</v>
      </c>
      <c r="AV181" s="1">
        <f t="shared" si="121"/>
        <v>0</v>
      </c>
      <c r="AW181" s="1">
        <f t="shared" si="122"/>
        <v>0</v>
      </c>
      <c r="AX181" s="1">
        <f t="shared" si="123"/>
        <v>-2</v>
      </c>
      <c r="AY181" s="1">
        <f t="shared" si="124"/>
        <v>1</v>
      </c>
      <c r="AZ181" s="1">
        <f t="shared" si="125"/>
        <v>2</v>
      </c>
      <c r="BA181" s="19">
        <f t="shared" si="126"/>
        <v>0.33333333333333331</v>
      </c>
      <c r="BB181" s="19">
        <f t="shared" si="127"/>
        <v>0.5</v>
      </c>
      <c r="BC181" s="9">
        <f t="shared" si="128"/>
        <v>2</v>
      </c>
      <c r="BD181" s="9">
        <f t="shared" si="129"/>
        <v>-0.33333333333333331</v>
      </c>
      <c r="BE181" s="9">
        <f t="shared" si="130"/>
        <v>0</v>
      </c>
      <c r="BF181" s="9">
        <f t="shared" si="131"/>
        <v>-1</v>
      </c>
      <c r="BG181" s="9" t="e">
        <f t="shared" si="132"/>
        <v>#DIV/0!</v>
      </c>
      <c r="BH181" s="9">
        <f t="shared" si="133"/>
        <v>2</v>
      </c>
      <c r="BI181" s="12" t="e">
        <f t="shared" si="134"/>
        <v>#DIV/0!</v>
      </c>
      <c r="BJ181" s="13" t="e">
        <f t="shared" si="135"/>
        <v>#DIV/0!</v>
      </c>
      <c r="BK181" s="1">
        <f t="shared" si="136"/>
        <v>2</v>
      </c>
      <c r="BL181" s="1">
        <f t="shared" si="137"/>
        <v>-1</v>
      </c>
      <c r="BM181" s="1">
        <f t="shared" si="138"/>
        <v>0</v>
      </c>
      <c r="BN181" s="1">
        <f t="shared" si="139"/>
        <v>-2</v>
      </c>
      <c r="BO181" s="1">
        <f t="shared" si="140"/>
        <v>1</v>
      </c>
      <c r="BP181" s="1">
        <f t="shared" si="141"/>
        <v>2</v>
      </c>
      <c r="BQ181" s="19">
        <f t="shared" si="142"/>
        <v>0.33333333333333331</v>
      </c>
      <c r="BR181" s="17">
        <f t="shared" si="143"/>
        <v>0.5</v>
      </c>
    </row>
    <row r="182" spans="1:70" x14ac:dyDescent="0.25">
      <c r="A182" t="s">
        <v>484</v>
      </c>
      <c r="B182">
        <v>2</v>
      </c>
      <c r="C182">
        <v>10</v>
      </c>
      <c r="D182">
        <v>3</v>
      </c>
      <c r="E182">
        <v>7</v>
      </c>
      <c r="F182">
        <v>5</v>
      </c>
      <c r="G182">
        <v>6</v>
      </c>
      <c r="H182">
        <v>6</v>
      </c>
      <c r="I182">
        <v>2</v>
      </c>
      <c r="J182">
        <v>7</v>
      </c>
      <c r="K182">
        <v>3</v>
      </c>
      <c r="L182">
        <v>7</v>
      </c>
      <c r="M182">
        <v>4</v>
      </c>
      <c r="N182">
        <v>4</v>
      </c>
      <c r="O182">
        <v>4</v>
      </c>
      <c r="Q182">
        <v>3</v>
      </c>
      <c r="T182">
        <v>1</v>
      </c>
      <c r="U182">
        <v>2</v>
      </c>
      <c r="V182">
        <v>2</v>
      </c>
      <c r="W182" s="8">
        <f t="shared" si="96"/>
        <v>4</v>
      </c>
      <c r="X182" s="8">
        <f t="shared" si="97"/>
        <v>-0.7</v>
      </c>
      <c r="Y182" s="8">
        <f t="shared" si="98"/>
        <v>1.3333333333333333</v>
      </c>
      <c r="Z182" s="8">
        <f t="shared" si="99"/>
        <v>-0.2857142857142857</v>
      </c>
      <c r="AA182" s="8">
        <f t="shared" si="100"/>
        <v>0.2</v>
      </c>
      <c r="AB182" s="8">
        <f t="shared" si="101"/>
        <v>0</v>
      </c>
      <c r="AC182" s="12">
        <f t="shared" si="102"/>
        <v>0.75793650793650791</v>
      </c>
      <c r="AD182" s="12">
        <f t="shared" si="103"/>
        <v>0.1</v>
      </c>
      <c r="AE182" s="1">
        <f t="shared" si="104"/>
        <v>8</v>
      </c>
      <c r="AF182" s="1">
        <f t="shared" si="105"/>
        <v>-7</v>
      </c>
      <c r="AG182" s="1">
        <f t="shared" si="106"/>
        <v>4</v>
      </c>
      <c r="AH182" s="1">
        <f t="shared" si="107"/>
        <v>-2</v>
      </c>
      <c r="AI182" s="1">
        <f t="shared" si="108"/>
        <v>1</v>
      </c>
      <c r="AJ182" s="1">
        <f t="shared" si="109"/>
        <v>0</v>
      </c>
      <c r="AK182" s="17">
        <f t="shared" si="110"/>
        <v>0.66666666666666663</v>
      </c>
      <c r="AL182" s="17">
        <f t="shared" si="111"/>
        <v>0.5</v>
      </c>
      <c r="AM182" s="1">
        <f t="shared" si="112"/>
        <v>2.5</v>
      </c>
      <c r="AN182" s="1">
        <f t="shared" si="113"/>
        <v>-0.5714285714285714</v>
      </c>
      <c r="AO182" s="1">
        <f t="shared" si="114"/>
        <v>1.3333333333333333</v>
      </c>
      <c r="AP182" s="1">
        <f t="shared" si="115"/>
        <v>-0.42857142857142855</v>
      </c>
      <c r="AQ182" s="1">
        <f t="shared" si="116"/>
        <v>0</v>
      </c>
      <c r="AR182" s="1">
        <f t="shared" si="117"/>
        <v>0</v>
      </c>
      <c r="AS182" s="12">
        <f t="shared" si="118"/>
        <v>0.47222222222222227</v>
      </c>
      <c r="AT182" s="12">
        <f t="shared" si="119"/>
        <v>0</v>
      </c>
      <c r="AU182" s="1">
        <f t="shared" si="120"/>
        <v>5</v>
      </c>
      <c r="AV182" s="1">
        <f t="shared" si="121"/>
        <v>-4</v>
      </c>
      <c r="AW182" s="1">
        <f t="shared" si="122"/>
        <v>4</v>
      </c>
      <c r="AX182" s="1">
        <f t="shared" si="123"/>
        <v>-3</v>
      </c>
      <c r="AY182" s="1">
        <f t="shared" si="124"/>
        <v>0</v>
      </c>
      <c r="AZ182" s="1">
        <f t="shared" si="125"/>
        <v>0</v>
      </c>
      <c r="BA182" s="19">
        <f t="shared" si="126"/>
        <v>0.33333333333333331</v>
      </c>
      <c r="BB182" s="19">
        <f t="shared" si="127"/>
        <v>0</v>
      </c>
      <c r="BC182" s="9" t="e">
        <f t="shared" si="128"/>
        <v>#DIV/0!</v>
      </c>
      <c r="BD182" s="9">
        <f t="shared" si="129"/>
        <v>-1</v>
      </c>
      <c r="BE182" s="9" t="e">
        <f t="shared" si="130"/>
        <v>#DIV/0!</v>
      </c>
      <c r="BF182" s="9" t="e">
        <f t="shared" si="131"/>
        <v>#DIV/0!</v>
      </c>
      <c r="BG182" s="9">
        <f t="shared" si="132"/>
        <v>1</v>
      </c>
      <c r="BH182" s="9">
        <f t="shared" si="133"/>
        <v>0</v>
      </c>
      <c r="BI182" s="12" t="e">
        <f t="shared" si="134"/>
        <v>#DIV/0!</v>
      </c>
      <c r="BJ182" s="13" t="e">
        <f t="shared" si="135"/>
        <v>#DIV/0!</v>
      </c>
      <c r="BK182" s="1">
        <f t="shared" si="136"/>
        <v>3</v>
      </c>
      <c r="BL182" s="1">
        <f t="shared" si="137"/>
        <v>-3</v>
      </c>
      <c r="BM182" s="1">
        <f t="shared" si="138"/>
        <v>0</v>
      </c>
      <c r="BN182" s="1">
        <f t="shared" si="139"/>
        <v>1</v>
      </c>
      <c r="BO182" s="1">
        <f t="shared" si="140"/>
        <v>1</v>
      </c>
      <c r="BP182" s="1">
        <f t="shared" si="141"/>
        <v>0</v>
      </c>
      <c r="BQ182" s="19">
        <f t="shared" si="142"/>
        <v>0.33333333333333331</v>
      </c>
      <c r="BR182" s="17">
        <f t="shared" si="143"/>
        <v>0.5</v>
      </c>
    </row>
    <row r="183" spans="1:70" x14ac:dyDescent="0.25">
      <c r="A183" t="s">
        <v>560</v>
      </c>
      <c r="B183">
        <v>1</v>
      </c>
      <c r="C183">
        <v>6</v>
      </c>
      <c r="D183">
        <v>2</v>
      </c>
      <c r="E183">
        <v>4</v>
      </c>
      <c r="F183">
        <v>5</v>
      </c>
      <c r="G183">
        <v>6</v>
      </c>
      <c r="H183">
        <v>5</v>
      </c>
      <c r="P183">
        <v>1</v>
      </c>
      <c r="Q183">
        <v>6</v>
      </c>
      <c r="R183">
        <v>2</v>
      </c>
      <c r="S183">
        <v>4</v>
      </c>
      <c r="T183">
        <v>5</v>
      </c>
      <c r="U183">
        <v>6</v>
      </c>
      <c r="V183">
        <v>5</v>
      </c>
      <c r="W183" s="8">
        <f t="shared" si="96"/>
        <v>5</v>
      </c>
      <c r="X183" s="8">
        <f t="shared" si="97"/>
        <v>-0.66666666666666663</v>
      </c>
      <c r="Y183" s="8">
        <f t="shared" si="98"/>
        <v>1</v>
      </c>
      <c r="Z183" s="8">
        <f t="shared" si="99"/>
        <v>0.25</v>
      </c>
      <c r="AA183" s="8">
        <f t="shared" si="100"/>
        <v>0.2</v>
      </c>
      <c r="AB183" s="8">
        <f t="shared" si="101"/>
        <v>-0.16666666666666666</v>
      </c>
      <c r="AC183" s="12">
        <f t="shared" si="102"/>
        <v>0.93611111111111101</v>
      </c>
      <c r="AD183" s="12">
        <f t="shared" si="103"/>
        <v>0.22500000000000001</v>
      </c>
      <c r="AE183" s="1">
        <f t="shared" si="104"/>
        <v>5</v>
      </c>
      <c r="AF183" s="1">
        <f t="shared" si="105"/>
        <v>-4</v>
      </c>
      <c r="AG183" s="1">
        <f t="shared" si="106"/>
        <v>2</v>
      </c>
      <c r="AH183" s="1">
        <f t="shared" si="107"/>
        <v>1</v>
      </c>
      <c r="AI183" s="1">
        <f t="shared" si="108"/>
        <v>1</v>
      </c>
      <c r="AJ183" s="1">
        <f t="shared" si="109"/>
        <v>-1</v>
      </c>
      <c r="AK183" s="17">
        <f t="shared" si="110"/>
        <v>0.66666666666666663</v>
      </c>
      <c r="AL183" s="17">
        <f t="shared" si="111"/>
        <v>1</v>
      </c>
      <c r="AM183" s="1" t="e">
        <f t="shared" si="112"/>
        <v>#DIV/0!</v>
      </c>
      <c r="AN183" s="1" t="e">
        <f t="shared" si="113"/>
        <v>#DIV/0!</v>
      </c>
      <c r="AO183" s="1" t="e">
        <f t="shared" si="114"/>
        <v>#DIV/0!</v>
      </c>
      <c r="AP183" s="1" t="e">
        <f t="shared" si="115"/>
        <v>#DIV/0!</v>
      </c>
      <c r="AQ183" s="1" t="e">
        <f t="shared" si="116"/>
        <v>#DIV/0!</v>
      </c>
      <c r="AR183" s="1" t="e">
        <f t="shared" si="117"/>
        <v>#DIV/0!</v>
      </c>
      <c r="AS183" s="12" t="e">
        <f t="shared" si="118"/>
        <v>#DIV/0!</v>
      </c>
      <c r="AT183" s="12" t="e">
        <f t="shared" si="119"/>
        <v>#DIV/0!</v>
      </c>
      <c r="AU183" s="1">
        <f t="shared" si="120"/>
        <v>0</v>
      </c>
      <c r="AV183" s="1">
        <f t="shared" si="121"/>
        <v>0</v>
      </c>
      <c r="AW183" s="1">
        <f t="shared" si="122"/>
        <v>0</v>
      </c>
      <c r="AX183" s="1">
        <f t="shared" si="123"/>
        <v>0</v>
      </c>
      <c r="AY183" s="1">
        <f t="shared" si="124"/>
        <v>0</v>
      </c>
      <c r="AZ183" s="1">
        <f t="shared" si="125"/>
        <v>0</v>
      </c>
      <c r="BA183" s="19">
        <f t="shared" si="126"/>
        <v>0</v>
      </c>
      <c r="BB183" s="19">
        <f t="shared" si="127"/>
        <v>0</v>
      </c>
      <c r="BC183" s="9">
        <f t="shared" si="128"/>
        <v>5</v>
      </c>
      <c r="BD183" s="9">
        <f t="shared" si="129"/>
        <v>-0.66666666666666663</v>
      </c>
      <c r="BE183" s="9">
        <f t="shared" si="130"/>
        <v>1</v>
      </c>
      <c r="BF183" s="9">
        <f t="shared" si="131"/>
        <v>0.25</v>
      </c>
      <c r="BG183" s="9">
        <f t="shared" si="132"/>
        <v>0.2</v>
      </c>
      <c r="BH183" s="9">
        <f t="shared" si="133"/>
        <v>-0.16666666666666666</v>
      </c>
      <c r="BI183" s="12">
        <f t="shared" si="134"/>
        <v>0.93611111111111101</v>
      </c>
      <c r="BJ183" s="13">
        <f t="shared" si="135"/>
        <v>0.22500000000000001</v>
      </c>
      <c r="BK183" s="1">
        <f t="shared" si="136"/>
        <v>5</v>
      </c>
      <c r="BL183" s="1">
        <f t="shared" si="137"/>
        <v>-4</v>
      </c>
      <c r="BM183" s="1">
        <f t="shared" si="138"/>
        <v>2</v>
      </c>
      <c r="BN183" s="1">
        <f t="shared" si="139"/>
        <v>1</v>
      </c>
      <c r="BO183" s="1">
        <f t="shared" si="140"/>
        <v>1</v>
      </c>
      <c r="BP183" s="1">
        <f t="shared" si="141"/>
        <v>-1</v>
      </c>
      <c r="BQ183" s="19">
        <f t="shared" si="142"/>
        <v>0.66666666666666663</v>
      </c>
      <c r="BR183" s="17">
        <f t="shared" si="143"/>
        <v>1</v>
      </c>
    </row>
    <row r="184" spans="1:70" x14ac:dyDescent="0.25">
      <c r="A184" t="s">
        <v>645</v>
      </c>
      <c r="E184">
        <v>1</v>
      </c>
      <c r="F184">
        <v>4</v>
      </c>
      <c r="G184">
        <v>1</v>
      </c>
      <c r="H184">
        <v>4</v>
      </c>
      <c r="L184">
        <v>1</v>
      </c>
      <c r="M184">
        <v>3</v>
      </c>
      <c r="N184">
        <v>1</v>
      </c>
      <c r="O184">
        <v>3</v>
      </c>
      <c r="T184">
        <v>1</v>
      </c>
      <c r="V184">
        <v>1</v>
      </c>
      <c r="W184" s="8" t="e">
        <f t="shared" si="96"/>
        <v>#DIV/0!</v>
      </c>
      <c r="X184" s="8" t="e">
        <f t="shared" si="97"/>
        <v>#DIV/0!</v>
      </c>
      <c r="Y184" s="8" t="e">
        <f t="shared" si="98"/>
        <v>#DIV/0!</v>
      </c>
      <c r="Z184" s="8">
        <f t="shared" si="99"/>
        <v>3</v>
      </c>
      <c r="AA184" s="8">
        <f t="shared" si="100"/>
        <v>-0.75</v>
      </c>
      <c r="AB184" s="8">
        <f t="shared" si="101"/>
        <v>3</v>
      </c>
      <c r="AC184" s="12" t="e">
        <f t="shared" si="102"/>
        <v>#DIV/0!</v>
      </c>
      <c r="AD184" s="12" t="e">
        <f t="shared" si="103"/>
        <v>#DIV/0!</v>
      </c>
      <c r="AE184" s="1">
        <f t="shared" si="104"/>
        <v>0</v>
      </c>
      <c r="AF184" s="1">
        <f t="shared" si="105"/>
        <v>0</v>
      </c>
      <c r="AG184" s="1">
        <f t="shared" si="106"/>
        <v>1</v>
      </c>
      <c r="AH184" s="1">
        <f t="shared" si="107"/>
        <v>3</v>
      </c>
      <c r="AI184" s="1">
        <f t="shared" si="108"/>
        <v>-3</v>
      </c>
      <c r="AJ184" s="1">
        <f t="shared" si="109"/>
        <v>3</v>
      </c>
      <c r="AK184" s="17">
        <f t="shared" si="110"/>
        <v>0.66666666666666663</v>
      </c>
      <c r="AL184" s="17">
        <f t="shared" si="111"/>
        <v>0.5</v>
      </c>
      <c r="AM184" s="1" t="e">
        <f t="shared" si="112"/>
        <v>#DIV/0!</v>
      </c>
      <c r="AN184" s="1" t="e">
        <f t="shared" si="113"/>
        <v>#DIV/0!</v>
      </c>
      <c r="AO184" s="1" t="e">
        <f t="shared" si="114"/>
        <v>#DIV/0!</v>
      </c>
      <c r="AP184" s="1">
        <f t="shared" si="115"/>
        <v>2</v>
      </c>
      <c r="AQ184" s="1">
        <f t="shared" si="116"/>
        <v>-0.66666666666666663</v>
      </c>
      <c r="AR184" s="1">
        <f t="shared" si="117"/>
        <v>2</v>
      </c>
      <c r="AS184" s="12" t="e">
        <f t="shared" si="118"/>
        <v>#DIV/0!</v>
      </c>
      <c r="AT184" s="12" t="e">
        <f t="shared" si="119"/>
        <v>#DIV/0!</v>
      </c>
      <c r="AU184" s="1">
        <f t="shared" si="120"/>
        <v>0</v>
      </c>
      <c r="AV184" s="1">
        <f t="shared" si="121"/>
        <v>0</v>
      </c>
      <c r="AW184" s="1">
        <f t="shared" si="122"/>
        <v>1</v>
      </c>
      <c r="AX184" s="1">
        <f t="shared" si="123"/>
        <v>2</v>
      </c>
      <c r="AY184" s="1">
        <f t="shared" si="124"/>
        <v>-2</v>
      </c>
      <c r="AZ184" s="1">
        <f t="shared" si="125"/>
        <v>2</v>
      </c>
      <c r="BA184" s="19">
        <f t="shared" si="126"/>
        <v>0.5</v>
      </c>
      <c r="BB184" s="19">
        <f t="shared" si="127"/>
        <v>0.5</v>
      </c>
      <c r="BC184" s="9" t="e">
        <f t="shared" si="128"/>
        <v>#DIV/0!</v>
      </c>
      <c r="BD184" s="9" t="e">
        <f t="shared" si="129"/>
        <v>#DIV/0!</v>
      </c>
      <c r="BE184" s="9" t="e">
        <f t="shared" si="130"/>
        <v>#DIV/0!</v>
      </c>
      <c r="BF184" s="9" t="e">
        <f t="shared" si="131"/>
        <v>#DIV/0!</v>
      </c>
      <c r="BG184" s="9">
        <f t="shared" si="132"/>
        <v>-1</v>
      </c>
      <c r="BH184" s="9" t="e">
        <f t="shared" si="133"/>
        <v>#DIV/0!</v>
      </c>
      <c r="BI184" s="12" t="e">
        <f t="shared" si="134"/>
        <v>#DIV/0!</v>
      </c>
      <c r="BJ184" s="13" t="e">
        <f t="shared" si="135"/>
        <v>#DIV/0!</v>
      </c>
      <c r="BK184" s="1">
        <f t="shared" si="136"/>
        <v>0</v>
      </c>
      <c r="BL184" s="1">
        <f t="shared" si="137"/>
        <v>0</v>
      </c>
      <c r="BM184" s="1">
        <f t="shared" si="138"/>
        <v>0</v>
      </c>
      <c r="BN184" s="1">
        <f t="shared" si="139"/>
        <v>1</v>
      </c>
      <c r="BO184" s="1">
        <f t="shared" si="140"/>
        <v>-1</v>
      </c>
      <c r="BP184" s="1">
        <f t="shared" si="141"/>
        <v>1</v>
      </c>
      <c r="BQ184" s="19">
        <f t="shared" si="142"/>
        <v>0.16666666666666666</v>
      </c>
      <c r="BR184" s="17">
        <f t="shared" si="143"/>
        <v>0</v>
      </c>
    </row>
    <row r="185" spans="1:70" x14ac:dyDescent="0.25">
      <c r="A185" t="s">
        <v>192</v>
      </c>
      <c r="B185">
        <v>42</v>
      </c>
      <c r="C185">
        <v>38</v>
      </c>
      <c r="D185">
        <v>31</v>
      </c>
      <c r="E185">
        <v>33</v>
      </c>
      <c r="F185">
        <v>42</v>
      </c>
      <c r="G185">
        <v>44</v>
      </c>
      <c r="H185">
        <v>45</v>
      </c>
      <c r="I185">
        <v>23</v>
      </c>
      <c r="J185">
        <v>25</v>
      </c>
      <c r="K185">
        <v>21</v>
      </c>
      <c r="L185">
        <v>22</v>
      </c>
      <c r="M185">
        <v>26</v>
      </c>
      <c r="N185">
        <v>29</v>
      </c>
      <c r="O185">
        <v>33</v>
      </c>
      <c r="P185">
        <v>19</v>
      </c>
      <c r="Q185">
        <v>13</v>
      </c>
      <c r="R185">
        <v>10</v>
      </c>
      <c r="S185">
        <v>11</v>
      </c>
      <c r="T185">
        <v>16</v>
      </c>
      <c r="U185">
        <v>15</v>
      </c>
      <c r="V185">
        <v>12</v>
      </c>
      <c r="W185" s="8">
        <f t="shared" si="96"/>
        <v>-9.5238095238095233E-2</v>
      </c>
      <c r="X185" s="8">
        <f t="shared" si="97"/>
        <v>-0.18421052631578946</v>
      </c>
      <c r="Y185" s="8">
        <f t="shared" si="98"/>
        <v>6.4516129032258063E-2</v>
      </c>
      <c r="Z185" s="8">
        <f t="shared" si="99"/>
        <v>0.27272727272727271</v>
      </c>
      <c r="AA185" s="8">
        <f t="shared" si="100"/>
        <v>4.7619047619047616E-2</v>
      </c>
      <c r="AB185" s="8">
        <f t="shared" si="101"/>
        <v>2.2727272727272728E-2</v>
      </c>
      <c r="AC185" s="12">
        <f t="shared" si="102"/>
        <v>2.1356850091994398E-2</v>
      </c>
      <c r="AD185" s="12">
        <f t="shared" si="103"/>
        <v>3.5173160173160176E-2</v>
      </c>
      <c r="AE185" s="1">
        <f t="shared" si="104"/>
        <v>-4</v>
      </c>
      <c r="AF185" s="1">
        <f t="shared" si="105"/>
        <v>-7</v>
      </c>
      <c r="AG185" s="1">
        <f t="shared" si="106"/>
        <v>2</v>
      </c>
      <c r="AH185" s="1">
        <f t="shared" si="107"/>
        <v>9</v>
      </c>
      <c r="AI185" s="1">
        <f t="shared" si="108"/>
        <v>2</v>
      </c>
      <c r="AJ185" s="1">
        <f t="shared" si="109"/>
        <v>1</v>
      </c>
      <c r="AK185" s="17">
        <f t="shared" si="110"/>
        <v>0.5</v>
      </c>
      <c r="AL185" s="17">
        <f t="shared" si="111"/>
        <v>1.5</v>
      </c>
      <c r="AM185" s="1">
        <f t="shared" si="112"/>
        <v>8.6956521739130432E-2</v>
      </c>
      <c r="AN185" s="1">
        <f t="shared" si="113"/>
        <v>-0.16</v>
      </c>
      <c r="AO185" s="1">
        <f t="shared" si="114"/>
        <v>4.7619047619047616E-2</v>
      </c>
      <c r="AP185" s="1">
        <f t="shared" si="115"/>
        <v>0.18181818181818182</v>
      </c>
      <c r="AQ185" s="1">
        <f t="shared" si="116"/>
        <v>0.11538461538461539</v>
      </c>
      <c r="AR185" s="1">
        <f t="shared" si="117"/>
        <v>0.13793103448275862</v>
      </c>
      <c r="AS185" s="12">
        <f t="shared" si="118"/>
        <v>6.8284900173955651E-2</v>
      </c>
      <c r="AT185" s="12">
        <f t="shared" si="119"/>
        <v>0.10117056856187291</v>
      </c>
      <c r="AU185" s="1">
        <f t="shared" si="120"/>
        <v>2</v>
      </c>
      <c r="AV185" s="1">
        <f t="shared" si="121"/>
        <v>-4</v>
      </c>
      <c r="AW185" s="1">
        <f t="shared" si="122"/>
        <v>1</v>
      </c>
      <c r="AX185" s="1">
        <f t="shared" si="123"/>
        <v>4</v>
      </c>
      <c r="AY185" s="1">
        <f t="shared" si="124"/>
        <v>3</v>
      </c>
      <c r="AZ185" s="1">
        <f t="shared" si="125"/>
        <v>4</v>
      </c>
      <c r="BA185" s="19">
        <f t="shared" si="126"/>
        <v>1.6666666666666667</v>
      </c>
      <c r="BB185" s="19">
        <f t="shared" si="127"/>
        <v>2.5</v>
      </c>
      <c r="BC185" s="9">
        <f t="shared" si="128"/>
        <v>-0.31578947368421051</v>
      </c>
      <c r="BD185" s="9">
        <f t="shared" si="129"/>
        <v>-0.23076923076923078</v>
      </c>
      <c r="BE185" s="9">
        <f t="shared" si="130"/>
        <v>0.1</v>
      </c>
      <c r="BF185" s="9">
        <f t="shared" si="131"/>
        <v>0.45454545454545453</v>
      </c>
      <c r="BG185" s="9">
        <f t="shared" si="132"/>
        <v>-6.25E-2</v>
      </c>
      <c r="BH185" s="9">
        <f t="shared" si="133"/>
        <v>-0.2</v>
      </c>
      <c r="BI185" s="12">
        <f t="shared" si="134"/>
        <v>-4.2418874984664456E-2</v>
      </c>
      <c r="BJ185" s="13">
        <f t="shared" si="135"/>
        <v>-0.13125000000000001</v>
      </c>
      <c r="BK185" s="1">
        <f t="shared" si="136"/>
        <v>-6</v>
      </c>
      <c r="BL185" s="1">
        <f t="shared" si="137"/>
        <v>-3</v>
      </c>
      <c r="BM185" s="1">
        <f t="shared" si="138"/>
        <v>1</v>
      </c>
      <c r="BN185" s="1">
        <f t="shared" si="139"/>
        <v>5</v>
      </c>
      <c r="BO185" s="1">
        <f t="shared" si="140"/>
        <v>-1</v>
      </c>
      <c r="BP185" s="1">
        <f t="shared" si="141"/>
        <v>-3</v>
      </c>
      <c r="BQ185" s="19">
        <f t="shared" si="142"/>
        <v>-1.1666666666666667</v>
      </c>
      <c r="BR185" s="17">
        <f t="shared" si="143"/>
        <v>-2</v>
      </c>
    </row>
    <row r="186" spans="1:70" x14ac:dyDescent="0.25">
      <c r="A186" t="s">
        <v>224</v>
      </c>
      <c r="B186">
        <v>26</v>
      </c>
      <c r="C186">
        <v>47</v>
      </c>
      <c r="D186">
        <v>10</v>
      </c>
      <c r="E186">
        <v>31</v>
      </c>
      <c r="F186">
        <v>64</v>
      </c>
      <c r="G186">
        <v>16</v>
      </c>
      <c r="H186">
        <v>29</v>
      </c>
      <c r="I186">
        <v>10</v>
      </c>
      <c r="J186">
        <v>25</v>
      </c>
      <c r="K186">
        <v>6</v>
      </c>
      <c r="L186">
        <v>17</v>
      </c>
      <c r="M186">
        <v>29</v>
      </c>
      <c r="N186">
        <v>8</v>
      </c>
      <c r="O186">
        <v>14</v>
      </c>
      <c r="P186">
        <v>16</v>
      </c>
      <c r="Q186">
        <v>22</v>
      </c>
      <c r="R186">
        <v>4</v>
      </c>
      <c r="S186">
        <v>14</v>
      </c>
      <c r="T186">
        <v>35</v>
      </c>
      <c r="U186">
        <v>8</v>
      </c>
      <c r="V186">
        <v>15</v>
      </c>
      <c r="W186" s="8">
        <f t="shared" si="96"/>
        <v>0.80769230769230771</v>
      </c>
      <c r="X186" s="8">
        <f t="shared" si="97"/>
        <v>-0.78723404255319152</v>
      </c>
      <c r="Y186" s="8">
        <f t="shared" si="98"/>
        <v>2.1</v>
      </c>
      <c r="Z186" s="8">
        <f t="shared" si="99"/>
        <v>1.064516129032258</v>
      </c>
      <c r="AA186" s="8">
        <f t="shared" si="100"/>
        <v>-0.75</v>
      </c>
      <c r="AB186" s="8">
        <f t="shared" si="101"/>
        <v>0.8125</v>
      </c>
      <c r="AC186" s="12">
        <f t="shared" si="102"/>
        <v>0.54124573236189566</v>
      </c>
      <c r="AD186" s="12">
        <f t="shared" si="103"/>
        <v>0.81009615384615385</v>
      </c>
      <c r="AE186" s="1">
        <f t="shared" si="104"/>
        <v>21</v>
      </c>
      <c r="AF186" s="1">
        <f t="shared" si="105"/>
        <v>-37</v>
      </c>
      <c r="AG186" s="1">
        <f t="shared" si="106"/>
        <v>21</v>
      </c>
      <c r="AH186" s="1">
        <f t="shared" si="107"/>
        <v>33</v>
      </c>
      <c r="AI186" s="1">
        <f t="shared" si="108"/>
        <v>-48</v>
      </c>
      <c r="AJ186" s="1">
        <f t="shared" si="109"/>
        <v>13</v>
      </c>
      <c r="AK186" s="17">
        <f t="shared" si="110"/>
        <v>0.5</v>
      </c>
      <c r="AL186" s="17">
        <f t="shared" si="111"/>
        <v>17</v>
      </c>
      <c r="AM186" s="1">
        <f t="shared" si="112"/>
        <v>1.5</v>
      </c>
      <c r="AN186" s="1">
        <f t="shared" si="113"/>
        <v>-0.76</v>
      </c>
      <c r="AO186" s="1">
        <f t="shared" si="114"/>
        <v>1.8333333333333333</v>
      </c>
      <c r="AP186" s="1">
        <f t="shared" si="115"/>
        <v>0.70588235294117652</v>
      </c>
      <c r="AQ186" s="1">
        <f t="shared" si="116"/>
        <v>-0.72413793103448276</v>
      </c>
      <c r="AR186" s="1">
        <f t="shared" si="117"/>
        <v>0.75</v>
      </c>
      <c r="AS186" s="12">
        <f t="shared" si="118"/>
        <v>0.5508462925400045</v>
      </c>
      <c r="AT186" s="12">
        <f t="shared" si="119"/>
        <v>0.72794117647058831</v>
      </c>
      <c r="AU186" s="1">
        <f t="shared" si="120"/>
        <v>15</v>
      </c>
      <c r="AV186" s="1">
        <f t="shared" si="121"/>
        <v>-19</v>
      </c>
      <c r="AW186" s="1">
        <f t="shared" si="122"/>
        <v>11</v>
      </c>
      <c r="AX186" s="1">
        <f t="shared" si="123"/>
        <v>12</v>
      </c>
      <c r="AY186" s="1">
        <f t="shared" si="124"/>
        <v>-21</v>
      </c>
      <c r="AZ186" s="1">
        <f t="shared" si="125"/>
        <v>6</v>
      </c>
      <c r="BA186" s="19">
        <f t="shared" si="126"/>
        <v>0.66666666666666663</v>
      </c>
      <c r="BB186" s="19">
        <f t="shared" si="127"/>
        <v>8.5</v>
      </c>
      <c r="BC186" s="9">
        <f t="shared" si="128"/>
        <v>0.375</v>
      </c>
      <c r="BD186" s="9">
        <f t="shared" si="129"/>
        <v>-0.81818181818181823</v>
      </c>
      <c r="BE186" s="9">
        <f t="shared" si="130"/>
        <v>2.5</v>
      </c>
      <c r="BF186" s="9">
        <f t="shared" si="131"/>
        <v>1.5</v>
      </c>
      <c r="BG186" s="9">
        <f t="shared" si="132"/>
        <v>-0.77142857142857146</v>
      </c>
      <c r="BH186" s="9">
        <f t="shared" si="133"/>
        <v>0.875</v>
      </c>
      <c r="BI186" s="12">
        <f t="shared" si="134"/>
        <v>0.61006493506493509</v>
      </c>
      <c r="BJ186" s="13">
        <f t="shared" si="135"/>
        <v>0.625</v>
      </c>
      <c r="BK186" s="1">
        <f t="shared" si="136"/>
        <v>6</v>
      </c>
      <c r="BL186" s="1">
        <f t="shared" si="137"/>
        <v>-18</v>
      </c>
      <c r="BM186" s="1">
        <f t="shared" si="138"/>
        <v>10</v>
      </c>
      <c r="BN186" s="1">
        <f t="shared" si="139"/>
        <v>21</v>
      </c>
      <c r="BO186" s="1">
        <f t="shared" si="140"/>
        <v>-27</v>
      </c>
      <c r="BP186" s="1">
        <f t="shared" si="141"/>
        <v>7</v>
      </c>
      <c r="BQ186" s="19">
        <f t="shared" si="142"/>
        <v>-0.16666666666666666</v>
      </c>
      <c r="BR186" s="17">
        <f t="shared" si="143"/>
        <v>6.5</v>
      </c>
    </row>
    <row r="187" spans="1:70" x14ac:dyDescent="0.25">
      <c r="A187" t="s">
        <v>240</v>
      </c>
      <c r="B187">
        <v>21</v>
      </c>
      <c r="C187">
        <v>13</v>
      </c>
      <c r="D187">
        <v>22</v>
      </c>
      <c r="E187">
        <v>23</v>
      </c>
      <c r="F187">
        <v>15</v>
      </c>
      <c r="G187">
        <v>18</v>
      </c>
      <c r="H187">
        <v>24</v>
      </c>
      <c r="I187">
        <v>5</v>
      </c>
      <c r="J187">
        <v>4</v>
      </c>
      <c r="K187">
        <v>3</v>
      </c>
      <c r="L187">
        <v>13</v>
      </c>
      <c r="M187">
        <v>3</v>
      </c>
      <c r="N187">
        <v>4</v>
      </c>
      <c r="O187">
        <v>5</v>
      </c>
      <c r="P187">
        <v>16</v>
      </c>
      <c r="Q187">
        <v>9</v>
      </c>
      <c r="R187">
        <v>19</v>
      </c>
      <c r="S187">
        <v>10</v>
      </c>
      <c r="T187">
        <v>12</v>
      </c>
      <c r="U187">
        <v>14</v>
      </c>
      <c r="V187">
        <v>19</v>
      </c>
      <c r="W187" s="8">
        <f t="shared" si="96"/>
        <v>-0.38095238095238093</v>
      </c>
      <c r="X187" s="8">
        <f t="shared" si="97"/>
        <v>0.69230769230769229</v>
      </c>
      <c r="Y187" s="8">
        <f t="shared" si="98"/>
        <v>4.5454545454545456E-2</v>
      </c>
      <c r="Z187" s="8">
        <f t="shared" si="99"/>
        <v>-0.34782608695652173</v>
      </c>
      <c r="AA187" s="8">
        <f t="shared" si="100"/>
        <v>0.2</v>
      </c>
      <c r="AB187" s="8">
        <f t="shared" si="101"/>
        <v>0.33333333333333331</v>
      </c>
      <c r="AC187" s="12">
        <f t="shared" si="102"/>
        <v>9.0386183864444747E-2</v>
      </c>
      <c r="AD187" s="12">
        <f t="shared" si="103"/>
        <v>0.12272727272727273</v>
      </c>
      <c r="AE187" s="1">
        <f t="shared" si="104"/>
        <v>-8</v>
      </c>
      <c r="AF187" s="1">
        <f t="shared" si="105"/>
        <v>9</v>
      </c>
      <c r="AG187" s="1">
        <f t="shared" si="106"/>
        <v>1</v>
      </c>
      <c r="AH187" s="1">
        <f t="shared" si="107"/>
        <v>-8</v>
      </c>
      <c r="AI187" s="1">
        <f t="shared" si="108"/>
        <v>3</v>
      </c>
      <c r="AJ187" s="1">
        <f t="shared" si="109"/>
        <v>6</v>
      </c>
      <c r="AK187" s="17">
        <f t="shared" si="110"/>
        <v>0.5</v>
      </c>
      <c r="AL187" s="17">
        <f t="shared" si="111"/>
        <v>2</v>
      </c>
      <c r="AM187" s="1">
        <f t="shared" si="112"/>
        <v>-0.2</v>
      </c>
      <c r="AN187" s="1">
        <f t="shared" si="113"/>
        <v>-0.25</v>
      </c>
      <c r="AO187" s="1">
        <f t="shared" si="114"/>
        <v>3.3333333333333335</v>
      </c>
      <c r="AP187" s="1">
        <f t="shared" si="115"/>
        <v>-0.76923076923076927</v>
      </c>
      <c r="AQ187" s="1">
        <f t="shared" si="116"/>
        <v>0.33333333333333331</v>
      </c>
      <c r="AR187" s="1">
        <f t="shared" si="117"/>
        <v>0.25</v>
      </c>
      <c r="AS187" s="12">
        <f t="shared" si="118"/>
        <v>0.44957264957264959</v>
      </c>
      <c r="AT187" s="12">
        <f t="shared" si="119"/>
        <v>2.4999999999999994E-2</v>
      </c>
      <c r="AU187" s="1">
        <f t="shared" si="120"/>
        <v>-1</v>
      </c>
      <c r="AV187" s="1">
        <f t="shared" si="121"/>
        <v>-1</v>
      </c>
      <c r="AW187" s="1">
        <f t="shared" si="122"/>
        <v>10</v>
      </c>
      <c r="AX187" s="1">
        <f t="shared" si="123"/>
        <v>-10</v>
      </c>
      <c r="AY187" s="1">
        <f t="shared" si="124"/>
        <v>1</v>
      </c>
      <c r="AZ187" s="1">
        <f t="shared" si="125"/>
        <v>1</v>
      </c>
      <c r="BA187" s="19">
        <f t="shared" si="126"/>
        <v>0</v>
      </c>
      <c r="BB187" s="19">
        <f t="shared" si="127"/>
        <v>0</v>
      </c>
      <c r="BC187" s="9">
        <f t="shared" si="128"/>
        <v>-0.4375</v>
      </c>
      <c r="BD187" s="9">
        <f t="shared" si="129"/>
        <v>1.1111111111111112</v>
      </c>
      <c r="BE187" s="9">
        <f t="shared" si="130"/>
        <v>-0.47368421052631576</v>
      </c>
      <c r="BF187" s="9">
        <f t="shared" si="131"/>
        <v>0.2</v>
      </c>
      <c r="BG187" s="9">
        <f t="shared" si="132"/>
        <v>0.16666666666666666</v>
      </c>
      <c r="BH187" s="9">
        <f t="shared" si="133"/>
        <v>0.35714285714285715</v>
      </c>
      <c r="BI187" s="12">
        <f t="shared" si="134"/>
        <v>0.15395607073238651</v>
      </c>
      <c r="BJ187" s="13">
        <f t="shared" si="135"/>
        <v>0.18333333333333335</v>
      </c>
      <c r="BK187" s="1">
        <f t="shared" si="136"/>
        <v>-7</v>
      </c>
      <c r="BL187" s="1">
        <f t="shared" si="137"/>
        <v>10</v>
      </c>
      <c r="BM187" s="1">
        <f t="shared" si="138"/>
        <v>-9</v>
      </c>
      <c r="BN187" s="1">
        <f t="shared" si="139"/>
        <v>2</v>
      </c>
      <c r="BO187" s="1">
        <f t="shared" si="140"/>
        <v>2</v>
      </c>
      <c r="BP187" s="1">
        <f t="shared" si="141"/>
        <v>5</v>
      </c>
      <c r="BQ187" s="19">
        <f t="shared" si="142"/>
        <v>0.5</v>
      </c>
      <c r="BR187" s="17">
        <f t="shared" si="143"/>
        <v>2</v>
      </c>
    </row>
    <row r="188" spans="1:70" x14ac:dyDescent="0.25">
      <c r="A188" t="s">
        <v>252</v>
      </c>
      <c r="B188">
        <v>19</v>
      </c>
      <c r="C188">
        <v>5</v>
      </c>
      <c r="D188">
        <v>23</v>
      </c>
      <c r="E188">
        <v>24</v>
      </c>
      <c r="F188">
        <v>16</v>
      </c>
      <c r="G188">
        <v>22</v>
      </c>
      <c r="H188">
        <v>22</v>
      </c>
      <c r="I188">
        <v>7</v>
      </c>
      <c r="J188">
        <v>1</v>
      </c>
      <c r="K188">
        <v>12</v>
      </c>
      <c r="L188">
        <v>9</v>
      </c>
      <c r="M188">
        <v>7</v>
      </c>
      <c r="N188">
        <v>10</v>
      </c>
      <c r="O188">
        <v>10</v>
      </c>
      <c r="P188">
        <v>12</v>
      </c>
      <c r="Q188">
        <v>4</v>
      </c>
      <c r="R188">
        <v>11</v>
      </c>
      <c r="S188">
        <v>15</v>
      </c>
      <c r="T188">
        <v>9</v>
      </c>
      <c r="U188">
        <v>12</v>
      </c>
      <c r="V188">
        <v>12</v>
      </c>
      <c r="W188" s="8">
        <f t="shared" si="96"/>
        <v>-0.73684210526315785</v>
      </c>
      <c r="X188" s="8">
        <f t="shared" si="97"/>
        <v>3.6</v>
      </c>
      <c r="Y188" s="8">
        <f t="shared" si="98"/>
        <v>4.3478260869565216E-2</v>
      </c>
      <c r="Z188" s="8">
        <f t="shared" si="99"/>
        <v>-0.33333333333333331</v>
      </c>
      <c r="AA188" s="8">
        <f t="shared" si="100"/>
        <v>0.375</v>
      </c>
      <c r="AB188" s="8">
        <f t="shared" si="101"/>
        <v>0</v>
      </c>
      <c r="AC188" s="12">
        <f t="shared" si="102"/>
        <v>0.49138380371217899</v>
      </c>
      <c r="AD188" s="12">
        <f t="shared" si="103"/>
        <v>2.1739130434782608E-2</v>
      </c>
      <c r="AE188" s="1">
        <f t="shared" si="104"/>
        <v>-14</v>
      </c>
      <c r="AF188" s="1">
        <f t="shared" si="105"/>
        <v>18</v>
      </c>
      <c r="AG188" s="1">
        <f t="shared" si="106"/>
        <v>1</v>
      </c>
      <c r="AH188" s="1">
        <f t="shared" si="107"/>
        <v>-8</v>
      </c>
      <c r="AI188" s="1">
        <f t="shared" si="108"/>
        <v>6</v>
      </c>
      <c r="AJ188" s="1">
        <f t="shared" si="109"/>
        <v>0</v>
      </c>
      <c r="AK188" s="17">
        <f t="shared" si="110"/>
        <v>0.5</v>
      </c>
      <c r="AL188" s="17">
        <f t="shared" si="111"/>
        <v>0.5</v>
      </c>
      <c r="AM188" s="1">
        <f t="shared" si="112"/>
        <v>-0.8571428571428571</v>
      </c>
      <c r="AN188" s="1">
        <f t="shared" si="113"/>
        <v>11</v>
      </c>
      <c r="AO188" s="1">
        <f t="shared" si="114"/>
        <v>-0.25</v>
      </c>
      <c r="AP188" s="1">
        <f t="shared" si="115"/>
        <v>-0.22222222222222221</v>
      </c>
      <c r="AQ188" s="1">
        <f t="shared" si="116"/>
        <v>0.42857142857142855</v>
      </c>
      <c r="AR188" s="1">
        <f t="shared" si="117"/>
        <v>0</v>
      </c>
      <c r="AS188" s="12">
        <f t="shared" si="118"/>
        <v>1.6832010582010584</v>
      </c>
      <c r="AT188" s="12">
        <f t="shared" si="119"/>
        <v>-0.1111111111111111</v>
      </c>
      <c r="AU188" s="1">
        <f t="shared" si="120"/>
        <v>-6</v>
      </c>
      <c r="AV188" s="1">
        <f t="shared" si="121"/>
        <v>11</v>
      </c>
      <c r="AW188" s="1">
        <f t="shared" si="122"/>
        <v>-3</v>
      </c>
      <c r="AX188" s="1">
        <f t="shared" si="123"/>
        <v>-2</v>
      </c>
      <c r="AY188" s="1">
        <f t="shared" si="124"/>
        <v>3</v>
      </c>
      <c r="AZ188" s="1">
        <f t="shared" si="125"/>
        <v>0</v>
      </c>
      <c r="BA188" s="19">
        <f t="shared" si="126"/>
        <v>0.5</v>
      </c>
      <c r="BB188" s="19">
        <f t="shared" si="127"/>
        <v>-1</v>
      </c>
      <c r="BC188" s="9">
        <f t="shared" si="128"/>
        <v>-0.66666666666666663</v>
      </c>
      <c r="BD188" s="9">
        <f t="shared" si="129"/>
        <v>1.75</v>
      </c>
      <c r="BE188" s="9">
        <f t="shared" si="130"/>
        <v>0.36363636363636365</v>
      </c>
      <c r="BF188" s="9">
        <f t="shared" si="131"/>
        <v>-0.4</v>
      </c>
      <c r="BG188" s="9">
        <f t="shared" si="132"/>
        <v>0.33333333333333331</v>
      </c>
      <c r="BH188" s="9">
        <f t="shared" si="133"/>
        <v>0</v>
      </c>
      <c r="BI188" s="12">
        <f t="shared" si="134"/>
        <v>0.23005050505050509</v>
      </c>
      <c r="BJ188" s="13">
        <f t="shared" si="135"/>
        <v>0.16666666666666666</v>
      </c>
      <c r="BK188" s="1">
        <f t="shared" si="136"/>
        <v>-8</v>
      </c>
      <c r="BL188" s="1">
        <f t="shared" si="137"/>
        <v>7</v>
      </c>
      <c r="BM188" s="1">
        <f t="shared" si="138"/>
        <v>4</v>
      </c>
      <c r="BN188" s="1">
        <f t="shared" si="139"/>
        <v>-6</v>
      </c>
      <c r="BO188" s="1">
        <f t="shared" si="140"/>
        <v>3</v>
      </c>
      <c r="BP188" s="1">
        <f t="shared" si="141"/>
        <v>0</v>
      </c>
      <c r="BQ188" s="19">
        <f t="shared" si="142"/>
        <v>0</v>
      </c>
      <c r="BR188" s="17">
        <f t="shared" si="143"/>
        <v>1.5</v>
      </c>
    </row>
    <row r="189" spans="1:70" x14ac:dyDescent="0.25">
      <c r="A189" t="s">
        <v>262</v>
      </c>
      <c r="B189">
        <v>17</v>
      </c>
      <c r="C189">
        <v>10</v>
      </c>
      <c r="D189">
        <v>11</v>
      </c>
      <c r="E189">
        <v>14</v>
      </c>
      <c r="F189">
        <v>9</v>
      </c>
      <c r="G189">
        <v>14</v>
      </c>
      <c r="H189">
        <v>20</v>
      </c>
      <c r="I189">
        <v>7</v>
      </c>
      <c r="J189">
        <v>6</v>
      </c>
      <c r="K189">
        <v>8</v>
      </c>
      <c r="L189">
        <v>10</v>
      </c>
      <c r="M189">
        <v>6</v>
      </c>
      <c r="N189">
        <v>6</v>
      </c>
      <c r="O189">
        <v>7</v>
      </c>
      <c r="P189">
        <v>10</v>
      </c>
      <c r="Q189">
        <v>4</v>
      </c>
      <c r="R189">
        <v>3</v>
      </c>
      <c r="S189">
        <v>4</v>
      </c>
      <c r="T189">
        <v>3</v>
      </c>
      <c r="U189">
        <v>8</v>
      </c>
      <c r="V189">
        <v>13</v>
      </c>
      <c r="W189" s="8">
        <f t="shared" si="96"/>
        <v>-0.41176470588235292</v>
      </c>
      <c r="X189" s="8">
        <f t="shared" si="97"/>
        <v>0.1</v>
      </c>
      <c r="Y189" s="8">
        <f t="shared" si="98"/>
        <v>0.27272727272727271</v>
      </c>
      <c r="Z189" s="8">
        <f t="shared" si="99"/>
        <v>-0.35714285714285715</v>
      </c>
      <c r="AA189" s="8">
        <f t="shared" si="100"/>
        <v>0.55555555555555558</v>
      </c>
      <c r="AB189" s="8">
        <f t="shared" si="101"/>
        <v>0.42857142857142855</v>
      </c>
      <c r="AC189" s="12">
        <f t="shared" si="102"/>
        <v>9.7991115638174461E-2</v>
      </c>
      <c r="AD189" s="12">
        <f t="shared" si="103"/>
        <v>0.18636363636363634</v>
      </c>
      <c r="AE189" s="1">
        <f t="shared" si="104"/>
        <v>-7</v>
      </c>
      <c r="AF189" s="1">
        <f t="shared" si="105"/>
        <v>1</v>
      </c>
      <c r="AG189" s="1">
        <f t="shared" si="106"/>
        <v>3</v>
      </c>
      <c r="AH189" s="1">
        <f t="shared" si="107"/>
        <v>-5</v>
      </c>
      <c r="AI189" s="1">
        <f t="shared" si="108"/>
        <v>5</v>
      </c>
      <c r="AJ189" s="1">
        <f t="shared" si="109"/>
        <v>6</v>
      </c>
      <c r="AK189" s="17">
        <f t="shared" si="110"/>
        <v>0.5</v>
      </c>
      <c r="AL189" s="17">
        <f t="shared" si="111"/>
        <v>2</v>
      </c>
      <c r="AM189" s="1">
        <f t="shared" si="112"/>
        <v>-0.14285714285714285</v>
      </c>
      <c r="AN189" s="1">
        <f t="shared" si="113"/>
        <v>0.33333333333333331</v>
      </c>
      <c r="AO189" s="1">
        <f t="shared" si="114"/>
        <v>0.25</v>
      </c>
      <c r="AP189" s="1">
        <f t="shared" si="115"/>
        <v>-0.4</v>
      </c>
      <c r="AQ189" s="1">
        <f t="shared" si="116"/>
        <v>0</v>
      </c>
      <c r="AR189" s="1">
        <f t="shared" si="117"/>
        <v>0.16666666666666666</v>
      </c>
      <c r="AS189" s="12">
        <f t="shared" si="118"/>
        <v>3.4523809523809519E-2</v>
      </c>
      <c r="AT189" s="12">
        <f t="shared" si="119"/>
        <v>8.3333333333333329E-2</v>
      </c>
      <c r="AU189" s="1">
        <f t="shared" si="120"/>
        <v>-1</v>
      </c>
      <c r="AV189" s="1">
        <f t="shared" si="121"/>
        <v>2</v>
      </c>
      <c r="AW189" s="1">
        <f t="shared" si="122"/>
        <v>2</v>
      </c>
      <c r="AX189" s="1">
        <f t="shared" si="123"/>
        <v>-4</v>
      </c>
      <c r="AY189" s="1">
        <f t="shared" si="124"/>
        <v>0</v>
      </c>
      <c r="AZ189" s="1">
        <f t="shared" si="125"/>
        <v>1</v>
      </c>
      <c r="BA189" s="19">
        <f t="shared" si="126"/>
        <v>0</v>
      </c>
      <c r="BB189" s="19">
        <f t="shared" si="127"/>
        <v>0.5</v>
      </c>
      <c r="BC189" s="9">
        <f t="shared" si="128"/>
        <v>-0.6</v>
      </c>
      <c r="BD189" s="9">
        <f t="shared" si="129"/>
        <v>-0.25</v>
      </c>
      <c r="BE189" s="9">
        <f t="shared" si="130"/>
        <v>0.33333333333333331</v>
      </c>
      <c r="BF189" s="9">
        <f t="shared" si="131"/>
        <v>-0.25</v>
      </c>
      <c r="BG189" s="9">
        <f t="shared" si="132"/>
        <v>1.6666666666666667</v>
      </c>
      <c r="BH189" s="9">
        <f t="shared" si="133"/>
        <v>0.625</v>
      </c>
      <c r="BI189" s="12">
        <f t="shared" si="134"/>
        <v>0.25416666666666671</v>
      </c>
      <c r="BJ189" s="13">
        <f t="shared" si="135"/>
        <v>4.166666666666663E-2</v>
      </c>
      <c r="BK189" s="1">
        <f t="shared" si="136"/>
        <v>-6</v>
      </c>
      <c r="BL189" s="1">
        <f t="shared" si="137"/>
        <v>-1</v>
      </c>
      <c r="BM189" s="1">
        <f t="shared" si="138"/>
        <v>1</v>
      </c>
      <c r="BN189" s="1">
        <f t="shared" si="139"/>
        <v>-1</v>
      </c>
      <c r="BO189" s="1">
        <f t="shared" si="140"/>
        <v>5</v>
      </c>
      <c r="BP189" s="1">
        <f t="shared" si="141"/>
        <v>5</v>
      </c>
      <c r="BQ189" s="19">
        <f t="shared" si="142"/>
        <v>0.5</v>
      </c>
      <c r="BR189" s="17">
        <f t="shared" si="143"/>
        <v>0</v>
      </c>
    </row>
    <row r="190" spans="1:70" x14ac:dyDescent="0.25">
      <c r="A190" t="s">
        <v>322</v>
      </c>
      <c r="B190">
        <v>9</v>
      </c>
      <c r="C190">
        <v>7</v>
      </c>
      <c r="D190">
        <v>5</v>
      </c>
      <c r="E190">
        <v>12</v>
      </c>
      <c r="F190">
        <v>10</v>
      </c>
      <c r="G190">
        <v>12</v>
      </c>
      <c r="H190">
        <v>12</v>
      </c>
      <c r="I190">
        <v>2</v>
      </c>
      <c r="J190">
        <v>4</v>
      </c>
      <c r="K190">
        <v>3</v>
      </c>
      <c r="L190">
        <v>5</v>
      </c>
      <c r="M190">
        <v>3</v>
      </c>
      <c r="N190">
        <v>6</v>
      </c>
      <c r="O190">
        <v>8</v>
      </c>
      <c r="P190">
        <v>7</v>
      </c>
      <c r="Q190">
        <v>3</v>
      </c>
      <c r="R190">
        <v>2</v>
      </c>
      <c r="S190">
        <v>7</v>
      </c>
      <c r="T190">
        <v>7</v>
      </c>
      <c r="U190">
        <v>6</v>
      </c>
      <c r="V190">
        <v>4</v>
      </c>
      <c r="W190" s="8">
        <f t="shared" si="96"/>
        <v>-0.22222222222222221</v>
      </c>
      <c r="X190" s="8">
        <f t="shared" si="97"/>
        <v>-0.2857142857142857</v>
      </c>
      <c r="Y190" s="8">
        <f t="shared" si="98"/>
        <v>1.4</v>
      </c>
      <c r="Z190" s="8">
        <f t="shared" si="99"/>
        <v>-0.16666666666666666</v>
      </c>
      <c r="AA190" s="8">
        <f t="shared" si="100"/>
        <v>0.2</v>
      </c>
      <c r="AB190" s="8">
        <f t="shared" si="101"/>
        <v>0</v>
      </c>
      <c r="AC190" s="12">
        <f t="shared" si="102"/>
        <v>0.15423280423280425</v>
      </c>
      <c r="AD190" s="12">
        <f t="shared" si="103"/>
        <v>-8.3333333333333329E-2</v>
      </c>
      <c r="AE190" s="1">
        <f t="shared" si="104"/>
        <v>-2</v>
      </c>
      <c r="AF190" s="1">
        <f t="shared" si="105"/>
        <v>-2</v>
      </c>
      <c r="AG190" s="1">
        <f t="shared" si="106"/>
        <v>7</v>
      </c>
      <c r="AH190" s="1">
        <f t="shared" si="107"/>
        <v>-2</v>
      </c>
      <c r="AI190" s="1">
        <f t="shared" si="108"/>
        <v>2</v>
      </c>
      <c r="AJ190" s="1">
        <f t="shared" si="109"/>
        <v>0</v>
      </c>
      <c r="AK190" s="17">
        <f t="shared" si="110"/>
        <v>0.5</v>
      </c>
      <c r="AL190" s="17">
        <f t="shared" si="111"/>
        <v>-1</v>
      </c>
      <c r="AM190" s="1">
        <f t="shared" si="112"/>
        <v>1</v>
      </c>
      <c r="AN190" s="1">
        <f t="shared" si="113"/>
        <v>-0.25</v>
      </c>
      <c r="AO190" s="1">
        <f t="shared" si="114"/>
        <v>0.66666666666666663</v>
      </c>
      <c r="AP190" s="1">
        <f t="shared" si="115"/>
        <v>-0.4</v>
      </c>
      <c r="AQ190" s="1">
        <f t="shared" si="116"/>
        <v>1</v>
      </c>
      <c r="AR190" s="1">
        <f t="shared" si="117"/>
        <v>0.33333333333333331</v>
      </c>
      <c r="AS190" s="12">
        <f t="shared" si="118"/>
        <v>0.39166666666666666</v>
      </c>
      <c r="AT190" s="12">
        <f t="shared" si="119"/>
        <v>0.5</v>
      </c>
      <c r="AU190" s="1">
        <f t="shared" si="120"/>
        <v>2</v>
      </c>
      <c r="AV190" s="1">
        <f t="shared" si="121"/>
        <v>-1</v>
      </c>
      <c r="AW190" s="1">
        <f t="shared" si="122"/>
        <v>2</v>
      </c>
      <c r="AX190" s="1">
        <f t="shared" si="123"/>
        <v>-2</v>
      </c>
      <c r="AY190" s="1">
        <f t="shared" si="124"/>
        <v>3</v>
      </c>
      <c r="AZ190" s="1">
        <f t="shared" si="125"/>
        <v>2</v>
      </c>
      <c r="BA190" s="19">
        <f t="shared" si="126"/>
        <v>1</v>
      </c>
      <c r="BB190" s="19">
        <f t="shared" si="127"/>
        <v>2</v>
      </c>
      <c r="BC190" s="9">
        <f t="shared" si="128"/>
        <v>-0.5714285714285714</v>
      </c>
      <c r="BD190" s="9">
        <f t="shared" si="129"/>
        <v>-0.33333333333333331</v>
      </c>
      <c r="BE190" s="9">
        <f t="shared" si="130"/>
        <v>2.5</v>
      </c>
      <c r="BF190" s="9">
        <f t="shared" si="131"/>
        <v>0</v>
      </c>
      <c r="BG190" s="9">
        <f t="shared" si="132"/>
        <v>-0.14285714285714285</v>
      </c>
      <c r="BH190" s="9">
        <f t="shared" si="133"/>
        <v>-0.33333333333333331</v>
      </c>
      <c r="BI190" s="12">
        <f t="shared" si="134"/>
        <v>0.18650793650793654</v>
      </c>
      <c r="BJ190" s="13">
        <f t="shared" si="135"/>
        <v>-0.23809523809523808</v>
      </c>
      <c r="BK190" s="1">
        <f t="shared" si="136"/>
        <v>-4</v>
      </c>
      <c r="BL190" s="1">
        <f t="shared" si="137"/>
        <v>-1</v>
      </c>
      <c r="BM190" s="1">
        <f t="shared" si="138"/>
        <v>5</v>
      </c>
      <c r="BN190" s="1">
        <f t="shared" si="139"/>
        <v>0</v>
      </c>
      <c r="BO190" s="1">
        <f t="shared" si="140"/>
        <v>-1</v>
      </c>
      <c r="BP190" s="1">
        <f t="shared" si="141"/>
        <v>-2</v>
      </c>
      <c r="BQ190" s="19">
        <f t="shared" si="142"/>
        <v>-0.5</v>
      </c>
      <c r="BR190" s="17">
        <f t="shared" si="143"/>
        <v>-1</v>
      </c>
    </row>
    <row r="191" spans="1:70" x14ac:dyDescent="0.25">
      <c r="A191" t="s">
        <v>371</v>
      </c>
      <c r="B191">
        <v>5</v>
      </c>
      <c r="C191">
        <v>22</v>
      </c>
      <c r="D191">
        <v>20</v>
      </c>
      <c r="E191">
        <v>8</v>
      </c>
      <c r="F191">
        <v>9</v>
      </c>
      <c r="G191">
        <v>7</v>
      </c>
      <c r="H191">
        <v>8</v>
      </c>
      <c r="I191">
        <v>3</v>
      </c>
      <c r="J191">
        <v>10</v>
      </c>
      <c r="K191">
        <v>6</v>
      </c>
      <c r="L191">
        <v>3</v>
      </c>
      <c r="M191">
        <v>4</v>
      </c>
      <c r="N191">
        <v>4</v>
      </c>
      <c r="O191">
        <v>2</v>
      </c>
      <c r="P191">
        <v>2</v>
      </c>
      <c r="Q191">
        <v>12</v>
      </c>
      <c r="R191">
        <v>14</v>
      </c>
      <c r="S191">
        <v>5</v>
      </c>
      <c r="T191">
        <v>5</v>
      </c>
      <c r="U191">
        <v>3</v>
      </c>
      <c r="V191">
        <v>6</v>
      </c>
      <c r="W191" s="8">
        <f t="shared" si="96"/>
        <v>3.4</v>
      </c>
      <c r="X191" s="8">
        <f t="shared" si="97"/>
        <v>-9.0909090909090912E-2</v>
      </c>
      <c r="Y191" s="8">
        <f t="shared" si="98"/>
        <v>-0.6</v>
      </c>
      <c r="Z191" s="8">
        <f t="shared" si="99"/>
        <v>0.125</v>
      </c>
      <c r="AA191" s="8">
        <f t="shared" si="100"/>
        <v>-0.22222222222222221</v>
      </c>
      <c r="AB191" s="8">
        <f t="shared" si="101"/>
        <v>0.14285714285714285</v>
      </c>
      <c r="AC191" s="12">
        <f t="shared" si="102"/>
        <v>0.4591209716209716</v>
      </c>
      <c r="AD191" s="12">
        <f t="shared" si="103"/>
        <v>1.7045454545454544E-2</v>
      </c>
      <c r="AE191" s="1">
        <f t="shared" si="104"/>
        <v>17</v>
      </c>
      <c r="AF191" s="1">
        <f t="shared" si="105"/>
        <v>-2</v>
      </c>
      <c r="AG191" s="1">
        <f t="shared" si="106"/>
        <v>-12</v>
      </c>
      <c r="AH191" s="1">
        <f t="shared" si="107"/>
        <v>1</v>
      </c>
      <c r="AI191" s="1">
        <f t="shared" si="108"/>
        <v>-2</v>
      </c>
      <c r="AJ191" s="1">
        <f t="shared" si="109"/>
        <v>1</v>
      </c>
      <c r="AK191" s="17">
        <f t="shared" si="110"/>
        <v>0.5</v>
      </c>
      <c r="AL191" s="17">
        <f t="shared" si="111"/>
        <v>-0.5</v>
      </c>
      <c r="AM191" s="1">
        <f t="shared" si="112"/>
        <v>2.3333333333333335</v>
      </c>
      <c r="AN191" s="1">
        <f t="shared" si="113"/>
        <v>-0.4</v>
      </c>
      <c r="AO191" s="1">
        <f t="shared" si="114"/>
        <v>-0.5</v>
      </c>
      <c r="AP191" s="1">
        <f t="shared" si="115"/>
        <v>0.33333333333333331</v>
      </c>
      <c r="AQ191" s="1">
        <f t="shared" si="116"/>
        <v>0</v>
      </c>
      <c r="AR191" s="1">
        <f t="shared" si="117"/>
        <v>-0.5</v>
      </c>
      <c r="AS191" s="12">
        <f t="shared" si="118"/>
        <v>0.21111111111111114</v>
      </c>
      <c r="AT191" s="12">
        <f t="shared" si="119"/>
        <v>-0.2</v>
      </c>
      <c r="AU191" s="1">
        <f t="shared" si="120"/>
        <v>7</v>
      </c>
      <c r="AV191" s="1">
        <f t="shared" si="121"/>
        <v>-4</v>
      </c>
      <c r="AW191" s="1">
        <f t="shared" si="122"/>
        <v>-3</v>
      </c>
      <c r="AX191" s="1">
        <f t="shared" si="123"/>
        <v>1</v>
      </c>
      <c r="AY191" s="1">
        <f t="shared" si="124"/>
        <v>0</v>
      </c>
      <c r="AZ191" s="1">
        <f t="shared" si="125"/>
        <v>-2</v>
      </c>
      <c r="BA191" s="19">
        <f t="shared" si="126"/>
        <v>-0.16666666666666666</v>
      </c>
      <c r="BB191" s="19">
        <f t="shared" si="127"/>
        <v>-1</v>
      </c>
      <c r="BC191" s="9">
        <f t="shared" si="128"/>
        <v>5</v>
      </c>
      <c r="BD191" s="9">
        <f t="shared" si="129"/>
        <v>0.16666666666666666</v>
      </c>
      <c r="BE191" s="9">
        <f t="shared" si="130"/>
        <v>-0.6428571428571429</v>
      </c>
      <c r="BF191" s="9">
        <f t="shared" si="131"/>
        <v>0</v>
      </c>
      <c r="BG191" s="9">
        <f t="shared" si="132"/>
        <v>-0.4</v>
      </c>
      <c r="BH191" s="9">
        <f t="shared" si="133"/>
        <v>1</v>
      </c>
      <c r="BI191" s="12">
        <f t="shared" si="134"/>
        <v>0.85396825396825393</v>
      </c>
      <c r="BJ191" s="13">
        <f t="shared" si="135"/>
        <v>8.3333333333333329E-2</v>
      </c>
      <c r="BK191" s="1">
        <f t="shared" si="136"/>
        <v>10</v>
      </c>
      <c r="BL191" s="1">
        <f t="shared" si="137"/>
        <v>2</v>
      </c>
      <c r="BM191" s="1">
        <f t="shared" si="138"/>
        <v>-9</v>
      </c>
      <c r="BN191" s="1">
        <f t="shared" si="139"/>
        <v>0</v>
      </c>
      <c r="BO191" s="1">
        <f t="shared" si="140"/>
        <v>-2</v>
      </c>
      <c r="BP191" s="1">
        <f t="shared" si="141"/>
        <v>3</v>
      </c>
      <c r="BQ191" s="19">
        <f t="shared" si="142"/>
        <v>0.66666666666666663</v>
      </c>
      <c r="BR191" s="17">
        <f t="shared" si="143"/>
        <v>1</v>
      </c>
    </row>
    <row r="192" spans="1:70" x14ac:dyDescent="0.25">
      <c r="A192" t="s">
        <v>381</v>
      </c>
      <c r="B192">
        <v>5</v>
      </c>
      <c r="C192">
        <v>11</v>
      </c>
      <c r="D192">
        <v>11</v>
      </c>
      <c r="E192">
        <v>16</v>
      </c>
      <c r="F192">
        <v>8</v>
      </c>
      <c r="G192">
        <v>10</v>
      </c>
      <c r="H192">
        <v>8</v>
      </c>
      <c r="I192">
        <v>2</v>
      </c>
      <c r="J192">
        <v>2</v>
      </c>
      <c r="K192">
        <v>6</v>
      </c>
      <c r="L192">
        <v>3</v>
      </c>
      <c r="M192">
        <v>2</v>
      </c>
      <c r="N192">
        <v>3</v>
      </c>
      <c r="P192">
        <v>3</v>
      </c>
      <c r="Q192">
        <v>9</v>
      </c>
      <c r="R192">
        <v>5</v>
      </c>
      <c r="S192">
        <v>13</v>
      </c>
      <c r="T192">
        <v>6</v>
      </c>
      <c r="U192">
        <v>7</v>
      </c>
      <c r="V192">
        <v>8</v>
      </c>
      <c r="W192" s="8">
        <f t="shared" si="96"/>
        <v>1.2</v>
      </c>
      <c r="X192" s="8">
        <f t="shared" si="97"/>
        <v>0</v>
      </c>
      <c r="Y192" s="8">
        <f t="shared" si="98"/>
        <v>0.45454545454545453</v>
      </c>
      <c r="Z192" s="8">
        <f t="shared" si="99"/>
        <v>-0.5</v>
      </c>
      <c r="AA192" s="8">
        <f t="shared" si="100"/>
        <v>0.25</v>
      </c>
      <c r="AB192" s="8">
        <f t="shared" si="101"/>
        <v>-0.2</v>
      </c>
      <c r="AC192" s="12">
        <f t="shared" si="102"/>
        <v>0.20075757575757577</v>
      </c>
      <c r="AD192" s="12">
        <f t="shared" si="103"/>
        <v>0.125</v>
      </c>
      <c r="AE192" s="1">
        <f t="shared" si="104"/>
        <v>6</v>
      </c>
      <c r="AF192" s="1">
        <f t="shared" si="105"/>
        <v>0</v>
      </c>
      <c r="AG192" s="1">
        <f t="shared" si="106"/>
        <v>5</v>
      </c>
      <c r="AH192" s="1">
        <f t="shared" si="107"/>
        <v>-8</v>
      </c>
      <c r="AI192" s="1">
        <f t="shared" si="108"/>
        <v>2</v>
      </c>
      <c r="AJ192" s="1">
        <f t="shared" si="109"/>
        <v>-2</v>
      </c>
      <c r="AK192" s="17">
        <f t="shared" si="110"/>
        <v>0.5</v>
      </c>
      <c r="AL192" s="17">
        <f t="shared" si="111"/>
        <v>1</v>
      </c>
      <c r="AM192" s="1">
        <f t="shared" si="112"/>
        <v>0</v>
      </c>
      <c r="AN192" s="1">
        <f t="shared" si="113"/>
        <v>2</v>
      </c>
      <c r="AO192" s="1">
        <f t="shared" si="114"/>
        <v>-0.5</v>
      </c>
      <c r="AP192" s="1">
        <f t="shared" si="115"/>
        <v>-0.33333333333333331</v>
      </c>
      <c r="AQ192" s="1">
        <f t="shared" si="116"/>
        <v>0.5</v>
      </c>
      <c r="AR192" s="1">
        <f t="shared" si="117"/>
        <v>-1</v>
      </c>
      <c r="AS192" s="12">
        <f t="shared" si="118"/>
        <v>0.11111111111111112</v>
      </c>
      <c r="AT192" s="12">
        <f t="shared" si="119"/>
        <v>-0.16666666666666666</v>
      </c>
      <c r="AU192" s="1">
        <f t="shared" si="120"/>
        <v>0</v>
      </c>
      <c r="AV192" s="1">
        <f t="shared" si="121"/>
        <v>4</v>
      </c>
      <c r="AW192" s="1">
        <f t="shared" si="122"/>
        <v>-3</v>
      </c>
      <c r="AX192" s="1">
        <f t="shared" si="123"/>
        <v>-1</v>
      </c>
      <c r="AY192" s="1">
        <f t="shared" si="124"/>
        <v>1</v>
      </c>
      <c r="AZ192" s="1">
        <f t="shared" si="125"/>
        <v>-3</v>
      </c>
      <c r="BA192" s="19">
        <f t="shared" si="126"/>
        <v>-0.33333333333333331</v>
      </c>
      <c r="BB192" s="19">
        <f t="shared" si="127"/>
        <v>-0.5</v>
      </c>
      <c r="BC192" s="9">
        <f t="shared" si="128"/>
        <v>2</v>
      </c>
      <c r="BD192" s="9">
        <f t="shared" si="129"/>
        <v>-0.44444444444444442</v>
      </c>
      <c r="BE192" s="9">
        <f t="shared" si="130"/>
        <v>1.6</v>
      </c>
      <c r="BF192" s="9">
        <f t="shared" si="131"/>
        <v>-0.53846153846153844</v>
      </c>
      <c r="BG192" s="9">
        <f t="shared" si="132"/>
        <v>0.16666666666666666</v>
      </c>
      <c r="BH192" s="9">
        <f t="shared" si="133"/>
        <v>0.14285714285714285</v>
      </c>
      <c r="BI192" s="12">
        <f t="shared" si="134"/>
        <v>0.48776963776963783</v>
      </c>
      <c r="BJ192" s="13">
        <f t="shared" si="135"/>
        <v>0.15476190476190477</v>
      </c>
      <c r="BK192" s="1">
        <f t="shared" si="136"/>
        <v>6</v>
      </c>
      <c r="BL192" s="1">
        <f t="shared" si="137"/>
        <v>-4</v>
      </c>
      <c r="BM192" s="1">
        <f t="shared" si="138"/>
        <v>8</v>
      </c>
      <c r="BN192" s="1">
        <f t="shared" si="139"/>
        <v>-7</v>
      </c>
      <c r="BO192" s="1">
        <f t="shared" si="140"/>
        <v>1</v>
      </c>
      <c r="BP192" s="1">
        <f t="shared" si="141"/>
        <v>1</v>
      </c>
      <c r="BQ192" s="19">
        <f t="shared" si="142"/>
        <v>0.83333333333333337</v>
      </c>
      <c r="BR192" s="17">
        <f t="shared" si="143"/>
        <v>1</v>
      </c>
    </row>
    <row r="193" spans="1:70" x14ac:dyDescent="0.25">
      <c r="A193" t="s">
        <v>391</v>
      </c>
      <c r="B193">
        <v>4</v>
      </c>
      <c r="C193">
        <v>5</v>
      </c>
      <c r="D193">
        <v>6</v>
      </c>
      <c r="E193">
        <v>5</v>
      </c>
      <c r="F193">
        <v>7</v>
      </c>
      <c r="G193">
        <v>6</v>
      </c>
      <c r="H193">
        <v>7</v>
      </c>
      <c r="I193">
        <v>3</v>
      </c>
      <c r="J193">
        <v>3</v>
      </c>
      <c r="K193">
        <v>4</v>
      </c>
      <c r="L193">
        <v>3</v>
      </c>
      <c r="M193">
        <v>6</v>
      </c>
      <c r="N193">
        <v>1</v>
      </c>
      <c r="O193">
        <v>2</v>
      </c>
      <c r="P193">
        <v>1</v>
      </c>
      <c r="Q193">
        <v>2</v>
      </c>
      <c r="R193">
        <v>2</v>
      </c>
      <c r="S193">
        <v>2</v>
      </c>
      <c r="T193">
        <v>1</v>
      </c>
      <c r="U193">
        <v>5</v>
      </c>
      <c r="V193">
        <v>5</v>
      </c>
      <c r="W193" s="8">
        <f t="shared" si="96"/>
        <v>0.25</v>
      </c>
      <c r="X193" s="8">
        <f t="shared" si="97"/>
        <v>0.2</v>
      </c>
      <c r="Y193" s="8">
        <f t="shared" si="98"/>
        <v>-0.16666666666666666</v>
      </c>
      <c r="Z193" s="8">
        <f t="shared" si="99"/>
        <v>0.4</v>
      </c>
      <c r="AA193" s="8">
        <f t="shared" si="100"/>
        <v>-0.14285714285714285</v>
      </c>
      <c r="AB193" s="8">
        <f t="shared" si="101"/>
        <v>0.16666666666666666</v>
      </c>
      <c r="AC193" s="12">
        <f t="shared" si="102"/>
        <v>0.11785714285714287</v>
      </c>
      <c r="AD193" s="12">
        <f t="shared" si="103"/>
        <v>0.18333333333333335</v>
      </c>
      <c r="AE193" s="1">
        <f t="shared" si="104"/>
        <v>1</v>
      </c>
      <c r="AF193" s="1">
        <f t="shared" si="105"/>
        <v>1</v>
      </c>
      <c r="AG193" s="1">
        <f t="shared" si="106"/>
        <v>-1</v>
      </c>
      <c r="AH193" s="1">
        <f t="shared" si="107"/>
        <v>2</v>
      </c>
      <c r="AI193" s="1">
        <f t="shared" si="108"/>
        <v>-1</v>
      </c>
      <c r="AJ193" s="1">
        <f t="shared" si="109"/>
        <v>1</v>
      </c>
      <c r="AK193" s="17">
        <f t="shared" si="110"/>
        <v>0.5</v>
      </c>
      <c r="AL193" s="17">
        <f t="shared" si="111"/>
        <v>1</v>
      </c>
      <c r="AM193" s="1">
        <f t="shared" si="112"/>
        <v>0</v>
      </c>
      <c r="AN193" s="1">
        <f t="shared" si="113"/>
        <v>0.33333333333333331</v>
      </c>
      <c r="AO193" s="1">
        <f t="shared" si="114"/>
        <v>-0.25</v>
      </c>
      <c r="AP193" s="1">
        <f t="shared" si="115"/>
        <v>1</v>
      </c>
      <c r="AQ193" s="1">
        <f t="shared" si="116"/>
        <v>-0.83333333333333337</v>
      </c>
      <c r="AR193" s="1">
        <f t="shared" si="117"/>
        <v>1</v>
      </c>
      <c r="AS193" s="12">
        <f t="shared" si="118"/>
        <v>0.20833333333333334</v>
      </c>
      <c r="AT193" s="12">
        <f t="shared" si="119"/>
        <v>0.16666666666666666</v>
      </c>
      <c r="AU193" s="1">
        <f t="shared" si="120"/>
        <v>0</v>
      </c>
      <c r="AV193" s="1">
        <f t="shared" si="121"/>
        <v>1</v>
      </c>
      <c r="AW193" s="1">
        <f t="shared" si="122"/>
        <v>-1</v>
      </c>
      <c r="AX193" s="1">
        <f t="shared" si="123"/>
        <v>3</v>
      </c>
      <c r="AY193" s="1">
        <f t="shared" si="124"/>
        <v>-5</v>
      </c>
      <c r="AZ193" s="1">
        <f t="shared" si="125"/>
        <v>1</v>
      </c>
      <c r="BA193" s="19">
        <f t="shared" si="126"/>
        <v>-0.16666666666666666</v>
      </c>
      <c r="BB193" s="19">
        <f t="shared" si="127"/>
        <v>0.5</v>
      </c>
      <c r="BC193" s="9">
        <f t="shared" si="128"/>
        <v>1</v>
      </c>
      <c r="BD193" s="9">
        <f t="shared" si="129"/>
        <v>0</v>
      </c>
      <c r="BE193" s="9">
        <f t="shared" si="130"/>
        <v>0</v>
      </c>
      <c r="BF193" s="9">
        <f t="shared" si="131"/>
        <v>-0.5</v>
      </c>
      <c r="BG193" s="9">
        <f t="shared" si="132"/>
        <v>4</v>
      </c>
      <c r="BH193" s="9">
        <f t="shared" si="133"/>
        <v>0</v>
      </c>
      <c r="BI193" s="12">
        <f t="shared" si="134"/>
        <v>0.75</v>
      </c>
      <c r="BJ193" s="13">
        <f t="shared" si="135"/>
        <v>0</v>
      </c>
      <c r="BK193" s="1">
        <f t="shared" si="136"/>
        <v>1</v>
      </c>
      <c r="BL193" s="1">
        <f t="shared" si="137"/>
        <v>0</v>
      </c>
      <c r="BM193" s="1">
        <f t="shared" si="138"/>
        <v>0</v>
      </c>
      <c r="BN193" s="1">
        <f t="shared" si="139"/>
        <v>-1</v>
      </c>
      <c r="BO193" s="1">
        <f t="shared" si="140"/>
        <v>4</v>
      </c>
      <c r="BP193" s="1">
        <f t="shared" si="141"/>
        <v>0</v>
      </c>
      <c r="BQ193" s="19">
        <f t="shared" si="142"/>
        <v>0.66666666666666663</v>
      </c>
      <c r="BR193" s="17">
        <f t="shared" si="143"/>
        <v>0</v>
      </c>
    </row>
    <row r="194" spans="1:70" x14ac:dyDescent="0.25">
      <c r="A194" t="s">
        <v>434</v>
      </c>
      <c r="B194">
        <v>3</v>
      </c>
      <c r="C194">
        <v>3</v>
      </c>
      <c r="D194">
        <v>5</v>
      </c>
      <c r="E194">
        <v>5</v>
      </c>
      <c r="F194">
        <v>8</v>
      </c>
      <c r="G194">
        <v>8</v>
      </c>
      <c r="H194">
        <v>6</v>
      </c>
      <c r="I194">
        <v>1</v>
      </c>
      <c r="K194">
        <v>2</v>
      </c>
      <c r="L194">
        <v>1</v>
      </c>
      <c r="M194">
        <v>4</v>
      </c>
      <c r="O194">
        <v>3</v>
      </c>
      <c r="P194">
        <v>2</v>
      </c>
      <c r="Q194">
        <v>3</v>
      </c>
      <c r="R194">
        <v>3</v>
      </c>
      <c r="S194">
        <v>4</v>
      </c>
      <c r="T194">
        <v>4</v>
      </c>
      <c r="U194">
        <v>8</v>
      </c>
      <c r="V194">
        <v>3</v>
      </c>
      <c r="W194" s="8">
        <f t="shared" ref="W194:W257" si="144">+(C194-B194)/B194</f>
        <v>0</v>
      </c>
      <c r="X194" s="8">
        <f t="shared" ref="X194:X257" si="145">+(D194-C194)/C194</f>
        <v>0.66666666666666663</v>
      </c>
      <c r="Y194" s="8">
        <f t="shared" ref="Y194:Y257" si="146">+(E194-D194)/D194</f>
        <v>0</v>
      </c>
      <c r="Z194" s="8">
        <f t="shared" ref="Z194:Z257" si="147">+(F194-E194)/E194</f>
        <v>0.6</v>
      </c>
      <c r="AA194" s="8">
        <f t="shared" ref="AA194:AA257" si="148">+(G194-F194)/F194</f>
        <v>0</v>
      </c>
      <c r="AB194" s="8">
        <f t="shared" ref="AB194:AB257" si="149">+(H194-G194)/G194</f>
        <v>-0.25</v>
      </c>
      <c r="AC194" s="12">
        <f t="shared" ref="AC194:AC257" si="150">+AVERAGE(W194:AB194)</f>
        <v>0.16944444444444443</v>
      </c>
      <c r="AD194" s="12">
        <f t="shared" ref="AD194:AD257" si="151">MEDIAN(W194:AB194)</f>
        <v>0</v>
      </c>
      <c r="AE194" s="1">
        <f t="shared" ref="AE194:AE257" si="152">C194-B194</f>
        <v>0</v>
      </c>
      <c r="AF194" s="1">
        <f t="shared" ref="AF194:AF257" si="153">D194-C194</f>
        <v>2</v>
      </c>
      <c r="AG194" s="1">
        <f t="shared" ref="AG194:AG257" si="154">E194-D194</f>
        <v>0</v>
      </c>
      <c r="AH194" s="1">
        <f t="shared" ref="AH194:AH257" si="155">F194-E194</f>
        <v>3</v>
      </c>
      <c r="AI194" s="1">
        <f t="shared" ref="AI194:AI257" si="156">G194-F194</f>
        <v>0</v>
      </c>
      <c r="AJ194" s="1">
        <f t="shared" ref="AJ194:AJ257" si="157">H194-G194</f>
        <v>-2</v>
      </c>
      <c r="AK194" s="17">
        <f t="shared" ref="AK194:AK257" si="158">+AVERAGE(AE194:AJ194)</f>
        <v>0.5</v>
      </c>
      <c r="AL194" s="17">
        <f t="shared" ref="AL194:AL257" si="159">+MEDIAN(AE194:AJ194)</f>
        <v>0</v>
      </c>
      <c r="AM194" s="1">
        <f t="shared" ref="AM194:AM257" si="160">+(J194-I194)/I194</f>
        <v>-1</v>
      </c>
      <c r="AN194" s="1" t="e">
        <f t="shared" ref="AN194:AN257" si="161">+(K194-J194)/J194</f>
        <v>#DIV/0!</v>
      </c>
      <c r="AO194" s="1">
        <f t="shared" ref="AO194:AO257" si="162">+(L194-K194)/K194</f>
        <v>-0.5</v>
      </c>
      <c r="AP194" s="1">
        <f t="shared" ref="AP194:AP257" si="163">+(M194-L194)/L194</f>
        <v>3</v>
      </c>
      <c r="AQ194" s="1">
        <f t="shared" ref="AQ194:AQ257" si="164">+(N194-M194)/M194</f>
        <v>-1</v>
      </c>
      <c r="AR194" s="1" t="e">
        <f t="shared" ref="AR194:AR257" si="165">+(O194-N194)/N194</f>
        <v>#DIV/0!</v>
      </c>
      <c r="AS194" s="12" t="e">
        <f t="shared" ref="AS194:AS257" si="166">+AVERAGE(AM194:AR194)</f>
        <v>#DIV/0!</v>
      </c>
      <c r="AT194" s="12" t="e">
        <f t="shared" ref="AT194:AT257" si="167">+MEDIAN(AM194:AR194)</f>
        <v>#DIV/0!</v>
      </c>
      <c r="AU194" s="1">
        <f t="shared" ref="AU194:AU257" si="168">J194-I194</f>
        <v>-1</v>
      </c>
      <c r="AV194" s="1">
        <f t="shared" ref="AV194:AV257" si="169">K194-J194</f>
        <v>2</v>
      </c>
      <c r="AW194" s="1">
        <f t="shared" ref="AW194:AW257" si="170">L194-K194</f>
        <v>-1</v>
      </c>
      <c r="AX194" s="1">
        <f t="shared" ref="AX194:AX257" si="171">M194-L194</f>
        <v>3</v>
      </c>
      <c r="AY194" s="1">
        <f t="shared" ref="AY194:AY257" si="172">N194-M194</f>
        <v>-4</v>
      </c>
      <c r="AZ194" s="1">
        <f t="shared" ref="AZ194:AZ257" si="173">O194-N194</f>
        <v>3</v>
      </c>
      <c r="BA194" s="19">
        <f t="shared" ref="BA194:BA257" si="174">+AVERAGE(AU194:AZ194)</f>
        <v>0.33333333333333331</v>
      </c>
      <c r="BB194" s="19">
        <f t="shared" ref="BB194:BB257" si="175">MEDIAN(AU194:AZ194)</f>
        <v>0.5</v>
      </c>
      <c r="BC194" s="9">
        <f t="shared" ref="BC194:BC257" si="176">+(Q194-P194)/P194</f>
        <v>0.5</v>
      </c>
      <c r="BD194" s="9">
        <f t="shared" ref="BD194:BD257" si="177">+(R194-Q194)/Q194</f>
        <v>0</v>
      </c>
      <c r="BE194" s="9">
        <f t="shared" ref="BE194:BE257" si="178">+(S194-R194)/R194</f>
        <v>0.33333333333333331</v>
      </c>
      <c r="BF194" s="9">
        <f t="shared" ref="BF194:BF257" si="179">+(T194-S194)/S194</f>
        <v>0</v>
      </c>
      <c r="BG194" s="9">
        <f t="shared" ref="BG194:BG257" si="180">+(U194-T194)/T194</f>
        <v>1</v>
      </c>
      <c r="BH194" s="9">
        <f t="shared" ref="BH194:BH257" si="181">+(V194-U194)/U194</f>
        <v>-0.625</v>
      </c>
      <c r="BI194" s="12">
        <f t="shared" ref="BI194:BI257" si="182">+AVERAGE(BC194:BH194)</f>
        <v>0.20138888888888887</v>
      </c>
      <c r="BJ194" s="13">
        <f t="shared" ref="BJ194:BJ257" si="183">MEDIAN(BC194:BH194)</f>
        <v>0.16666666666666666</v>
      </c>
      <c r="BK194" s="1">
        <f t="shared" ref="BK194:BK257" si="184">+Q194-P194</f>
        <v>1</v>
      </c>
      <c r="BL194" s="1">
        <f t="shared" ref="BL194:BL257" si="185">+R194-Q194</f>
        <v>0</v>
      </c>
      <c r="BM194" s="1">
        <f t="shared" ref="BM194:BM257" si="186">+S194-R194</f>
        <v>1</v>
      </c>
      <c r="BN194" s="1">
        <f t="shared" ref="BN194:BN257" si="187">+T194-S194</f>
        <v>0</v>
      </c>
      <c r="BO194" s="1">
        <f t="shared" ref="BO194:BO257" si="188">+U194-T194</f>
        <v>4</v>
      </c>
      <c r="BP194" s="1">
        <f t="shared" ref="BP194:BP257" si="189">+V194-U194</f>
        <v>-5</v>
      </c>
      <c r="BQ194" s="19">
        <f t="shared" ref="BQ194:BQ257" si="190">+AVERAGE(BK194:BP194)</f>
        <v>0.16666666666666666</v>
      </c>
      <c r="BR194" s="17">
        <f t="shared" ref="BR194:BR257" si="191">MEDIAN(BK194:BP194)</f>
        <v>0.5</v>
      </c>
    </row>
    <row r="195" spans="1:70" x14ac:dyDescent="0.25">
      <c r="A195" t="s">
        <v>451</v>
      </c>
      <c r="B195">
        <v>2</v>
      </c>
      <c r="C195">
        <v>7</v>
      </c>
      <c r="E195">
        <v>22</v>
      </c>
      <c r="F195">
        <v>18</v>
      </c>
      <c r="G195">
        <v>28</v>
      </c>
      <c r="H195">
        <v>5</v>
      </c>
      <c r="I195">
        <v>1</v>
      </c>
      <c r="J195">
        <v>1</v>
      </c>
      <c r="L195">
        <v>10</v>
      </c>
      <c r="M195">
        <v>11</v>
      </c>
      <c r="N195">
        <v>11</v>
      </c>
      <c r="P195">
        <v>1</v>
      </c>
      <c r="Q195">
        <v>6</v>
      </c>
      <c r="S195">
        <v>12</v>
      </c>
      <c r="T195">
        <v>7</v>
      </c>
      <c r="U195">
        <v>17</v>
      </c>
      <c r="V195">
        <v>5</v>
      </c>
      <c r="W195" s="8">
        <f t="shared" si="144"/>
        <v>2.5</v>
      </c>
      <c r="X195" s="8">
        <f t="shared" si="145"/>
        <v>-1</v>
      </c>
      <c r="Y195" s="8" t="e">
        <f t="shared" si="146"/>
        <v>#DIV/0!</v>
      </c>
      <c r="Z195" s="8">
        <f t="shared" si="147"/>
        <v>-0.18181818181818182</v>
      </c>
      <c r="AA195" s="8">
        <f t="shared" si="148"/>
        <v>0.55555555555555558</v>
      </c>
      <c r="AB195" s="8">
        <f t="shared" si="149"/>
        <v>-0.8214285714285714</v>
      </c>
      <c r="AC195" s="12" t="e">
        <f t="shared" si="150"/>
        <v>#DIV/0!</v>
      </c>
      <c r="AD195" s="12" t="e">
        <f t="shared" si="151"/>
        <v>#DIV/0!</v>
      </c>
      <c r="AE195" s="1">
        <f t="shared" si="152"/>
        <v>5</v>
      </c>
      <c r="AF195" s="1">
        <f t="shared" si="153"/>
        <v>-7</v>
      </c>
      <c r="AG195" s="1">
        <f t="shared" si="154"/>
        <v>22</v>
      </c>
      <c r="AH195" s="1">
        <f t="shared" si="155"/>
        <v>-4</v>
      </c>
      <c r="AI195" s="1">
        <f t="shared" si="156"/>
        <v>10</v>
      </c>
      <c r="AJ195" s="1">
        <f t="shared" si="157"/>
        <v>-23</v>
      </c>
      <c r="AK195" s="17">
        <f t="shared" si="158"/>
        <v>0.5</v>
      </c>
      <c r="AL195" s="17">
        <f t="shared" si="159"/>
        <v>0.5</v>
      </c>
      <c r="AM195" s="1">
        <f t="shared" si="160"/>
        <v>0</v>
      </c>
      <c r="AN195" s="1">
        <f t="shared" si="161"/>
        <v>-1</v>
      </c>
      <c r="AO195" s="1" t="e">
        <f t="shared" si="162"/>
        <v>#DIV/0!</v>
      </c>
      <c r="AP195" s="1">
        <f t="shared" si="163"/>
        <v>0.1</v>
      </c>
      <c r="AQ195" s="1">
        <f t="shared" si="164"/>
        <v>0</v>
      </c>
      <c r="AR195" s="1">
        <f t="shared" si="165"/>
        <v>-1</v>
      </c>
      <c r="AS195" s="12" t="e">
        <f t="shared" si="166"/>
        <v>#DIV/0!</v>
      </c>
      <c r="AT195" s="12" t="e">
        <f t="shared" si="167"/>
        <v>#DIV/0!</v>
      </c>
      <c r="AU195" s="1">
        <f t="shared" si="168"/>
        <v>0</v>
      </c>
      <c r="AV195" s="1">
        <f t="shared" si="169"/>
        <v>-1</v>
      </c>
      <c r="AW195" s="1">
        <f t="shared" si="170"/>
        <v>10</v>
      </c>
      <c r="AX195" s="1">
        <f t="shared" si="171"/>
        <v>1</v>
      </c>
      <c r="AY195" s="1">
        <f t="shared" si="172"/>
        <v>0</v>
      </c>
      <c r="AZ195" s="1">
        <f t="shared" si="173"/>
        <v>-11</v>
      </c>
      <c r="BA195" s="19">
        <f t="shared" si="174"/>
        <v>-0.16666666666666666</v>
      </c>
      <c r="BB195" s="19">
        <f t="shared" si="175"/>
        <v>0</v>
      </c>
      <c r="BC195" s="9">
        <f t="shared" si="176"/>
        <v>5</v>
      </c>
      <c r="BD195" s="9">
        <f t="shared" si="177"/>
        <v>-1</v>
      </c>
      <c r="BE195" s="9" t="e">
        <f t="shared" si="178"/>
        <v>#DIV/0!</v>
      </c>
      <c r="BF195" s="9">
        <f t="shared" si="179"/>
        <v>-0.41666666666666669</v>
      </c>
      <c r="BG195" s="9">
        <f t="shared" si="180"/>
        <v>1.4285714285714286</v>
      </c>
      <c r="BH195" s="9">
        <f t="shared" si="181"/>
        <v>-0.70588235294117652</v>
      </c>
      <c r="BI195" s="12" t="e">
        <f t="shared" si="182"/>
        <v>#DIV/0!</v>
      </c>
      <c r="BJ195" s="13" t="e">
        <f t="shared" si="183"/>
        <v>#DIV/0!</v>
      </c>
      <c r="BK195" s="1">
        <f t="shared" si="184"/>
        <v>5</v>
      </c>
      <c r="BL195" s="1">
        <f t="shared" si="185"/>
        <v>-6</v>
      </c>
      <c r="BM195" s="1">
        <f t="shared" si="186"/>
        <v>12</v>
      </c>
      <c r="BN195" s="1">
        <f t="shared" si="187"/>
        <v>-5</v>
      </c>
      <c r="BO195" s="1">
        <f t="shared" si="188"/>
        <v>10</v>
      </c>
      <c r="BP195" s="1">
        <f t="shared" si="189"/>
        <v>-12</v>
      </c>
      <c r="BQ195" s="19">
        <f t="shared" si="190"/>
        <v>0.66666666666666663</v>
      </c>
      <c r="BR195" s="17">
        <f t="shared" si="191"/>
        <v>0</v>
      </c>
    </row>
    <row r="196" spans="1:70" x14ac:dyDescent="0.25">
      <c r="A196" t="s">
        <v>456</v>
      </c>
      <c r="B196">
        <v>2</v>
      </c>
      <c r="C196">
        <v>5</v>
      </c>
      <c r="D196">
        <v>2</v>
      </c>
      <c r="E196">
        <v>2</v>
      </c>
      <c r="F196">
        <v>4</v>
      </c>
      <c r="G196">
        <v>2</v>
      </c>
      <c r="H196">
        <v>5</v>
      </c>
      <c r="I196">
        <v>2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2</v>
      </c>
      <c r="Q196">
        <v>3</v>
      </c>
      <c r="R196">
        <v>1</v>
      </c>
      <c r="S196">
        <v>1</v>
      </c>
      <c r="T196">
        <v>3</v>
      </c>
      <c r="U196">
        <v>1</v>
      </c>
      <c r="V196">
        <v>3</v>
      </c>
      <c r="W196" s="8">
        <f t="shared" si="144"/>
        <v>1.5</v>
      </c>
      <c r="X196" s="8">
        <f t="shared" si="145"/>
        <v>-0.6</v>
      </c>
      <c r="Y196" s="8">
        <f t="shared" si="146"/>
        <v>0</v>
      </c>
      <c r="Z196" s="8">
        <f t="shared" si="147"/>
        <v>1</v>
      </c>
      <c r="AA196" s="8">
        <f t="shared" si="148"/>
        <v>-0.5</v>
      </c>
      <c r="AB196" s="8">
        <f t="shared" si="149"/>
        <v>1.5</v>
      </c>
      <c r="AC196" s="12">
        <f t="shared" si="150"/>
        <v>0.48333333333333334</v>
      </c>
      <c r="AD196" s="12">
        <f t="shared" si="151"/>
        <v>0.5</v>
      </c>
      <c r="AE196" s="1">
        <f t="shared" si="152"/>
        <v>3</v>
      </c>
      <c r="AF196" s="1">
        <f t="shared" si="153"/>
        <v>-3</v>
      </c>
      <c r="AG196" s="1">
        <f t="shared" si="154"/>
        <v>0</v>
      </c>
      <c r="AH196" s="1">
        <f t="shared" si="155"/>
        <v>2</v>
      </c>
      <c r="AI196" s="1">
        <f t="shared" si="156"/>
        <v>-2</v>
      </c>
      <c r="AJ196" s="1">
        <f t="shared" si="157"/>
        <v>3</v>
      </c>
      <c r="AK196" s="17">
        <f t="shared" si="158"/>
        <v>0.5</v>
      </c>
      <c r="AL196" s="17">
        <f t="shared" si="159"/>
        <v>1</v>
      </c>
      <c r="AM196" s="1">
        <f t="shared" si="160"/>
        <v>0</v>
      </c>
      <c r="AN196" s="1">
        <f t="shared" si="161"/>
        <v>-0.5</v>
      </c>
      <c r="AO196" s="1">
        <f t="shared" si="162"/>
        <v>0</v>
      </c>
      <c r="AP196" s="1">
        <f t="shared" si="163"/>
        <v>0</v>
      </c>
      <c r="AQ196" s="1">
        <f t="shared" si="164"/>
        <v>0</v>
      </c>
      <c r="AR196" s="1">
        <f t="shared" si="165"/>
        <v>1</v>
      </c>
      <c r="AS196" s="12">
        <f t="shared" si="166"/>
        <v>8.3333333333333329E-2</v>
      </c>
      <c r="AT196" s="12">
        <f t="shared" si="167"/>
        <v>0</v>
      </c>
      <c r="AU196" s="1">
        <f t="shared" si="168"/>
        <v>0</v>
      </c>
      <c r="AV196" s="1">
        <f t="shared" si="169"/>
        <v>-1</v>
      </c>
      <c r="AW196" s="1">
        <f t="shared" si="170"/>
        <v>0</v>
      </c>
      <c r="AX196" s="1">
        <f t="shared" si="171"/>
        <v>0</v>
      </c>
      <c r="AY196" s="1">
        <f t="shared" si="172"/>
        <v>0</v>
      </c>
      <c r="AZ196" s="1">
        <f t="shared" si="173"/>
        <v>1</v>
      </c>
      <c r="BA196" s="19">
        <f t="shared" si="174"/>
        <v>0</v>
      </c>
      <c r="BB196" s="19">
        <f t="shared" si="175"/>
        <v>0</v>
      </c>
      <c r="BC196" s="9" t="e">
        <f t="shared" si="176"/>
        <v>#DIV/0!</v>
      </c>
      <c r="BD196" s="9">
        <f t="shared" si="177"/>
        <v>-0.66666666666666663</v>
      </c>
      <c r="BE196" s="9">
        <f t="shared" si="178"/>
        <v>0</v>
      </c>
      <c r="BF196" s="9">
        <f t="shared" si="179"/>
        <v>2</v>
      </c>
      <c r="BG196" s="9">
        <f t="shared" si="180"/>
        <v>-0.66666666666666663</v>
      </c>
      <c r="BH196" s="9">
        <f t="shared" si="181"/>
        <v>2</v>
      </c>
      <c r="BI196" s="12" t="e">
        <f t="shared" si="182"/>
        <v>#DIV/0!</v>
      </c>
      <c r="BJ196" s="13" t="e">
        <f t="shared" si="183"/>
        <v>#DIV/0!</v>
      </c>
      <c r="BK196" s="1">
        <f t="shared" si="184"/>
        <v>3</v>
      </c>
      <c r="BL196" s="1">
        <f t="shared" si="185"/>
        <v>-2</v>
      </c>
      <c r="BM196" s="1">
        <f t="shared" si="186"/>
        <v>0</v>
      </c>
      <c r="BN196" s="1">
        <f t="shared" si="187"/>
        <v>2</v>
      </c>
      <c r="BO196" s="1">
        <f t="shared" si="188"/>
        <v>-2</v>
      </c>
      <c r="BP196" s="1">
        <f t="shared" si="189"/>
        <v>2</v>
      </c>
      <c r="BQ196" s="19">
        <f t="shared" si="190"/>
        <v>0.5</v>
      </c>
      <c r="BR196" s="17">
        <f t="shared" si="191"/>
        <v>1</v>
      </c>
    </row>
    <row r="197" spans="1:70" x14ac:dyDescent="0.25">
      <c r="A197" t="s">
        <v>467</v>
      </c>
      <c r="B197">
        <v>2</v>
      </c>
      <c r="C197">
        <v>2</v>
      </c>
      <c r="D197">
        <v>1</v>
      </c>
      <c r="E197">
        <v>3</v>
      </c>
      <c r="F197">
        <v>2</v>
      </c>
      <c r="G197">
        <v>4</v>
      </c>
      <c r="H197">
        <v>5</v>
      </c>
      <c r="J197">
        <v>1</v>
      </c>
      <c r="K197">
        <v>1</v>
      </c>
      <c r="L197">
        <v>3</v>
      </c>
      <c r="M197">
        <v>1</v>
      </c>
      <c r="N197">
        <v>3</v>
      </c>
      <c r="O197">
        <v>3</v>
      </c>
      <c r="P197">
        <v>2</v>
      </c>
      <c r="Q197">
        <v>1</v>
      </c>
      <c r="T197">
        <v>1</v>
      </c>
      <c r="U197">
        <v>1</v>
      </c>
      <c r="V197">
        <v>2</v>
      </c>
      <c r="W197" s="8">
        <f t="shared" si="144"/>
        <v>0</v>
      </c>
      <c r="X197" s="8">
        <f t="shared" si="145"/>
        <v>-0.5</v>
      </c>
      <c r="Y197" s="8">
        <f t="shared" si="146"/>
        <v>2</v>
      </c>
      <c r="Z197" s="8">
        <f t="shared" si="147"/>
        <v>-0.33333333333333331</v>
      </c>
      <c r="AA197" s="8">
        <f t="shared" si="148"/>
        <v>1</v>
      </c>
      <c r="AB197" s="8">
        <f t="shared" si="149"/>
        <v>0.25</v>
      </c>
      <c r="AC197" s="12">
        <f t="shared" si="150"/>
        <v>0.40277777777777785</v>
      </c>
      <c r="AD197" s="12">
        <f t="shared" si="151"/>
        <v>0.125</v>
      </c>
      <c r="AE197" s="1">
        <f t="shared" si="152"/>
        <v>0</v>
      </c>
      <c r="AF197" s="1">
        <f t="shared" si="153"/>
        <v>-1</v>
      </c>
      <c r="AG197" s="1">
        <f t="shared" si="154"/>
        <v>2</v>
      </c>
      <c r="AH197" s="1">
        <f t="shared" si="155"/>
        <v>-1</v>
      </c>
      <c r="AI197" s="1">
        <f t="shared" si="156"/>
        <v>2</v>
      </c>
      <c r="AJ197" s="1">
        <f t="shared" si="157"/>
        <v>1</v>
      </c>
      <c r="AK197" s="17">
        <f t="shared" si="158"/>
        <v>0.5</v>
      </c>
      <c r="AL197" s="17">
        <f t="shared" si="159"/>
        <v>0.5</v>
      </c>
      <c r="AM197" s="1" t="e">
        <f t="shared" si="160"/>
        <v>#DIV/0!</v>
      </c>
      <c r="AN197" s="1">
        <f t="shared" si="161"/>
        <v>0</v>
      </c>
      <c r="AO197" s="1">
        <f t="shared" si="162"/>
        <v>2</v>
      </c>
      <c r="AP197" s="1">
        <f t="shared" si="163"/>
        <v>-0.66666666666666663</v>
      </c>
      <c r="AQ197" s="1">
        <f t="shared" si="164"/>
        <v>2</v>
      </c>
      <c r="AR197" s="1">
        <f t="shared" si="165"/>
        <v>0</v>
      </c>
      <c r="AS197" s="12" t="e">
        <f t="shared" si="166"/>
        <v>#DIV/0!</v>
      </c>
      <c r="AT197" s="12" t="e">
        <f t="shared" si="167"/>
        <v>#DIV/0!</v>
      </c>
      <c r="AU197" s="1">
        <f t="shared" si="168"/>
        <v>1</v>
      </c>
      <c r="AV197" s="1">
        <f t="shared" si="169"/>
        <v>0</v>
      </c>
      <c r="AW197" s="1">
        <f t="shared" si="170"/>
        <v>2</v>
      </c>
      <c r="AX197" s="1">
        <f t="shared" si="171"/>
        <v>-2</v>
      </c>
      <c r="AY197" s="1">
        <f t="shared" si="172"/>
        <v>2</v>
      </c>
      <c r="AZ197" s="1">
        <f t="shared" si="173"/>
        <v>0</v>
      </c>
      <c r="BA197" s="19">
        <f t="shared" si="174"/>
        <v>0.5</v>
      </c>
      <c r="BB197" s="19">
        <f t="shared" si="175"/>
        <v>0.5</v>
      </c>
      <c r="BC197" s="9">
        <f t="shared" si="176"/>
        <v>-0.5</v>
      </c>
      <c r="BD197" s="9">
        <f t="shared" si="177"/>
        <v>-1</v>
      </c>
      <c r="BE197" s="9" t="e">
        <f t="shared" si="178"/>
        <v>#DIV/0!</v>
      </c>
      <c r="BF197" s="9" t="e">
        <f t="shared" si="179"/>
        <v>#DIV/0!</v>
      </c>
      <c r="BG197" s="9">
        <f t="shared" si="180"/>
        <v>0</v>
      </c>
      <c r="BH197" s="9">
        <f t="shared" si="181"/>
        <v>1</v>
      </c>
      <c r="BI197" s="12" t="e">
        <f t="shared" si="182"/>
        <v>#DIV/0!</v>
      </c>
      <c r="BJ197" s="13" t="e">
        <f t="shared" si="183"/>
        <v>#DIV/0!</v>
      </c>
      <c r="BK197" s="1">
        <f t="shared" si="184"/>
        <v>-1</v>
      </c>
      <c r="BL197" s="1">
        <f t="shared" si="185"/>
        <v>-1</v>
      </c>
      <c r="BM197" s="1">
        <f t="shared" si="186"/>
        <v>0</v>
      </c>
      <c r="BN197" s="1">
        <f t="shared" si="187"/>
        <v>1</v>
      </c>
      <c r="BO197" s="1">
        <f t="shared" si="188"/>
        <v>0</v>
      </c>
      <c r="BP197" s="1">
        <f t="shared" si="189"/>
        <v>1</v>
      </c>
      <c r="BQ197" s="19">
        <f t="shared" si="190"/>
        <v>0</v>
      </c>
      <c r="BR197" s="17">
        <f t="shared" si="191"/>
        <v>0</v>
      </c>
    </row>
    <row r="198" spans="1:70" x14ac:dyDescent="0.25">
      <c r="A198" t="s">
        <v>508</v>
      </c>
      <c r="B198">
        <v>1</v>
      </c>
      <c r="C198">
        <v>4</v>
      </c>
      <c r="D198">
        <v>2</v>
      </c>
      <c r="E198">
        <v>4</v>
      </c>
      <c r="F198">
        <v>5</v>
      </c>
      <c r="G198">
        <v>2</v>
      </c>
      <c r="H198">
        <v>4</v>
      </c>
      <c r="I198">
        <v>1</v>
      </c>
      <c r="J198">
        <v>1</v>
      </c>
      <c r="K198">
        <v>1</v>
      </c>
      <c r="L198">
        <v>3</v>
      </c>
      <c r="M198">
        <v>4</v>
      </c>
      <c r="N198">
        <v>1</v>
      </c>
      <c r="O198">
        <v>1</v>
      </c>
      <c r="Q198">
        <v>3</v>
      </c>
      <c r="R198">
        <v>1</v>
      </c>
      <c r="S198">
        <v>1</v>
      </c>
      <c r="T198">
        <v>1</v>
      </c>
      <c r="U198">
        <v>1</v>
      </c>
      <c r="V198">
        <v>3</v>
      </c>
      <c r="W198" s="8">
        <f t="shared" si="144"/>
        <v>3</v>
      </c>
      <c r="X198" s="8">
        <f t="shared" si="145"/>
        <v>-0.5</v>
      </c>
      <c r="Y198" s="8">
        <f t="shared" si="146"/>
        <v>1</v>
      </c>
      <c r="Z198" s="8">
        <f t="shared" si="147"/>
        <v>0.25</v>
      </c>
      <c r="AA198" s="8">
        <f t="shared" si="148"/>
        <v>-0.6</v>
      </c>
      <c r="AB198" s="8">
        <f t="shared" si="149"/>
        <v>1</v>
      </c>
      <c r="AC198" s="12">
        <f t="shared" si="150"/>
        <v>0.69166666666666676</v>
      </c>
      <c r="AD198" s="12">
        <f t="shared" si="151"/>
        <v>0.625</v>
      </c>
      <c r="AE198" s="1">
        <f t="shared" si="152"/>
        <v>3</v>
      </c>
      <c r="AF198" s="1">
        <f t="shared" si="153"/>
        <v>-2</v>
      </c>
      <c r="AG198" s="1">
        <f t="shared" si="154"/>
        <v>2</v>
      </c>
      <c r="AH198" s="1">
        <f t="shared" si="155"/>
        <v>1</v>
      </c>
      <c r="AI198" s="1">
        <f t="shared" si="156"/>
        <v>-3</v>
      </c>
      <c r="AJ198" s="1">
        <f t="shared" si="157"/>
        <v>2</v>
      </c>
      <c r="AK198" s="17">
        <f t="shared" si="158"/>
        <v>0.5</v>
      </c>
      <c r="AL198" s="17">
        <f t="shared" si="159"/>
        <v>1.5</v>
      </c>
      <c r="AM198" s="1">
        <f t="shared" si="160"/>
        <v>0</v>
      </c>
      <c r="AN198" s="1">
        <f t="shared" si="161"/>
        <v>0</v>
      </c>
      <c r="AO198" s="1">
        <f t="shared" si="162"/>
        <v>2</v>
      </c>
      <c r="AP198" s="1">
        <f t="shared" si="163"/>
        <v>0.33333333333333331</v>
      </c>
      <c r="AQ198" s="1">
        <f t="shared" si="164"/>
        <v>-0.75</v>
      </c>
      <c r="AR198" s="1">
        <f t="shared" si="165"/>
        <v>0</v>
      </c>
      <c r="AS198" s="12">
        <f t="shared" si="166"/>
        <v>0.2638888888888889</v>
      </c>
      <c r="AT198" s="12">
        <f t="shared" si="167"/>
        <v>0</v>
      </c>
      <c r="AU198" s="1">
        <f t="shared" si="168"/>
        <v>0</v>
      </c>
      <c r="AV198" s="1">
        <f t="shared" si="169"/>
        <v>0</v>
      </c>
      <c r="AW198" s="1">
        <f t="shared" si="170"/>
        <v>2</v>
      </c>
      <c r="AX198" s="1">
        <f t="shared" si="171"/>
        <v>1</v>
      </c>
      <c r="AY198" s="1">
        <f t="shared" si="172"/>
        <v>-3</v>
      </c>
      <c r="AZ198" s="1">
        <f t="shared" si="173"/>
        <v>0</v>
      </c>
      <c r="BA198" s="19">
        <f t="shared" si="174"/>
        <v>0</v>
      </c>
      <c r="BB198" s="19">
        <f t="shared" si="175"/>
        <v>0</v>
      </c>
      <c r="BC198" s="9" t="e">
        <f t="shared" si="176"/>
        <v>#DIV/0!</v>
      </c>
      <c r="BD198" s="9">
        <f t="shared" si="177"/>
        <v>-0.66666666666666663</v>
      </c>
      <c r="BE198" s="9">
        <f t="shared" si="178"/>
        <v>0</v>
      </c>
      <c r="BF198" s="9">
        <f t="shared" si="179"/>
        <v>0</v>
      </c>
      <c r="BG198" s="9">
        <f t="shared" si="180"/>
        <v>0</v>
      </c>
      <c r="BH198" s="9">
        <f t="shared" si="181"/>
        <v>2</v>
      </c>
      <c r="BI198" s="12" t="e">
        <f t="shared" si="182"/>
        <v>#DIV/0!</v>
      </c>
      <c r="BJ198" s="13" t="e">
        <f t="shared" si="183"/>
        <v>#DIV/0!</v>
      </c>
      <c r="BK198" s="1">
        <f t="shared" si="184"/>
        <v>3</v>
      </c>
      <c r="BL198" s="1">
        <f t="shared" si="185"/>
        <v>-2</v>
      </c>
      <c r="BM198" s="1">
        <f t="shared" si="186"/>
        <v>0</v>
      </c>
      <c r="BN198" s="1">
        <f t="shared" si="187"/>
        <v>0</v>
      </c>
      <c r="BO198" s="1">
        <f t="shared" si="188"/>
        <v>0</v>
      </c>
      <c r="BP198" s="1">
        <f t="shared" si="189"/>
        <v>2</v>
      </c>
      <c r="BQ198" s="19">
        <f t="shared" si="190"/>
        <v>0.5</v>
      </c>
      <c r="BR198" s="17">
        <f t="shared" si="191"/>
        <v>0</v>
      </c>
    </row>
    <row r="199" spans="1:70" x14ac:dyDescent="0.25">
      <c r="A199" t="s">
        <v>547</v>
      </c>
      <c r="B199">
        <v>1</v>
      </c>
      <c r="C199">
        <v>1</v>
      </c>
      <c r="D199">
        <v>1</v>
      </c>
      <c r="G199">
        <v>1</v>
      </c>
      <c r="H199">
        <v>4</v>
      </c>
      <c r="I199">
        <v>1</v>
      </c>
      <c r="N199">
        <v>1</v>
      </c>
      <c r="O199">
        <v>3</v>
      </c>
      <c r="Q199">
        <v>1</v>
      </c>
      <c r="R199">
        <v>1</v>
      </c>
      <c r="V199">
        <v>1</v>
      </c>
      <c r="W199" s="8">
        <f t="shared" si="144"/>
        <v>0</v>
      </c>
      <c r="X199" s="8">
        <f t="shared" si="145"/>
        <v>0</v>
      </c>
      <c r="Y199" s="8">
        <f t="shared" si="146"/>
        <v>-1</v>
      </c>
      <c r="Z199" s="8" t="e">
        <f t="shared" si="147"/>
        <v>#DIV/0!</v>
      </c>
      <c r="AA199" s="8" t="e">
        <f t="shared" si="148"/>
        <v>#DIV/0!</v>
      </c>
      <c r="AB199" s="8">
        <f t="shared" si="149"/>
        <v>3</v>
      </c>
      <c r="AC199" s="12" t="e">
        <f t="shared" si="150"/>
        <v>#DIV/0!</v>
      </c>
      <c r="AD199" s="12" t="e">
        <f t="shared" si="151"/>
        <v>#DIV/0!</v>
      </c>
      <c r="AE199" s="1">
        <f t="shared" si="152"/>
        <v>0</v>
      </c>
      <c r="AF199" s="1">
        <f t="shared" si="153"/>
        <v>0</v>
      </c>
      <c r="AG199" s="1">
        <f t="shared" si="154"/>
        <v>-1</v>
      </c>
      <c r="AH199" s="1">
        <f t="shared" si="155"/>
        <v>0</v>
      </c>
      <c r="AI199" s="1">
        <f t="shared" si="156"/>
        <v>1</v>
      </c>
      <c r="AJ199" s="1">
        <f t="shared" si="157"/>
        <v>3</v>
      </c>
      <c r="AK199" s="17">
        <f t="shared" si="158"/>
        <v>0.5</v>
      </c>
      <c r="AL199" s="17">
        <f t="shared" si="159"/>
        <v>0</v>
      </c>
      <c r="AM199" s="1">
        <f t="shared" si="160"/>
        <v>-1</v>
      </c>
      <c r="AN199" s="1" t="e">
        <f t="shared" si="161"/>
        <v>#DIV/0!</v>
      </c>
      <c r="AO199" s="1" t="e">
        <f t="shared" si="162"/>
        <v>#DIV/0!</v>
      </c>
      <c r="AP199" s="1" t="e">
        <f t="shared" si="163"/>
        <v>#DIV/0!</v>
      </c>
      <c r="AQ199" s="1" t="e">
        <f t="shared" si="164"/>
        <v>#DIV/0!</v>
      </c>
      <c r="AR199" s="1">
        <f t="shared" si="165"/>
        <v>2</v>
      </c>
      <c r="AS199" s="12" t="e">
        <f t="shared" si="166"/>
        <v>#DIV/0!</v>
      </c>
      <c r="AT199" s="12" t="e">
        <f t="shared" si="167"/>
        <v>#DIV/0!</v>
      </c>
      <c r="AU199" s="1">
        <f t="shared" si="168"/>
        <v>-1</v>
      </c>
      <c r="AV199" s="1">
        <f t="shared" si="169"/>
        <v>0</v>
      </c>
      <c r="AW199" s="1">
        <f t="shared" si="170"/>
        <v>0</v>
      </c>
      <c r="AX199" s="1">
        <f t="shared" si="171"/>
        <v>0</v>
      </c>
      <c r="AY199" s="1">
        <f t="shared" si="172"/>
        <v>1</v>
      </c>
      <c r="AZ199" s="1">
        <f t="shared" si="173"/>
        <v>2</v>
      </c>
      <c r="BA199" s="19">
        <f t="shared" si="174"/>
        <v>0.33333333333333331</v>
      </c>
      <c r="BB199" s="19">
        <f t="shared" si="175"/>
        <v>0</v>
      </c>
      <c r="BC199" s="9" t="e">
        <f t="shared" si="176"/>
        <v>#DIV/0!</v>
      </c>
      <c r="BD199" s="9">
        <f t="shared" si="177"/>
        <v>0</v>
      </c>
      <c r="BE199" s="9">
        <f t="shared" si="178"/>
        <v>-1</v>
      </c>
      <c r="BF199" s="9" t="e">
        <f t="shared" si="179"/>
        <v>#DIV/0!</v>
      </c>
      <c r="BG199" s="9" t="e">
        <f t="shared" si="180"/>
        <v>#DIV/0!</v>
      </c>
      <c r="BH199" s="9" t="e">
        <f t="shared" si="181"/>
        <v>#DIV/0!</v>
      </c>
      <c r="BI199" s="12" t="e">
        <f t="shared" si="182"/>
        <v>#DIV/0!</v>
      </c>
      <c r="BJ199" s="13" t="e">
        <f t="shared" si="183"/>
        <v>#DIV/0!</v>
      </c>
      <c r="BK199" s="1">
        <f t="shared" si="184"/>
        <v>1</v>
      </c>
      <c r="BL199" s="1">
        <f t="shared" si="185"/>
        <v>0</v>
      </c>
      <c r="BM199" s="1">
        <f t="shared" si="186"/>
        <v>-1</v>
      </c>
      <c r="BN199" s="1">
        <f t="shared" si="187"/>
        <v>0</v>
      </c>
      <c r="BO199" s="1">
        <f t="shared" si="188"/>
        <v>0</v>
      </c>
      <c r="BP199" s="1">
        <f t="shared" si="189"/>
        <v>1</v>
      </c>
      <c r="BQ199" s="19">
        <f t="shared" si="190"/>
        <v>0.16666666666666666</v>
      </c>
      <c r="BR199" s="17">
        <f t="shared" si="191"/>
        <v>0</v>
      </c>
    </row>
    <row r="200" spans="1:70" x14ac:dyDescent="0.25">
      <c r="A200" t="s">
        <v>551</v>
      </c>
      <c r="B200">
        <v>1</v>
      </c>
      <c r="F200">
        <v>4</v>
      </c>
      <c r="G200">
        <v>3</v>
      </c>
      <c r="H200">
        <v>4</v>
      </c>
      <c r="O200">
        <v>1</v>
      </c>
      <c r="P200">
        <v>1</v>
      </c>
      <c r="T200">
        <v>4</v>
      </c>
      <c r="U200">
        <v>3</v>
      </c>
      <c r="V200">
        <v>3</v>
      </c>
      <c r="W200" s="8">
        <f t="shared" si="144"/>
        <v>-1</v>
      </c>
      <c r="X200" s="8" t="e">
        <f t="shared" si="145"/>
        <v>#DIV/0!</v>
      </c>
      <c r="Y200" s="8" t="e">
        <f t="shared" si="146"/>
        <v>#DIV/0!</v>
      </c>
      <c r="Z200" s="8" t="e">
        <f t="shared" si="147"/>
        <v>#DIV/0!</v>
      </c>
      <c r="AA200" s="8">
        <f t="shared" si="148"/>
        <v>-0.25</v>
      </c>
      <c r="AB200" s="8">
        <f t="shared" si="149"/>
        <v>0.33333333333333331</v>
      </c>
      <c r="AC200" s="12" t="e">
        <f t="shared" si="150"/>
        <v>#DIV/0!</v>
      </c>
      <c r="AD200" s="12" t="e">
        <f t="shared" si="151"/>
        <v>#DIV/0!</v>
      </c>
      <c r="AE200" s="1">
        <f t="shared" si="152"/>
        <v>-1</v>
      </c>
      <c r="AF200" s="1">
        <f t="shared" si="153"/>
        <v>0</v>
      </c>
      <c r="AG200" s="1">
        <f t="shared" si="154"/>
        <v>0</v>
      </c>
      <c r="AH200" s="1">
        <f t="shared" si="155"/>
        <v>4</v>
      </c>
      <c r="AI200" s="1">
        <f t="shared" si="156"/>
        <v>-1</v>
      </c>
      <c r="AJ200" s="1">
        <f t="shared" si="157"/>
        <v>1</v>
      </c>
      <c r="AK200" s="17">
        <f t="shared" si="158"/>
        <v>0.5</v>
      </c>
      <c r="AL200" s="17">
        <f t="shared" si="159"/>
        <v>0</v>
      </c>
      <c r="AM200" s="1" t="e">
        <f t="shared" si="160"/>
        <v>#DIV/0!</v>
      </c>
      <c r="AN200" s="1" t="e">
        <f t="shared" si="161"/>
        <v>#DIV/0!</v>
      </c>
      <c r="AO200" s="1" t="e">
        <f t="shared" si="162"/>
        <v>#DIV/0!</v>
      </c>
      <c r="AP200" s="1" t="e">
        <f t="shared" si="163"/>
        <v>#DIV/0!</v>
      </c>
      <c r="AQ200" s="1" t="e">
        <f t="shared" si="164"/>
        <v>#DIV/0!</v>
      </c>
      <c r="AR200" s="1" t="e">
        <f t="shared" si="165"/>
        <v>#DIV/0!</v>
      </c>
      <c r="AS200" s="12" t="e">
        <f t="shared" si="166"/>
        <v>#DIV/0!</v>
      </c>
      <c r="AT200" s="12" t="e">
        <f t="shared" si="167"/>
        <v>#DIV/0!</v>
      </c>
      <c r="AU200" s="1">
        <f t="shared" si="168"/>
        <v>0</v>
      </c>
      <c r="AV200" s="1">
        <f t="shared" si="169"/>
        <v>0</v>
      </c>
      <c r="AW200" s="1">
        <f t="shared" si="170"/>
        <v>0</v>
      </c>
      <c r="AX200" s="1">
        <f t="shared" si="171"/>
        <v>0</v>
      </c>
      <c r="AY200" s="1">
        <f t="shared" si="172"/>
        <v>0</v>
      </c>
      <c r="AZ200" s="1">
        <f t="shared" si="173"/>
        <v>1</v>
      </c>
      <c r="BA200" s="19">
        <f t="shared" si="174"/>
        <v>0.16666666666666666</v>
      </c>
      <c r="BB200" s="19">
        <f t="shared" si="175"/>
        <v>0</v>
      </c>
      <c r="BC200" s="9">
        <f t="shared" si="176"/>
        <v>-1</v>
      </c>
      <c r="BD200" s="9" t="e">
        <f t="shared" si="177"/>
        <v>#DIV/0!</v>
      </c>
      <c r="BE200" s="9" t="e">
        <f t="shared" si="178"/>
        <v>#DIV/0!</v>
      </c>
      <c r="BF200" s="9" t="e">
        <f t="shared" si="179"/>
        <v>#DIV/0!</v>
      </c>
      <c r="BG200" s="9">
        <f t="shared" si="180"/>
        <v>-0.25</v>
      </c>
      <c r="BH200" s="9">
        <f t="shared" si="181"/>
        <v>0</v>
      </c>
      <c r="BI200" s="12" t="e">
        <f t="shared" si="182"/>
        <v>#DIV/0!</v>
      </c>
      <c r="BJ200" s="13" t="e">
        <f t="shared" si="183"/>
        <v>#DIV/0!</v>
      </c>
      <c r="BK200" s="1">
        <f t="shared" si="184"/>
        <v>-1</v>
      </c>
      <c r="BL200" s="1">
        <f t="shared" si="185"/>
        <v>0</v>
      </c>
      <c r="BM200" s="1">
        <f t="shared" si="186"/>
        <v>0</v>
      </c>
      <c r="BN200" s="1">
        <f t="shared" si="187"/>
        <v>4</v>
      </c>
      <c r="BO200" s="1">
        <f t="shared" si="188"/>
        <v>-1</v>
      </c>
      <c r="BP200" s="1">
        <f t="shared" si="189"/>
        <v>0</v>
      </c>
      <c r="BQ200" s="19">
        <f t="shared" si="190"/>
        <v>0.33333333333333331</v>
      </c>
      <c r="BR200" s="17">
        <f t="shared" si="191"/>
        <v>0</v>
      </c>
    </row>
    <row r="201" spans="1:70" x14ac:dyDescent="0.25">
      <c r="A201" t="s">
        <v>576</v>
      </c>
      <c r="C201">
        <v>4</v>
      </c>
      <c r="D201">
        <v>1</v>
      </c>
      <c r="E201">
        <v>9</v>
      </c>
      <c r="F201">
        <v>7</v>
      </c>
      <c r="G201">
        <v>4</v>
      </c>
      <c r="H201">
        <v>3</v>
      </c>
      <c r="J201">
        <v>1</v>
      </c>
      <c r="L201">
        <v>1</v>
      </c>
      <c r="M201">
        <v>6</v>
      </c>
      <c r="N201">
        <v>3</v>
      </c>
      <c r="O201">
        <v>3</v>
      </c>
      <c r="Q201">
        <v>3</v>
      </c>
      <c r="R201">
        <v>1</v>
      </c>
      <c r="S201">
        <v>8</v>
      </c>
      <c r="T201">
        <v>1</v>
      </c>
      <c r="U201">
        <v>1</v>
      </c>
      <c r="W201" s="8" t="e">
        <f t="shared" si="144"/>
        <v>#DIV/0!</v>
      </c>
      <c r="X201" s="8">
        <f t="shared" si="145"/>
        <v>-0.75</v>
      </c>
      <c r="Y201" s="8">
        <f t="shared" si="146"/>
        <v>8</v>
      </c>
      <c r="Z201" s="8">
        <f t="shared" si="147"/>
        <v>-0.22222222222222221</v>
      </c>
      <c r="AA201" s="8">
        <f t="shared" si="148"/>
        <v>-0.42857142857142855</v>
      </c>
      <c r="AB201" s="8">
        <f t="shared" si="149"/>
        <v>-0.25</v>
      </c>
      <c r="AC201" s="12" t="e">
        <f t="shared" si="150"/>
        <v>#DIV/0!</v>
      </c>
      <c r="AD201" s="12" t="e">
        <f t="shared" si="151"/>
        <v>#DIV/0!</v>
      </c>
      <c r="AE201" s="1">
        <f t="shared" si="152"/>
        <v>4</v>
      </c>
      <c r="AF201" s="1">
        <f t="shared" si="153"/>
        <v>-3</v>
      </c>
      <c r="AG201" s="1">
        <f t="shared" si="154"/>
        <v>8</v>
      </c>
      <c r="AH201" s="1">
        <f t="shared" si="155"/>
        <v>-2</v>
      </c>
      <c r="AI201" s="1">
        <f t="shared" si="156"/>
        <v>-3</v>
      </c>
      <c r="AJ201" s="1">
        <f t="shared" si="157"/>
        <v>-1</v>
      </c>
      <c r="AK201" s="17">
        <f t="shared" si="158"/>
        <v>0.5</v>
      </c>
      <c r="AL201" s="17">
        <f t="shared" si="159"/>
        <v>-1.5</v>
      </c>
      <c r="AM201" s="1" t="e">
        <f t="shared" si="160"/>
        <v>#DIV/0!</v>
      </c>
      <c r="AN201" s="1">
        <f t="shared" si="161"/>
        <v>-1</v>
      </c>
      <c r="AO201" s="1" t="e">
        <f t="shared" si="162"/>
        <v>#DIV/0!</v>
      </c>
      <c r="AP201" s="1">
        <f t="shared" si="163"/>
        <v>5</v>
      </c>
      <c r="AQ201" s="1">
        <f t="shared" si="164"/>
        <v>-0.5</v>
      </c>
      <c r="AR201" s="1">
        <f t="shared" si="165"/>
        <v>0</v>
      </c>
      <c r="AS201" s="12" t="e">
        <f t="shared" si="166"/>
        <v>#DIV/0!</v>
      </c>
      <c r="AT201" s="12" t="e">
        <f t="shared" si="167"/>
        <v>#DIV/0!</v>
      </c>
      <c r="AU201" s="1">
        <f t="shared" si="168"/>
        <v>1</v>
      </c>
      <c r="AV201" s="1">
        <f t="shared" si="169"/>
        <v>-1</v>
      </c>
      <c r="AW201" s="1">
        <f t="shared" si="170"/>
        <v>1</v>
      </c>
      <c r="AX201" s="1">
        <f t="shared" si="171"/>
        <v>5</v>
      </c>
      <c r="AY201" s="1">
        <f t="shared" si="172"/>
        <v>-3</v>
      </c>
      <c r="AZ201" s="1">
        <f t="shared" si="173"/>
        <v>0</v>
      </c>
      <c r="BA201" s="19">
        <f t="shared" si="174"/>
        <v>0.5</v>
      </c>
      <c r="BB201" s="19">
        <f t="shared" si="175"/>
        <v>0.5</v>
      </c>
      <c r="BC201" s="9" t="e">
        <f t="shared" si="176"/>
        <v>#DIV/0!</v>
      </c>
      <c r="BD201" s="9">
        <f t="shared" si="177"/>
        <v>-0.66666666666666663</v>
      </c>
      <c r="BE201" s="9">
        <f t="shared" si="178"/>
        <v>7</v>
      </c>
      <c r="BF201" s="9">
        <f t="shared" si="179"/>
        <v>-0.875</v>
      </c>
      <c r="BG201" s="9">
        <f t="shared" si="180"/>
        <v>0</v>
      </c>
      <c r="BH201" s="9">
        <f t="shared" si="181"/>
        <v>-1</v>
      </c>
      <c r="BI201" s="12" t="e">
        <f t="shared" si="182"/>
        <v>#DIV/0!</v>
      </c>
      <c r="BJ201" s="13" t="e">
        <f t="shared" si="183"/>
        <v>#DIV/0!</v>
      </c>
      <c r="BK201" s="1">
        <f t="shared" si="184"/>
        <v>3</v>
      </c>
      <c r="BL201" s="1">
        <f t="shared" si="185"/>
        <v>-2</v>
      </c>
      <c r="BM201" s="1">
        <f t="shared" si="186"/>
        <v>7</v>
      </c>
      <c r="BN201" s="1">
        <f t="shared" si="187"/>
        <v>-7</v>
      </c>
      <c r="BO201" s="1">
        <f t="shared" si="188"/>
        <v>0</v>
      </c>
      <c r="BP201" s="1">
        <f t="shared" si="189"/>
        <v>-1</v>
      </c>
      <c r="BQ201" s="19">
        <f t="shared" si="190"/>
        <v>0</v>
      </c>
      <c r="BR201" s="17">
        <f t="shared" si="191"/>
        <v>-0.5</v>
      </c>
    </row>
    <row r="202" spans="1:70" x14ac:dyDescent="0.25">
      <c r="A202" t="s">
        <v>619</v>
      </c>
      <c r="D202">
        <v>1</v>
      </c>
      <c r="E202">
        <v>2</v>
      </c>
      <c r="G202">
        <v>1</v>
      </c>
      <c r="H202">
        <v>3</v>
      </c>
      <c r="N202">
        <v>1</v>
      </c>
      <c r="R202">
        <v>1</v>
      </c>
      <c r="S202">
        <v>2</v>
      </c>
      <c r="V202">
        <v>3</v>
      </c>
      <c r="W202" s="8" t="e">
        <f t="shared" si="144"/>
        <v>#DIV/0!</v>
      </c>
      <c r="X202" s="8" t="e">
        <f t="shared" si="145"/>
        <v>#DIV/0!</v>
      </c>
      <c r="Y202" s="8">
        <f t="shared" si="146"/>
        <v>1</v>
      </c>
      <c r="Z202" s="8">
        <f t="shared" si="147"/>
        <v>-1</v>
      </c>
      <c r="AA202" s="8" t="e">
        <f t="shared" si="148"/>
        <v>#DIV/0!</v>
      </c>
      <c r="AB202" s="8">
        <f t="shared" si="149"/>
        <v>2</v>
      </c>
      <c r="AC202" s="12" t="e">
        <f t="shared" si="150"/>
        <v>#DIV/0!</v>
      </c>
      <c r="AD202" s="12" t="e">
        <f t="shared" si="151"/>
        <v>#DIV/0!</v>
      </c>
      <c r="AE202" s="1">
        <f t="shared" si="152"/>
        <v>0</v>
      </c>
      <c r="AF202" s="1">
        <f t="shared" si="153"/>
        <v>1</v>
      </c>
      <c r="AG202" s="1">
        <f t="shared" si="154"/>
        <v>1</v>
      </c>
      <c r="AH202" s="1">
        <f t="shared" si="155"/>
        <v>-2</v>
      </c>
      <c r="AI202" s="1">
        <f t="shared" si="156"/>
        <v>1</v>
      </c>
      <c r="AJ202" s="1">
        <f t="shared" si="157"/>
        <v>2</v>
      </c>
      <c r="AK202" s="17">
        <f t="shared" si="158"/>
        <v>0.5</v>
      </c>
      <c r="AL202" s="17">
        <f t="shared" si="159"/>
        <v>1</v>
      </c>
      <c r="AM202" s="1" t="e">
        <f t="shared" si="160"/>
        <v>#DIV/0!</v>
      </c>
      <c r="AN202" s="1" t="e">
        <f t="shared" si="161"/>
        <v>#DIV/0!</v>
      </c>
      <c r="AO202" s="1" t="e">
        <f t="shared" si="162"/>
        <v>#DIV/0!</v>
      </c>
      <c r="AP202" s="1" t="e">
        <f t="shared" si="163"/>
        <v>#DIV/0!</v>
      </c>
      <c r="AQ202" s="1" t="e">
        <f t="shared" si="164"/>
        <v>#DIV/0!</v>
      </c>
      <c r="AR202" s="1">
        <f t="shared" si="165"/>
        <v>-1</v>
      </c>
      <c r="AS202" s="12" t="e">
        <f t="shared" si="166"/>
        <v>#DIV/0!</v>
      </c>
      <c r="AT202" s="12" t="e">
        <f t="shared" si="167"/>
        <v>#DIV/0!</v>
      </c>
      <c r="AU202" s="1">
        <f t="shared" si="168"/>
        <v>0</v>
      </c>
      <c r="AV202" s="1">
        <f t="shared" si="169"/>
        <v>0</v>
      </c>
      <c r="AW202" s="1">
        <f t="shared" si="170"/>
        <v>0</v>
      </c>
      <c r="AX202" s="1">
        <f t="shared" si="171"/>
        <v>0</v>
      </c>
      <c r="AY202" s="1">
        <f t="shared" si="172"/>
        <v>1</v>
      </c>
      <c r="AZ202" s="1">
        <f t="shared" si="173"/>
        <v>-1</v>
      </c>
      <c r="BA202" s="19">
        <f t="shared" si="174"/>
        <v>0</v>
      </c>
      <c r="BB202" s="19">
        <f t="shared" si="175"/>
        <v>0</v>
      </c>
      <c r="BC202" s="9" t="e">
        <f t="shared" si="176"/>
        <v>#DIV/0!</v>
      </c>
      <c r="BD202" s="9" t="e">
        <f t="shared" si="177"/>
        <v>#DIV/0!</v>
      </c>
      <c r="BE202" s="9">
        <f t="shared" si="178"/>
        <v>1</v>
      </c>
      <c r="BF202" s="9">
        <f t="shared" si="179"/>
        <v>-1</v>
      </c>
      <c r="BG202" s="9" t="e">
        <f t="shared" si="180"/>
        <v>#DIV/0!</v>
      </c>
      <c r="BH202" s="9" t="e">
        <f t="shared" si="181"/>
        <v>#DIV/0!</v>
      </c>
      <c r="BI202" s="12" t="e">
        <f t="shared" si="182"/>
        <v>#DIV/0!</v>
      </c>
      <c r="BJ202" s="13" t="e">
        <f t="shared" si="183"/>
        <v>#DIV/0!</v>
      </c>
      <c r="BK202" s="1">
        <f t="shared" si="184"/>
        <v>0</v>
      </c>
      <c r="BL202" s="1">
        <f t="shared" si="185"/>
        <v>1</v>
      </c>
      <c r="BM202" s="1">
        <f t="shared" si="186"/>
        <v>1</v>
      </c>
      <c r="BN202" s="1">
        <f t="shared" si="187"/>
        <v>-2</v>
      </c>
      <c r="BO202" s="1">
        <f t="shared" si="188"/>
        <v>0</v>
      </c>
      <c r="BP202" s="1">
        <f t="shared" si="189"/>
        <v>3</v>
      </c>
      <c r="BQ202" s="19">
        <f t="shared" si="190"/>
        <v>0.5</v>
      </c>
      <c r="BR202" s="17">
        <f t="shared" si="191"/>
        <v>0.5</v>
      </c>
    </row>
    <row r="203" spans="1:70" x14ac:dyDescent="0.25">
      <c r="A203" t="s">
        <v>621</v>
      </c>
      <c r="D203">
        <v>1</v>
      </c>
      <c r="F203">
        <v>1</v>
      </c>
      <c r="G203">
        <v>1</v>
      </c>
      <c r="H203">
        <v>3</v>
      </c>
      <c r="R203">
        <v>1</v>
      </c>
      <c r="T203">
        <v>1</v>
      </c>
      <c r="U203">
        <v>1</v>
      </c>
      <c r="V203">
        <v>3</v>
      </c>
      <c r="W203" s="8" t="e">
        <f t="shared" si="144"/>
        <v>#DIV/0!</v>
      </c>
      <c r="X203" s="8" t="e">
        <f t="shared" si="145"/>
        <v>#DIV/0!</v>
      </c>
      <c r="Y203" s="8">
        <f t="shared" si="146"/>
        <v>-1</v>
      </c>
      <c r="Z203" s="8" t="e">
        <f t="shared" si="147"/>
        <v>#DIV/0!</v>
      </c>
      <c r="AA203" s="8">
        <f t="shared" si="148"/>
        <v>0</v>
      </c>
      <c r="AB203" s="8">
        <f t="shared" si="149"/>
        <v>2</v>
      </c>
      <c r="AC203" s="12" t="e">
        <f t="shared" si="150"/>
        <v>#DIV/0!</v>
      </c>
      <c r="AD203" s="12" t="e">
        <f t="shared" si="151"/>
        <v>#DIV/0!</v>
      </c>
      <c r="AE203" s="1">
        <f t="shared" si="152"/>
        <v>0</v>
      </c>
      <c r="AF203" s="1">
        <f t="shared" si="153"/>
        <v>1</v>
      </c>
      <c r="AG203" s="1">
        <f t="shared" si="154"/>
        <v>-1</v>
      </c>
      <c r="AH203" s="1">
        <f t="shared" si="155"/>
        <v>1</v>
      </c>
      <c r="AI203" s="1">
        <f t="shared" si="156"/>
        <v>0</v>
      </c>
      <c r="AJ203" s="1">
        <f t="shared" si="157"/>
        <v>2</v>
      </c>
      <c r="AK203" s="17">
        <f t="shared" si="158"/>
        <v>0.5</v>
      </c>
      <c r="AL203" s="17">
        <f t="shared" si="159"/>
        <v>0.5</v>
      </c>
      <c r="AM203" s="1" t="e">
        <f t="shared" si="160"/>
        <v>#DIV/0!</v>
      </c>
      <c r="AN203" s="1" t="e">
        <f t="shared" si="161"/>
        <v>#DIV/0!</v>
      </c>
      <c r="AO203" s="1" t="e">
        <f t="shared" si="162"/>
        <v>#DIV/0!</v>
      </c>
      <c r="AP203" s="1" t="e">
        <f t="shared" si="163"/>
        <v>#DIV/0!</v>
      </c>
      <c r="AQ203" s="1" t="e">
        <f t="shared" si="164"/>
        <v>#DIV/0!</v>
      </c>
      <c r="AR203" s="1" t="e">
        <f t="shared" si="165"/>
        <v>#DIV/0!</v>
      </c>
      <c r="AS203" s="12" t="e">
        <f t="shared" si="166"/>
        <v>#DIV/0!</v>
      </c>
      <c r="AT203" s="12" t="e">
        <f t="shared" si="167"/>
        <v>#DIV/0!</v>
      </c>
      <c r="AU203" s="1">
        <f t="shared" si="168"/>
        <v>0</v>
      </c>
      <c r="AV203" s="1">
        <f t="shared" si="169"/>
        <v>0</v>
      </c>
      <c r="AW203" s="1">
        <f t="shared" si="170"/>
        <v>0</v>
      </c>
      <c r="AX203" s="1">
        <f t="shared" si="171"/>
        <v>0</v>
      </c>
      <c r="AY203" s="1">
        <f t="shared" si="172"/>
        <v>0</v>
      </c>
      <c r="AZ203" s="1">
        <f t="shared" si="173"/>
        <v>0</v>
      </c>
      <c r="BA203" s="19">
        <f t="shared" si="174"/>
        <v>0</v>
      </c>
      <c r="BB203" s="19">
        <f t="shared" si="175"/>
        <v>0</v>
      </c>
      <c r="BC203" s="9" t="e">
        <f t="shared" si="176"/>
        <v>#DIV/0!</v>
      </c>
      <c r="BD203" s="9" t="e">
        <f t="shared" si="177"/>
        <v>#DIV/0!</v>
      </c>
      <c r="BE203" s="9">
        <f t="shared" si="178"/>
        <v>-1</v>
      </c>
      <c r="BF203" s="9" t="e">
        <f t="shared" si="179"/>
        <v>#DIV/0!</v>
      </c>
      <c r="BG203" s="9">
        <f t="shared" si="180"/>
        <v>0</v>
      </c>
      <c r="BH203" s="9">
        <f t="shared" si="181"/>
        <v>2</v>
      </c>
      <c r="BI203" s="12" t="e">
        <f t="shared" si="182"/>
        <v>#DIV/0!</v>
      </c>
      <c r="BJ203" s="13" t="e">
        <f t="shared" si="183"/>
        <v>#DIV/0!</v>
      </c>
      <c r="BK203" s="1">
        <f t="shared" si="184"/>
        <v>0</v>
      </c>
      <c r="BL203" s="1">
        <f t="shared" si="185"/>
        <v>1</v>
      </c>
      <c r="BM203" s="1">
        <f t="shared" si="186"/>
        <v>-1</v>
      </c>
      <c r="BN203" s="1">
        <f t="shared" si="187"/>
        <v>1</v>
      </c>
      <c r="BO203" s="1">
        <f t="shared" si="188"/>
        <v>0</v>
      </c>
      <c r="BP203" s="1">
        <f t="shared" si="189"/>
        <v>2</v>
      </c>
      <c r="BQ203" s="19">
        <f t="shared" si="190"/>
        <v>0.5</v>
      </c>
      <c r="BR203" s="17">
        <f t="shared" si="191"/>
        <v>0.5</v>
      </c>
    </row>
    <row r="204" spans="1:70" x14ac:dyDescent="0.25">
      <c r="A204" t="s">
        <v>622</v>
      </c>
      <c r="D204">
        <v>1</v>
      </c>
      <c r="E204">
        <v>2</v>
      </c>
      <c r="F204">
        <v>2</v>
      </c>
      <c r="G204">
        <v>2</v>
      </c>
      <c r="H204">
        <v>3</v>
      </c>
      <c r="K204">
        <v>1</v>
      </c>
      <c r="L204">
        <v>1</v>
      </c>
      <c r="M204">
        <v>1</v>
      </c>
      <c r="S204">
        <v>1</v>
      </c>
      <c r="T204">
        <v>1</v>
      </c>
      <c r="U204">
        <v>2</v>
      </c>
      <c r="V204">
        <v>3</v>
      </c>
      <c r="W204" s="8" t="e">
        <f t="shared" si="144"/>
        <v>#DIV/0!</v>
      </c>
      <c r="X204" s="8" t="e">
        <f t="shared" si="145"/>
        <v>#DIV/0!</v>
      </c>
      <c r="Y204" s="8">
        <f t="shared" si="146"/>
        <v>1</v>
      </c>
      <c r="Z204" s="8">
        <f t="shared" si="147"/>
        <v>0</v>
      </c>
      <c r="AA204" s="8">
        <f t="shared" si="148"/>
        <v>0</v>
      </c>
      <c r="AB204" s="8">
        <f t="shared" si="149"/>
        <v>0.5</v>
      </c>
      <c r="AC204" s="12" t="e">
        <f t="shared" si="150"/>
        <v>#DIV/0!</v>
      </c>
      <c r="AD204" s="12" t="e">
        <f t="shared" si="151"/>
        <v>#DIV/0!</v>
      </c>
      <c r="AE204" s="1">
        <f t="shared" si="152"/>
        <v>0</v>
      </c>
      <c r="AF204" s="1">
        <f t="shared" si="153"/>
        <v>1</v>
      </c>
      <c r="AG204" s="1">
        <f t="shared" si="154"/>
        <v>1</v>
      </c>
      <c r="AH204" s="1">
        <f t="shared" si="155"/>
        <v>0</v>
      </c>
      <c r="AI204" s="1">
        <f t="shared" si="156"/>
        <v>0</v>
      </c>
      <c r="AJ204" s="1">
        <f t="shared" si="157"/>
        <v>1</v>
      </c>
      <c r="AK204" s="17">
        <f t="shared" si="158"/>
        <v>0.5</v>
      </c>
      <c r="AL204" s="17">
        <f t="shared" si="159"/>
        <v>0.5</v>
      </c>
      <c r="AM204" s="1" t="e">
        <f t="shared" si="160"/>
        <v>#DIV/0!</v>
      </c>
      <c r="AN204" s="1" t="e">
        <f t="shared" si="161"/>
        <v>#DIV/0!</v>
      </c>
      <c r="AO204" s="1">
        <f t="shared" si="162"/>
        <v>0</v>
      </c>
      <c r="AP204" s="1">
        <f t="shared" si="163"/>
        <v>0</v>
      </c>
      <c r="AQ204" s="1">
        <f t="shared" si="164"/>
        <v>-1</v>
      </c>
      <c r="AR204" s="1" t="e">
        <f t="shared" si="165"/>
        <v>#DIV/0!</v>
      </c>
      <c r="AS204" s="12" t="e">
        <f t="shared" si="166"/>
        <v>#DIV/0!</v>
      </c>
      <c r="AT204" s="12" t="e">
        <f t="shared" si="167"/>
        <v>#DIV/0!</v>
      </c>
      <c r="AU204" s="1">
        <f t="shared" si="168"/>
        <v>0</v>
      </c>
      <c r="AV204" s="1">
        <f t="shared" si="169"/>
        <v>1</v>
      </c>
      <c r="AW204" s="1">
        <f t="shared" si="170"/>
        <v>0</v>
      </c>
      <c r="AX204" s="1">
        <f t="shared" si="171"/>
        <v>0</v>
      </c>
      <c r="AY204" s="1">
        <f t="shared" si="172"/>
        <v>-1</v>
      </c>
      <c r="AZ204" s="1">
        <f t="shared" si="173"/>
        <v>0</v>
      </c>
      <c r="BA204" s="19">
        <f t="shared" si="174"/>
        <v>0</v>
      </c>
      <c r="BB204" s="19">
        <f t="shared" si="175"/>
        <v>0</v>
      </c>
      <c r="BC204" s="9" t="e">
        <f t="shared" si="176"/>
        <v>#DIV/0!</v>
      </c>
      <c r="BD204" s="9" t="e">
        <f t="shared" si="177"/>
        <v>#DIV/0!</v>
      </c>
      <c r="BE204" s="9" t="e">
        <f t="shared" si="178"/>
        <v>#DIV/0!</v>
      </c>
      <c r="BF204" s="9">
        <f t="shared" si="179"/>
        <v>0</v>
      </c>
      <c r="BG204" s="9">
        <f t="shared" si="180"/>
        <v>1</v>
      </c>
      <c r="BH204" s="9">
        <f t="shared" si="181"/>
        <v>0.5</v>
      </c>
      <c r="BI204" s="12" t="e">
        <f t="shared" si="182"/>
        <v>#DIV/0!</v>
      </c>
      <c r="BJ204" s="13" t="e">
        <f t="shared" si="183"/>
        <v>#DIV/0!</v>
      </c>
      <c r="BK204" s="1">
        <f t="shared" si="184"/>
        <v>0</v>
      </c>
      <c r="BL204" s="1">
        <f t="shared" si="185"/>
        <v>0</v>
      </c>
      <c r="BM204" s="1">
        <f t="shared" si="186"/>
        <v>1</v>
      </c>
      <c r="BN204" s="1">
        <f t="shared" si="187"/>
        <v>0</v>
      </c>
      <c r="BO204" s="1">
        <f t="shared" si="188"/>
        <v>1</v>
      </c>
      <c r="BP204" s="1">
        <f t="shared" si="189"/>
        <v>1</v>
      </c>
      <c r="BQ204" s="19">
        <f t="shared" si="190"/>
        <v>0.5</v>
      </c>
      <c r="BR204" s="17">
        <f t="shared" si="191"/>
        <v>0.5</v>
      </c>
    </row>
    <row r="205" spans="1:70" x14ac:dyDescent="0.25">
      <c r="A205" t="s">
        <v>640</v>
      </c>
      <c r="E205">
        <v>2</v>
      </c>
      <c r="F205">
        <v>3</v>
      </c>
      <c r="G205">
        <v>4</v>
      </c>
      <c r="H205">
        <v>3</v>
      </c>
      <c r="N205">
        <v>3</v>
      </c>
      <c r="O205">
        <v>2</v>
      </c>
      <c r="S205">
        <v>2</v>
      </c>
      <c r="T205">
        <v>3</v>
      </c>
      <c r="U205">
        <v>1</v>
      </c>
      <c r="V205">
        <v>1</v>
      </c>
      <c r="W205" s="8" t="e">
        <f t="shared" si="144"/>
        <v>#DIV/0!</v>
      </c>
      <c r="X205" s="8" t="e">
        <f t="shared" si="145"/>
        <v>#DIV/0!</v>
      </c>
      <c r="Y205" s="8" t="e">
        <f t="shared" si="146"/>
        <v>#DIV/0!</v>
      </c>
      <c r="Z205" s="8">
        <f t="shared" si="147"/>
        <v>0.5</v>
      </c>
      <c r="AA205" s="8">
        <f t="shared" si="148"/>
        <v>0.33333333333333331</v>
      </c>
      <c r="AB205" s="8">
        <f t="shared" si="149"/>
        <v>-0.25</v>
      </c>
      <c r="AC205" s="12" t="e">
        <f t="shared" si="150"/>
        <v>#DIV/0!</v>
      </c>
      <c r="AD205" s="12" t="e">
        <f t="shared" si="151"/>
        <v>#DIV/0!</v>
      </c>
      <c r="AE205" s="1">
        <f t="shared" si="152"/>
        <v>0</v>
      </c>
      <c r="AF205" s="1">
        <f t="shared" si="153"/>
        <v>0</v>
      </c>
      <c r="AG205" s="1">
        <f t="shared" si="154"/>
        <v>2</v>
      </c>
      <c r="AH205" s="1">
        <f t="shared" si="155"/>
        <v>1</v>
      </c>
      <c r="AI205" s="1">
        <f t="shared" si="156"/>
        <v>1</v>
      </c>
      <c r="AJ205" s="1">
        <f t="shared" si="157"/>
        <v>-1</v>
      </c>
      <c r="AK205" s="17">
        <f t="shared" si="158"/>
        <v>0.5</v>
      </c>
      <c r="AL205" s="17">
        <f t="shared" si="159"/>
        <v>0.5</v>
      </c>
      <c r="AM205" s="1" t="e">
        <f t="shared" si="160"/>
        <v>#DIV/0!</v>
      </c>
      <c r="AN205" s="1" t="e">
        <f t="shared" si="161"/>
        <v>#DIV/0!</v>
      </c>
      <c r="AO205" s="1" t="e">
        <f t="shared" si="162"/>
        <v>#DIV/0!</v>
      </c>
      <c r="AP205" s="1" t="e">
        <f t="shared" si="163"/>
        <v>#DIV/0!</v>
      </c>
      <c r="AQ205" s="1" t="e">
        <f t="shared" si="164"/>
        <v>#DIV/0!</v>
      </c>
      <c r="AR205" s="1">
        <f t="shared" si="165"/>
        <v>-0.33333333333333331</v>
      </c>
      <c r="AS205" s="12" t="e">
        <f t="shared" si="166"/>
        <v>#DIV/0!</v>
      </c>
      <c r="AT205" s="12" t="e">
        <f t="shared" si="167"/>
        <v>#DIV/0!</v>
      </c>
      <c r="AU205" s="1">
        <f t="shared" si="168"/>
        <v>0</v>
      </c>
      <c r="AV205" s="1">
        <f t="shared" si="169"/>
        <v>0</v>
      </c>
      <c r="AW205" s="1">
        <f t="shared" si="170"/>
        <v>0</v>
      </c>
      <c r="AX205" s="1">
        <f t="shared" si="171"/>
        <v>0</v>
      </c>
      <c r="AY205" s="1">
        <f t="shared" si="172"/>
        <v>3</v>
      </c>
      <c r="AZ205" s="1">
        <f t="shared" si="173"/>
        <v>-1</v>
      </c>
      <c r="BA205" s="19">
        <f t="shared" si="174"/>
        <v>0.33333333333333331</v>
      </c>
      <c r="BB205" s="19">
        <f t="shared" si="175"/>
        <v>0</v>
      </c>
      <c r="BC205" s="9" t="e">
        <f t="shared" si="176"/>
        <v>#DIV/0!</v>
      </c>
      <c r="BD205" s="9" t="e">
        <f t="shared" si="177"/>
        <v>#DIV/0!</v>
      </c>
      <c r="BE205" s="9" t="e">
        <f t="shared" si="178"/>
        <v>#DIV/0!</v>
      </c>
      <c r="BF205" s="9">
        <f t="shared" si="179"/>
        <v>0.5</v>
      </c>
      <c r="BG205" s="9">
        <f t="shared" si="180"/>
        <v>-0.66666666666666663</v>
      </c>
      <c r="BH205" s="9">
        <f t="shared" si="181"/>
        <v>0</v>
      </c>
      <c r="BI205" s="12" t="e">
        <f t="shared" si="182"/>
        <v>#DIV/0!</v>
      </c>
      <c r="BJ205" s="13" t="e">
        <f t="shared" si="183"/>
        <v>#DIV/0!</v>
      </c>
      <c r="BK205" s="1">
        <f t="shared" si="184"/>
        <v>0</v>
      </c>
      <c r="BL205" s="1">
        <f t="shared" si="185"/>
        <v>0</v>
      </c>
      <c r="BM205" s="1">
        <f t="shared" si="186"/>
        <v>2</v>
      </c>
      <c r="BN205" s="1">
        <f t="shared" si="187"/>
        <v>1</v>
      </c>
      <c r="BO205" s="1">
        <f t="shared" si="188"/>
        <v>-2</v>
      </c>
      <c r="BP205" s="1">
        <f t="shared" si="189"/>
        <v>0</v>
      </c>
      <c r="BQ205" s="19">
        <f t="shared" si="190"/>
        <v>0.16666666666666666</v>
      </c>
      <c r="BR205" s="17">
        <f t="shared" si="191"/>
        <v>0</v>
      </c>
    </row>
    <row r="206" spans="1:70" x14ac:dyDescent="0.25">
      <c r="A206" t="s">
        <v>209</v>
      </c>
      <c r="B206">
        <v>31</v>
      </c>
      <c r="C206">
        <v>28</v>
      </c>
      <c r="D206">
        <v>25</v>
      </c>
      <c r="E206">
        <v>32</v>
      </c>
      <c r="F206">
        <v>59</v>
      </c>
      <c r="G206">
        <v>38</v>
      </c>
      <c r="H206">
        <v>33</v>
      </c>
      <c r="I206">
        <v>14</v>
      </c>
      <c r="J206">
        <v>13</v>
      </c>
      <c r="K206">
        <v>8</v>
      </c>
      <c r="L206">
        <v>12</v>
      </c>
      <c r="M206">
        <v>26</v>
      </c>
      <c r="N206">
        <v>18</v>
      </c>
      <c r="O206">
        <v>7</v>
      </c>
      <c r="P206">
        <v>17</v>
      </c>
      <c r="Q206">
        <v>15</v>
      </c>
      <c r="R206">
        <v>17</v>
      </c>
      <c r="S206">
        <v>20</v>
      </c>
      <c r="T206">
        <v>33</v>
      </c>
      <c r="U206">
        <v>20</v>
      </c>
      <c r="V206">
        <v>26</v>
      </c>
      <c r="W206" s="8">
        <f t="shared" si="144"/>
        <v>-9.6774193548387094E-2</v>
      </c>
      <c r="X206" s="8">
        <f t="shared" si="145"/>
        <v>-0.10714285714285714</v>
      </c>
      <c r="Y206" s="8">
        <f t="shared" si="146"/>
        <v>0.28000000000000003</v>
      </c>
      <c r="Z206" s="8">
        <f t="shared" si="147"/>
        <v>0.84375</v>
      </c>
      <c r="AA206" s="8">
        <f t="shared" si="148"/>
        <v>-0.3559322033898305</v>
      </c>
      <c r="AB206" s="8">
        <f t="shared" si="149"/>
        <v>-0.13157894736842105</v>
      </c>
      <c r="AC206" s="12">
        <f t="shared" si="150"/>
        <v>7.2053633091750724E-2</v>
      </c>
      <c r="AD206" s="12">
        <f t="shared" si="151"/>
        <v>-0.10195852534562211</v>
      </c>
      <c r="AE206" s="1">
        <f t="shared" si="152"/>
        <v>-3</v>
      </c>
      <c r="AF206" s="1">
        <f t="shared" si="153"/>
        <v>-3</v>
      </c>
      <c r="AG206" s="1">
        <f t="shared" si="154"/>
        <v>7</v>
      </c>
      <c r="AH206" s="1">
        <f t="shared" si="155"/>
        <v>27</v>
      </c>
      <c r="AI206" s="1">
        <f t="shared" si="156"/>
        <v>-21</v>
      </c>
      <c r="AJ206" s="1">
        <f t="shared" si="157"/>
        <v>-5</v>
      </c>
      <c r="AK206" s="17">
        <f t="shared" si="158"/>
        <v>0.33333333333333331</v>
      </c>
      <c r="AL206" s="17">
        <f t="shared" si="159"/>
        <v>-3</v>
      </c>
      <c r="AM206" s="1">
        <f t="shared" si="160"/>
        <v>-7.1428571428571425E-2</v>
      </c>
      <c r="AN206" s="1">
        <f t="shared" si="161"/>
        <v>-0.38461538461538464</v>
      </c>
      <c r="AO206" s="1">
        <f t="shared" si="162"/>
        <v>0.5</v>
      </c>
      <c r="AP206" s="1">
        <f t="shared" si="163"/>
        <v>1.1666666666666667</v>
      </c>
      <c r="AQ206" s="1">
        <f t="shared" si="164"/>
        <v>-0.30769230769230771</v>
      </c>
      <c r="AR206" s="1">
        <f t="shared" si="165"/>
        <v>-0.61111111111111116</v>
      </c>
      <c r="AS206" s="12">
        <f t="shared" si="166"/>
        <v>4.8636548636548649E-2</v>
      </c>
      <c r="AT206" s="12">
        <f t="shared" si="167"/>
        <v>-0.18956043956043955</v>
      </c>
      <c r="AU206" s="1">
        <f t="shared" si="168"/>
        <v>-1</v>
      </c>
      <c r="AV206" s="1">
        <f t="shared" si="169"/>
        <v>-5</v>
      </c>
      <c r="AW206" s="1">
        <f t="shared" si="170"/>
        <v>4</v>
      </c>
      <c r="AX206" s="1">
        <f t="shared" si="171"/>
        <v>14</v>
      </c>
      <c r="AY206" s="1">
        <f t="shared" si="172"/>
        <v>-8</v>
      </c>
      <c r="AZ206" s="1">
        <f t="shared" si="173"/>
        <v>-11</v>
      </c>
      <c r="BA206" s="19">
        <f t="shared" si="174"/>
        <v>-1.1666666666666667</v>
      </c>
      <c r="BB206" s="19">
        <f t="shared" si="175"/>
        <v>-3</v>
      </c>
      <c r="BC206" s="9">
        <f t="shared" si="176"/>
        <v>-0.11764705882352941</v>
      </c>
      <c r="BD206" s="9">
        <f t="shared" si="177"/>
        <v>0.13333333333333333</v>
      </c>
      <c r="BE206" s="9">
        <f t="shared" si="178"/>
        <v>0.17647058823529413</v>
      </c>
      <c r="BF206" s="9">
        <f t="shared" si="179"/>
        <v>0.65</v>
      </c>
      <c r="BG206" s="9">
        <f t="shared" si="180"/>
        <v>-0.39393939393939392</v>
      </c>
      <c r="BH206" s="9">
        <f t="shared" si="181"/>
        <v>0.3</v>
      </c>
      <c r="BI206" s="12">
        <f t="shared" si="182"/>
        <v>0.12470291146761736</v>
      </c>
      <c r="BJ206" s="13">
        <f t="shared" si="183"/>
        <v>0.15490196078431373</v>
      </c>
      <c r="BK206" s="1">
        <f t="shared" si="184"/>
        <v>-2</v>
      </c>
      <c r="BL206" s="1">
        <f t="shared" si="185"/>
        <v>2</v>
      </c>
      <c r="BM206" s="1">
        <f t="shared" si="186"/>
        <v>3</v>
      </c>
      <c r="BN206" s="1">
        <f t="shared" si="187"/>
        <v>13</v>
      </c>
      <c r="BO206" s="1">
        <f t="shared" si="188"/>
        <v>-13</v>
      </c>
      <c r="BP206" s="1">
        <f t="shared" si="189"/>
        <v>6</v>
      </c>
      <c r="BQ206" s="19">
        <f t="shared" si="190"/>
        <v>1.5</v>
      </c>
      <c r="BR206" s="17">
        <f t="shared" si="191"/>
        <v>2.5</v>
      </c>
    </row>
    <row r="207" spans="1:70" x14ac:dyDescent="0.25">
      <c r="A207" t="s">
        <v>246</v>
      </c>
      <c r="B207">
        <v>20</v>
      </c>
      <c r="C207">
        <v>16</v>
      </c>
      <c r="D207">
        <v>17</v>
      </c>
      <c r="E207">
        <v>18</v>
      </c>
      <c r="F207">
        <v>10</v>
      </c>
      <c r="G207">
        <v>17</v>
      </c>
      <c r="H207">
        <v>22</v>
      </c>
      <c r="I207">
        <v>10</v>
      </c>
      <c r="J207">
        <v>8</v>
      </c>
      <c r="K207">
        <v>8</v>
      </c>
      <c r="L207">
        <v>10</v>
      </c>
      <c r="M207">
        <v>3</v>
      </c>
      <c r="N207">
        <v>8</v>
      </c>
      <c r="O207">
        <v>8</v>
      </c>
      <c r="P207">
        <v>10</v>
      </c>
      <c r="Q207">
        <v>8</v>
      </c>
      <c r="R207">
        <v>9</v>
      </c>
      <c r="S207">
        <v>8</v>
      </c>
      <c r="T207">
        <v>7</v>
      </c>
      <c r="U207">
        <v>9</v>
      </c>
      <c r="V207">
        <v>14</v>
      </c>
      <c r="W207" s="8">
        <f t="shared" si="144"/>
        <v>-0.2</v>
      </c>
      <c r="X207" s="8">
        <f t="shared" si="145"/>
        <v>6.25E-2</v>
      </c>
      <c r="Y207" s="8">
        <f t="shared" si="146"/>
        <v>5.8823529411764705E-2</v>
      </c>
      <c r="Z207" s="8">
        <f t="shared" si="147"/>
        <v>-0.44444444444444442</v>
      </c>
      <c r="AA207" s="8">
        <f t="shared" si="148"/>
        <v>0.7</v>
      </c>
      <c r="AB207" s="8">
        <f t="shared" si="149"/>
        <v>0.29411764705882354</v>
      </c>
      <c r="AC207" s="12">
        <f t="shared" si="150"/>
        <v>7.8499455337690621E-2</v>
      </c>
      <c r="AD207" s="12">
        <f t="shared" si="151"/>
        <v>6.0661764705882353E-2</v>
      </c>
      <c r="AE207" s="1">
        <f t="shared" si="152"/>
        <v>-4</v>
      </c>
      <c r="AF207" s="1">
        <f t="shared" si="153"/>
        <v>1</v>
      </c>
      <c r="AG207" s="1">
        <f t="shared" si="154"/>
        <v>1</v>
      </c>
      <c r="AH207" s="1">
        <f t="shared" si="155"/>
        <v>-8</v>
      </c>
      <c r="AI207" s="1">
        <f t="shared" si="156"/>
        <v>7</v>
      </c>
      <c r="AJ207" s="1">
        <f t="shared" si="157"/>
        <v>5</v>
      </c>
      <c r="AK207" s="17">
        <f t="shared" si="158"/>
        <v>0.33333333333333331</v>
      </c>
      <c r="AL207" s="17">
        <f t="shared" si="159"/>
        <v>1</v>
      </c>
      <c r="AM207" s="1">
        <f t="shared" si="160"/>
        <v>-0.2</v>
      </c>
      <c r="AN207" s="1">
        <f t="shared" si="161"/>
        <v>0</v>
      </c>
      <c r="AO207" s="1">
        <f t="shared" si="162"/>
        <v>0.25</v>
      </c>
      <c r="AP207" s="1">
        <f t="shared" si="163"/>
        <v>-0.7</v>
      </c>
      <c r="AQ207" s="1">
        <f t="shared" si="164"/>
        <v>1.6666666666666667</v>
      </c>
      <c r="AR207" s="1">
        <f t="shared" si="165"/>
        <v>0</v>
      </c>
      <c r="AS207" s="12">
        <f t="shared" si="166"/>
        <v>0.16944444444444448</v>
      </c>
      <c r="AT207" s="12">
        <f t="shared" si="167"/>
        <v>0</v>
      </c>
      <c r="AU207" s="1">
        <f t="shared" si="168"/>
        <v>-2</v>
      </c>
      <c r="AV207" s="1">
        <f t="shared" si="169"/>
        <v>0</v>
      </c>
      <c r="AW207" s="1">
        <f t="shared" si="170"/>
        <v>2</v>
      </c>
      <c r="AX207" s="1">
        <f t="shared" si="171"/>
        <v>-7</v>
      </c>
      <c r="AY207" s="1">
        <f t="shared" si="172"/>
        <v>5</v>
      </c>
      <c r="AZ207" s="1">
        <f t="shared" si="173"/>
        <v>0</v>
      </c>
      <c r="BA207" s="19">
        <f t="shared" si="174"/>
        <v>-0.33333333333333331</v>
      </c>
      <c r="BB207" s="19">
        <f t="shared" si="175"/>
        <v>0</v>
      </c>
      <c r="BC207" s="9">
        <f t="shared" si="176"/>
        <v>-0.2</v>
      </c>
      <c r="BD207" s="9">
        <f t="shared" si="177"/>
        <v>0.125</v>
      </c>
      <c r="BE207" s="9">
        <f t="shared" si="178"/>
        <v>-0.1111111111111111</v>
      </c>
      <c r="BF207" s="9">
        <f t="shared" si="179"/>
        <v>-0.125</v>
      </c>
      <c r="BG207" s="9">
        <f t="shared" si="180"/>
        <v>0.2857142857142857</v>
      </c>
      <c r="BH207" s="9">
        <f t="shared" si="181"/>
        <v>0.55555555555555558</v>
      </c>
      <c r="BI207" s="12">
        <f t="shared" si="182"/>
        <v>8.835978835978836E-2</v>
      </c>
      <c r="BJ207" s="13">
        <f t="shared" si="183"/>
        <v>6.9444444444444475E-3</v>
      </c>
      <c r="BK207" s="1">
        <f t="shared" si="184"/>
        <v>-2</v>
      </c>
      <c r="BL207" s="1">
        <f t="shared" si="185"/>
        <v>1</v>
      </c>
      <c r="BM207" s="1">
        <f t="shared" si="186"/>
        <v>-1</v>
      </c>
      <c r="BN207" s="1">
        <f t="shared" si="187"/>
        <v>-1</v>
      </c>
      <c r="BO207" s="1">
        <f t="shared" si="188"/>
        <v>2</v>
      </c>
      <c r="BP207" s="1">
        <f t="shared" si="189"/>
        <v>5</v>
      </c>
      <c r="BQ207" s="19">
        <f t="shared" si="190"/>
        <v>0.66666666666666663</v>
      </c>
      <c r="BR207" s="17">
        <f t="shared" si="191"/>
        <v>0</v>
      </c>
    </row>
    <row r="208" spans="1:70" x14ac:dyDescent="0.25">
      <c r="A208" t="s">
        <v>285</v>
      </c>
      <c r="B208">
        <v>13</v>
      </c>
      <c r="C208">
        <v>16</v>
      </c>
      <c r="D208">
        <v>12</v>
      </c>
      <c r="E208">
        <v>13</v>
      </c>
      <c r="F208">
        <v>7</v>
      </c>
      <c r="G208">
        <v>12</v>
      </c>
      <c r="H208">
        <v>15</v>
      </c>
      <c r="I208">
        <v>4</v>
      </c>
      <c r="J208">
        <v>7</v>
      </c>
      <c r="K208">
        <v>5</v>
      </c>
      <c r="L208">
        <v>8</v>
      </c>
      <c r="M208">
        <v>4</v>
      </c>
      <c r="N208">
        <v>7</v>
      </c>
      <c r="O208">
        <v>6</v>
      </c>
      <c r="P208">
        <v>9</v>
      </c>
      <c r="Q208">
        <v>9</v>
      </c>
      <c r="R208">
        <v>7</v>
      </c>
      <c r="S208">
        <v>5</v>
      </c>
      <c r="T208">
        <v>3</v>
      </c>
      <c r="U208">
        <v>5</v>
      </c>
      <c r="V208">
        <v>9</v>
      </c>
      <c r="W208" s="8">
        <f t="shared" si="144"/>
        <v>0.23076923076923078</v>
      </c>
      <c r="X208" s="8">
        <f t="shared" si="145"/>
        <v>-0.25</v>
      </c>
      <c r="Y208" s="8">
        <f t="shared" si="146"/>
        <v>8.3333333333333329E-2</v>
      </c>
      <c r="Z208" s="8">
        <f t="shared" si="147"/>
        <v>-0.46153846153846156</v>
      </c>
      <c r="AA208" s="8">
        <f t="shared" si="148"/>
        <v>0.7142857142857143</v>
      </c>
      <c r="AB208" s="8">
        <f t="shared" si="149"/>
        <v>0.25</v>
      </c>
      <c r="AC208" s="12">
        <f t="shared" si="150"/>
        <v>9.4474969474969472E-2</v>
      </c>
      <c r="AD208" s="12">
        <f t="shared" si="151"/>
        <v>0.15705128205128205</v>
      </c>
      <c r="AE208" s="1">
        <f t="shared" si="152"/>
        <v>3</v>
      </c>
      <c r="AF208" s="1">
        <f t="shared" si="153"/>
        <v>-4</v>
      </c>
      <c r="AG208" s="1">
        <f t="shared" si="154"/>
        <v>1</v>
      </c>
      <c r="AH208" s="1">
        <f t="shared" si="155"/>
        <v>-6</v>
      </c>
      <c r="AI208" s="1">
        <f t="shared" si="156"/>
        <v>5</v>
      </c>
      <c r="AJ208" s="1">
        <f t="shared" si="157"/>
        <v>3</v>
      </c>
      <c r="AK208" s="17">
        <f t="shared" si="158"/>
        <v>0.33333333333333331</v>
      </c>
      <c r="AL208" s="17">
        <f t="shared" si="159"/>
        <v>2</v>
      </c>
      <c r="AM208" s="1">
        <f t="shared" si="160"/>
        <v>0.75</v>
      </c>
      <c r="AN208" s="1">
        <f t="shared" si="161"/>
        <v>-0.2857142857142857</v>
      </c>
      <c r="AO208" s="1">
        <f t="shared" si="162"/>
        <v>0.6</v>
      </c>
      <c r="AP208" s="1">
        <f t="shared" si="163"/>
        <v>-0.5</v>
      </c>
      <c r="AQ208" s="1">
        <f t="shared" si="164"/>
        <v>0.75</v>
      </c>
      <c r="AR208" s="1">
        <f t="shared" si="165"/>
        <v>-0.14285714285714285</v>
      </c>
      <c r="AS208" s="12">
        <f t="shared" si="166"/>
        <v>0.19523809523809524</v>
      </c>
      <c r="AT208" s="12">
        <f t="shared" si="167"/>
        <v>0.22857142857142859</v>
      </c>
      <c r="AU208" s="1">
        <f t="shared" si="168"/>
        <v>3</v>
      </c>
      <c r="AV208" s="1">
        <f t="shared" si="169"/>
        <v>-2</v>
      </c>
      <c r="AW208" s="1">
        <f t="shared" si="170"/>
        <v>3</v>
      </c>
      <c r="AX208" s="1">
        <f t="shared" si="171"/>
        <v>-4</v>
      </c>
      <c r="AY208" s="1">
        <f t="shared" si="172"/>
        <v>3</v>
      </c>
      <c r="AZ208" s="1">
        <f t="shared" si="173"/>
        <v>-1</v>
      </c>
      <c r="BA208" s="19">
        <f t="shared" si="174"/>
        <v>0.33333333333333331</v>
      </c>
      <c r="BB208" s="19">
        <f t="shared" si="175"/>
        <v>1</v>
      </c>
      <c r="BC208" s="9">
        <f t="shared" si="176"/>
        <v>0</v>
      </c>
      <c r="BD208" s="9">
        <f t="shared" si="177"/>
        <v>-0.22222222222222221</v>
      </c>
      <c r="BE208" s="9">
        <f t="shared" si="178"/>
        <v>-0.2857142857142857</v>
      </c>
      <c r="BF208" s="9">
        <f t="shared" si="179"/>
        <v>-0.4</v>
      </c>
      <c r="BG208" s="9">
        <f t="shared" si="180"/>
        <v>0.66666666666666663</v>
      </c>
      <c r="BH208" s="9">
        <f t="shared" si="181"/>
        <v>0.8</v>
      </c>
      <c r="BI208" s="12">
        <f t="shared" si="182"/>
        <v>9.3121693121693119E-2</v>
      </c>
      <c r="BJ208" s="13">
        <f t="shared" si="183"/>
        <v>-0.1111111111111111</v>
      </c>
      <c r="BK208" s="1">
        <f t="shared" si="184"/>
        <v>0</v>
      </c>
      <c r="BL208" s="1">
        <f t="shared" si="185"/>
        <v>-2</v>
      </c>
      <c r="BM208" s="1">
        <f t="shared" si="186"/>
        <v>-2</v>
      </c>
      <c r="BN208" s="1">
        <f t="shared" si="187"/>
        <v>-2</v>
      </c>
      <c r="BO208" s="1">
        <f t="shared" si="188"/>
        <v>2</v>
      </c>
      <c r="BP208" s="1">
        <f t="shared" si="189"/>
        <v>4</v>
      </c>
      <c r="BQ208" s="19">
        <f t="shared" si="190"/>
        <v>0</v>
      </c>
      <c r="BR208" s="17">
        <f t="shared" si="191"/>
        <v>-1</v>
      </c>
    </row>
    <row r="209" spans="1:70" x14ac:dyDescent="0.25">
      <c r="A209" t="s">
        <v>323</v>
      </c>
      <c r="B209">
        <v>9</v>
      </c>
      <c r="C209">
        <v>16</v>
      </c>
      <c r="D209">
        <v>8</v>
      </c>
      <c r="E209">
        <v>5</v>
      </c>
      <c r="F209">
        <v>15</v>
      </c>
      <c r="G209">
        <v>13</v>
      </c>
      <c r="H209">
        <v>11</v>
      </c>
      <c r="I209">
        <v>8</v>
      </c>
      <c r="J209">
        <v>11</v>
      </c>
      <c r="K209">
        <v>7</v>
      </c>
      <c r="L209">
        <v>2</v>
      </c>
      <c r="M209">
        <v>8</v>
      </c>
      <c r="N209">
        <v>7</v>
      </c>
      <c r="O209">
        <v>7</v>
      </c>
      <c r="P209">
        <v>1</v>
      </c>
      <c r="Q209">
        <v>5</v>
      </c>
      <c r="R209">
        <v>1</v>
      </c>
      <c r="S209">
        <v>3</v>
      </c>
      <c r="T209">
        <v>7</v>
      </c>
      <c r="U209">
        <v>6</v>
      </c>
      <c r="V209">
        <v>4</v>
      </c>
      <c r="W209" s="8">
        <f t="shared" si="144"/>
        <v>0.77777777777777779</v>
      </c>
      <c r="X209" s="8">
        <f t="shared" si="145"/>
        <v>-0.5</v>
      </c>
      <c r="Y209" s="8">
        <f t="shared" si="146"/>
        <v>-0.375</v>
      </c>
      <c r="Z209" s="8">
        <f t="shared" si="147"/>
        <v>2</v>
      </c>
      <c r="AA209" s="8">
        <f t="shared" si="148"/>
        <v>-0.13333333333333333</v>
      </c>
      <c r="AB209" s="8">
        <f t="shared" si="149"/>
        <v>-0.15384615384615385</v>
      </c>
      <c r="AC209" s="12">
        <f t="shared" si="150"/>
        <v>0.26926638176638179</v>
      </c>
      <c r="AD209" s="12">
        <f t="shared" si="151"/>
        <v>-0.14358974358974358</v>
      </c>
      <c r="AE209" s="1">
        <f t="shared" si="152"/>
        <v>7</v>
      </c>
      <c r="AF209" s="1">
        <f t="shared" si="153"/>
        <v>-8</v>
      </c>
      <c r="AG209" s="1">
        <f t="shared" si="154"/>
        <v>-3</v>
      </c>
      <c r="AH209" s="1">
        <f t="shared" si="155"/>
        <v>10</v>
      </c>
      <c r="AI209" s="1">
        <f t="shared" si="156"/>
        <v>-2</v>
      </c>
      <c r="AJ209" s="1">
        <f t="shared" si="157"/>
        <v>-2</v>
      </c>
      <c r="AK209" s="17">
        <f t="shared" si="158"/>
        <v>0.33333333333333331</v>
      </c>
      <c r="AL209" s="17">
        <f t="shared" si="159"/>
        <v>-2</v>
      </c>
      <c r="AM209" s="1">
        <f t="shared" si="160"/>
        <v>0.375</v>
      </c>
      <c r="AN209" s="1">
        <f t="shared" si="161"/>
        <v>-0.36363636363636365</v>
      </c>
      <c r="AO209" s="1">
        <f t="shared" si="162"/>
        <v>-0.7142857142857143</v>
      </c>
      <c r="AP209" s="1">
        <f t="shared" si="163"/>
        <v>3</v>
      </c>
      <c r="AQ209" s="1">
        <f t="shared" si="164"/>
        <v>-0.125</v>
      </c>
      <c r="AR209" s="1">
        <f t="shared" si="165"/>
        <v>0</v>
      </c>
      <c r="AS209" s="12">
        <f t="shared" si="166"/>
        <v>0.36201298701298706</v>
      </c>
      <c r="AT209" s="12">
        <f t="shared" si="167"/>
        <v>-6.25E-2</v>
      </c>
      <c r="AU209" s="1">
        <f t="shared" si="168"/>
        <v>3</v>
      </c>
      <c r="AV209" s="1">
        <f t="shared" si="169"/>
        <v>-4</v>
      </c>
      <c r="AW209" s="1">
        <f t="shared" si="170"/>
        <v>-5</v>
      </c>
      <c r="AX209" s="1">
        <f t="shared" si="171"/>
        <v>6</v>
      </c>
      <c r="AY209" s="1">
        <f t="shared" si="172"/>
        <v>-1</v>
      </c>
      <c r="AZ209" s="1">
        <f t="shared" si="173"/>
        <v>0</v>
      </c>
      <c r="BA209" s="19">
        <f t="shared" si="174"/>
        <v>-0.16666666666666666</v>
      </c>
      <c r="BB209" s="19">
        <f t="shared" si="175"/>
        <v>-0.5</v>
      </c>
      <c r="BC209" s="9">
        <f t="shared" si="176"/>
        <v>4</v>
      </c>
      <c r="BD209" s="9">
        <f t="shared" si="177"/>
        <v>-0.8</v>
      </c>
      <c r="BE209" s="9">
        <f t="shared" si="178"/>
        <v>2</v>
      </c>
      <c r="BF209" s="9">
        <f t="shared" si="179"/>
        <v>1.3333333333333333</v>
      </c>
      <c r="BG209" s="9">
        <f t="shared" si="180"/>
        <v>-0.14285714285714285</v>
      </c>
      <c r="BH209" s="9">
        <f t="shared" si="181"/>
        <v>-0.33333333333333331</v>
      </c>
      <c r="BI209" s="12">
        <f t="shared" si="182"/>
        <v>1.0095238095238095</v>
      </c>
      <c r="BJ209" s="13">
        <f t="shared" si="183"/>
        <v>0.59523809523809512</v>
      </c>
      <c r="BK209" s="1">
        <f t="shared" si="184"/>
        <v>4</v>
      </c>
      <c r="BL209" s="1">
        <f t="shared" si="185"/>
        <v>-4</v>
      </c>
      <c r="BM209" s="1">
        <f t="shared" si="186"/>
        <v>2</v>
      </c>
      <c r="BN209" s="1">
        <f t="shared" si="187"/>
        <v>4</v>
      </c>
      <c r="BO209" s="1">
        <f t="shared" si="188"/>
        <v>-1</v>
      </c>
      <c r="BP209" s="1">
        <f t="shared" si="189"/>
        <v>-2</v>
      </c>
      <c r="BQ209" s="19">
        <f t="shared" si="190"/>
        <v>0.5</v>
      </c>
      <c r="BR209" s="17">
        <f t="shared" si="191"/>
        <v>0.5</v>
      </c>
    </row>
    <row r="210" spans="1:70" x14ac:dyDescent="0.25">
      <c r="A210" t="s">
        <v>345</v>
      </c>
      <c r="B210">
        <v>7</v>
      </c>
      <c r="C210">
        <v>4</v>
      </c>
      <c r="D210">
        <v>4</v>
      </c>
      <c r="E210">
        <v>8</v>
      </c>
      <c r="F210">
        <v>5</v>
      </c>
      <c r="G210">
        <v>11</v>
      </c>
      <c r="H210">
        <v>9</v>
      </c>
      <c r="I210">
        <v>2</v>
      </c>
      <c r="J210">
        <v>2</v>
      </c>
      <c r="K210">
        <v>2</v>
      </c>
      <c r="L210">
        <v>3</v>
      </c>
      <c r="M210">
        <v>4</v>
      </c>
      <c r="N210">
        <v>4</v>
      </c>
      <c r="O210">
        <v>7</v>
      </c>
      <c r="P210">
        <v>5</v>
      </c>
      <c r="Q210">
        <v>2</v>
      </c>
      <c r="R210">
        <v>2</v>
      </c>
      <c r="S210">
        <v>5</v>
      </c>
      <c r="T210">
        <v>1</v>
      </c>
      <c r="U210">
        <v>7</v>
      </c>
      <c r="V210">
        <v>2</v>
      </c>
      <c r="W210" s="8">
        <f t="shared" si="144"/>
        <v>-0.42857142857142855</v>
      </c>
      <c r="X210" s="8">
        <f t="shared" si="145"/>
        <v>0</v>
      </c>
      <c r="Y210" s="8">
        <f t="shared" si="146"/>
        <v>1</v>
      </c>
      <c r="Z210" s="8">
        <f t="shared" si="147"/>
        <v>-0.375</v>
      </c>
      <c r="AA210" s="8">
        <f t="shared" si="148"/>
        <v>1.2</v>
      </c>
      <c r="AB210" s="8">
        <f t="shared" si="149"/>
        <v>-0.18181818181818182</v>
      </c>
      <c r="AC210" s="12">
        <f t="shared" si="150"/>
        <v>0.20243506493506491</v>
      </c>
      <c r="AD210" s="12">
        <f t="shared" si="151"/>
        <v>-9.0909090909090912E-2</v>
      </c>
      <c r="AE210" s="1">
        <f t="shared" si="152"/>
        <v>-3</v>
      </c>
      <c r="AF210" s="1">
        <f t="shared" si="153"/>
        <v>0</v>
      </c>
      <c r="AG210" s="1">
        <f t="shared" si="154"/>
        <v>4</v>
      </c>
      <c r="AH210" s="1">
        <f t="shared" si="155"/>
        <v>-3</v>
      </c>
      <c r="AI210" s="1">
        <f t="shared" si="156"/>
        <v>6</v>
      </c>
      <c r="AJ210" s="1">
        <f t="shared" si="157"/>
        <v>-2</v>
      </c>
      <c r="AK210" s="17">
        <f t="shared" si="158"/>
        <v>0.33333333333333331</v>
      </c>
      <c r="AL210" s="17">
        <f t="shared" si="159"/>
        <v>-1</v>
      </c>
      <c r="AM210" s="1">
        <f t="shared" si="160"/>
        <v>0</v>
      </c>
      <c r="AN210" s="1">
        <f t="shared" si="161"/>
        <v>0</v>
      </c>
      <c r="AO210" s="1">
        <f t="shared" si="162"/>
        <v>0.5</v>
      </c>
      <c r="AP210" s="1">
        <f t="shared" si="163"/>
        <v>0.33333333333333331</v>
      </c>
      <c r="AQ210" s="1">
        <f t="shared" si="164"/>
        <v>0</v>
      </c>
      <c r="AR210" s="1">
        <f t="shared" si="165"/>
        <v>0.75</v>
      </c>
      <c r="AS210" s="12">
        <f t="shared" si="166"/>
        <v>0.2638888888888889</v>
      </c>
      <c r="AT210" s="12">
        <f t="shared" si="167"/>
        <v>0.16666666666666666</v>
      </c>
      <c r="AU210" s="1">
        <f t="shared" si="168"/>
        <v>0</v>
      </c>
      <c r="AV210" s="1">
        <f t="shared" si="169"/>
        <v>0</v>
      </c>
      <c r="AW210" s="1">
        <f t="shared" si="170"/>
        <v>1</v>
      </c>
      <c r="AX210" s="1">
        <f t="shared" si="171"/>
        <v>1</v>
      </c>
      <c r="AY210" s="1">
        <f t="shared" si="172"/>
        <v>0</v>
      </c>
      <c r="AZ210" s="1">
        <f t="shared" si="173"/>
        <v>3</v>
      </c>
      <c r="BA210" s="19">
        <f t="shared" si="174"/>
        <v>0.83333333333333337</v>
      </c>
      <c r="BB210" s="19">
        <f t="shared" si="175"/>
        <v>0.5</v>
      </c>
      <c r="BC210" s="9">
        <f t="shared" si="176"/>
        <v>-0.6</v>
      </c>
      <c r="BD210" s="9">
        <f t="shared" si="177"/>
        <v>0</v>
      </c>
      <c r="BE210" s="9">
        <f t="shared" si="178"/>
        <v>1.5</v>
      </c>
      <c r="BF210" s="9">
        <f t="shared" si="179"/>
        <v>-0.8</v>
      </c>
      <c r="BG210" s="9">
        <f t="shared" si="180"/>
        <v>6</v>
      </c>
      <c r="BH210" s="9">
        <f t="shared" si="181"/>
        <v>-0.7142857142857143</v>
      </c>
      <c r="BI210" s="12">
        <f t="shared" si="182"/>
        <v>0.89761904761904754</v>
      </c>
      <c r="BJ210" s="13">
        <f t="shared" si="183"/>
        <v>-0.3</v>
      </c>
      <c r="BK210" s="1">
        <f t="shared" si="184"/>
        <v>-3</v>
      </c>
      <c r="BL210" s="1">
        <f t="shared" si="185"/>
        <v>0</v>
      </c>
      <c r="BM210" s="1">
        <f t="shared" si="186"/>
        <v>3</v>
      </c>
      <c r="BN210" s="1">
        <f t="shared" si="187"/>
        <v>-4</v>
      </c>
      <c r="BO210" s="1">
        <f t="shared" si="188"/>
        <v>6</v>
      </c>
      <c r="BP210" s="1">
        <f t="shared" si="189"/>
        <v>-5</v>
      </c>
      <c r="BQ210" s="19">
        <f t="shared" si="190"/>
        <v>-0.5</v>
      </c>
      <c r="BR210" s="17">
        <f t="shared" si="191"/>
        <v>-1.5</v>
      </c>
    </row>
    <row r="211" spans="1:70" x14ac:dyDescent="0.25">
      <c r="A211" t="s">
        <v>353</v>
      </c>
      <c r="B211">
        <v>7</v>
      </c>
      <c r="C211">
        <v>3</v>
      </c>
      <c r="D211">
        <v>8</v>
      </c>
      <c r="E211">
        <v>11</v>
      </c>
      <c r="F211">
        <v>4</v>
      </c>
      <c r="G211">
        <v>5</v>
      </c>
      <c r="H211">
        <v>9</v>
      </c>
      <c r="I211">
        <v>2</v>
      </c>
      <c r="J211">
        <v>1</v>
      </c>
      <c r="K211">
        <v>4</v>
      </c>
      <c r="L211">
        <v>4</v>
      </c>
      <c r="M211">
        <v>1</v>
      </c>
      <c r="N211">
        <v>3</v>
      </c>
      <c r="O211">
        <v>4</v>
      </c>
      <c r="P211">
        <v>5</v>
      </c>
      <c r="Q211">
        <v>2</v>
      </c>
      <c r="R211">
        <v>4</v>
      </c>
      <c r="S211">
        <v>7</v>
      </c>
      <c r="T211">
        <v>3</v>
      </c>
      <c r="U211">
        <v>2</v>
      </c>
      <c r="V211">
        <v>5</v>
      </c>
      <c r="W211" s="8">
        <f t="shared" si="144"/>
        <v>-0.5714285714285714</v>
      </c>
      <c r="X211" s="8">
        <f t="shared" si="145"/>
        <v>1.6666666666666667</v>
      </c>
      <c r="Y211" s="8">
        <f t="shared" si="146"/>
        <v>0.375</v>
      </c>
      <c r="Z211" s="8">
        <f t="shared" si="147"/>
        <v>-0.63636363636363635</v>
      </c>
      <c r="AA211" s="8">
        <f t="shared" si="148"/>
        <v>0.25</v>
      </c>
      <c r="AB211" s="8">
        <f t="shared" si="149"/>
        <v>0.8</v>
      </c>
      <c r="AC211" s="12">
        <f t="shared" si="150"/>
        <v>0.31397907647907652</v>
      </c>
      <c r="AD211" s="12">
        <f t="shared" si="151"/>
        <v>0.3125</v>
      </c>
      <c r="AE211" s="1">
        <f t="shared" si="152"/>
        <v>-4</v>
      </c>
      <c r="AF211" s="1">
        <f t="shared" si="153"/>
        <v>5</v>
      </c>
      <c r="AG211" s="1">
        <f t="shared" si="154"/>
        <v>3</v>
      </c>
      <c r="AH211" s="1">
        <f t="shared" si="155"/>
        <v>-7</v>
      </c>
      <c r="AI211" s="1">
        <f t="shared" si="156"/>
        <v>1</v>
      </c>
      <c r="AJ211" s="1">
        <f t="shared" si="157"/>
        <v>4</v>
      </c>
      <c r="AK211" s="17">
        <f t="shared" si="158"/>
        <v>0.33333333333333331</v>
      </c>
      <c r="AL211" s="17">
        <f t="shared" si="159"/>
        <v>2</v>
      </c>
      <c r="AM211" s="1">
        <f t="shared" si="160"/>
        <v>-0.5</v>
      </c>
      <c r="AN211" s="1">
        <f t="shared" si="161"/>
        <v>3</v>
      </c>
      <c r="AO211" s="1">
        <f t="shared" si="162"/>
        <v>0</v>
      </c>
      <c r="AP211" s="1">
        <f t="shared" si="163"/>
        <v>-0.75</v>
      </c>
      <c r="AQ211" s="1">
        <f t="shared" si="164"/>
        <v>2</v>
      </c>
      <c r="AR211" s="1">
        <f t="shared" si="165"/>
        <v>0.33333333333333331</v>
      </c>
      <c r="AS211" s="12">
        <f t="shared" si="166"/>
        <v>0.68055555555555547</v>
      </c>
      <c r="AT211" s="12">
        <f t="shared" si="167"/>
        <v>0.16666666666666666</v>
      </c>
      <c r="AU211" s="1">
        <f t="shared" si="168"/>
        <v>-1</v>
      </c>
      <c r="AV211" s="1">
        <f t="shared" si="169"/>
        <v>3</v>
      </c>
      <c r="AW211" s="1">
        <f t="shared" si="170"/>
        <v>0</v>
      </c>
      <c r="AX211" s="1">
        <f t="shared" si="171"/>
        <v>-3</v>
      </c>
      <c r="AY211" s="1">
        <f t="shared" si="172"/>
        <v>2</v>
      </c>
      <c r="AZ211" s="1">
        <f t="shared" si="173"/>
        <v>1</v>
      </c>
      <c r="BA211" s="19">
        <f t="shared" si="174"/>
        <v>0.33333333333333331</v>
      </c>
      <c r="BB211" s="19">
        <f t="shared" si="175"/>
        <v>0.5</v>
      </c>
      <c r="BC211" s="9">
        <f t="shared" si="176"/>
        <v>-0.6</v>
      </c>
      <c r="BD211" s="9">
        <f t="shared" si="177"/>
        <v>1</v>
      </c>
      <c r="BE211" s="9">
        <f t="shared" si="178"/>
        <v>0.75</v>
      </c>
      <c r="BF211" s="9">
        <f t="shared" si="179"/>
        <v>-0.5714285714285714</v>
      </c>
      <c r="BG211" s="9">
        <f t="shared" si="180"/>
        <v>-0.33333333333333331</v>
      </c>
      <c r="BH211" s="9">
        <f t="shared" si="181"/>
        <v>1.5</v>
      </c>
      <c r="BI211" s="12">
        <f t="shared" si="182"/>
        <v>0.29087301587301589</v>
      </c>
      <c r="BJ211" s="13">
        <f t="shared" si="183"/>
        <v>0.20833333333333331</v>
      </c>
      <c r="BK211" s="1">
        <f t="shared" si="184"/>
        <v>-3</v>
      </c>
      <c r="BL211" s="1">
        <f t="shared" si="185"/>
        <v>2</v>
      </c>
      <c r="BM211" s="1">
        <f t="shared" si="186"/>
        <v>3</v>
      </c>
      <c r="BN211" s="1">
        <f t="shared" si="187"/>
        <v>-4</v>
      </c>
      <c r="BO211" s="1">
        <f t="shared" si="188"/>
        <v>-1</v>
      </c>
      <c r="BP211" s="1">
        <f t="shared" si="189"/>
        <v>3</v>
      </c>
      <c r="BQ211" s="19">
        <f t="shared" si="190"/>
        <v>0</v>
      </c>
      <c r="BR211" s="17">
        <f t="shared" si="191"/>
        <v>0.5</v>
      </c>
    </row>
    <row r="212" spans="1:70" x14ac:dyDescent="0.25">
      <c r="A212" t="s">
        <v>354</v>
      </c>
      <c r="B212">
        <v>7</v>
      </c>
      <c r="C212">
        <v>3</v>
      </c>
      <c r="D212">
        <v>8</v>
      </c>
      <c r="E212">
        <v>14</v>
      </c>
      <c r="F212">
        <v>11</v>
      </c>
      <c r="G212">
        <v>13</v>
      </c>
      <c r="H212">
        <v>9</v>
      </c>
      <c r="I212">
        <v>5</v>
      </c>
      <c r="J212">
        <v>3</v>
      </c>
      <c r="K212">
        <v>4</v>
      </c>
      <c r="L212">
        <v>6</v>
      </c>
      <c r="M212">
        <v>5</v>
      </c>
      <c r="N212">
        <v>8</v>
      </c>
      <c r="O212">
        <v>6</v>
      </c>
      <c r="P212">
        <v>2</v>
      </c>
      <c r="R212">
        <v>4</v>
      </c>
      <c r="S212">
        <v>8</v>
      </c>
      <c r="T212">
        <v>6</v>
      </c>
      <c r="U212">
        <v>5</v>
      </c>
      <c r="V212">
        <v>3</v>
      </c>
      <c r="W212" s="8">
        <f t="shared" si="144"/>
        <v>-0.5714285714285714</v>
      </c>
      <c r="X212" s="8">
        <f t="shared" si="145"/>
        <v>1.6666666666666667</v>
      </c>
      <c r="Y212" s="8">
        <f t="shared" si="146"/>
        <v>0.75</v>
      </c>
      <c r="Z212" s="8">
        <f t="shared" si="147"/>
        <v>-0.21428571428571427</v>
      </c>
      <c r="AA212" s="8">
        <f t="shared" si="148"/>
        <v>0.18181818181818182</v>
      </c>
      <c r="AB212" s="8">
        <f t="shared" si="149"/>
        <v>-0.30769230769230771</v>
      </c>
      <c r="AC212" s="12">
        <f t="shared" si="150"/>
        <v>0.25084637584637587</v>
      </c>
      <c r="AD212" s="12">
        <f t="shared" si="151"/>
        <v>-1.6233766233766239E-2</v>
      </c>
      <c r="AE212" s="1">
        <f t="shared" si="152"/>
        <v>-4</v>
      </c>
      <c r="AF212" s="1">
        <f t="shared" si="153"/>
        <v>5</v>
      </c>
      <c r="AG212" s="1">
        <f t="shared" si="154"/>
        <v>6</v>
      </c>
      <c r="AH212" s="1">
        <f t="shared" si="155"/>
        <v>-3</v>
      </c>
      <c r="AI212" s="1">
        <f t="shared" si="156"/>
        <v>2</v>
      </c>
      <c r="AJ212" s="1">
        <f t="shared" si="157"/>
        <v>-4</v>
      </c>
      <c r="AK212" s="17">
        <f t="shared" si="158"/>
        <v>0.33333333333333331</v>
      </c>
      <c r="AL212" s="17">
        <f t="shared" si="159"/>
        <v>-0.5</v>
      </c>
      <c r="AM212" s="1">
        <f t="shared" si="160"/>
        <v>-0.4</v>
      </c>
      <c r="AN212" s="1">
        <f t="shared" si="161"/>
        <v>0.33333333333333331</v>
      </c>
      <c r="AO212" s="1">
        <f t="shared" si="162"/>
        <v>0.5</v>
      </c>
      <c r="AP212" s="1">
        <f t="shared" si="163"/>
        <v>-0.16666666666666666</v>
      </c>
      <c r="AQ212" s="1">
        <f t="shared" si="164"/>
        <v>0.6</v>
      </c>
      <c r="AR212" s="1">
        <f t="shared" si="165"/>
        <v>-0.25</v>
      </c>
      <c r="AS212" s="12">
        <f t="shared" si="166"/>
        <v>0.10277777777777776</v>
      </c>
      <c r="AT212" s="12">
        <f t="shared" si="167"/>
        <v>8.3333333333333343E-2</v>
      </c>
      <c r="AU212" s="1">
        <f t="shared" si="168"/>
        <v>-2</v>
      </c>
      <c r="AV212" s="1">
        <f t="shared" si="169"/>
        <v>1</v>
      </c>
      <c r="AW212" s="1">
        <f t="shared" si="170"/>
        <v>2</v>
      </c>
      <c r="AX212" s="1">
        <f t="shared" si="171"/>
        <v>-1</v>
      </c>
      <c r="AY212" s="1">
        <f t="shared" si="172"/>
        <v>3</v>
      </c>
      <c r="AZ212" s="1">
        <f t="shared" si="173"/>
        <v>-2</v>
      </c>
      <c r="BA212" s="19">
        <f t="shared" si="174"/>
        <v>0.16666666666666666</v>
      </c>
      <c r="BB212" s="19">
        <f t="shared" si="175"/>
        <v>0</v>
      </c>
      <c r="BC212" s="9">
        <f t="shared" si="176"/>
        <v>-1</v>
      </c>
      <c r="BD212" s="9" t="e">
        <f t="shared" si="177"/>
        <v>#DIV/0!</v>
      </c>
      <c r="BE212" s="9">
        <f t="shared" si="178"/>
        <v>1</v>
      </c>
      <c r="BF212" s="9">
        <f t="shared" si="179"/>
        <v>-0.25</v>
      </c>
      <c r="BG212" s="9">
        <f t="shared" si="180"/>
        <v>-0.16666666666666666</v>
      </c>
      <c r="BH212" s="9">
        <f t="shared" si="181"/>
        <v>-0.4</v>
      </c>
      <c r="BI212" s="12" t="e">
        <f t="shared" si="182"/>
        <v>#DIV/0!</v>
      </c>
      <c r="BJ212" s="13" t="e">
        <f t="shared" si="183"/>
        <v>#DIV/0!</v>
      </c>
      <c r="BK212" s="1">
        <f t="shared" si="184"/>
        <v>-2</v>
      </c>
      <c r="BL212" s="1">
        <f t="shared" si="185"/>
        <v>4</v>
      </c>
      <c r="BM212" s="1">
        <f t="shared" si="186"/>
        <v>4</v>
      </c>
      <c r="BN212" s="1">
        <f t="shared" si="187"/>
        <v>-2</v>
      </c>
      <c r="BO212" s="1">
        <f t="shared" si="188"/>
        <v>-1</v>
      </c>
      <c r="BP212" s="1">
        <f t="shared" si="189"/>
        <v>-2</v>
      </c>
      <c r="BQ212" s="19">
        <f t="shared" si="190"/>
        <v>0.16666666666666666</v>
      </c>
      <c r="BR212" s="17">
        <f t="shared" si="191"/>
        <v>-1.5</v>
      </c>
    </row>
    <row r="213" spans="1:70" x14ac:dyDescent="0.25">
      <c r="A213" t="s">
        <v>382</v>
      </c>
      <c r="B213">
        <v>5</v>
      </c>
      <c r="C213">
        <v>5</v>
      </c>
      <c r="D213">
        <v>10</v>
      </c>
      <c r="E213">
        <v>13</v>
      </c>
      <c r="F213">
        <v>14</v>
      </c>
      <c r="G213">
        <v>16</v>
      </c>
      <c r="H213">
        <v>7</v>
      </c>
      <c r="I213">
        <v>2</v>
      </c>
      <c r="J213">
        <v>2</v>
      </c>
      <c r="K213">
        <v>3</v>
      </c>
      <c r="L213">
        <v>7</v>
      </c>
      <c r="M213">
        <v>4</v>
      </c>
      <c r="N213">
        <v>6</v>
      </c>
      <c r="O213">
        <v>1</v>
      </c>
      <c r="P213">
        <v>3</v>
      </c>
      <c r="Q213">
        <v>3</v>
      </c>
      <c r="R213">
        <v>7</v>
      </c>
      <c r="S213">
        <v>6</v>
      </c>
      <c r="T213">
        <v>10</v>
      </c>
      <c r="U213">
        <v>10</v>
      </c>
      <c r="V213">
        <v>6</v>
      </c>
      <c r="W213" s="8">
        <f t="shared" si="144"/>
        <v>0</v>
      </c>
      <c r="X213" s="8">
        <f t="shared" si="145"/>
        <v>1</v>
      </c>
      <c r="Y213" s="8">
        <f t="shared" si="146"/>
        <v>0.3</v>
      </c>
      <c r="Z213" s="8">
        <f t="shared" si="147"/>
        <v>7.6923076923076927E-2</v>
      </c>
      <c r="AA213" s="8">
        <f t="shared" si="148"/>
        <v>0.14285714285714285</v>
      </c>
      <c r="AB213" s="8">
        <f t="shared" si="149"/>
        <v>-0.5625</v>
      </c>
      <c r="AC213" s="12">
        <f t="shared" si="150"/>
        <v>0.15954670329670328</v>
      </c>
      <c r="AD213" s="12">
        <f t="shared" si="151"/>
        <v>0.10989010989010989</v>
      </c>
      <c r="AE213" s="1">
        <f t="shared" si="152"/>
        <v>0</v>
      </c>
      <c r="AF213" s="1">
        <f t="shared" si="153"/>
        <v>5</v>
      </c>
      <c r="AG213" s="1">
        <f t="shared" si="154"/>
        <v>3</v>
      </c>
      <c r="AH213" s="1">
        <f t="shared" si="155"/>
        <v>1</v>
      </c>
      <c r="AI213" s="1">
        <f t="shared" si="156"/>
        <v>2</v>
      </c>
      <c r="AJ213" s="1">
        <f t="shared" si="157"/>
        <v>-9</v>
      </c>
      <c r="AK213" s="17">
        <f t="shared" si="158"/>
        <v>0.33333333333333331</v>
      </c>
      <c r="AL213" s="17">
        <f t="shared" si="159"/>
        <v>1.5</v>
      </c>
      <c r="AM213" s="1">
        <f t="shared" si="160"/>
        <v>0</v>
      </c>
      <c r="AN213" s="1">
        <f t="shared" si="161"/>
        <v>0.5</v>
      </c>
      <c r="AO213" s="1">
        <f t="shared" si="162"/>
        <v>1.3333333333333333</v>
      </c>
      <c r="AP213" s="1">
        <f t="shared" si="163"/>
        <v>-0.42857142857142855</v>
      </c>
      <c r="AQ213" s="1">
        <f t="shared" si="164"/>
        <v>0.5</v>
      </c>
      <c r="AR213" s="1">
        <f t="shared" si="165"/>
        <v>-0.83333333333333337</v>
      </c>
      <c r="AS213" s="12">
        <f t="shared" si="166"/>
        <v>0.17857142857142852</v>
      </c>
      <c r="AT213" s="12">
        <f t="shared" si="167"/>
        <v>0.25</v>
      </c>
      <c r="AU213" s="1">
        <f t="shared" si="168"/>
        <v>0</v>
      </c>
      <c r="AV213" s="1">
        <f t="shared" si="169"/>
        <v>1</v>
      </c>
      <c r="AW213" s="1">
        <f t="shared" si="170"/>
        <v>4</v>
      </c>
      <c r="AX213" s="1">
        <f t="shared" si="171"/>
        <v>-3</v>
      </c>
      <c r="AY213" s="1">
        <f t="shared" si="172"/>
        <v>2</v>
      </c>
      <c r="AZ213" s="1">
        <f t="shared" si="173"/>
        <v>-5</v>
      </c>
      <c r="BA213" s="19">
        <f t="shared" si="174"/>
        <v>-0.16666666666666666</v>
      </c>
      <c r="BB213" s="19">
        <f t="shared" si="175"/>
        <v>0.5</v>
      </c>
      <c r="BC213" s="9">
        <f t="shared" si="176"/>
        <v>0</v>
      </c>
      <c r="BD213" s="9">
        <f t="shared" si="177"/>
        <v>1.3333333333333333</v>
      </c>
      <c r="BE213" s="9">
        <f t="shared" si="178"/>
        <v>-0.14285714285714285</v>
      </c>
      <c r="BF213" s="9">
        <f t="shared" si="179"/>
        <v>0.66666666666666663</v>
      </c>
      <c r="BG213" s="9">
        <f t="shared" si="180"/>
        <v>0</v>
      </c>
      <c r="BH213" s="9">
        <f t="shared" si="181"/>
        <v>-0.4</v>
      </c>
      <c r="BI213" s="12">
        <f t="shared" si="182"/>
        <v>0.24285714285714288</v>
      </c>
      <c r="BJ213" s="13">
        <f t="shared" si="183"/>
        <v>0</v>
      </c>
      <c r="BK213" s="1">
        <f t="shared" si="184"/>
        <v>0</v>
      </c>
      <c r="BL213" s="1">
        <f t="shared" si="185"/>
        <v>4</v>
      </c>
      <c r="BM213" s="1">
        <f t="shared" si="186"/>
        <v>-1</v>
      </c>
      <c r="BN213" s="1">
        <f t="shared" si="187"/>
        <v>4</v>
      </c>
      <c r="BO213" s="1">
        <f t="shared" si="188"/>
        <v>0</v>
      </c>
      <c r="BP213" s="1">
        <f t="shared" si="189"/>
        <v>-4</v>
      </c>
      <c r="BQ213" s="19">
        <f t="shared" si="190"/>
        <v>0.5</v>
      </c>
      <c r="BR213" s="17">
        <f t="shared" si="191"/>
        <v>0</v>
      </c>
    </row>
    <row r="214" spans="1:70" x14ac:dyDescent="0.25">
      <c r="A214" t="s">
        <v>408</v>
      </c>
      <c r="B214">
        <v>4</v>
      </c>
      <c r="C214">
        <v>6</v>
      </c>
      <c r="D214">
        <v>5</v>
      </c>
      <c r="E214">
        <v>6</v>
      </c>
      <c r="F214">
        <v>3</v>
      </c>
      <c r="G214">
        <v>8</v>
      </c>
      <c r="H214">
        <v>6</v>
      </c>
      <c r="I214">
        <v>2</v>
      </c>
      <c r="J214">
        <v>4</v>
      </c>
      <c r="K214">
        <v>4</v>
      </c>
      <c r="L214">
        <v>2</v>
      </c>
      <c r="M214">
        <v>3</v>
      </c>
      <c r="N214">
        <v>4</v>
      </c>
      <c r="O214">
        <v>5</v>
      </c>
      <c r="P214">
        <v>2</v>
      </c>
      <c r="Q214">
        <v>2</v>
      </c>
      <c r="R214">
        <v>1</v>
      </c>
      <c r="S214">
        <v>4</v>
      </c>
      <c r="U214">
        <v>4</v>
      </c>
      <c r="V214">
        <v>1</v>
      </c>
      <c r="W214" s="8">
        <f t="shared" si="144"/>
        <v>0.5</v>
      </c>
      <c r="X214" s="8">
        <f t="shared" si="145"/>
        <v>-0.16666666666666666</v>
      </c>
      <c r="Y214" s="8">
        <f t="shared" si="146"/>
        <v>0.2</v>
      </c>
      <c r="Z214" s="8">
        <f t="shared" si="147"/>
        <v>-0.5</v>
      </c>
      <c r="AA214" s="8">
        <f t="shared" si="148"/>
        <v>1.6666666666666667</v>
      </c>
      <c r="AB214" s="8">
        <f t="shared" si="149"/>
        <v>-0.25</v>
      </c>
      <c r="AC214" s="12">
        <f t="shared" si="150"/>
        <v>0.2416666666666667</v>
      </c>
      <c r="AD214" s="12">
        <f t="shared" si="151"/>
        <v>1.6666666666666691E-2</v>
      </c>
      <c r="AE214" s="1">
        <f t="shared" si="152"/>
        <v>2</v>
      </c>
      <c r="AF214" s="1">
        <f t="shared" si="153"/>
        <v>-1</v>
      </c>
      <c r="AG214" s="1">
        <f t="shared" si="154"/>
        <v>1</v>
      </c>
      <c r="AH214" s="1">
        <f t="shared" si="155"/>
        <v>-3</v>
      </c>
      <c r="AI214" s="1">
        <f t="shared" si="156"/>
        <v>5</v>
      </c>
      <c r="AJ214" s="1">
        <f t="shared" si="157"/>
        <v>-2</v>
      </c>
      <c r="AK214" s="17">
        <f t="shared" si="158"/>
        <v>0.33333333333333331</v>
      </c>
      <c r="AL214" s="17">
        <f t="shared" si="159"/>
        <v>0</v>
      </c>
      <c r="AM214" s="1">
        <f t="shared" si="160"/>
        <v>1</v>
      </c>
      <c r="AN214" s="1">
        <f t="shared" si="161"/>
        <v>0</v>
      </c>
      <c r="AO214" s="1">
        <f t="shared" si="162"/>
        <v>-0.5</v>
      </c>
      <c r="AP214" s="1">
        <f t="shared" si="163"/>
        <v>0.5</v>
      </c>
      <c r="AQ214" s="1">
        <f t="shared" si="164"/>
        <v>0.33333333333333331</v>
      </c>
      <c r="AR214" s="1">
        <f t="shared" si="165"/>
        <v>0.25</v>
      </c>
      <c r="AS214" s="12">
        <f t="shared" si="166"/>
        <v>0.2638888888888889</v>
      </c>
      <c r="AT214" s="12">
        <f t="shared" si="167"/>
        <v>0.29166666666666663</v>
      </c>
      <c r="AU214" s="1">
        <f t="shared" si="168"/>
        <v>2</v>
      </c>
      <c r="AV214" s="1">
        <f t="shared" si="169"/>
        <v>0</v>
      </c>
      <c r="AW214" s="1">
        <f t="shared" si="170"/>
        <v>-2</v>
      </c>
      <c r="AX214" s="1">
        <f t="shared" si="171"/>
        <v>1</v>
      </c>
      <c r="AY214" s="1">
        <f t="shared" si="172"/>
        <v>1</v>
      </c>
      <c r="AZ214" s="1">
        <f t="shared" si="173"/>
        <v>1</v>
      </c>
      <c r="BA214" s="19">
        <f t="shared" si="174"/>
        <v>0.5</v>
      </c>
      <c r="BB214" s="19">
        <f t="shared" si="175"/>
        <v>1</v>
      </c>
      <c r="BC214" s="9">
        <f t="shared" si="176"/>
        <v>0</v>
      </c>
      <c r="BD214" s="9">
        <f t="shared" si="177"/>
        <v>-0.5</v>
      </c>
      <c r="BE214" s="9">
        <f t="shared" si="178"/>
        <v>3</v>
      </c>
      <c r="BF214" s="9">
        <f t="shared" si="179"/>
        <v>-1</v>
      </c>
      <c r="BG214" s="9" t="e">
        <f t="shared" si="180"/>
        <v>#DIV/0!</v>
      </c>
      <c r="BH214" s="9">
        <f t="shared" si="181"/>
        <v>-0.75</v>
      </c>
      <c r="BI214" s="12" t="e">
        <f t="shared" si="182"/>
        <v>#DIV/0!</v>
      </c>
      <c r="BJ214" s="13" t="e">
        <f t="shared" si="183"/>
        <v>#DIV/0!</v>
      </c>
      <c r="BK214" s="1">
        <f t="shared" si="184"/>
        <v>0</v>
      </c>
      <c r="BL214" s="1">
        <f t="shared" si="185"/>
        <v>-1</v>
      </c>
      <c r="BM214" s="1">
        <f t="shared" si="186"/>
        <v>3</v>
      </c>
      <c r="BN214" s="1">
        <f t="shared" si="187"/>
        <v>-4</v>
      </c>
      <c r="BO214" s="1">
        <f t="shared" si="188"/>
        <v>4</v>
      </c>
      <c r="BP214" s="1">
        <f t="shared" si="189"/>
        <v>-3</v>
      </c>
      <c r="BQ214" s="19">
        <f t="shared" si="190"/>
        <v>-0.16666666666666666</v>
      </c>
      <c r="BR214" s="17">
        <f t="shared" si="191"/>
        <v>-0.5</v>
      </c>
    </row>
    <row r="215" spans="1:70" x14ac:dyDescent="0.25">
      <c r="A215" t="s">
        <v>409</v>
      </c>
      <c r="B215">
        <v>4</v>
      </c>
      <c r="D215">
        <v>3</v>
      </c>
      <c r="E215">
        <v>8</v>
      </c>
      <c r="F215">
        <v>10</v>
      </c>
      <c r="G215">
        <v>18</v>
      </c>
      <c r="H215">
        <v>6</v>
      </c>
      <c r="I215">
        <v>1</v>
      </c>
      <c r="K215">
        <v>1</v>
      </c>
      <c r="L215">
        <v>5</v>
      </c>
      <c r="M215">
        <v>6</v>
      </c>
      <c r="N215">
        <v>10</v>
      </c>
      <c r="O215">
        <v>4</v>
      </c>
      <c r="P215">
        <v>3</v>
      </c>
      <c r="R215">
        <v>2</v>
      </c>
      <c r="S215">
        <v>3</v>
      </c>
      <c r="T215">
        <v>4</v>
      </c>
      <c r="U215">
        <v>8</v>
      </c>
      <c r="V215">
        <v>2</v>
      </c>
      <c r="W215" s="8">
        <f t="shared" si="144"/>
        <v>-1</v>
      </c>
      <c r="X215" s="8" t="e">
        <f t="shared" si="145"/>
        <v>#DIV/0!</v>
      </c>
      <c r="Y215" s="8">
        <f t="shared" si="146"/>
        <v>1.6666666666666667</v>
      </c>
      <c r="Z215" s="8">
        <f t="shared" si="147"/>
        <v>0.25</v>
      </c>
      <c r="AA215" s="8">
        <f t="shared" si="148"/>
        <v>0.8</v>
      </c>
      <c r="AB215" s="8">
        <f t="shared" si="149"/>
        <v>-0.66666666666666663</v>
      </c>
      <c r="AC215" s="12" t="e">
        <f t="shared" si="150"/>
        <v>#DIV/0!</v>
      </c>
      <c r="AD215" s="12" t="e">
        <f t="shared" si="151"/>
        <v>#DIV/0!</v>
      </c>
      <c r="AE215" s="1">
        <f t="shared" si="152"/>
        <v>-4</v>
      </c>
      <c r="AF215" s="1">
        <f t="shared" si="153"/>
        <v>3</v>
      </c>
      <c r="AG215" s="1">
        <f t="shared" si="154"/>
        <v>5</v>
      </c>
      <c r="AH215" s="1">
        <f t="shared" si="155"/>
        <v>2</v>
      </c>
      <c r="AI215" s="1">
        <f t="shared" si="156"/>
        <v>8</v>
      </c>
      <c r="AJ215" s="1">
        <f t="shared" si="157"/>
        <v>-12</v>
      </c>
      <c r="AK215" s="17">
        <f t="shared" si="158"/>
        <v>0.33333333333333331</v>
      </c>
      <c r="AL215" s="17">
        <f t="shared" si="159"/>
        <v>2.5</v>
      </c>
      <c r="AM215" s="1">
        <f t="shared" si="160"/>
        <v>-1</v>
      </c>
      <c r="AN215" s="1" t="e">
        <f t="shared" si="161"/>
        <v>#DIV/0!</v>
      </c>
      <c r="AO215" s="1">
        <f t="shared" si="162"/>
        <v>4</v>
      </c>
      <c r="AP215" s="1">
        <f t="shared" si="163"/>
        <v>0.2</v>
      </c>
      <c r="AQ215" s="1">
        <f t="shared" si="164"/>
        <v>0.66666666666666663</v>
      </c>
      <c r="AR215" s="1">
        <f t="shared" si="165"/>
        <v>-0.6</v>
      </c>
      <c r="AS215" s="12" t="e">
        <f t="shared" si="166"/>
        <v>#DIV/0!</v>
      </c>
      <c r="AT215" s="12" t="e">
        <f t="shared" si="167"/>
        <v>#DIV/0!</v>
      </c>
      <c r="AU215" s="1">
        <f t="shared" si="168"/>
        <v>-1</v>
      </c>
      <c r="AV215" s="1">
        <f t="shared" si="169"/>
        <v>1</v>
      </c>
      <c r="AW215" s="1">
        <f t="shared" si="170"/>
        <v>4</v>
      </c>
      <c r="AX215" s="1">
        <f t="shared" si="171"/>
        <v>1</v>
      </c>
      <c r="AY215" s="1">
        <f t="shared" si="172"/>
        <v>4</v>
      </c>
      <c r="AZ215" s="1">
        <f t="shared" si="173"/>
        <v>-6</v>
      </c>
      <c r="BA215" s="19">
        <f t="shared" si="174"/>
        <v>0.5</v>
      </c>
      <c r="BB215" s="19">
        <f t="shared" si="175"/>
        <v>1</v>
      </c>
      <c r="BC215" s="9">
        <f t="shared" si="176"/>
        <v>-1</v>
      </c>
      <c r="BD215" s="9" t="e">
        <f t="shared" si="177"/>
        <v>#DIV/0!</v>
      </c>
      <c r="BE215" s="9">
        <f t="shared" si="178"/>
        <v>0.5</v>
      </c>
      <c r="BF215" s="9">
        <f t="shared" si="179"/>
        <v>0.33333333333333331</v>
      </c>
      <c r="BG215" s="9">
        <f t="shared" si="180"/>
        <v>1</v>
      </c>
      <c r="BH215" s="9">
        <f t="shared" si="181"/>
        <v>-0.75</v>
      </c>
      <c r="BI215" s="12" t="e">
        <f t="shared" si="182"/>
        <v>#DIV/0!</v>
      </c>
      <c r="BJ215" s="13" t="e">
        <f t="shared" si="183"/>
        <v>#DIV/0!</v>
      </c>
      <c r="BK215" s="1">
        <f t="shared" si="184"/>
        <v>-3</v>
      </c>
      <c r="BL215" s="1">
        <f t="shared" si="185"/>
        <v>2</v>
      </c>
      <c r="BM215" s="1">
        <f t="shared" si="186"/>
        <v>1</v>
      </c>
      <c r="BN215" s="1">
        <f t="shared" si="187"/>
        <v>1</v>
      </c>
      <c r="BO215" s="1">
        <f t="shared" si="188"/>
        <v>4</v>
      </c>
      <c r="BP215" s="1">
        <f t="shared" si="189"/>
        <v>-6</v>
      </c>
      <c r="BQ215" s="19">
        <f t="shared" si="190"/>
        <v>-0.16666666666666666</v>
      </c>
      <c r="BR215" s="17">
        <f t="shared" si="191"/>
        <v>1</v>
      </c>
    </row>
    <row r="216" spans="1:70" x14ac:dyDescent="0.25">
      <c r="A216" t="s">
        <v>414</v>
      </c>
      <c r="B216">
        <v>4</v>
      </c>
      <c r="C216">
        <v>1</v>
      </c>
      <c r="D216">
        <v>6</v>
      </c>
      <c r="E216">
        <v>3</v>
      </c>
      <c r="F216">
        <v>2</v>
      </c>
      <c r="G216">
        <v>3</v>
      </c>
      <c r="H216">
        <v>6</v>
      </c>
      <c r="I216">
        <v>2</v>
      </c>
      <c r="K216">
        <v>4</v>
      </c>
      <c r="L216">
        <v>1</v>
      </c>
      <c r="M216">
        <v>2</v>
      </c>
      <c r="O216">
        <v>1</v>
      </c>
      <c r="P216">
        <v>2</v>
      </c>
      <c r="Q216">
        <v>1</v>
      </c>
      <c r="R216">
        <v>2</v>
      </c>
      <c r="S216">
        <v>2</v>
      </c>
      <c r="U216">
        <v>3</v>
      </c>
      <c r="V216">
        <v>5</v>
      </c>
      <c r="W216" s="8">
        <f t="shared" si="144"/>
        <v>-0.75</v>
      </c>
      <c r="X216" s="8">
        <f t="shared" si="145"/>
        <v>5</v>
      </c>
      <c r="Y216" s="8">
        <f t="shared" si="146"/>
        <v>-0.5</v>
      </c>
      <c r="Z216" s="8">
        <f t="shared" si="147"/>
        <v>-0.33333333333333331</v>
      </c>
      <c r="AA216" s="8">
        <f t="shared" si="148"/>
        <v>0.5</v>
      </c>
      <c r="AB216" s="8">
        <f t="shared" si="149"/>
        <v>1</v>
      </c>
      <c r="AC216" s="12">
        <f t="shared" si="150"/>
        <v>0.81944444444444431</v>
      </c>
      <c r="AD216" s="12">
        <f t="shared" si="151"/>
        <v>8.3333333333333315E-2</v>
      </c>
      <c r="AE216" s="1">
        <f t="shared" si="152"/>
        <v>-3</v>
      </c>
      <c r="AF216" s="1">
        <f t="shared" si="153"/>
        <v>5</v>
      </c>
      <c r="AG216" s="1">
        <f t="shared" si="154"/>
        <v>-3</v>
      </c>
      <c r="AH216" s="1">
        <f t="shared" si="155"/>
        <v>-1</v>
      </c>
      <c r="AI216" s="1">
        <f t="shared" si="156"/>
        <v>1</v>
      </c>
      <c r="AJ216" s="1">
        <f t="shared" si="157"/>
        <v>3</v>
      </c>
      <c r="AK216" s="17">
        <f t="shared" si="158"/>
        <v>0.33333333333333331</v>
      </c>
      <c r="AL216" s="17">
        <f t="shared" si="159"/>
        <v>0</v>
      </c>
      <c r="AM216" s="1">
        <f t="shared" si="160"/>
        <v>-1</v>
      </c>
      <c r="AN216" s="1" t="e">
        <f t="shared" si="161"/>
        <v>#DIV/0!</v>
      </c>
      <c r="AO216" s="1">
        <f t="shared" si="162"/>
        <v>-0.75</v>
      </c>
      <c r="AP216" s="1">
        <f t="shared" si="163"/>
        <v>1</v>
      </c>
      <c r="AQ216" s="1">
        <f t="shared" si="164"/>
        <v>-1</v>
      </c>
      <c r="AR216" s="1" t="e">
        <f t="shared" si="165"/>
        <v>#DIV/0!</v>
      </c>
      <c r="AS216" s="12" t="e">
        <f t="shared" si="166"/>
        <v>#DIV/0!</v>
      </c>
      <c r="AT216" s="12" t="e">
        <f t="shared" si="167"/>
        <v>#DIV/0!</v>
      </c>
      <c r="AU216" s="1">
        <f t="shared" si="168"/>
        <v>-2</v>
      </c>
      <c r="AV216" s="1">
        <f t="shared" si="169"/>
        <v>4</v>
      </c>
      <c r="AW216" s="1">
        <f t="shared" si="170"/>
        <v>-3</v>
      </c>
      <c r="AX216" s="1">
        <f t="shared" si="171"/>
        <v>1</v>
      </c>
      <c r="AY216" s="1">
        <f t="shared" si="172"/>
        <v>-2</v>
      </c>
      <c r="AZ216" s="1">
        <f t="shared" si="173"/>
        <v>1</v>
      </c>
      <c r="BA216" s="19">
        <f t="shared" si="174"/>
        <v>-0.16666666666666666</v>
      </c>
      <c r="BB216" s="19">
        <f t="shared" si="175"/>
        <v>-0.5</v>
      </c>
      <c r="BC216" s="9">
        <f t="shared" si="176"/>
        <v>-0.5</v>
      </c>
      <c r="BD216" s="9">
        <f t="shared" si="177"/>
        <v>1</v>
      </c>
      <c r="BE216" s="9">
        <f t="shared" si="178"/>
        <v>0</v>
      </c>
      <c r="BF216" s="9">
        <f t="shared" si="179"/>
        <v>-1</v>
      </c>
      <c r="BG216" s="9" t="e">
        <f t="shared" si="180"/>
        <v>#DIV/0!</v>
      </c>
      <c r="BH216" s="9">
        <f t="shared" si="181"/>
        <v>0.66666666666666663</v>
      </c>
      <c r="BI216" s="12" t="e">
        <f t="shared" si="182"/>
        <v>#DIV/0!</v>
      </c>
      <c r="BJ216" s="13" t="e">
        <f t="shared" si="183"/>
        <v>#DIV/0!</v>
      </c>
      <c r="BK216" s="1">
        <f t="shared" si="184"/>
        <v>-1</v>
      </c>
      <c r="BL216" s="1">
        <f t="shared" si="185"/>
        <v>1</v>
      </c>
      <c r="BM216" s="1">
        <f t="shared" si="186"/>
        <v>0</v>
      </c>
      <c r="BN216" s="1">
        <f t="shared" si="187"/>
        <v>-2</v>
      </c>
      <c r="BO216" s="1">
        <f t="shared" si="188"/>
        <v>3</v>
      </c>
      <c r="BP216" s="1">
        <f t="shared" si="189"/>
        <v>2</v>
      </c>
      <c r="BQ216" s="19">
        <f t="shared" si="190"/>
        <v>0.5</v>
      </c>
      <c r="BR216" s="17">
        <f t="shared" si="191"/>
        <v>0.5</v>
      </c>
    </row>
    <row r="217" spans="1:70" x14ac:dyDescent="0.25">
      <c r="A217" t="s">
        <v>415</v>
      </c>
      <c r="B217">
        <v>4</v>
      </c>
      <c r="C217">
        <v>6</v>
      </c>
      <c r="D217">
        <v>10</v>
      </c>
      <c r="E217">
        <v>3</v>
      </c>
      <c r="F217">
        <v>6</v>
      </c>
      <c r="G217">
        <v>9</v>
      </c>
      <c r="H217">
        <v>6</v>
      </c>
      <c r="I217">
        <v>1</v>
      </c>
      <c r="J217">
        <v>2</v>
      </c>
      <c r="K217">
        <v>7</v>
      </c>
      <c r="L217">
        <v>2</v>
      </c>
      <c r="M217">
        <v>2</v>
      </c>
      <c r="N217">
        <v>3</v>
      </c>
      <c r="O217">
        <v>5</v>
      </c>
      <c r="P217">
        <v>3</v>
      </c>
      <c r="Q217">
        <v>4</v>
      </c>
      <c r="R217">
        <v>3</v>
      </c>
      <c r="S217">
        <v>1</v>
      </c>
      <c r="T217">
        <v>4</v>
      </c>
      <c r="U217">
        <v>6</v>
      </c>
      <c r="V217">
        <v>1</v>
      </c>
      <c r="W217" s="8">
        <f t="shared" si="144"/>
        <v>0.5</v>
      </c>
      <c r="X217" s="8">
        <f t="shared" si="145"/>
        <v>0.66666666666666663</v>
      </c>
      <c r="Y217" s="8">
        <f t="shared" si="146"/>
        <v>-0.7</v>
      </c>
      <c r="Z217" s="8">
        <f t="shared" si="147"/>
        <v>1</v>
      </c>
      <c r="AA217" s="8">
        <f t="shared" si="148"/>
        <v>0.5</v>
      </c>
      <c r="AB217" s="8">
        <f t="shared" si="149"/>
        <v>-0.33333333333333331</v>
      </c>
      <c r="AC217" s="12">
        <f t="shared" si="150"/>
        <v>0.2722222222222222</v>
      </c>
      <c r="AD217" s="12">
        <f t="shared" si="151"/>
        <v>0.5</v>
      </c>
      <c r="AE217" s="1">
        <f t="shared" si="152"/>
        <v>2</v>
      </c>
      <c r="AF217" s="1">
        <f t="shared" si="153"/>
        <v>4</v>
      </c>
      <c r="AG217" s="1">
        <f t="shared" si="154"/>
        <v>-7</v>
      </c>
      <c r="AH217" s="1">
        <f t="shared" si="155"/>
        <v>3</v>
      </c>
      <c r="AI217" s="1">
        <f t="shared" si="156"/>
        <v>3</v>
      </c>
      <c r="AJ217" s="1">
        <f t="shared" si="157"/>
        <v>-3</v>
      </c>
      <c r="AK217" s="17">
        <f t="shared" si="158"/>
        <v>0.33333333333333331</v>
      </c>
      <c r="AL217" s="17">
        <f t="shared" si="159"/>
        <v>2.5</v>
      </c>
      <c r="AM217" s="1">
        <f t="shared" si="160"/>
        <v>1</v>
      </c>
      <c r="AN217" s="1">
        <f t="shared" si="161"/>
        <v>2.5</v>
      </c>
      <c r="AO217" s="1">
        <f t="shared" si="162"/>
        <v>-0.7142857142857143</v>
      </c>
      <c r="AP217" s="1">
        <f t="shared" si="163"/>
        <v>0</v>
      </c>
      <c r="AQ217" s="1">
        <f t="shared" si="164"/>
        <v>0.5</v>
      </c>
      <c r="AR217" s="1">
        <f t="shared" si="165"/>
        <v>0.66666666666666663</v>
      </c>
      <c r="AS217" s="12">
        <f t="shared" si="166"/>
        <v>0.65873015873015872</v>
      </c>
      <c r="AT217" s="12">
        <f t="shared" si="167"/>
        <v>0.58333333333333326</v>
      </c>
      <c r="AU217" s="1">
        <f t="shared" si="168"/>
        <v>1</v>
      </c>
      <c r="AV217" s="1">
        <f t="shared" si="169"/>
        <v>5</v>
      </c>
      <c r="AW217" s="1">
        <f t="shared" si="170"/>
        <v>-5</v>
      </c>
      <c r="AX217" s="1">
        <f t="shared" si="171"/>
        <v>0</v>
      </c>
      <c r="AY217" s="1">
        <f t="shared" si="172"/>
        <v>1</v>
      </c>
      <c r="AZ217" s="1">
        <f t="shared" si="173"/>
        <v>2</v>
      </c>
      <c r="BA217" s="19">
        <f t="shared" si="174"/>
        <v>0.66666666666666663</v>
      </c>
      <c r="BB217" s="19">
        <f t="shared" si="175"/>
        <v>1</v>
      </c>
      <c r="BC217" s="9">
        <f t="shared" si="176"/>
        <v>0.33333333333333331</v>
      </c>
      <c r="BD217" s="9">
        <f t="shared" si="177"/>
        <v>-0.25</v>
      </c>
      <c r="BE217" s="9">
        <f t="shared" si="178"/>
        <v>-0.66666666666666663</v>
      </c>
      <c r="BF217" s="9">
        <f t="shared" si="179"/>
        <v>3</v>
      </c>
      <c r="BG217" s="9">
        <f t="shared" si="180"/>
        <v>0.5</v>
      </c>
      <c r="BH217" s="9">
        <f t="shared" si="181"/>
        <v>-0.83333333333333337</v>
      </c>
      <c r="BI217" s="12">
        <f t="shared" si="182"/>
        <v>0.34722222222222227</v>
      </c>
      <c r="BJ217" s="13">
        <f t="shared" si="183"/>
        <v>4.166666666666663E-2</v>
      </c>
      <c r="BK217" s="1">
        <f t="shared" si="184"/>
        <v>1</v>
      </c>
      <c r="BL217" s="1">
        <f t="shared" si="185"/>
        <v>-1</v>
      </c>
      <c r="BM217" s="1">
        <f t="shared" si="186"/>
        <v>-2</v>
      </c>
      <c r="BN217" s="1">
        <f t="shared" si="187"/>
        <v>3</v>
      </c>
      <c r="BO217" s="1">
        <f t="shared" si="188"/>
        <v>2</v>
      </c>
      <c r="BP217" s="1">
        <f t="shared" si="189"/>
        <v>-5</v>
      </c>
      <c r="BQ217" s="19">
        <f t="shared" si="190"/>
        <v>-0.33333333333333331</v>
      </c>
      <c r="BR217" s="17">
        <f t="shared" si="191"/>
        <v>0</v>
      </c>
    </row>
    <row r="218" spans="1:70" x14ac:dyDescent="0.25">
      <c r="A218" t="s">
        <v>417</v>
      </c>
      <c r="B218">
        <v>3</v>
      </c>
      <c r="C218">
        <v>6</v>
      </c>
      <c r="D218">
        <v>11</v>
      </c>
      <c r="E218">
        <v>3</v>
      </c>
      <c r="F218">
        <v>5</v>
      </c>
      <c r="G218">
        <v>2</v>
      </c>
      <c r="H218">
        <v>5</v>
      </c>
      <c r="I218">
        <v>2</v>
      </c>
      <c r="J218">
        <v>3</v>
      </c>
      <c r="K218">
        <v>6</v>
      </c>
      <c r="L218">
        <v>3</v>
      </c>
      <c r="M218">
        <v>1</v>
      </c>
      <c r="N218">
        <v>2</v>
      </c>
      <c r="O218">
        <v>4</v>
      </c>
      <c r="P218">
        <v>1</v>
      </c>
      <c r="Q218">
        <v>3</v>
      </c>
      <c r="R218">
        <v>5</v>
      </c>
      <c r="T218">
        <v>4</v>
      </c>
      <c r="V218">
        <v>1</v>
      </c>
      <c r="W218" s="8">
        <f t="shared" si="144"/>
        <v>1</v>
      </c>
      <c r="X218" s="8">
        <f t="shared" si="145"/>
        <v>0.83333333333333337</v>
      </c>
      <c r="Y218" s="8">
        <f t="shared" si="146"/>
        <v>-0.72727272727272729</v>
      </c>
      <c r="Z218" s="8">
        <f t="shared" si="147"/>
        <v>0.66666666666666663</v>
      </c>
      <c r="AA218" s="8">
        <f t="shared" si="148"/>
        <v>-0.6</v>
      </c>
      <c r="AB218" s="8">
        <f t="shared" si="149"/>
        <v>1.5</v>
      </c>
      <c r="AC218" s="12">
        <f t="shared" si="150"/>
        <v>0.44545454545454549</v>
      </c>
      <c r="AD218" s="12">
        <f t="shared" si="151"/>
        <v>0.75</v>
      </c>
      <c r="AE218" s="1">
        <f t="shared" si="152"/>
        <v>3</v>
      </c>
      <c r="AF218" s="1">
        <f t="shared" si="153"/>
        <v>5</v>
      </c>
      <c r="AG218" s="1">
        <f t="shared" si="154"/>
        <v>-8</v>
      </c>
      <c r="AH218" s="1">
        <f t="shared" si="155"/>
        <v>2</v>
      </c>
      <c r="AI218" s="1">
        <f t="shared" si="156"/>
        <v>-3</v>
      </c>
      <c r="AJ218" s="1">
        <f t="shared" si="157"/>
        <v>3</v>
      </c>
      <c r="AK218" s="17">
        <f t="shared" si="158"/>
        <v>0.33333333333333331</v>
      </c>
      <c r="AL218" s="17">
        <f t="shared" si="159"/>
        <v>2.5</v>
      </c>
      <c r="AM218" s="1">
        <f t="shared" si="160"/>
        <v>0.5</v>
      </c>
      <c r="AN218" s="1">
        <f t="shared" si="161"/>
        <v>1</v>
      </c>
      <c r="AO218" s="1">
        <f t="shared" si="162"/>
        <v>-0.5</v>
      </c>
      <c r="AP218" s="1">
        <f t="shared" si="163"/>
        <v>-0.66666666666666663</v>
      </c>
      <c r="AQ218" s="1">
        <f t="shared" si="164"/>
        <v>1</v>
      </c>
      <c r="AR218" s="1">
        <f t="shared" si="165"/>
        <v>1</v>
      </c>
      <c r="AS218" s="12">
        <f t="shared" si="166"/>
        <v>0.3888888888888889</v>
      </c>
      <c r="AT218" s="12">
        <f t="shared" si="167"/>
        <v>0.75</v>
      </c>
      <c r="AU218" s="1">
        <f t="shared" si="168"/>
        <v>1</v>
      </c>
      <c r="AV218" s="1">
        <f t="shared" si="169"/>
        <v>3</v>
      </c>
      <c r="AW218" s="1">
        <f t="shared" si="170"/>
        <v>-3</v>
      </c>
      <c r="AX218" s="1">
        <f t="shared" si="171"/>
        <v>-2</v>
      </c>
      <c r="AY218" s="1">
        <f t="shared" si="172"/>
        <v>1</v>
      </c>
      <c r="AZ218" s="1">
        <f t="shared" si="173"/>
        <v>2</v>
      </c>
      <c r="BA218" s="19">
        <f t="shared" si="174"/>
        <v>0.33333333333333331</v>
      </c>
      <c r="BB218" s="19">
        <f t="shared" si="175"/>
        <v>1</v>
      </c>
      <c r="BC218" s="9">
        <f t="shared" si="176"/>
        <v>2</v>
      </c>
      <c r="BD218" s="9">
        <f t="shared" si="177"/>
        <v>0.66666666666666663</v>
      </c>
      <c r="BE218" s="9">
        <f t="shared" si="178"/>
        <v>-1</v>
      </c>
      <c r="BF218" s="9" t="e">
        <f t="shared" si="179"/>
        <v>#DIV/0!</v>
      </c>
      <c r="BG218" s="9">
        <f t="shared" si="180"/>
        <v>-1</v>
      </c>
      <c r="BH218" s="9" t="e">
        <f t="shared" si="181"/>
        <v>#DIV/0!</v>
      </c>
      <c r="BI218" s="12" t="e">
        <f t="shared" si="182"/>
        <v>#DIV/0!</v>
      </c>
      <c r="BJ218" s="13" t="e">
        <f t="shared" si="183"/>
        <v>#DIV/0!</v>
      </c>
      <c r="BK218" s="1">
        <f t="shared" si="184"/>
        <v>2</v>
      </c>
      <c r="BL218" s="1">
        <f t="shared" si="185"/>
        <v>2</v>
      </c>
      <c r="BM218" s="1">
        <f t="shared" si="186"/>
        <v>-5</v>
      </c>
      <c r="BN218" s="1">
        <f t="shared" si="187"/>
        <v>4</v>
      </c>
      <c r="BO218" s="1">
        <f t="shared" si="188"/>
        <v>-4</v>
      </c>
      <c r="BP218" s="1">
        <f t="shared" si="189"/>
        <v>1</v>
      </c>
      <c r="BQ218" s="19">
        <f t="shared" si="190"/>
        <v>0</v>
      </c>
      <c r="BR218" s="17">
        <f t="shared" si="191"/>
        <v>1.5</v>
      </c>
    </row>
    <row r="219" spans="1:70" x14ac:dyDescent="0.25">
      <c r="A219" t="s">
        <v>437</v>
      </c>
      <c r="B219">
        <v>3</v>
      </c>
      <c r="C219">
        <v>7</v>
      </c>
      <c r="D219">
        <v>6</v>
      </c>
      <c r="E219">
        <v>11</v>
      </c>
      <c r="F219">
        <v>12</v>
      </c>
      <c r="G219">
        <v>8</v>
      </c>
      <c r="H219">
        <v>5</v>
      </c>
      <c r="I219">
        <v>3</v>
      </c>
      <c r="J219">
        <v>3</v>
      </c>
      <c r="K219">
        <v>4</v>
      </c>
      <c r="L219">
        <v>4</v>
      </c>
      <c r="M219">
        <v>5</v>
      </c>
      <c r="N219">
        <v>6</v>
      </c>
      <c r="O219">
        <v>5</v>
      </c>
      <c r="Q219">
        <v>4</v>
      </c>
      <c r="R219">
        <v>2</v>
      </c>
      <c r="S219">
        <v>7</v>
      </c>
      <c r="T219">
        <v>7</v>
      </c>
      <c r="U219">
        <v>2</v>
      </c>
      <c r="W219" s="8">
        <f t="shared" si="144"/>
        <v>1.3333333333333333</v>
      </c>
      <c r="X219" s="8">
        <f t="shared" si="145"/>
        <v>-0.14285714285714285</v>
      </c>
      <c r="Y219" s="8">
        <f t="shared" si="146"/>
        <v>0.83333333333333337</v>
      </c>
      <c r="Z219" s="8">
        <f t="shared" si="147"/>
        <v>9.0909090909090912E-2</v>
      </c>
      <c r="AA219" s="8">
        <f t="shared" si="148"/>
        <v>-0.33333333333333331</v>
      </c>
      <c r="AB219" s="8">
        <f t="shared" si="149"/>
        <v>-0.375</v>
      </c>
      <c r="AC219" s="12">
        <f t="shared" si="150"/>
        <v>0.23439754689754688</v>
      </c>
      <c r="AD219" s="12">
        <f t="shared" si="151"/>
        <v>-2.5974025974025969E-2</v>
      </c>
      <c r="AE219" s="1">
        <f t="shared" si="152"/>
        <v>4</v>
      </c>
      <c r="AF219" s="1">
        <f t="shared" si="153"/>
        <v>-1</v>
      </c>
      <c r="AG219" s="1">
        <f t="shared" si="154"/>
        <v>5</v>
      </c>
      <c r="AH219" s="1">
        <f t="shared" si="155"/>
        <v>1</v>
      </c>
      <c r="AI219" s="1">
        <f t="shared" si="156"/>
        <v>-4</v>
      </c>
      <c r="AJ219" s="1">
        <f t="shared" si="157"/>
        <v>-3</v>
      </c>
      <c r="AK219" s="17">
        <f t="shared" si="158"/>
        <v>0.33333333333333331</v>
      </c>
      <c r="AL219" s="17">
        <f t="shared" si="159"/>
        <v>0</v>
      </c>
      <c r="AM219" s="1">
        <f t="shared" si="160"/>
        <v>0</v>
      </c>
      <c r="AN219" s="1">
        <f t="shared" si="161"/>
        <v>0.33333333333333331</v>
      </c>
      <c r="AO219" s="1">
        <f t="shared" si="162"/>
        <v>0</v>
      </c>
      <c r="AP219" s="1">
        <f t="shared" si="163"/>
        <v>0.25</v>
      </c>
      <c r="AQ219" s="1">
        <f t="shared" si="164"/>
        <v>0.2</v>
      </c>
      <c r="AR219" s="1">
        <f t="shared" si="165"/>
        <v>-0.16666666666666666</v>
      </c>
      <c r="AS219" s="12">
        <f t="shared" si="166"/>
        <v>0.10277777777777776</v>
      </c>
      <c r="AT219" s="12">
        <f t="shared" si="167"/>
        <v>0.1</v>
      </c>
      <c r="AU219" s="1">
        <f t="shared" si="168"/>
        <v>0</v>
      </c>
      <c r="AV219" s="1">
        <f t="shared" si="169"/>
        <v>1</v>
      </c>
      <c r="AW219" s="1">
        <f t="shared" si="170"/>
        <v>0</v>
      </c>
      <c r="AX219" s="1">
        <f t="shared" si="171"/>
        <v>1</v>
      </c>
      <c r="AY219" s="1">
        <f t="shared" si="172"/>
        <v>1</v>
      </c>
      <c r="AZ219" s="1">
        <f t="shared" si="173"/>
        <v>-1</v>
      </c>
      <c r="BA219" s="19">
        <f t="shared" si="174"/>
        <v>0.33333333333333331</v>
      </c>
      <c r="BB219" s="19">
        <f t="shared" si="175"/>
        <v>0.5</v>
      </c>
      <c r="BC219" s="9" t="e">
        <f t="shared" si="176"/>
        <v>#DIV/0!</v>
      </c>
      <c r="BD219" s="9">
        <f t="shared" si="177"/>
        <v>-0.5</v>
      </c>
      <c r="BE219" s="9">
        <f t="shared" si="178"/>
        <v>2.5</v>
      </c>
      <c r="BF219" s="9">
        <f t="shared" si="179"/>
        <v>0</v>
      </c>
      <c r="BG219" s="9">
        <f t="shared" si="180"/>
        <v>-0.7142857142857143</v>
      </c>
      <c r="BH219" s="9">
        <f t="shared" si="181"/>
        <v>-1</v>
      </c>
      <c r="BI219" s="12" t="e">
        <f t="shared" si="182"/>
        <v>#DIV/0!</v>
      </c>
      <c r="BJ219" s="13" t="e">
        <f t="shared" si="183"/>
        <v>#DIV/0!</v>
      </c>
      <c r="BK219" s="1">
        <f t="shared" si="184"/>
        <v>4</v>
      </c>
      <c r="BL219" s="1">
        <f t="shared" si="185"/>
        <v>-2</v>
      </c>
      <c r="BM219" s="1">
        <f t="shared" si="186"/>
        <v>5</v>
      </c>
      <c r="BN219" s="1">
        <f t="shared" si="187"/>
        <v>0</v>
      </c>
      <c r="BO219" s="1">
        <f t="shared" si="188"/>
        <v>-5</v>
      </c>
      <c r="BP219" s="1">
        <f t="shared" si="189"/>
        <v>-2</v>
      </c>
      <c r="BQ219" s="19">
        <f t="shared" si="190"/>
        <v>0</v>
      </c>
      <c r="BR219" s="17">
        <f t="shared" si="191"/>
        <v>-1</v>
      </c>
    </row>
    <row r="220" spans="1:70" x14ac:dyDescent="0.25">
      <c r="A220" t="s">
        <v>469</v>
      </c>
      <c r="B220">
        <v>2</v>
      </c>
      <c r="C220">
        <v>1</v>
      </c>
      <c r="E220">
        <v>5</v>
      </c>
      <c r="F220">
        <v>4</v>
      </c>
      <c r="G220">
        <v>1</v>
      </c>
      <c r="H220">
        <v>4</v>
      </c>
      <c r="I220">
        <v>1</v>
      </c>
      <c r="J220">
        <v>1</v>
      </c>
      <c r="L220">
        <v>3</v>
      </c>
      <c r="O220">
        <v>2</v>
      </c>
      <c r="P220">
        <v>1</v>
      </c>
      <c r="S220">
        <v>2</v>
      </c>
      <c r="T220">
        <v>4</v>
      </c>
      <c r="U220">
        <v>1</v>
      </c>
      <c r="V220">
        <v>2</v>
      </c>
      <c r="W220" s="8">
        <f t="shared" si="144"/>
        <v>-0.5</v>
      </c>
      <c r="X220" s="8">
        <f t="shared" si="145"/>
        <v>-1</v>
      </c>
      <c r="Y220" s="8" t="e">
        <f t="shared" si="146"/>
        <v>#DIV/0!</v>
      </c>
      <c r="Z220" s="8">
        <f t="shared" si="147"/>
        <v>-0.2</v>
      </c>
      <c r="AA220" s="8">
        <f t="shared" si="148"/>
        <v>-0.75</v>
      </c>
      <c r="AB220" s="8">
        <f t="shared" si="149"/>
        <v>3</v>
      </c>
      <c r="AC220" s="12" t="e">
        <f t="shared" si="150"/>
        <v>#DIV/0!</v>
      </c>
      <c r="AD220" s="12" t="e">
        <f t="shared" si="151"/>
        <v>#DIV/0!</v>
      </c>
      <c r="AE220" s="1">
        <f t="shared" si="152"/>
        <v>-1</v>
      </c>
      <c r="AF220" s="1">
        <f t="shared" si="153"/>
        <v>-1</v>
      </c>
      <c r="AG220" s="1">
        <f t="shared" si="154"/>
        <v>5</v>
      </c>
      <c r="AH220" s="1">
        <f t="shared" si="155"/>
        <v>-1</v>
      </c>
      <c r="AI220" s="1">
        <f t="shared" si="156"/>
        <v>-3</v>
      </c>
      <c r="AJ220" s="1">
        <f t="shared" si="157"/>
        <v>3</v>
      </c>
      <c r="AK220" s="17">
        <f t="shared" si="158"/>
        <v>0.33333333333333331</v>
      </c>
      <c r="AL220" s="17">
        <f t="shared" si="159"/>
        <v>-1</v>
      </c>
      <c r="AM220" s="1">
        <f t="shared" si="160"/>
        <v>0</v>
      </c>
      <c r="AN220" s="1">
        <f t="shared" si="161"/>
        <v>-1</v>
      </c>
      <c r="AO220" s="1" t="e">
        <f t="shared" si="162"/>
        <v>#DIV/0!</v>
      </c>
      <c r="AP220" s="1">
        <f t="shared" si="163"/>
        <v>-1</v>
      </c>
      <c r="AQ220" s="1" t="e">
        <f t="shared" si="164"/>
        <v>#DIV/0!</v>
      </c>
      <c r="AR220" s="1" t="e">
        <f t="shared" si="165"/>
        <v>#DIV/0!</v>
      </c>
      <c r="AS220" s="12" t="e">
        <f t="shared" si="166"/>
        <v>#DIV/0!</v>
      </c>
      <c r="AT220" s="12" t="e">
        <f t="shared" si="167"/>
        <v>#DIV/0!</v>
      </c>
      <c r="AU220" s="1">
        <f t="shared" si="168"/>
        <v>0</v>
      </c>
      <c r="AV220" s="1">
        <f t="shared" si="169"/>
        <v>-1</v>
      </c>
      <c r="AW220" s="1">
        <f t="shared" si="170"/>
        <v>3</v>
      </c>
      <c r="AX220" s="1">
        <f t="shared" si="171"/>
        <v>-3</v>
      </c>
      <c r="AY220" s="1">
        <f t="shared" si="172"/>
        <v>0</v>
      </c>
      <c r="AZ220" s="1">
        <f t="shared" si="173"/>
        <v>2</v>
      </c>
      <c r="BA220" s="19">
        <f t="shared" si="174"/>
        <v>0.16666666666666666</v>
      </c>
      <c r="BB220" s="19">
        <f t="shared" si="175"/>
        <v>0</v>
      </c>
      <c r="BC220" s="9">
        <f t="shared" si="176"/>
        <v>-1</v>
      </c>
      <c r="BD220" s="9" t="e">
        <f t="shared" si="177"/>
        <v>#DIV/0!</v>
      </c>
      <c r="BE220" s="9" t="e">
        <f t="shared" si="178"/>
        <v>#DIV/0!</v>
      </c>
      <c r="BF220" s="9">
        <f t="shared" si="179"/>
        <v>1</v>
      </c>
      <c r="BG220" s="9">
        <f t="shared" si="180"/>
        <v>-0.75</v>
      </c>
      <c r="BH220" s="9">
        <f t="shared" si="181"/>
        <v>1</v>
      </c>
      <c r="BI220" s="12" t="e">
        <f t="shared" si="182"/>
        <v>#DIV/0!</v>
      </c>
      <c r="BJ220" s="13" t="e">
        <f t="shared" si="183"/>
        <v>#DIV/0!</v>
      </c>
      <c r="BK220" s="1">
        <f t="shared" si="184"/>
        <v>-1</v>
      </c>
      <c r="BL220" s="1">
        <f t="shared" si="185"/>
        <v>0</v>
      </c>
      <c r="BM220" s="1">
        <f t="shared" si="186"/>
        <v>2</v>
      </c>
      <c r="BN220" s="1">
        <f t="shared" si="187"/>
        <v>2</v>
      </c>
      <c r="BO220" s="1">
        <f t="shared" si="188"/>
        <v>-3</v>
      </c>
      <c r="BP220" s="1">
        <f t="shared" si="189"/>
        <v>1</v>
      </c>
      <c r="BQ220" s="19">
        <f t="shared" si="190"/>
        <v>0.16666666666666666</v>
      </c>
      <c r="BR220" s="17">
        <f t="shared" si="191"/>
        <v>0.5</v>
      </c>
    </row>
    <row r="221" spans="1:70" x14ac:dyDescent="0.25">
      <c r="A221" t="s">
        <v>473</v>
      </c>
      <c r="B221">
        <v>2</v>
      </c>
      <c r="C221">
        <v>1</v>
      </c>
      <c r="D221">
        <v>3</v>
      </c>
      <c r="F221">
        <v>2</v>
      </c>
      <c r="H221">
        <v>4</v>
      </c>
      <c r="J221">
        <v>1</v>
      </c>
      <c r="K221">
        <v>1</v>
      </c>
      <c r="M221">
        <v>1</v>
      </c>
      <c r="O221">
        <v>2</v>
      </c>
      <c r="P221">
        <v>2</v>
      </c>
      <c r="R221">
        <v>2</v>
      </c>
      <c r="T221">
        <v>1</v>
      </c>
      <c r="V221">
        <v>2</v>
      </c>
      <c r="W221" s="8">
        <f t="shared" si="144"/>
        <v>-0.5</v>
      </c>
      <c r="X221" s="8">
        <f t="shared" si="145"/>
        <v>2</v>
      </c>
      <c r="Y221" s="8">
        <f t="shared" si="146"/>
        <v>-1</v>
      </c>
      <c r="Z221" s="8" t="e">
        <f t="shared" si="147"/>
        <v>#DIV/0!</v>
      </c>
      <c r="AA221" s="8">
        <f t="shared" si="148"/>
        <v>-1</v>
      </c>
      <c r="AB221" s="8" t="e">
        <f t="shared" si="149"/>
        <v>#DIV/0!</v>
      </c>
      <c r="AC221" s="12" t="e">
        <f t="shared" si="150"/>
        <v>#DIV/0!</v>
      </c>
      <c r="AD221" s="12" t="e">
        <f t="shared" si="151"/>
        <v>#DIV/0!</v>
      </c>
      <c r="AE221" s="1">
        <f t="shared" si="152"/>
        <v>-1</v>
      </c>
      <c r="AF221" s="1">
        <f t="shared" si="153"/>
        <v>2</v>
      </c>
      <c r="AG221" s="1">
        <f t="shared" si="154"/>
        <v>-3</v>
      </c>
      <c r="AH221" s="1">
        <f t="shared" si="155"/>
        <v>2</v>
      </c>
      <c r="AI221" s="1">
        <f t="shared" si="156"/>
        <v>-2</v>
      </c>
      <c r="AJ221" s="1">
        <f t="shared" si="157"/>
        <v>4</v>
      </c>
      <c r="AK221" s="17">
        <f t="shared" si="158"/>
        <v>0.33333333333333331</v>
      </c>
      <c r="AL221" s="17">
        <f t="shared" si="159"/>
        <v>0.5</v>
      </c>
      <c r="AM221" s="1" t="e">
        <f t="shared" si="160"/>
        <v>#DIV/0!</v>
      </c>
      <c r="AN221" s="1">
        <f t="shared" si="161"/>
        <v>0</v>
      </c>
      <c r="AO221" s="1">
        <f t="shared" si="162"/>
        <v>-1</v>
      </c>
      <c r="AP221" s="1" t="e">
        <f t="shared" si="163"/>
        <v>#DIV/0!</v>
      </c>
      <c r="AQ221" s="1">
        <f t="shared" si="164"/>
        <v>-1</v>
      </c>
      <c r="AR221" s="1" t="e">
        <f t="shared" si="165"/>
        <v>#DIV/0!</v>
      </c>
      <c r="AS221" s="12" t="e">
        <f t="shared" si="166"/>
        <v>#DIV/0!</v>
      </c>
      <c r="AT221" s="12" t="e">
        <f t="shared" si="167"/>
        <v>#DIV/0!</v>
      </c>
      <c r="AU221" s="1">
        <f t="shared" si="168"/>
        <v>1</v>
      </c>
      <c r="AV221" s="1">
        <f t="shared" si="169"/>
        <v>0</v>
      </c>
      <c r="AW221" s="1">
        <f t="shared" si="170"/>
        <v>-1</v>
      </c>
      <c r="AX221" s="1">
        <f t="shared" si="171"/>
        <v>1</v>
      </c>
      <c r="AY221" s="1">
        <f t="shared" si="172"/>
        <v>-1</v>
      </c>
      <c r="AZ221" s="1">
        <f t="shared" si="173"/>
        <v>2</v>
      </c>
      <c r="BA221" s="19">
        <f t="shared" si="174"/>
        <v>0.33333333333333331</v>
      </c>
      <c r="BB221" s="19">
        <f t="shared" si="175"/>
        <v>0.5</v>
      </c>
      <c r="BC221" s="9">
        <f t="shared" si="176"/>
        <v>-1</v>
      </c>
      <c r="BD221" s="9" t="e">
        <f t="shared" si="177"/>
        <v>#DIV/0!</v>
      </c>
      <c r="BE221" s="9">
        <f t="shared" si="178"/>
        <v>-1</v>
      </c>
      <c r="BF221" s="9" t="e">
        <f t="shared" si="179"/>
        <v>#DIV/0!</v>
      </c>
      <c r="BG221" s="9">
        <f t="shared" si="180"/>
        <v>-1</v>
      </c>
      <c r="BH221" s="9" t="e">
        <f t="shared" si="181"/>
        <v>#DIV/0!</v>
      </c>
      <c r="BI221" s="12" t="e">
        <f t="shared" si="182"/>
        <v>#DIV/0!</v>
      </c>
      <c r="BJ221" s="13" t="e">
        <f t="shared" si="183"/>
        <v>#DIV/0!</v>
      </c>
      <c r="BK221" s="1">
        <f t="shared" si="184"/>
        <v>-2</v>
      </c>
      <c r="BL221" s="1">
        <f t="shared" si="185"/>
        <v>2</v>
      </c>
      <c r="BM221" s="1">
        <f t="shared" si="186"/>
        <v>-2</v>
      </c>
      <c r="BN221" s="1">
        <f t="shared" si="187"/>
        <v>1</v>
      </c>
      <c r="BO221" s="1">
        <f t="shared" si="188"/>
        <v>-1</v>
      </c>
      <c r="BP221" s="1">
        <f t="shared" si="189"/>
        <v>2</v>
      </c>
      <c r="BQ221" s="19">
        <f t="shared" si="190"/>
        <v>0</v>
      </c>
      <c r="BR221" s="17">
        <f t="shared" si="191"/>
        <v>0</v>
      </c>
    </row>
    <row r="222" spans="1:70" x14ac:dyDescent="0.25">
      <c r="A222" t="s">
        <v>486</v>
      </c>
      <c r="B222">
        <v>1</v>
      </c>
      <c r="C222">
        <v>3</v>
      </c>
      <c r="D222">
        <v>2</v>
      </c>
      <c r="E222">
        <v>2</v>
      </c>
      <c r="F222">
        <v>5</v>
      </c>
      <c r="G222">
        <v>5</v>
      </c>
      <c r="H222">
        <v>3</v>
      </c>
      <c r="I222">
        <v>1</v>
      </c>
      <c r="J222">
        <v>3</v>
      </c>
      <c r="K222">
        <v>2</v>
      </c>
      <c r="L222">
        <v>2</v>
      </c>
      <c r="M222">
        <v>5</v>
      </c>
      <c r="N222">
        <v>5</v>
      </c>
      <c r="O222">
        <v>3</v>
      </c>
      <c r="W222" s="8">
        <f t="shared" si="144"/>
        <v>2</v>
      </c>
      <c r="X222" s="8">
        <f t="shared" si="145"/>
        <v>-0.33333333333333331</v>
      </c>
      <c r="Y222" s="8">
        <f t="shared" si="146"/>
        <v>0</v>
      </c>
      <c r="Z222" s="8">
        <f t="shared" si="147"/>
        <v>1.5</v>
      </c>
      <c r="AA222" s="8">
        <f t="shared" si="148"/>
        <v>0</v>
      </c>
      <c r="AB222" s="8">
        <f t="shared" si="149"/>
        <v>-0.4</v>
      </c>
      <c r="AC222" s="12">
        <f t="shared" si="150"/>
        <v>0.46111111111111119</v>
      </c>
      <c r="AD222" s="12">
        <f t="shared" si="151"/>
        <v>0</v>
      </c>
      <c r="AE222" s="1">
        <f t="shared" si="152"/>
        <v>2</v>
      </c>
      <c r="AF222" s="1">
        <f t="shared" si="153"/>
        <v>-1</v>
      </c>
      <c r="AG222" s="1">
        <f t="shared" si="154"/>
        <v>0</v>
      </c>
      <c r="AH222" s="1">
        <f t="shared" si="155"/>
        <v>3</v>
      </c>
      <c r="AI222" s="1">
        <f t="shared" si="156"/>
        <v>0</v>
      </c>
      <c r="AJ222" s="1">
        <f t="shared" si="157"/>
        <v>-2</v>
      </c>
      <c r="AK222" s="17">
        <f t="shared" si="158"/>
        <v>0.33333333333333331</v>
      </c>
      <c r="AL222" s="17">
        <f t="shared" si="159"/>
        <v>0</v>
      </c>
      <c r="AM222" s="1">
        <f t="shared" si="160"/>
        <v>2</v>
      </c>
      <c r="AN222" s="1">
        <f t="shared" si="161"/>
        <v>-0.33333333333333331</v>
      </c>
      <c r="AO222" s="1">
        <f t="shared" si="162"/>
        <v>0</v>
      </c>
      <c r="AP222" s="1">
        <f t="shared" si="163"/>
        <v>1.5</v>
      </c>
      <c r="AQ222" s="1">
        <f t="shared" si="164"/>
        <v>0</v>
      </c>
      <c r="AR222" s="1">
        <f t="shared" si="165"/>
        <v>-0.4</v>
      </c>
      <c r="AS222" s="12">
        <f t="shared" si="166"/>
        <v>0.46111111111111119</v>
      </c>
      <c r="AT222" s="12">
        <f t="shared" si="167"/>
        <v>0</v>
      </c>
      <c r="AU222" s="1">
        <f t="shared" si="168"/>
        <v>2</v>
      </c>
      <c r="AV222" s="1">
        <f t="shared" si="169"/>
        <v>-1</v>
      </c>
      <c r="AW222" s="1">
        <f t="shared" si="170"/>
        <v>0</v>
      </c>
      <c r="AX222" s="1">
        <f t="shared" si="171"/>
        <v>3</v>
      </c>
      <c r="AY222" s="1">
        <f t="shared" si="172"/>
        <v>0</v>
      </c>
      <c r="AZ222" s="1">
        <f t="shared" si="173"/>
        <v>-2</v>
      </c>
      <c r="BA222" s="19">
        <f t="shared" si="174"/>
        <v>0.33333333333333331</v>
      </c>
      <c r="BB222" s="19">
        <f t="shared" si="175"/>
        <v>0</v>
      </c>
      <c r="BC222" s="9" t="e">
        <f t="shared" si="176"/>
        <v>#DIV/0!</v>
      </c>
      <c r="BD222" s="9" t="e">
        <f t="shared" si="177"/>
        <v>#DIV/0!</v>
      </c>
      <c r="BE222" s="9" t="e">
        <f t="shared" si="178"/>
        <v>#DIV/0!</v>
      </c>
      <c r="BF222" s="9" t="e">
        <f t="shared" si="179"/>
        <v>#DIV/0!</v>
      </c>
      <c r="BG222" s="9" t="e">
        <f t="shared" si="180"/>
        <v>#DIV/0!</v>
      </c>
      <c r="BH222" s="9" t="e">
        <f t="shared" si="181"/>
        <v>#DIV/0!</v>
      </c>
      <c r="BI222" s="12" t="e">
        <f t="shared" si="182"/>
        <v>#DIV/0!</v>
      </c>
      <c r="BJ222" s="13" t="e">
        <f t="shared" si="183"/>
        <v>#DIV/0!</v>
      </c>
      <c r="BK222" s="1">
        <f t="shared" si="184"/>
        <v>0</v>
      </c>
      <c r="BL222" s="1">
        <f t="shared" si="185"/>
        <v>0</v>
      </c>
      <c r="BM222" s="1">
        <f t="shared" si="186"/>
        <v>0</v>
      </c>
      <c r="BN222" s="1">
        <f t="shared" si="187"/>
        <v>0</v>
      </c>
      <c r="BO222" s="1">
        <f t="shared" si="188"/>
        <v>0</v>
      </c>
      <c r="BP222" s="1">
        <f t="shared" si="189"/>
        <v>0</v>
      </c>
      <c r="BQ222" s="19">
        <f t="shared" si="190"/>
        <v>0</v>
      </c>
      <c r="BR222" s="17">
        <f t="shared" si="191"/>
        <v>0</v>
      </c>
    </row>
    <row r="223" spans="1:70" x14ac:dyDescent="0.25">
      <c r="A223" t="s">
        <v>502</v>
      </c>
      <c r="B223">
        <v>1</v>
      </c>
      <c r="C223">
        <v>1</v>
      </c>
      <c r="D223">
        <v>6</v>
      </c>
      <c r="E223">
        <v>2</v>
      </c>
      <c r="G223">
        <v>6</v>
      </c>
      <c r="H223">
        <v>3</v>
      </c>
      <c r="I223">
        <v>1</v>
      </c>
      <c r="K223">
        <v>2</v>
      </c>
      <c r="L223">
        <v>2</v>
      </c>
      <c r="N223">
        <v>3</v>
      </c>
      <c r="O223">
        <v>1</v>
      </c>
      <c r="Q223">
        <v>1</v>
      </c>
      <c r="R223">
        <v>4</v>
      </c>
      <c r="U223">
        <v>3</v>
      </c>
      <c r="V223">
        <v>2</v>
      </c>
      <c r="W223" s="8">
        <f t="shared" si="144"/>
        <v>0</v>
      </c>
      <c r="X223" s="8">
        <f t="shared" si="145"/>
        <v>5</v>
      </c>
      <c r="Y223" s="8">
        <f t="shared" si="146"/>
        <v>-0.66666666666666663</v>
      </c>
      <c r="Z223" s="8">
        <f t="shared" si="147"/>
        <v>-1</v>
      </c>
      <c r="AA223" s="8" t="e">
        <f t="shared" si="148"/>
        <v>#DIV/0!</v>
      </c>
      <c r="AB223" s="8">
        <f t="shared" si="149"/>
        <v>-0.5</v>
      </c>
      <c r="AC223" s="12" t="e">
        <f t="shared" si="150"/>
        <v>#DIV/0!</v>
      </c>
      <c r="AD223" s="12" t="e">
        <f t="shared" si="151"/>
        <v>#DIV/0!</v>
      </c>
      <c r="AE223" s="1">
        <f t="shared" si="152"/>
        <v>0</v>
      </c>
      <c r="AF223" s="1">
        <f t="shared" si="153"/>
        <v>5</v>
      </c>
      <c r="AG223" s="1">
        <f t="shared" si="154"/>
        <v>-4</v>
      </c>
      <c r="AH223" s="1">
        <f t="shared" si="155"/>
        <v>-2</v>
      </c>
      <c r="AI223" s="1">
        <f t="shared" si="156"/>
        <v>6</v>
      </c>
      <c r="AJ223" s="1">
        <f t="shared" si="157"/>
        <v>-3</v>
      </c>
      <c r="AK223" s="17">
        <f t="shared" si="158"/>
        <v>0.33333333333333331</v>
      </c>
      <c r="AL223" s="17">
        <f t="shared" si="159"/>
        <v>-1</v>
      </c>
      <c r="AM223" s="1">
        <f t="shared" si="160"/>
        <v>-1</v>
      </c>
      <c r="AN223" s="1" t="e">
        <f t="shared" si="161"/>
        <v>#DIV/0!</v>
      </c>
      <c r="AO223" s="1">
        <f t="shared" si="162"/>
        <v>0</v>
      </c>
      <c r="AP223" s="1">
        <f t="shared" si="163"/>
        <v>-1</v>
      </c>
      <c r="AQ223" s="1" t="e">
        <f t="shared" si="164"/>
        <v>#DIV/0!</v>
      </c>
      <c r="AR223" s="1">
        <f t="shared" si="165"/>
        <v>-0.66666666666666663</v>
      </c>
      <c r="AS223" s="12" t="e">
        <f t="shared" si="166"/>
        <v>#DIV/0!</v>
      </c>
      <c r="AT223" s="12" t="e">
        <f t="shared" si="167"/>
        <v>#DIV/0!</v>
      </c>
      <c r="AU223" s="1">
        <f t="shared" si="168"/>
        <v>-1</v>
      </c>
      <c r="AV223" s="1">
        <f t="shared" si="169"/>
        <v>2</v>
      </c>
      <c r="AW223" s="1">
        <f t="shared" si="170"/>
        <v>0</v>
      </c>
      <c r="AX223" s="1">
        <f t="shared" si="171"/>
        <v>-2</v>
      </c>
      <c r="AY223" s="1">
        <f t="shared" si="172"/>
        <v>3</v>
      </c>
      <c r="AZ223" s="1">
        <f t="shared" si="173"/>
        <v>-2</v>
      </c>
      <c r="BA223" s="19">
        <f t="shared" si="174"/>
        <v>0</v>
      </c>
      <c r="BB223" s="19">
        <f t="shared" si="175"/>
        <v>-0.5</v>
      </c>
      <c r="BC223" s="9" t="e">
        <f t="shared" si="176"/>
        <v>#DIV/0!</v>
      </c>
      <c r="BD223" s="9">
        <f t="shared" si="177"/>
        <v>3</v>
      </c>
      <c r="BE223" s="9">
        <f t="shared" si="178"/>
        <v>-1</v>
      </c>
      <c r="BF223" s="9" t="e">
        <f t="shared" si="179"/>
        <v>#DIV/0!</v>
      </c>
      <c r="BG223" s="9" t="e">
        <f t="shared" si="180"/>
        <v>#DIV/0!</v>
      </c>
      <c r="BH223" s="9">
        <f t="shared" si="181"/>
        <v>-0.33333333333333331</v>
      </c>
      <c r="BI223" s="12" t="e">
        <f t="shared" si="182"/>
        <v>#DIV/0!</v>
      </c>
      <c r="BJ223" s="13" t="e">
        <f t="shared" si="183"/>
        <v>#DIV/0!</v>
      </c>
      <c r="BK223" s="1">
        <f t="shared" si="184"/>
        <v>1</v>
      </c>
      <c r="BL223" s="1">
        <f t="shared" si="185"/>
        <v>3</v>
      </c>
      <c r="BM223" s="1">
        <f t="shared" si="186"/>
        <v>-4</v>
      </c>
      <c r="BN223" s="1">
        <f t="shared" si="187"/>
        <v>0</v>
      </c>
      <c r="BO223" s="1">
        <f t="shared" si="188"/>
        <v>3</v>
      </c>
      <c r="BP223" s="1">
        <f t="shared" si="189"/>
        <v>-1</v>
      </c>
      <c r="BQ223" s="19">
        <f t="shared" si="190"/>
        <v>0.33333333333333331</v>
      </c>
      <c r="BR223" s="17">
        <f t="shared" si="191"/>
        <v>0.5</v>
      </c>
    </row>
    <row r="224" spans="1:70" x14ac:dyDescent="0.25">
      <c r="A224" t="s">
        <v>512</v>
      </c>
      <c r="B224">
        <v>1</v>
      </c>
      <c r="C224">
        <v>4</v>
      </c>
      <c r="D224">
        <v>2</v>
      </c>
      <c r="E224">
        <v>2</v>
      </c>
      <c r="F224">
        <v>1</v>
      </c>
      <c r="G224">
        <v>1</v>
      </c>
      <c r="H224">
        <v>3</v>
      </c>
      <c r="I224">
        <v>1</v>
      </c>
      <c r="J224">
        <v>3</v>
      </c>
      <c r="K224">
        <v>1</v>
      </c>
      <c r="M224">
        <v>1</v>
      </c>
      <c r="O224">
        <v>1</v>
      </c>
      <c r="Q224">
        <v>1</v>
      </c>
      <c r="R224">
        <v>1</v>
      </c>
      <c r="S224">
        <v>2</v>
      </c>
      <c r="U224">
        <v>1</v>
      </c>
      <c r="V224">
        <v>2</v>
      </c>
      <c r="W224" s="8">
        <f t="shared" si="144"/>
        <v>3</v>
      </c>
      <c r="X224" s="8">
        <f t="shared" si="145"/>
        <v>-0.5</v>
      </c>
      <c r="Y224" s="8">
        <f t="shared" si="146"/>
        <v>0</v>
      </c>
      <c r="Z224" s="8">
        <f t="shared" si="147"/>
        <v>-0.5</v>
      </c>
      <c r="AA224" s="8">
        <f t="shared" si="148"/>
        <v>0</v>
      </c>
      <c r="AB224" s="8">
        <f t="shared" si="149"/>
        <v>2</v>
      </c>
      <c r="AC224" s="12">
        <f t="shared" si="150"/>
        <v>0.66666666666666663</v>
      </c>
      <c r="AD224" s="12">
        <f t="shared" si="151"/>
        <v>0</v>
      </c>
      <c r="AE224" s="1">
        <f t="shared" si="152"/>
        <v>3</v>
      </c>
      <c r="AF224" s="1">
        <f t="shared" si="153"/>
        <v>-2</v>
      </c>
      <c r="AG224" s="1">
        <f t="shared" si="154"/>
        <v>0</v>
      </c>
      <c r="AH224" s="1">
        <f t="shared" si="155"/>
        <v>-1</v>
      </c>
      <c r="AI224" s="1">
        <f t="shared" si="156"/>
        <v>0</v>
      </c>
      <c r="AJ224" s="1">
        <f t="shared" si="157"/>
        <v>2</v>
      </c>
      <c r="AK224" s="17">
        <f t="shared" si="158"/>
        <v>0.33333333333333331</v>
      </c>
      <c r="AL224" s="17">
        <f t="shared" si="159"/>
        <v>0</v>
      </c>
      <c r="AM224" s="1">
        <f t="shared" si="160"/>
        <v>2</v>
      </c>
      <c r="AN224" s="1">
        <f t="shared" si="161"/>
        <v>-0.66666666666666663</v>
      </c>
      <c r="AO224" s="1">
        <f t="shared" si="162"/>
        <v>-1</v>
      </c>
      <c r="AP224" s="1" t="e">
        <f t="shared" si="163"/>
        <v>#DIV/0!</v>
      </c>
      <c r="AQ224" s="1">
        <f t="shared" si="164"/>
        <v>-1</v>
      </c>
      <c r="AR224" s="1" t="e">
        <f t="shared" si="165"/>
        <v>#DIV/0!</v>
      </c>
      <c r="AS224" s="12" t="e">
        <f t="shared" si="166"/>
        <v>#DIV/0!</v>
      </c>
      <c r="AT224" s="12" t="e">
        <f t="shared" si="167"/>
        <v>#DIV/0!</v>
      </c>
      <c r="AU224" s="1">
        <f t="shared" si="168"/>
        <v>2</v>
      </c>
      <c r="AV224" s="1">
        <f t="shared" si="169"/>
        <v>-2</v>
      </c>
      <c r="AW224" s="1">
        <f t="shared" si="170"/>
        <v>-1</v>
      </c>
      <c r="AX224" s="1">
        <f t="shared" si="171"/>
        <v>1</v>
      </c>
      <c r="AY224" s="1">
        <f t="shared" si="172"/>
        <v>-1</v>
      </c>
      <c r="AZ224" s="1">
        <f t="shared" si="173"/>
        <v>1</v>
      </c>
      <c r="BA224" s="19">
        <f t="shared" si="174"/>
        <v>0</v>
      </c>
      <c r="BB224" s="19">
        <f t="shared" si="175"/>
        <v>0</v>
      </c>
      <c r="BC224" s="9" t="e">
        <f t="shared" si="176"/>
        <v>#DIV/0!</v>
      </c>
      <c r="BD224" s="9">
        <f t="shared" si="177"/>
        <v>0</v>
      </c>
      <c r="BE224" s="9">
        <f t="shared" si="178"/>
        <v>1</v>
      </c>
      <c r="BF224" s="9">
        <f t="shared" si="179"/>
        <v>-1</v>
      </c>
      <c r="BG224" s="9" t="e">
        <f t="shared" si="180"/>
        <v>#DIV/0!</v>
      </c>
      <c r="BH224" s="9">
        <f t="shared" si="181"/>
        <v>1</v>
      </c>
      <c r="BI224" s="12" t="e">
        <f t="shared" si="182"/>
        <v>#DIV/0!</v>
      </c>
      <c r="BJ224" s="13" t="e">
        <f t="shared" si="183"/>
        <v>#DIV/0!</v>
      </c>
      <c r="BK224" s="1">
        <f t="shared" si="184"/>
        <v>1</v>
      </c>
      <c r="BL224" s="1">
        <f t="shared" si="185"/>
        <v>0</v>
      </c>
      <c r="BM224" s="1">
        <f t="shared" si="186"/>
        <v>1</v>
      </c>
      <c r="BN224" s="1">
        <f t="shared" si="187"/>
        <v>-2</v>
      </c>
      <c r="BO224" s="1">
        <f t="shared" si="188"/>
        <v>1</v>
      </c>
      <c r="BP224" s="1">
        <f t="shared" si="189"/>
        <v>1</v>
      </c>
      <c r="BQ224" s="19">
        <f t="shared" si="190"/>
        <v>0.33333333333333331</v>
      </c>
      <c r="BR224" s="17">
        <f t="shared" si="191"/>
        <v>1</v>
      </c>
    </row>
    <row r="225" spans="1:70" x14ac:dyDescent="0.25">
      <c r="A225" t="s">
        <v>563</v>
      </c>
      <c r="B225">
        <v>1</v>
      </c>
      <c r="C225">
        <v>2</v>
      </c>
      <c r="D225">
        <v>3</v>
      </c>
      <c r="E225">
        <v>2</v>
      </c>
      <c r="F225">
        <v>2</v>
      </c>
      <c r="G225">
        <v>2</v>
      </c>
      <c r="H225">
        <v>3</v>
      </c>
      <c r="J225">
        <v>2</v>
      </c>
      <c r="K225">
        <v>1</v>
      </c>
      <c r="L225">
        <v>2</v>
      </c>
      <c r="M225">
        <v>1</v>
      </c>
      <c r="N225">
        <v>2</v>
      </c>
      <c r="O225">
        <v>1</v>
      </c>
      <c r="P225">
        <v>1</v>
      </c>
      <c r="R225">
        <v>2</v>
      </c>
      <c r="T225">
        <v>1</v>
      </c>
      <c r="V225">
        <v>2</v>
      </c>
      <c r="W225" s="8">
        <f t="shared" si="144"/>
        <v>1</v>
      </c>
      <c r="X225" s="8">
        <f t="shared" si="145"/>
        <v>0.5</v>
      </c>
      <c r="Y225" s="8">
        <f t="shared" si="146"/>
        <v>-0.33333333333333331</v>
      </c>
      <c r="Z225" s="8">
        <f t="shared" si="147"/>
        <v>0</v>
      </c>
      <c r="AA225" s="8">
        <f t="shared" si="148"/>
        <v>0</v>
      </c>
      <c r="AB225" s="8">
        <f t="shared" si="149"/>
        <v>0.5</v>
      </c>
      <c r="AC225" s="12">
        <f t="shared" si="150"/>
        <v>0.27777777777777779</v>
      </c>
      <c r="AD225" s="12">
        <f t="shared" si="151"/>
        <v>0.25</v>
      </c>
      <c r="AE225" s="1">
        <f t="shared" si="152"/>
        <v>1</v>
      </c>
      <c r="AF225" s="1">
        <f t="shared" si="153"/>
        <v>1</v>
      </c>
      <c r="AG225" s="1">
        <f t="shared" si="154"/>
        <v>-1</v>
      </c>
      <c r="AH225" s="1">
        <f t="shared" si="155"/>
        <v>0</v>
      </c>
      <c r="AI225" s="1">
        <f t="shared" si="156"/>
        <v>0</v>
      </c>
      <c r="AJ225" s="1">
        <f t="shared" si="157"/>
        <v>1</v>
      </c>
      <c r="AK225" s="17">
        <f t="shared" si="158"/>
        <v>0.33333333333333331</v>
      </c>
      <c r="AL225" s="17">
        <f t="shared" si="159"/>
        <v>0.5</v>
      </c>
      <c r="AM225" s="1" t="e">
        <f t="shared" si="160"/>
        <v>#DIV/0!</v>
      </c>
      <c r="AN225" s="1">
        <f t="shared" si="161"/>
        <v>-0.5</v>
      </c>
      <c r="AO225" s="1">
        <f t="shared" si="162"/>
        <v>1</v>
      </c>
      <c r="AP225" s="1">
        <f t="shared" si="163"/>
        <v>-0.5</v>
      </c>
      <c r="AQ225" s="1">
        <f t="shared" si="164"/>
        <v>1</v>
      </c>
      <c r="AR225" s="1">
        <f t="shared" si="165"/>
        <v>-0.5</v>
      </c>
      <c r="AS225" s="12" t="e">
        <f t="shared" si="166"/>
        <v>#DIV/0!</v>
      </c>
      <c r="AT225" s="12" t="e">
        <f t="shared" si="167"/>
        <v>#DIV/0!</v>
      </c>
      <c r="AU225" s="1">
        <f t="shared" si="168"/>
        <v>2</v>
      </c>
      <c r="AV225" s="1">
        <f t="shared" si="169"/>
        <v>-1</v>
      </c>
      <c r="AW225" s="1">
        <f t="shared" si="170"/>
        <v>1</v>
      </c>
      <c r="AX225" s="1">
        <f t="shared" si="171"/>
        <v>-1</v>
      </c>
      <c r="AY225" s="1">
        <f t="shared" si="172"/>
        <v>1</v>
      </c>
      <c r="AZ225" s="1">
        <f t="shared" si="173"/>
        <v>-1</v>
      </c>
      <c r="BA225" s="19">
        <f t="shared" si="174"/>
        <v>0.16666666666666666</v>
      </c>
      <c r="BB225" s="19">
        <f t="shared" si="175"/>
        <v>0</v>
      </c>
      <c r="BC225" s="9">
        <f t="shared" si="176"/>
        <v>-1</v>
      </c>
      <c r="BD225" s="9" t="e">
        <f t="shared" si="177"/>
        <v>#DIV/0!</v>
      </c>
      <c r="BE225" s="9">
        <f t="shared" si="178"/>
        <v>-1</v>
      </c>
      <c r="BF225" s="9" t="e">
        <f t="shared" si="179"/>
        <v>#DIV/0!</v>
      </c>
      <c r="BG225" s="9">
        <f t="shared" si="180"/>
        <v>-1</v>
      </c>
      <c r="BH225" s="9" t="e">
        <f t="shared" si="181"/>
        <v>#DIV/0!</v>
      </c>
      <c r="BI225" s="12" t="e">
        <f t="shared" si="182"/>
        <v>#DIV/0!</v>
      </c>
      <c r="BJ225" s="13" t="e">
        <f t="shared" si="183"/>
        <v>#DIV/0!</v>
      </c>
      <c r="BK225" s="1">
        <f t="shared" si="184"/>
        <v>-1</v>
      </c>
      <c r="BL225" s="1">
        <f t="shared" si="185"/>
        <v>2</v>
      </c>
      <c r="BM225" s="1">
        <f t="shared" si="186"/>
        <v>-2</v>
      </c>
      <c r="BN225" s="1">
        <f t="shared" si="187"/>
        <v>1</v>
      </c>
      <c r="BO225" s="1">
        <f t="shared" si="188"/>
        <v>-1</v>
      </c>
      <c r="BP225" s="1">
        <f t="shared" si="189"/>
        <v>2</v>
      </c>
      <c r="BQ225" s="19">
        <f t="shared" si="190"/>
        <v>0.16666666666666666</v>
      </c>
      <c r="BR225" s="17">
        <f t="shared" si="191"/>
        <v>0</v>
      </c>
    </row>
    <row r="226" spans="1:70" x14ac:dyDescent="0.25">
      <c r="A226" t="s">
        <v>571</v>
      </c>
      <c r="B226">
        <v>1</v>
      </c>
      <c r="D226">
        <v>1</v>
      </c>
      <c r="E226">
        <v>1</v>
      </c>
      <c r="H226">
        <v>3</v>
      </c>
      <c r="I226">
        <v>1</v>
      </c>
      <c r="K226">
        <v>1</v>
      </c>
      <c r="O226">
        <v>1</v>
      </c>
      <c r="S226">
        <v>1</v>
      </c>
      <c r="V226">
        <v>2</v>
      </c>
      <c r="W226" s="8">
        <f t="shared" si="144"/>
        <v>-1</v>
      </c>
      <c r="X226" s="8" t="e">
        <f t="shared" si="145"/>
        <v>#DIV/0!</v>
      </c>
      <c r="Y226" s="8">
        <f t="shared" si="146"/>
        <v>0</v>
      </c>
      <c r="Z226" s="8">
        <f t="shared" si="147"/>
        <v>-1</v>
      </c>
      <c r="AA226" s="8" t="e">
        <f t="shared" si="148"/>
        <v>#DIV/0!</v>
      </c>
      <c r="AB226" s="8" t="e">
        <f t="shared" si="149"/>
        <v>#DIV/0!</v>
      </c>
      <c r="AC226" s="12" t="e">
        <f t="shared" si="150"/>
        <v>#DIV/0!</v>
      </c>
      <c r="AD226" s="12" t="e">
        <f t="shared" si="151"/>
        <v>#DIV/0!</v>
      </c>
      <c r="AE226" s="1">
        <f t="shared" si="152"/>
        <v>-1</v>
      </c>
      <c r="AF226" s="1">
        <f t="shared" si="153"/>
        <v>1</v>
      </c>
      <c r="AG226" s="1">
        <f t="shared" si="154"/>
        <v>0</v>
      </c>
      <c r="AH226" s="1">
        <f t="shared" si="155"/>
        <v>-1</v>
      </c>
      <c r="AI226" s="1">
        <f t="shared" si="156"/>
        <v>0</v>
      </c>
      <c r="AJ226" s="1">
        <f t="shared" si="157"/>
        <v>3</v>
      </c>
      <c r="AK226" s="17">
        <f t="shared" si="158"/>
        <v>0.33333333333333331</v>
      </c>
      <c r="AL226" s="17">
        <f t="shared" si="159"/>
        <v>0</v>
      </c>
      <c r="AM226" s="1">
        <f t="shared" si="160"/>
        <v>-1</v>
      </c>
      <c r="AN226" s="1" t="e">
        <f t="shared" si="161"/>
        <v>#DIV/0!</v>
      </c>
      <c r="AO226" s="1">
        <f t="shared" si="162"/>
        <v>-1</v>
      </c>
      <c r="AP226" s="1" t="e">
        <f t="shared" si="163"/>
        <v>#DIV/0!</v>
      </c>
      <c r="AQ226" s="1" t="e">
        <f t="shared" si="164"/>
        <v>#DIV/0!</v>
      </c>
      <c r="AR226" s="1" t="e">
        <f t="shared" si="165"/>
        <v>#DIV/0!</v>
      </c>
      <c r="AS226" s="12" t="e">
        <f t="shared" si="166"/>
        <v>#DIV/0!</v>
      </c>
      <c r="AT226" s="12" t="e">
        <f t="shared" si="167"/>
        <v>#DIV/0!</v>
      </c>
      <c r="AU226" s="1">
        <f t="shared" si="168"/>
        <v>-1</v>
      </c>
      <c r="AV226" s="1">
        <f t="shared" si="169"/>
        <v>1</v>
      </c>
      <c r="AW226" s="1">
        <f t="shared" si="170"/>
        <v>-1</v>
      </c>
      <c r="AX226" s="1">
        <f t="shared" si="171"/>
        <v>0</v>
      </c>
      <c r="AY226" s="1">
        <f t="shared" si="172"/>
        <v>0</v>
      </c>
      <c r="AZ226" s="1">
        <f t="shared" si="173"/>
        <v>1</v>
      </c>
      <c r="BA226" s="19">
        <f t="shared" si="174"/>
        <v>0</v>
      </c>
      <c r="BB226" s="19">
        <f t="shared" si="175"/>
        <v>0</v>
      </c>
      <c r="BC226" s="9" t="e">
        <f t="shared" si="176"/>
        <v>#DIV/0!</v>
      </c>
      <c r="BD226" s="9" t="e">
        <f t="shared" si="177"/>
        <v>#DIV/0!</v>
      </c>
      <c r="BE226" s="9" t="e">
        <f t="shared" si="178"/>
        <v>#DIV/0!</v>
      </c>
      <c r="BF226" s="9">
        <f t="shared" si="179"/>
        <v>-1</v>
      </c>
      <c r="BG226" s="9" t="e">
        <f t="shared" si="180"/>
        <v>#DIV/0!</v>
      </c>
      <c r="BH226" s="9" t="e">
        <f t="shared" si="181"/>
        <v>#DIV/0!</v>
      </c>
      <c r="BI226" s="12" t="e">
        <f t="shared" si="182"/>
        <v>#DIV/0!</v>
      </c>
      <c r="BJ226" s="13" t="e">
        <f t="shared" si="183"/>
        <v>#DIV/0!</v>
      </c>
      <c r="BK226" s="1">
        <f t="shared" si="184"/>
        <v>0</v>
      </c>
      <c r="BL226" s="1">
        <f t="shared" si="185"/>
        <v>0</v>
      </c>
      <c r="BM226" s="1">
        <f t="shared" si="186"/>
        <v>1</v>
      </c>
      <c r="BN226" s="1">
        <f t="shared" si="187"/>
        <v>-1</v>
      </c>
      <c r="BO226" s="1">
        <f t="shared" si="188"/>
        <v>0</v>
      </c>
      <c r="BP226" s="1">
        <f t="shared" si="189"/>
        <v>2</v>
      </c>
      <c r="BQ226" s="19">
        <f t="shared" si="190"/>
        <v>0.33333333333333331</v>
      </c>
      <c r="BR226" s="17">
        <f t="shared" si="191"/>
        <v>0</v>
      </c>
    </row>
    <row r="227" spans="1:70" x14ac:dyDescent="0.25">
      <c r="A227" t="s">
        <v>573</v>
      </c>
      <c r="B227">
        <v>1</v>
      </c>
      <c r="C227">
        <v>2</v>
      </c>
      <c r="D227">
        <v>2</v>
      </c>
      <c r="E227">
        <v>3</v>
      </c>
      <c r="F227">
        <v>4</v>
      </c>
      <c r="H227">
        <v>3</v>
      </c>
      <c r="I227">
        <v>1</v>
      </c>
      <c r="J227">
        <v>2</v>
      </c>
      <c r="K227">
        <v>1</v>
      </c>
      <c r="L227">
        <v>1</v>
      </c>
      <c r="M227">
        <v>2</v>
      </c>
      <c r="O227">
        <v>2</v>
      </c>
      <c r="R227">
        <v>1</v>
      </c>
      <c r="S227">
        <v>2</v>
      </c>
      <c r="T227">
        <v>2</v>
      </c>
      <c r="V227">
        <v>1</v>
      </c>
      <c r="W227" s="8">
        <f t="shared" si="144"/>
        <v>1</v>
      </c>
      <c r="X227" s="8">
        <f t="shared" si="145"/>
        <v>0</v>
      </c>
      <c r="Y227" s="8">
        <f t="shared" si="146"/>
        <v>0.5</v>
      </c>
      <c r="Z227" s="8">
        <f t="shared" si="147"/>
        <v>0.33333333333333331</v>
      </c>
      <c r="AA227" s="8">
        <f t="shared" si="148"/>
        <v>-1</v>
      </c>
      <c r="AB227" s="8" t="e">
        <f t="shared" si="149"/>
        <v>#DIV/0!</v>
      </c>
      <c r="AC227" s="12" t="e">
        <f t="shared" si="150"/>
        <v>#DIV/0!</v>
      </c>
      <c r="AD227" s="12" t="e">
        <f t="shared" si="151"/>
        <v>#DIV/0!</v>
      </c>
      <c r="AE227" s="1">
        <f t="shared" si="152"/>
        <v>1</v>
      </c>
      <c r="AF227" s="1">
        <f t="shared" si="153"/>
        <v>0</v>
      </c>
      <c r="AG227" s="1">
        <f t="shared" si="154"/>
        <v>1</v>
      </c>
      <c r="AH227" s="1">
        <f t="shared" si="155"/>
        <v>1</v>
      </c>
      <c r="AI227" s="1">
        <f t="shared" si="156"/>
        <v>-4</v>
      </c>
      <c r="AJ227" s="1">
        <f t="shared" si="157"/>
        <v>3</v>
      </c>
      <c r="AK227" s="17">
        <f t="shared" si="158"/>
        <v>0.33333333333333331</v>
      </c>
      <c r="AL227" s="17">
        <f t="shared" si="159"/>
        <v>1</v>
      </c>
      <c r="AM227" s="1">
        <f t="shared" si="160"/>
        <v>1</v>
      </c>
      <c r="AN227" s="1">
        <f t="shared" si="161"/>
        <v>-0.5</v>
      </c>
      <c r="AO227" s="1">
        <f t="shared" si="162"/>
        <v>0</v>
      </c>
      <c r="AP227" s="1">
        <f t="shared" si="163"/>
        <v>1</v>
      </c>
      <c r="AQ227" s="1">
        <f t="shared" si="164"/>
        <v>-1</v>
      </c>
      <c r="AR227" s="1" t="e">
        <f t="shared" si="165"/>
        <v>#DIV/0!</v>
      </c>
      <c r="AS227" s="12" t="e">
        <f t="shared" si="166"/>
        <v>#DIV/0!</v>
      </c>
      <c r="AT227" s="12" t="e">
        <f t="shared" si="167"/>
        <v>#DIV/0!</v>
      </c>
      <c r="AU227" s="1">
        <f t="shared" si="168"/>
        <v>1</v>
      </c>
      <c r="AV227" s="1">
        <f t="shared" si="169"/>
        <v>-1</v>
      </c>
      <c r="AW227" s="1">
        <f t="shared" si="170"/>
        <v>0</v>
      </c>
      <c r="AX227" s="1">
        <f t="shared" si="171"/>
        <v>1</v>
      </c>
      <c r="AY227" s="1">
        <f t="shared" si="172"/>
        <v>-2</v>
      </c>
      <c r="AZ227" s="1">
        <f t="shared" si="173"/>
        <v>2</v>
      </c>
      <c r="BA227" s="19">
        <f t="shared" si="174"/>
        <v>0.16666666666666666</v>
      </c>
      <c r="BB227" s="19">
        <f t="shared" si="175"/>
        <v>0.5</v>
      </c>
      <c r="BC227" s="9" t="e">
        <f t="shared" si="176"/>
        <v>#DIV/0!</v>
      </c>
      <c r="BD227" s="9" t="e">
        <f t="shared" si="177"/>
        <v>#DIV/0!</v>
      </c>
      <c r="BE227" s="9">
        <f t="shared" si="178"/>
        <v>1</v>
      </c>
      <c r="BF227" s="9">
        <f t="shared" si="179"/>
        <v>0</v>
      </c>
      <c r="BG227" s="9">
        <f t="shared" si="180"/>
        <v>-1</v>
      </c>
      <c r="BH227" s="9" t="e">
        <f t="shared" si="181"/>
        <v>#DIV/0!</v>
      </c>
      <c r="BI227" s="12" t="e">
        <f t="shared" si="182"/>
        <v>#DIV/0!</v>
      </c>
      <c r="BJ227" s="13" t="e">
        <f t="shared" si="183"/>
        <v>#DIV/0!</v>
      </c>
      <c r="BK227" s="1">
        <f t="shared" si="184"/>
        <v>0</v>
      </c>
      <c r="BL227" s="1">
        <f t="shared" si="185"/>
        <v>1</v>
      </c>
      <c r="BM227" s="1">
        <f t="shared" si="186"/>
        <v>1</v>
      </c>
      <c r="BN227" s="1">
        <f t="shared" si="187"/>
        <v>0</v>
      </c>
      <c r="BO227" s="1">
        <f t="shared" si="188"/>
        <v>-2</v>
      </c>
      <c r="BP227" s="1">
        <f t="shared" si="189"/>
        <v>1</v>
      </c>
      <c r="BQ227" s="19">
        <f t="shared" si="190"/>
        <v>0.16666666666666666</v>
      </c>
      <c r="BR227" s="17">
        <f t="shared" si="191"/>
        <v>0.5</v>
      </c>
    </row>
    <row r="228" spans="1:70" x14ac:dyDescent="0.25">
      <c r="A228" t="s">
        <v>574</v>
      </c>
      <c r="C228">
        <v>4</v>
      </c>
      <c r="D228">
        <v>1</v>
      </c>
      <c r="E228">
        <v>2</v>
      </c>
      <c r="F228">
        <v>2</v>
      </c>
      <c r="G228">
        <v>1</v>
      </c>
      <c r="H228">
        <v>2</v>
      </c>
      <c r="J228">
        <v>1</v>
      </c>
      <c r="M228">
        <v>2</v>
      </c>
      <c r="Q228">
        <v>3</v>
      </c>
      <c r="R228">
        <v>1</v>
      </c>
      <c r="S228">
        <v>2</v>
      </c>
      <c r="U228">
        <v>1</v>
      </c>
      <c r="V228">
        <v>2</v>
      </c>
      <c r="W228" s="8" t="e">
        <f t="shared" si="144"/>
        <v>#DIV/0!</v>
      </c>
      <c r="X228" s="8">
        <f t="shared" si="145"/>
        <v>-0.75</v>
      </c>
      <c r="Y228" s="8">
        <f t="shared" si="146"/>
        <v>1</v>
      </c>
      <c r="Z228" s="8">
        <f t="shared" si="147"/>
        <v>0</v>
      </c>
      <c r="AA228" s="8">
        <f t="shared" si="148"/>
        <v>-0.5</v>
      </c>
      <c r="AB228" s="8">
        <f t="shared" si="149"/>
        <v>1</v>
      </c>
      <c r="AC228" s="12" t="e">
        <f t="shared" si="150"/>
        <v>#DIV/0!</v>
      </c>
      <c r="AD228" s="12" t="e">
        <f t="shared" si="151"/>
        <v>#DIV/0!</v>
      </c>
      <c r="AE228" s="1">
        <f t="shared" si="152"/>
        <v>4</v>
      </c>
      <c r="AF228" s="1">
        <f t="shared" si="153"/>
        <v>-3</v>
      </c>
      <c r="AG228" s="1">
        <f t="shared" si="154"/>
        <v>1</v>
      </c>
      <c r="AH228" s="1">
        <f t="shared" si="155"/>
        <v>0</v>
      </c>
      <c r="AI228" s="1">
        <f t="shared" si="156"/>
        <v>-1</v>
      </c>
      <c r="AJ228" s="1">
        <f t="shared" si="157"/>
        <v>1</v>
      </c>
      <c r="AK228" s="17">
        <f t="shared" si="158"/>
        <v>0.33333333333333331</v>
      </c>
      <c r="AL228" s="17">
        <f t="shared" si="159"/>
        <v>0.5</v>
      </c>
      <c r="AM228" s="1" t="e">
        <f t="shared" si="160"/>
        <v>#DIV/0!</v>
      </c>
      <c r="AN228" s="1">
        <f t="shared" si="161"/>
        <v>-1</v>
      </c>
      <c r="AO228" s="1" t="e">
        <f t="shared" si="162"/>
        <v>#DIV/0!</v>
      </c>
      <c r="AP228" s="1" t="e">
        <f t="shared" si="163"/>
        <v>#DIV/0!</v>
      </c>
      <c r="AQ228" s="1">
        <f t="shared" si="164"/>
        <v>-1</v>
      </c>
      <c r="AR228" s="1" t="e">
        <f t="shared" si="165"/>
        <v>#DIV/0!</v>
      </c>
      <c r="AS228" s="12" t="e">
        <f t="shared" si="166"/>
        <v>#DIV/0!</v>
      </c>
      <c r="AT228" s="12" t="e">
        <f t="shared" si="167"/>
        <v>#DIV/0!</v>
      </c>
      <c r="AU228" s="1">
        <f t="shared" si="168"/>
        <v>1</v>
      </c>
      <c r="AV228" s="1">
        <f t="shared" si="169"/>
        <v>-1</v>
      </c>
      <c r="AW228" s="1">
        <f t="shared" si="170"/>
        <v>0</v>
      </c>
      <c r="AX228" s="1">
        <f t="shared" si="171"/>
        <v>2</v>
      </c>
      <c r="AY228" s="1">
        <f t="shared" si="172"/>
        <v>-2</v>
      </c>
      <c r="AZ228" s="1">
        <f t="shared" si="173"/>
        <v>0</v>
      </c>
      <c r="BA228" s="19">
        <f t="shared" si="174"/>
        <v>0</v>
      </c>
      <c r="BB228" s="19">
        <f t="shared" si="175"/>
        <v>0</v>
      </c>
      <c r="BC228" s="9" t="e">
        <f t="shared" si="176"/>
        <v>#DIV/0!</v>
      </c>
      <c r="BD228" s="9">
        <f t="shared" si="177"/>
        <v>-0.66666666666666663</v>
      </c>
      <c r="BE228" s="9">
        <f t="shared" si="178"/>
        <v>1</v>
      </c>
      <c r="BF228" s="9">
        <f t="shared" si="179"/>
        <v>-1</v>
      </c>
      <c r="BG228" s="9" t="e">
        <f t="shared" si="180"/>
        <v>#DIV/0!</v>
      </c>
      <c r="BH228" s="9">
        <f t="shared" si="181"/>
        <v>1</v>
      </c>
      <c r="BI228" s="12" t="e">
        <f t="shared" si="182"/>
        <v>#DIV/0!</v>
      </c>
      <c r="BJ228" s="13" t="e">
        <f t="shared" si="183"/>
        <v>#DIV/0!</v>
      </c>
      <c r="BK228" s="1">
        <f t="shared" si="184"/>
        <v>3</v>
      </c>
      <c r="BL228" s="1">
        <f t="shared" si="185"/>
        <v>-2</v>
      </c>
      <c r="BM228" s="1">
        <f t="shared" si="186"/>
        <v>1</v>
      </c>
      <c r="BN228" s="1">
        <f t="shared" si="187"/>
        <v>-2</v>
      </c>
      <c r="BO228" s="1">
        <f t="shared" si="188"/>
        <v>1</v>
      </c>
      <c r="BP228" s="1">
        <f t="shared" si="189"/>
        <v>1</v>
      </c>
      <c r="BQ228" s="19">
        <f t="shared" si="190"/>
        <v>0.33333333333333331</v>
      </c>
      <c r="BR228" s="17">
        <f t="shared" si="191"/>
        <v>1</v>
      </c>
    </row>
    <row r="229" spans="1:70" x14ac:dyDescent="0.25">
      <c r="A229" t="s">
        <v>585</v>
      </c>
      <c r="C229">
        <v>2</v>
      </c>
      <c r="D229">
        <v>3</v>
      </c>
      <c r="E229">
        <v>4</v>
      </c>
      <c r="F229">
        <v>2</v>
      </c>
      <c r="H229">
        <v>2</v>
      </c>
      <c r="J229">
        <v>1</v>
      </c>
      <c r="K229">
        <v>2</v>
      </c>
      <c r="L229">
        <v>2</v>
      </c>
      <c r="M229">
        <v>1</v>
      </c>
      <c r="O229">
        <v>1</v>
      </c>
      <c r="Q229">
        <v>1</v>
      </c>
      <c r="R229">
        <v>1</v>
      </c>
      <c r="S229">
        <v>2</v>
      </c>
      <c r="T229">
        <v>1</v>
      </c>
      <c r="V229">
        <v>1</v>
      </c>
      <c r="W229" s="8" t="e">
        <f t="shared" si="144"/>
        <v>#DIV/0!</v>
      </c>
      <c r="X229" s="8">
        <f t="shared" si="145"/>
        <v>0.5</v>
      </c>
      <c r="Y229" s="8">
        <f t="shared" si="146"/>
        <v>0.33333333333333331</v>
      </c>
      <c r="Z229" s="8">
        <f t="shared" si="147"/>
        <v>-0.5</v>
      </c>
      <c r="AA229" s="8">
        <f t="shared" si="148"/>
        <v>-1</v>
      </c>
      <c r="AB229" s="8" t="e">
        <f t="shared" si="149"/>
        <v>#DIV/0!</v>
      </c>
      <c r="AC229" s="12" t="e">
        <f t="shared" si="150"/>
        <v>#DIV/0!</v>
      </c>
      <c r="AD229" s="12" t="e">
        <f t="shared" si="151"/>
        <v>#DIV/0!</v>
      </c>
      <c r="AE229" s="1">
        <f t="shared" si="152"/>
        <v>2</v>
      </c>
      <c r="AF229" s="1">
        <f t="shared" si="153"/>
        <v>1</v>
      </c>
      <c r="AG229" s="1">
        <f t="shared" si="154"/>
        <v>1</v>
      </c>
      <c r="AH229" s="1">
        <f t="shared" si="155"/>
        <v>-2</v>
      </c>
      <c r="AI229" s="1">
        <f t="shared" si="156"/>
        <v>-2</v>
      </c>
      <c r="AJ229" s="1">
        <f t="shared" si="157"/>
        <v>2</v>
      </c>
      <c r="AK229" s="17">
        <f t="shared" si="158"/>
        <v>0.33333333333333331</v>
      </c>
      <c r="AL229" s="17">
        <f t="shared" si="159"/>
        <v>1</v>
      </c>
      <c r="AM229" s="1" t="e">
        <f t="shared" si="160"/>
        <v>#DIV/0!</v>
      </c>
      <c r="AN229" s="1">
        <f t="shared" si="161"/>
        <v>1</v>
      </c>
      <c r="AO229" s="1">
        <f t="shared" si="162"/>
        <v>0</v>
      </c>
      <c r="AP229" s="1">
        <f t="shared" si="163"/>
        <v>-0.5</v>
      </c>
      <c r="AQ229" s="1">
        <f t="shared" si="164"/>
        <v>-1</v>
      </c>
      <c r="AR229" s="1" t="e">
        <f t="shared" si="165"/>
        <v>#DIV/0!</v>
      </c>
      <c r="AS229" s="12" t="e">
        <f t="shared" si="166"/>
        <v>#DIV/0!</v>
      </c>
      <c r="AT229" s="12" t="e">
        <f t="shared" si="167"/>
        <v>#DIV/0!</v>
      </c>
      <c r="AU229" s="1">
        <f t="shared" si="168"/>
        <v>1</v>
      </c>
      <c r="AV229" s="1">
        <f t="shared" si="169"/>
        <v>1</v>
      </c>
      <c r="AW229" s="1">
        <f t="shared" si="170"/>
        <v>0</v>
      </c>
      <c r="AX229" s="1">
        <f t="shared" si="171"/>
        <v>-1</v>
      </c>
      <c r="AY229" s="1">
        <f t="shared" si="172"/>
        <v>-1</v>
      </c>
      <c r="AZ229" s="1">
        <f t="shared" si="173"/>
        <v>1</v>
      </c>
      <c r="BA229" s="19">
        <f t="shared" si="174"/>
        <v>0.16666666666666666</v>
      </c>
      <c r="BB229" s="19">
        <f t="shared" si="175"/>
        <v>0.5</v>
      </c>
      <c r="BC229" s="9" t="e">
        <f t="shared" si="176"/>
        <v>#DIV/0!</v>
      </c>
      <c r="BD229" s="9">
        <f t="shared" si="177"/>
        <v>0</v>
      </c>
      <c r="BE229" s="9">
        <f t="shared" si="178"/>
        <v>1</v>
      </c>
      <c r="BF229" s="9">
        <f t="shared" si="179"/>
        <v>-0.5</v>
      </c>
      <c r="BG229" s="9">
        <f t="shared" si="180"/>
        <v>-1</v>
      </c>
      <c r="BH229" s="9" t="e">
        <f t="shared" si="181"/>
        <v>#DIV/0!</v>
      </c>
      <c r="BI229" s="12" t="e">
        <f t="shared" si="182"/>
        <v>#DIV/0!</v>
      </c>
      <c r="BJ229" s="13" t="e">
        <f t="shared" si="183"/>
        <v>#DIV/0!</v>
      </c>
      <c r="BK229" s="1">
        <f t="shared" si="184"/>
        <v>1</v>
      </c>
      <c r="BL229" s="1">
        <f t="shared" si="185"/>
        <v>0</v>
      </c>
      <c r="BM229" s="1">
        <f t="shared" si="186"/>
        <v>1</v>
      </c>
      <c r="BN229" s="1">
        <f t="shared" si="187"/>
        <v>-1</v>
      </c>
      <c r="BO229" s="1">
        <f t="shared" si="188"/>
        <v>-1</v>
      </c>
      <c r="BP229" s="1">
        <f t="shared" si="189"/>
        <v>1</v>
      </c>
      <c r="BQ229" s="19">
        <f t="shared" si="190"/>
        <v>0.16666666666666666</v>
      </c>
      <c r="BR229" s="17">
        <f t="shared" si="191"/>
        <v>0.5</v>
      </c>
    </row>
    <row r="230" spans="1:70" x14ac:dyDescent="0.25">
      <c r="A230" t="s">
        <v>587</v>
      </c>
      <c r="C230">
        <v>1</v>
      </c>
      <c r="D230">
        <v>1</v>
      </c>
      <c r="G230">
        <v>1</v>
      </c>
      <c r="H230">
        <v>2</v>
      </c>
      <c r="J230">
        <v>1</v>
      </c>
      <c r="N230">
        <v>1</v>
      </c>
      <c r="R230">
        <v>1</v>
      </c>
      <c r="V230">
        <v>2</v>
      </c>
      <c r="W230" s="8" t="e">
        <f t="shared" si="144"/>
        <v>#DIV/0!</v>
      </c>
      <c r="X230" s="8">
        <f t="shared" si="145"/>
        <v>0</v>
      </c>
      <c r="Y230" s="8">
        <f t="shared" si="146"/>
        <v>-1</v>
      </c>
      <c r="Z230" s="8" t="e">
        <f t="shared" si="147"/>
        <v>#DIV/0!</v>
      </c>
      <c r="AA230" s="8" t="e">
        <f t="shared" si="148"/>
        <v>#DIV/0!</v>
      </c>
      <c r="AB230" s="8">
        <f t="shared" si="149"/>
        <v>1</v>
      </c>
      <c r="AC230" s="12" t="e">
        <f t="shared" si="150"/>
        <v>#DIV/0!</v>
      </c>
      <c r="AD230" s="12" t="e">
        <f t="shared" si="151"/>
        <v>#DIV/0!</v>
      </c>
      <c r="AE230" s="1">
        <f t="shared" si="152"/>
        <v>1</v>
      </c>
      <c r="AF230" s="1">
        <f t="shared" si="153"/>
        <v>0</v>
      </c>
      <c r="AG230" s="1">
        <f t="shared" si="154"/>
        <v>-1</v>
      </c>
      <c r="AH230" s="1">
        <f t="shared" si="155"/>
        <v>0</v>
      </c>
      <c r="AI230" s="1">
        <f t="shared" si="156"/>
        <v>1</v>
      </c>
      <c r="AJ230" s="1">
        <f t="shared" si="157"/>
        <v>1</v>
      </c>
      <c r="AK230" s="17">
        <f t="shared" si="158"/>
        <v>0.33333333333333331</v>
      </c>
      <c r="AL230" s="17">
        <f t="shared" si="159"/>
        <v>0.5</v>
      </c>
      <c r="AM230" s="1" t="e">
        <f t="shared" si="160"/>
        <v>#DIV/0!</v>
      </c>
      <c r="AN230" s="1">
        <f t="shared" si="161"/>
        <v>-1</v>
      </c>
      <c r="AO230" s="1" t="e">
        <f t="shared" si="162"/>
        <v>#DIV/0!</v>
      </c>
      <c r="AP230" s="1" t="e">
        <f t="shared" si="163"/>
        <v>#DIV/0!</v>
      </c>
      <c r="AQ230" s="1" t="e">
        <f t="shared" si="164"/>
        <v>#DIV/0!</v>
      </c>
      <c r="AR230" s="1">
        <f t="shared" si="165"/>
        <v>-1</v>
      </c>
      <c r="AS230" s="12" t="e">
        <f t="shared" si="166"/>
        <v>#DIV/0!</v>
      </c>
      <c r="AT230" s="12" t="e">
        <f t="shared" si="167"/>
        <v>#DIV/0!</v>
      </c>
      <c r="AU230" s="1">
        <f t="shared" si="168"/>
        <v>1</v>
      </c>
      <c r="AV230" s="1">
        <f t="shared" si="169"/>
        <v>-1</v>
      </c>
      <c r="AW230" s="1">
        <f t="shared" si="170"/>
        <v>0</v>
      </c>
      <c r="AX230" s="1">
        <f t="shared" si="171"/>
        <v>0</v>
      </c>
      <c r="AY230" s="1">
        <f t="shared" si="172"/>
        <v>1</v>
      </c>
      <c r="AZ230" s="1">
        <f t="shared" si="173"/>
        <v>-1</v>
      </c>
      <c r="BA230" s="19">
        <f t="shared" si="174"/>
        <v>0</v>
      </c>
      <c r="BB230" s="19">
        <f t="shared" si="175"/>
        <v>0</v>
      </c>
      <c r="BC230" s="9" t="e">
        <f t="shared" si="176"/>
        <v>#DIV/0!</v>
      </c>
      <c r="BD230" s="9" t="e">
        <f t="shared" si="177"/>
        <v>#DIV/0!</v>
      </c>
      <c r="BE230" s="9">
        <f t="shared" si="178"/>
        <v>-1</v>
      </c>
      <c r="BF230" s="9" t="e">
        <f t="shared" si="179"/>
        <v>#DIV/0!</v>
      </c>
      <c r="BG230" s="9" t="e">
        <f t="shared" si="180"/>
        <v>#DIV/0!</v>
      </c>
      <c r="BH230" s="9" t="e">
        <f t="shared" si="181"/>
        <v>#DIV/0!</v>
      </c>
      <c r="BI230" s="12" t="e">
        <f t="shared" si="182"/>
        <v>#DIV/0!</v>
      </c>
      <c r="BJ230" s="13" t="e">
        <f t="shared" si="183"/>
        <v>#DIV/0!</v>
      </c>
      <c r="BK230" s="1">
        <f t="shared" si="184"/>
        <v>0</v>
      </c>
      <c r="BL230" s="1">
        <f t="shared" si="185"/>
        <v>1</v>
      </c>
      <c r="BM230" s="1">
        <f t="shared" si="186"/>
        <v>-1</v>
      </c>
      <c r="BN230" s="1">
        <f t="shared" si="187"/>
        <v>0</v>
      </c>
      <c r="BO230" s="1">
        <f t="shared" si="188"/>
        <v>0</v>
      </c>
      <c r="BP230" s="1">
        <f t="shared" si="189"/>
        <v>2</v>
      </c>
      <c r="BQ230" s="19">
        <f t="shared" si="190"/>
        <v>0.33333333333333331</v>
      </c>
      <c r="BR230" s="17">
        <f t="shared" si="191"/>
        <v>0</v>
      </c>
    </row>
    <row r="231" spans="1:70" x14ac:dyDescent="0.25">
      <c r="A231" t="s">
        <v>597</v>
      </c>
      <c r="C231">
        <v>1</v>
      </c>
      <c r="D231">
        <v>1</v>
      </c>
      <c r="E231">
        <v>2</v>
      </c>
      <c r="G231">
        <v>1</v>
      </c>
      <c r="H231">
        <v>2</v>
      </c>
      <c r="J231">
        <v>1</v>
      </c>
      <c r="L231">
        <v>1</v>
      </c>
      <c r="N231">
        <v>1</v>
      </c>
      <c r="R231">
        <v>1</v>
      </c>
      <c r="S231">
        <v>1</v>
      </c>
      <c r="V231">
        <v>2</v>
      </c>
      <c r="W231" s="8" t="e">
        <f t="shared" si="144"/>
        <v>#DIV/0!</v>
      </c>
      <c r="X231" s="8">
        <f t="shared" si="145"/>
        <v>0</v>
      </c>
      <c r="Y231" s="8">
        <f t="shared" si="146"/>
        <v>1</v>
      </c>
      <c r="Z231" s="8">
        <f t="shared" si="147"/>
        <v>-1</v>
      </c>
      <c r="AA231" s="8" t="e">
        <f t="shared" si="148"/>
        <v>#DIV/0!</v>
      </c>
      <c r="AB231" s="8">
        <f t="shared" si="149"/>
        <v>1</v>
      </c>
      <c r="AC231" s="12" t="e">
        <f t="shared" si="150"/>
        <v>#DIV/0!</v>
      </c>
      <c r="AD231" s="12" t="e">
        <f t="shared" si="151"/>
        <v>#DIV/0!</v>
      </c>
      <c r="AE231" s="1">
        <f t="shared" si="152"/>
        <v>1</v>
      </c>
      <c r="AF231" s="1">
        <f t="shared" si="153"/>
        <v>0</v>
      </c>
      <c r="AG231" s="1">
        <f t="shared" si="154"/>
        <v>1</v>
      </c>
      <c r="AH231" s="1">
        <f t="shared" si="155"/>
        <v>-2</v>
      </c>
      <c r="AI231" s="1">
        <f t="shared" si="156"/>
        <v>1</v>
      </c>
      <c r="AJ231" s="1">
        <f t="shared" si="157"/>
        <v>1</v>
      </c>
      <c r="AK231" s="17">
        <f t="shared" si="158"/>
        <v>0.33333333333333331</v>
      </c>
      <c r="AL231" s="17">
        <f t="shared" si="159"/>
        <v>1</v>
      </c>
      <c r="AM231" s="1" t="e">
        <f t="shared" si="160"/>
        <v>#DIV/0!</v>
      </c>
      <c r="AN231" s="1">
        <f t="shared" si="161"/>
        <v>-1</v>
      </c>
      <c r="AO231" s="1" t="e">
        <f t="shared" si="162"/>
        <v>#DIV/0!</v>
      </c>
      <c r="AP231" s="1">
        <f t="shared" si="163"/>
        <v>-1</v>
      </c>
      <c r="AQ231" s="1" t="e">
        <f t="shared" si="164"/>
        <v>#DIV/0!</v>
      </c>
      <c r="AR231" s="1">
        <f t="shared" si="165"/>
        <v>-1</v>
      </c>
      <c r="AS231" s="12" t="e">
        <f t="shared" si="166"/>
        <v>#DIV/0!</v>
      </c>
      <c r="AT231" s="12" t="e">
        <f t="shared" si="167"/>
        <v>#DIV/0!</v>
      </c>
      <c r="AU231" s="1">
        <f t="shared" si="168"/>
        <v>1</v>
      </c>
      <c r="AV231" s="1">
        <f t="shared" si="169"/>
        <v>-1</v>
      </c>
      <c r="AW231" s="1">
        <f t="shared" si="170"/>
        <v>1</v>
      </c>
      <c r="AX231" s="1">
        <f t="shared" si="171"/>
        <v>-1</v>
      </c>
      <c r="AY231" s="1">
        <f t="shared" si="172"/>
        <v>1</v>
      </c>
      <c r="AZ231" s="1">
        <f t="shared" si="173"/>
        <v>-1</v>
      </c>
      <c r="BA231" s="19">
        <f t="shared" si="174"/>
        <v>0</v>
      </c>
      <c r="BB231" s="19">
        <f t="shared" si="175"/>
        <v>0</v>
      </c>
      <c r="BC231" s="9" t="e">
        <f t="shared" si="176"/>
        <v>#DIV/0!</v>
      </c>
      <c r="BD231" s="9" t="e">
        <f t="shared" si="177"/>
        <v>#DIV/0!</v>
      </c>
      <c r="BE231" s="9">
        <f t="shared" si="178"/>
        <v>0</v>
      </c>
      <c r="BF231" s="9">
        <f t="shared" si="179"/>
        <v>-1</v>
      </c>
      <c r="BG231" s="9" t="e">
        <f t="shared" si="180"/>
        <v>#DIV/0!</v>
      </c>
      <c r="BH231" s="9" t="e">
        <f t="shared" si="181"/>
        <v>#DIV/0!</v>
      </c>
      <c r="BI231" s="12" t="e">
        <f t="shared" si="182"/>
        <v>#DIV/0!</v>
      </c>
      <c r="BJ231" s="13" t="e">
        <f t="shared" si="183"/>
        <v>#DIV/0!</v>
      </c>
      <c r="BK231" s="1">
        <f t="shared" si="184"/>
        <v>0</v>
      </c>
      <c r="BL231" s="1">
        <f t="shared" si="185"/>
        <v>1</v>
      </c>
      <c r="BM231" s="1">
        <f t="shared" si="186"/>
        <v>0</v>
      </c>
      <c r="BN231" s="1">
        <f t="shared" si="187"/>
        <v>-1</v>
      </c>
      <c r="BO231" s="1">
        <f t="shared" si="188"/>
        <v>0</v>
      </c>
      <c r="BP231" s="1">
        <f t="shared" si="189"/>
        <v>2</v>
      </c>
      <c r="BQ231" s="19">
        <f t="shared" si="190"/>
        <v>0.33333333333333331</v>
      </c>
      <c r="BR231" s="17">
        <f t="shared" si="191"/>
        <v>0</v>
      </c>
    </row>
    <row r="232" spans="1:70" x14ac:dyDescent="0.25">
      <c r="A232" t="s">
        <v>598</v>
      </c>
      <c r="C232">
        <v>1</v>
      </c>
      <c r="H232">
        <v>2</v>
      </c>
      <c r="J232">
        <v>1</v>
      </c>
      <c r="V232">
        <v>2</v>
      </c>
      <c r="W232" s="8" t="e">
        <f t="shared" si="144"/>
        <v>#DIV/0!</v>
      </c>
      <c r="X232" s="8">
        <f t="shared" si="145"/>
        <v>-1</v>
      </c>
      <c r="Y232" s="8" t="e">
        <f t="shared" si="146"/>
        <v>#DIV/0!</v>
      </c>
      <c r="Z232" s="8" t="e">
        <f t="shared" si="147"/>
        <v>#DIV/0!</v>
      </c>
      <c r="AA232" s="8" t="e">
        <f t="shared" si="148"/>
        <v>#DIV/0!</v>
      </c>
      <c r="AB232" s="8" t="e">
        <f t="shared" si="149"/>
        <v>#DIV/0!</v>
      </c>
      <c r="AC232" s="12" t="e">
        <f t="shared" si="150"/>
        <v>#DIV/0!</v>
      </c>
      <c r="AD232" s="12" t="e">
        <f t="shared" si="151"/>
        <v>#DIV/0!</v>
      </c>
      <c r="AE232" s="1">
        <f t="shared" si="152"/>
        <v>1</v>
      </c>
      <c r="AF232" s="1">
        <f t="shared" si="153"/>
        <v>-1</v>
      </c>
      <c r="AG232" s="1">
        <f t="shared" si="154"/>
        <v>0</v>
      </c>
      <c r="AH232" s="1">
        <f t="shared" si="155"/>
        <v>0</v>
      </c>
      <c r="AI232" s="1">
        <f t="shared" si="156"/>
        <v>0</v>
      </c>
      <c r="AJ232" s="1">
        <f t="shared" si="157"/>
        <v>2</v>
      </c>
      <c r="AK232" s="17">
        <f t="shared" si="158"/>
        <v>0.33333333333333331</v>
      </c>
      <c r="AL232" s="17">
        <f t="shared" si="159"/>
        <v>0</v>
      </c>
      <c r="AM232" s="1" t="e">
        <f t="shared" si="160"/>
        <v>#DIV/0!</v>
      </c>
      <c r="AN232" s="1">
        <f t="shared" si="161"/>
        <v>-1</v>
      </c>
      <c r="AO232" s="1" t="e">
        <f t="shared" si="162"/>
        <v>#DIV/0!</v>
      </c>
      <c r="AP232" s="1" t="e">
        <f t="shared" si="163"/>
        <v>#DIV/0!</v>
      </c>
      <c r="AQ232" s="1" t="e">
        <f t="shared" si="164"/>
        <v>#DIV/0!</v>
      </c>
      <c r="AR232" s="1" t="e">
        <f t="shared" si="165"/>
        <v>#DIV/0!</v>
      </c>
      <c r="AS232" s="12" t="e">
        <f t="shared" si="166"/>
        <v>#DIV/0!</v>
      </c>
      <c r="AT232" s="12" t="e">
        <f t="shared" si="167"/>
        <v>#DIV/0!</v>
      </c>
      <c r="AU232" s="1">
        <f t="shared" si="168"/>
        <v>1</v>
      </c>
      <c r="AV232" s="1">
        <f t="shared" si="169"/>
        <v>-1</v>
      </c>
      <c r="AW232" s="1">
        <f t="shared" si="170"/>
        <v>0</v>
      </c>
      <c r="AX232" s="1">
        <f t="shared" si="171"/>
        <v>0</v>
      </c>
      <c r="AY232" s="1">
        <f t="shared" si="172"/>
        <v>0</v>
      </c>
      <c r="AZ232" s="1">
        <f t="shared" si="173"/>
        <v>0</v>
      </c>
      <c r="BA232" s="19">
        <f t="shared" si="174"/>
        <v>0</v>
      </c>
      <c r="BB232" s="19">
        <f t="shared" si="175"/>
        <v>0</v>
      </c>
      <c r="BC232" s="9" t="e">
        <f t="shared" si="176"/>
        <v>#DIV/0!</v>
      </c>
      <c r="BD232" s="9" t="e">
        <f t="shared" si="177"/>
        <v>#DIV/0!</v>
      </c>
      <c r="BE232" s="9" t="e">
        <f t="shared" si="178"/>
        <v>#DIV/0!</v>
      </c>
      <c r="BF232" s="9" t="e">
        <f t="shared" si="179"/>
        <v>#DIV/0!</v>
      </c>
      <c r="BG232" s="9" t="e">
        <f t="shared" si="180"/>
        <v>#DIV/0!</v>
      </c>
      <c r="BH232" s="9" t="e">
        <f t="shared" si="181"/>
        <v>#DIV/0!</v>
      </c>
      <c r="BI232" s="12" t="e">
        <f t="shared" si="182"/>
        <v>#DIV/0!</v>
      </c>
      <c r="BJ232" s="13" t="e">
        <f t="shared" si="183"/>
        <v>#DIV/0!</v>
      </c>
      <c r="BK232" s="1">
        <f t="shared" si="184"/>
        <v>0</v>
      </c>
      <c r="BL232" s="1">
        <f t="shared" si="185"/>
        <v>0</v>
      </c>
      <c r="BM232" s="1">
        <f t="shared" si="186"/>
        <v>0</v>
      </c>
      <c r="BN232" s="1">
        <f t="shared" si="187"/>
        <v>0</v>
      </c>
      <c r="BO232" s="1">
        <f t="shared" si="188"/>
        <v>0</v>
      </c>
      <c r="BP232" s="1">
        <f t="shared" si="189"/>
        <v>2</v>
      </c>
      <c r="BQ232" s="19">
        <f t="shared" si="190"/>
        <v>0.33333333333333331</v>
      </c>
      <c r="BR232" s="17">
        <f t="shared" si="191"/>
        <v>0</v>
      </c>
    </row>
    <row r="233" spans="1:70" x14ac:dyDescent="0.25">
      <c r="A233" t="s">
        <v>614</v>
      </c>
      <c r="C233">
        <v>1</v>
      </c>
      <c r="D233">
        <v>2</v>
      </c>
      <c r="E233">
        <v>1</v>
      </c>
      <c r="H233">
        <v>2</v>
      </c>
      <c r="J233">
        <v>1</v>
      </c>
      <c r="K233">
        <v>1</v>
      </c>
      <c r="O233">
        <v>2</v>
      </c>
      <c r="R233">
        <v>1</v>
      </c>
      <c r="S233">
        <v>1</v>
      </c>
      <c r="W233" s="8" t="e">
        <f t="shared" si="144"/>
        <v>#DIV/0!</v>
      </c>
      <c r="X233" s="8">
        <f t="shared" si="145"/>
        <v>1</v>
      </c>
      <c r="Y233" s="8">
        <f t="shared" si="146"/>
        <v>-0.5</v>
      </c>
      <c r="Z233" s="8">
        <f t="shared" si="147"/>
        <v>-1</v>
      </c>
      <c r="AA233" s="8" t="e">
        <f t="shared" si="148"/>
        <v>#DIV/0!</v>
      </c>
      <c r="AB233" s="8" t="e">
        <f t="shared" si="149"/>
        <v>#DIV/0!</v>
      </c>
      <c r="AC233" s="12" t="e">
        <f t="shared" si="150"/>
        <v>#DIV/0!</v>
      </c>
      <c r="AD233" s="12" t="e">
        <f t="shared" si="151"/>
        <v>#DIV/0!</v>
      </c>
      <c r="AE233" s="1">
        <f t="shared" si="152"/>
        <v>1</v>
      </c>
      <c r="AF233" s="1">
        <f t="shared" si="153"/>
        <v>1</v>
      </c>
      <c r="AG233" s="1">
        <f t="shared" si="154"/>
        <v>-1</v>
      </c>
      <c r="AH233" s="1">
        <f t="shared" si="155"/>
        <v>-1</v>
      </c>
      <c r="AI233" s="1">
        <f t="shared" si="156"/>
        <v>0</v>
      </c>
      <c r="AJ233" s="1">
        <f t="shared" si="157"/>
        <v>2</v>
      </c>
      <c r="AK233" s="17">
        <f t="shared" si="158"/>
        <v>0.33333333333333331</v>
      </c>
      <c r="AL233" s="17">
        <f t="shared" si="159"/>
        <v>0.5</v>
      </c>
      <c r="AM233" s="1" t="e">
        <f t="shared" si="160"/>
        <v>#DIV/0!</v>
      </c>
      <c r="AN233" s="1">
        <f t="shared" si="161"/>
        <v>0</v>
      </c>
      <c r="AO233" s="1">
        <f t="shared" si="162"/>
        <v>-1</v>
      </c>
      <c r="AP233" s="1" t="e">
        <f t="shared" si="163"/>
        <v>#DIV/0!</v>
      </c>
      <c r="AQ233" s="1" t="e">
        <f t="shared" si="164"/>
        <v>#DIV/0!</v>
      </c>
      <c r="AR233" s="1" t="e">
        <f t="shared" si="165"/>
        <v>#DIV/0!</v>
      </c>
      <c r="AS233" s="12" t="e">
        <f t="shared" si="166"/>
        <v>#DIV/0!</v>
      </c>
      <c r="AT233" s="12" t="e">
        <f t="shared" si="167"/>
        <v>#DIV/0!</v>
      </c>
      <c r="AU233" s="1">
        <f t="shared" si="168"/>
        <v>1</v>
      </c>
      <c r="AV233" s="1">
        <f t="shared" si="169"/>
        <v>0</v>
      </c>
      <c r="AW233" s="1">
        <f t="shared" si="170"/>
        <v>-1</v>
      </c>
      <c r="AX233" s="1">
        <f t="shared" si="171"/>
        <v>0</v>
      </c>
      <c r="AY233" s="1">
        <f t="shared" si="172"/>
        <v>0</v>
      </c>
      <c r="AZ233" s="1">
        <f t="shared" si="173"/>
        <v>2</v>
      </c>
      <c r="BA233" s="19">
        <f t="shared" si="174"/>
        <v>0.33333333333333331</v>
      </c>
      <c r="BB233" s="19">
        <f t="shared" si="175"/>
        <v>0</v>
      </c>
      <c r="BC233" s="9" t="e">
        <f t="shared" si="176"/>
        <v>#DIV/0!</v>
      </c>
      <c r="BD233" s="9" t="e">
        <f t="shared" si="177"/>
        <v>#DIV/0!</v>
      </c>
      <c r="BE233" s="9">
        <f t="shared" si="178"/>
        <v>0</v>
      </c>
      <c r="BF233" s="9">
        <f t="shared" si="179"/>
        <v>-1</v>
      </c>
      <c r="BG233" s="9" t="e">
        <f t="shared" si="180"/>
        <v>#DIV/0!</v>
      </c>
      <c r="BH233" s="9" t="e">
        <f t="shared" si="181"/>
        <v>#DIV/0!</v>
      </c>
      <c r="BI233" s="12" t="e">
        <f t="shared" si="182"/>
        <v>#DIV/0!</v>
      </c>
      <c r="BJ233" s="13" t="e">
        <f t="shared" si="183"/>
        <v>#DIV/0!</v>
      </c>
      <c r="BK233" s="1">
        <f t="shared" si="184"/>
        <v>0</v>
      </c>
      <c r="BL233" s="1">
        <f t="shared" si="185"/>
        <v>1</v>
      </c>
      <c r="BM233" s="1">
        <f t="shared" si="186"/>
        <v>0</v>
      </c>
      <c r="BN233" s="1">
        <f t="shared" si="187"/>
        <v>-1</v>
      </c>
      <c r="BO233" s="1">
        <f t="shared" si="188"/>
        <v>0</v>
      </c>
      <c r="BP233" s="1">
        <f t="shared" si="189"/>
        <v>0</v>
      </c>
      <c r="BQ233" s="19">
        <f t="shared" si="190"/>
        <v>0</v>
      </c>
      <c r="BR233" s="17">
        <f t="shared" si="191"/>
        <v>0</v>
      </c>
    </row>
    <row r="234" spans="1:70" x14ac:dyDescent="0.25">
      <c r="A234" t="s">
        <v>627</v>
      </c>
      <c r="D234">
        <v>1</v>
      </c>
      <c r="H234">
        <v>2</v>
      </c>
      <c r="K234">
        <v>1</v>
      </c>
      <c r="O234">
        <v>1</v>
      </c>
      <c r="V234">
        <v>1</v>
      </c>
      <c r="W234" s="8" t="e">
        <f t="shared" si="144"/>
        <v>#DIV/0!</v>
      </c>
      <c r="X234" s="8" t="e">
        <f t="shared" si="145"/>
        <v>#DIV/0!</v>
      </c>
      <c r="Y234" s="8">
        <f t="shared" si="146"/>
        <v>-1</v>
      </c>
      <c r="Z234" s="8" t="e">
        <f t="shared" si="147"/>
        <v>#DIV/0!</v>
      </c>
      <c r="AA234" s="8" t="e">
        <f t="shared" si="148"/>
        <v>#DIV/0!</v>
      </c>
      <c r="AB234" s="8" t="e">
        <f t="shared" si="149"/>
        <v>#DIV/0!</v>
      </c>
      <c r="AC234" s="12" t="e">
        <f t="shared" si="150"/>
        <v>#DIV/0!</v>
      </c>
      <c r="AD234" s="12" t="e">
        <f t="shared" si="151"/>
        <v>#DIV/0!</v>
      </c>
      <c r="AE234" s="1">
        <f t="shared" si="152"/>
        <v>0</v>
      </c>
      <c r="AF234" s="1">
        <f t="shared" si="153"/>
        <v>1</v>
      </c>
      <c r="AG234" s="1">
        <f t="shared" si="154"/>
        <v>-1</v>
      </c>
      <c r="AH234" s="1">
        <f t="shared" si="155"/>
        <v>0</v>
      </c>
      <c r="AI234" s="1">
        <f t="shared" si="156"/>
        <v>0</v>
      </c>
      <c r="AJ234" s="1">
        <f t="shared" si="157"/>
        <v>2</v>
      </c>
      <c r="AK234" s="17">
        <f t="shared" si="158"/>
        <v>0.33333333333333331</v>
      </c>
      <c r="AL234" s="17">
        <f t="shared" si="159"/>
        <v>0</v>
      </c>
      <c r="AM234" s="1" t="e">
        <f t="shared" si="160"/>
        <v>#DIV/0!</v>
      </c>
      <c r="AN234" s="1" t="e">
        <f t="shared" si="161"/>
        <v>#DIV/0!</v>
      </c>
      <c r="AO234" s="1">
        <f t="shared" si="162"/>
        <v>-1</v>
      </c>
      <c r="AP234" s="1" t="e">
        <f t="shared" si="163"/>
        <v>#DIV/0!</v>
      </c>
      <c r="AQ234" s="1" t="e">
        <f t="shared" si="164"/>
        <v>#DIV/0!</v>
      </c>
      <c r="AR234" s="1" t="e">
        <f t="shared" si="165"/>
        <v>#DIV/0!</v>
      </c>
      <c r="AS234" s="12" t="e">
        <f t="shared" si="166"/>
        <v>#DIV/0!</v>
      </c>
      <c r="AT234" s="12" t="e">
        <f t="shared" si="167"/>
        <v>#DIV/0!</v>
      </c>
      <c r="AU234" s="1">
        <f t="shared" si="168"/>
        <v>0</v>
      </c>
      <c r="AV234" s="1">
        <f t="shared" si="169"/>
        <v>1</v>
      </c>
      <c r="AW234" s="1">
        <f t="shared" si="170"/>
        <v>-1</v>
      </c>
      <c r="AX234" s="1">
        <f t="shared" si="171"/>
        <v>0</v>
      </c>
      <c r="AY234" s="1">
        <f t="shared" si="172"/>
        <v>0</v>
      </c>
      <c r="AZ234" s="1">
        <f t="shared" si="173"/>
        <v>1</v>
      </c>
      <c r="BA234" s="19">
        <f t="shared" si="174"/>
        <v>0.16666666666666666</v>
      </c>
      <c r="BB234" s="19">
        <f t="shared" si="175"/>
        <v>0</v>
      </c>
      <c r="BC234" s="9" t="e">
        <f t="shared" si="176"/>
        <v>#DIV/0!</v>
      </c>
      <c r="BD234" s="9" t="e">
        <f t="shared" si="177"/>
        <v>#DIV/0!</v>
      </c>
      <c r="BE234" s="9" t="e">
        <f t="shared" si="178"/>
        <v>#DIV/0!</v>
      </c>
      <c r="BF234" s="9" t="e">
        <f t="shared" si="179"/>
        <v>#DIV/0!</v>
      </c>
      <c r="BG234" s="9" t="e">
        <f t="shared" si="180"/>
        <v>#DIV/0!</v>
      </c>
      <c r="BH234" s="9" t="e">
        <f t="shared" si="181"/>
        <v>#DIV/0!</v>
      </c>
      <c r="BI234" s="12" t="e">
        <f t="shared" si="182"/>
        <v>#DIV/0!</v>
      </c>
      <c r="BJ234" s="13" t="e">
        <f t="shared" si="183"/>
        <v>#DIV/0!</v>
      </c>
      <c r="BK234" s="1">
        <f t="shared" si="184"/>
        <v>0</v>
      </c>
      <c r="BL234" s="1">
        <f t="shared" si="185"/>
        <v>0</v>
      </c>
      <c r="BM234" s="1">
        <f t="shared" si="186"/>
        <v>0</v>
      </c>
      <c r="BN234" s="1">
        <f t="shared" si="187"/>
        <v>0</v>
      </c>
      <c r="BO234" s="1">
        <f t="shared" si="188"/>
        <v>0</v>
      </c>
      <c r="BP234" s="1">
        <f t="shared" si="189"/>
        <v>1</v>
      </c>
      <c r="BQ234" s="19">
        <f t="shared" si="190"/>
        <v>0.16666666666666666</v>
      </c>
      <c r="BR234" s="17">
        <f t="shared" si="191"/>
        <v>0</v>
      </c>
    </row>
    <row r="235" spans="1:70" x14ac:dyDescent="0.25">
      <c r="A235" t="s">
        <v>635</v>
      </c>
      <c r="D235">
        <v>1</v>
      </c>
      <c r="E235">
        <v>2</v>
      </c>
      <c r="F235">
        <v>3</v>
      </c>
      <c r="H235">
        <v>2</v>
      </c>
      <c r="M235">
        <v>3</v>
      </c>
      <c r="O235">
        <v>1</v>
      </c>
      <c r="R235">
        <v>1</v>
      </c>
      <c r="S235">
        <v>2</v>
      </c>
      <c r="V235">
        <v>1</v>
      </c>
      <c r="W235" s="8" t="e">
        <f t="shared" si="144"/>
        <v>#DIV/0!</v>
      </c>
      <c r="X235" s="8" t="e">
        <f t="shared" si="145"/>
        <v>#DIV/0!</v>
      </c>
      <c r="Y235" s="8">
        <f t="shared" si="146"/>
        <v>1</v>
      </c>
      <c r="Z235" s="8">
        <f t="shared" si="147"/>
        <v>0.5</v>
      </c>
      <c r="AA235" s="8">
        <f t="shared" si="148"/>
        <v>-1</v>
      </c>
      <c r="AB235" s="8" t="e">
        <f t="shared" si="149"/>
        <v>#DIV/0!</v>
      </c>
      <c r="AC235" s="12" t="e">
        <f t="shared" si="150"/>
        <v>#DIV/0!</v>
      </c>
      <c r="AD235" s="12" t="e">
        <f t="shared" si="151"/>
        <v>#DIV/0!</v>
      </c>
      <c r="AE235" s="1">
        <f t="shared" si="152"/>
        <v>0</v>
      </c>
      <c r="AF235" s="1">
        <f t="shared" si="153"/>
        <v>1</v>
      </c>
      <c r="AG235" s="1">
        <f t="shared" si="154"/>
        <v>1</v>
      </c>
      <c r="AH235" s="1">
        <f t="shared" si="155"/>
        <v>1</v>
      </c>
      <c r="AI235" s="1">
        <f t="shared" si="156"/>
        <v>-3</v>
      </c>
      <c r="AJ235" s="1">
        <f t="shared" si="157"/>
        <v>2</v>
      </c>
      <c r="AK235" s="17">
        <f t="shared" si="158"/>
        <v>0.33333333333333331</v>
      </c>
      <c r="AL235" s="17">
        <f t="shared" si="159"/>
        <v>1</v>
      </c>
      <c r="AM235" s="1" t="e">
        <f t="shared" si="160"/>
        <v>#DIV/0!</v>
      </c>
      <c r="AN235" s="1" t="e">
        <f t="shared" si="161"/>
        <v>#DIV/0!</v>
      </c>
      <c r="AO235" s="1" t="e">
        <f t="shared" si="162"/>
        <v>#DIV/0!</v>
      </c>
      <c r="AP235" s="1" t="e">
        <f t="shared" si="163"/>
        <v>#DIV/0!</v>
      </c>
      <c r="AQ235" s="1">
        <f t="shared" si="164"/>
        <v>-1</v>
      </c>
      <c r="AR235" s="1" t="e">
        <f t="shared" si="165"/>
        <v>#DIV/0!</v>
      </c>
      <c r="AS235" s="12" t="e">
        <f t="shared" si="166"/>
        <v>#DIV/0!</v>
      </c>
      <c r="AT235" s="12" t="e">
        <f t="shared" si="167"/>
        <v>#DIV/0!</v>
      </c>
      <c r="AU235" s="1">
        <f t="shared" si="168"/>
        <v>0</v>
      </c>
      <c r="AV235" s="1">
        <f t="shared" si="169"/>
        <v>0</v>
      </c>
      <c r="AW235" s="1">
        <f t="shared" si="170"/>
        <v>0</v>
      </c>
      <c r="AX235" s="1">
        <f t="shared" si="171"/>
        <v>3</v>
      </c>
      <c r="AY235" s="1">
        <f t="shared" si="172"/>
        <v>-3</v>
      </c>
      <c r="AZ235" s="1">
        <f t="shared" si="173"/>
        <v>1</v>
      </c>
      <c r="BA235" s="19">
        <f t="shared" si="174"/>
        <v>0.16666666666666666</v>
      </c>
      <c r="BB235" s="19">
        <f t="shared" si="175"/>
        <v>0</v>
      </c>
      <c r="BC235" s="9" t="e">
        <f t="shared" si="176"/>
        <v>#DIV/0!</v>
      </c>
      <c r="BD235" s="9" t="e">
        <f t="shared" si="177"/>
        <v>#DIV/0!</v>
      </c>
      <c r="BE235" s="9">
        <f t="shared" si="178"/>
        <v>1</v>
      </c>
      <c r="BF235" s="9">
        <f t="shared" si="179"/>
        <v>-1</v>
      </c>
      <c r="BG235" s="9" t="e">
        <f t="shared" si="180"/>
        <v>#DIV/0!</v>
      </c>
      <c r="BH235" s="9" t="e">
        <f t="shared" si="181"/>
        <v>#DIV/0!</v>
      </c>
      <c r="BI235" s="12" t="e">
        <f t="shared" si="182"/>
        <v>#DIV/0!</v>
      </c>
      <c r="BJ235" s="13" t="e">
        <f t="shared" si="183"/>
        <v>#DIV/0!</v>
      </c>
      <c r="BK235" s="1">
        <f t="shared" si="184"/>
        <v>0</v>
      </c>
      <c r="BL235" s="1">
        <f t="shared" si="185"/>
        <v>1</v>
      </c>
      <c r="BM235" s="1">
        <f t="shared" si="186"/>
        <v>1</v>
      </c>
      <c r="BN235" s="1">
        <f t="shared" si="187"/>
        <v>-2</v>
      </c>
      <c r="BO235" s="1">
        <f t="shared" si="188"/>
        <v>0</v>
      </c>
      <c r="BP235" s="1">
        <f t="shared" si="189"/>
        <v>1</v>
      </c>
      <c r="BQ235" s="19">
        <f t="shared" si="190"/>
        <v>0.16666666666666666</v>
      </c>
      <c r="BR235" s="17">
        <f t="shared" si="191"/>
        <v>0.5</v>
      </c>
    </row>
    <row r="236" spans="1:70" x14ac:dyDescent="0.25">
      <c r="A236" t="s">
        <v>647</v>
      </c>
      <c r="E236">
        <v>1</v>
      </c>
      <c r="H236">
        <v>2</v>
      </c>
      <c r="O236">
        <v>1</v>
      </c>
      <c r="S236">
        <v>1</v>
      </c>
      <c r="V236">
        <v>1</v>
      </c>
      <c r="W236" s="8" t="e">
        <f t="shared" si="144"/>
        <v>#DIV/0!</v>
      </c>
      <c r="X236" s="8" t="e">
        <f t="shared" si="145"/>
        <v>#DIV/0!</v>
      </c>
      <c r="Y236" s="8" t="e">
        <f t="shared" si="146"/>
        <v>#DIV/0!</v>
      </c>
      <c r="Z236" s="8">
        <f t="shared" si="147"/>
        <v>-1</v>
      </c>
      <c r="AA236" s="8" t="e">
        <f t="shared" si="148"/>
        <v>#DIV/0!</v>
      </c>
      <c r="AB236" s="8" t="e">
        <f t="shared" si="149"/>
        <v>#DIV/0!</v>
      </c>
      <c r="AC236" s="12" t="e">
        <f t="shared" si="150"/>
        <v>#DIV/0!</v>
      </c>
      <c r="AD236" s="12" t="e">
        <f t="shared" si="151"/>
        <v>#DIV/0!</v>
      </c>
      <c r="AE236" s="1">
        <f t="shared" si="152"/>
        <v>0</v>
      </c>
      <c r="AF236" s="1">
        <f t="shared" si="153"/>
        <v>0</v>
      </c>
      <c r="AG236" s="1">
        <f t="shared" si="154"/>
        <v>1</v>
      </c>
      <c r="AH236" s="1">
        <f t="shared" si="155"/>
        <v>-1</v>
      </c>
      <c r="AI236" s="1">
        <f t="shared" si="156"/>
        <v>0</v>
      </c>
      <c r="AJ236" s="1">
        <f t="shared" si="157"/>
        <v>2</v>
      </c>
      <c r="AK236" s="17">
        <f t="shared" si="158"/>
        <v>0.33333333333333331</v>
      </c>
      <c r="AL236" s="17">
        <f t="shared" si="159"/>
        <v>0</v>
      </c>
      <c r="AM236" s="1" t="e">
        <f t="shared" si="160"/>
        <v>#DIV/0!</v>
      </c>
      <c r="AN236" s="1" t="e">
        <f t="shared" si="161"/>
        <v>#DIV/0!</v>
      </c>
      <c r="AO236" s="1" t="e">
        <f t="shared" si="162"/>
        <v>#DIV/0!</v>
      </c>
      <c r="AP236" s="1" t="e">
        <f t="shared" si="163"/>
        <v>#DIV/0!</v>
      </c>
      <c r="AQ236" s="1" t="e">
        <f t="shared" si="164"/>
        <v>#DIV/0!</v>
      </c>
      <c r="AR236" s="1" t="e">
        <f t="shared" si="165"/>
        <v>#DIV/0!</v>
      </c>
      <c r="AS236" s="12" t="e">
        <f t="shared" si="166"/>
        <v>#DIV/0!</v>
      </c>
      <c r="AT236" s="12" t="e">
        <f t="shared" si="167"/>
        <v>#DIV/0!</v>
      </c>
      <c r="AU236" s="1">
        <f t="shared" si="168"/>
        <v>0</v>
      </c>
      <c r="AV236" s="1">
        <f t="shared" si="169"/>
        <v>0</v>
      </c>
      <c r="AW236" s="1">
        <f t="shared" si="170"/>
        <v>0</v>
      </c>
      <c r="AX236" s="1">
        <f t="shared" si="171"/>
        <v>0</v>
      </c>
      <c r="AY236" s="1">
        <f t="shared" si="172"/>
        <v>0</v>
      </c>
      <c r="AZ236" s="1">
        <f t="shared" si="173"/>
        <v>1</v>
      </c>
      <c r="BA236" s="19">
        <f t="shared" si="174"/>
        <v>0.16666666666666666</v>
      </c>
      <c r="BB236" s="19">
        <f t="shared" si="175"/>
        <v>0</v>
      </c>
      <c r="BC236" s="9" t="e">
        <f t="shared" si="176"/>
        <v>#DIV/0!</v>
      </c>
      <c r="BD236" s="9" t="e">
        <f t="shared" si="177"/>
        <v>#DIV/0!</v>
      </c>
      <c r="BE236" s="9" t="e">
        <f t="shared" si="178"/>
        <v>#DIV/0!</v>
      </c>
      <c r="BF236" s="9">
        <f t="shared" si="179"/>
        <v>-1</v>
      </c>
      <c r="BG236" s="9" t="e">
        <f t="shared" si="180"/>
        <v>#DIV/0!</v>
      </c>
      <c r="BH236" s="9" t="e">
        <f t="shared" si="181"/>
        <v>#DIV/0!</v>
      </c>
      <c r="BI236" s="12" t="e">
        <f t="shared" si="182"/>
        <v>#DIV/0!</v>
      </c>
      <c r="BJ236" s="13" t="e">
        <f t="shared" si="183"/>
        <v>#DIV/0!</v>
      </c>
      <c r="BK236" s="1">
        <f t="shared" si="184"/>
        <v>0</v>
      </c>
      <c r="BL236" s="1">
        <f t="shared" si="185"/>
        <v>0</v>
      </c>
      <c r="BM236" s="1">
        <f t="shared" si="186"/>
        <v>1</v>
      </c>
      <c r="BN236" s="1">
        <f t="shared" si="187"/>
        <v>-1</v>
      </c>
      <c r="BO236" s="1">
        <f t="shared" si="188"/>
        <v>0</v>
      </c>
      <c r="BP236" s="1">
        <f t="shared" si="189"/>
        <v>1</v>
      </c>
      <c r="BQ236" s="19">
        <f t="shared" si="190"/>
        <v>0.16666666666666666</v>
      </c>
      <c r="BR236" s="17">
        <f t="shared" si="191"/>
        <v>0</v>
      </c>
    </row>
    <row r="237" spans="1:70" x14ac:dyDescent="0.25">
      <c r="A237" t="s">
        <v>664</v>
      </c>
      <c r="F237">
        <v>1</v>
      </c>
      <c r="H237">
        <v>2</v>
      </c>
      <c r="O237">
        <v>1</v>
      </c>
      <c r="T237">
        <v>1</v>
      </c>
      <c r="V237">
        <v>1</v>
      </c>
      <c r="W237" s="8" t="e">
        <f t="shared" si="144"/>
        <v>#DIV/0!</v>
      </c>
      <c r="X237" s="8" t="e">
        <f t="shared" si="145"/>
        <v>#DIV/0!</v>
      </c>
      <c r="Y237" s="8" t="e">
        <f t="shared" si="146"/>
        <v>#DIV/0!</v>
      </c>
      <c r="Z237" s="8" t="e">
        <f t="shared" si="147"/>
        <v>#DIV/0!</v>
      </c>
      <c r="AA237" s="8">
        <f t="shared" si="148"/>
        <v>-1</v>
      </c>
      <c r="AB237" s="8" t="e">
        <f t="shared" si="149"/>
        <v>#DIV/0!</v>
      </c>
      <c r="AC237" s="12" t="e">
        <f t="shared" si="150"/>
        <v>#DIV/0!</v>
      </c>
      <c r="AD237" s="12" t="e">
        <f t="shared" si="151"/>
        <v>#DIV/0!</v>
      </c>
      <c r="AE237" s="1">
        <f t="shared" si="152"/>
        <v>0</v>
      </c>
      <c r="AF237" s="1">
        <f t="shared" si="153"/>
        <v>0</v>
      </c>
      <c r="AG237" s="1">
        <f t="shared" si="154"/>
        <v>0</v>
      </c>
      <c r="AH237" s="1">
        <f t="shared" si="155"/>
        <v>1</v>
      </c>
      <c r="AI237" s="1">
        <f t="shared" si="156"/>
        <v>-1</v>
      </c>
      <c r="AJ237" s="1">
        <f t="shared" si="157"/>
        <v>2</v>
      </c>
      <c r="AK237" s="17">
        <f t="shared" si="158"/>
        <v>0.33333333333333331</v>
      </c>
      <c r="AL237" s="17">
        <f t="shared" si="159"/>
        <v>0</v>
      </c>
      <c r="AM237" s="1" t="e">
        <f t="shared" si="160"/>
        <v>#DIV/0!</v>
      </c>
      <c r="AN237" s="1" t="e">
        <f t="shared" si="161"/>
        <v>#DIV/0!</v>
      </c>
      <c r="AO237" s="1" t="e">
        <f t="shared" si="162"/>
        <v>#DIV/0!</v>
      </c>
      <c r="AP237" s="1" t="e">
        <f t="shared" si="163"/>
        <v>#DIV/0!</v>
      </c>
      <c r="AQ237" s="1" t="e">
        <f t="shared" si="164"/>
        <v>#DIV/0!</v>
      </c>
      <c r="AR237" s="1" t="e">
        <f t="shared" si="165"/>
        <v>#DIV/0!</v>
      </c>
      <c r="AS237" s="12" t="e">
        <f t="shared" si="166"/>
        <v>#DIV/0!</v>
      </c>
      <c r="AT237" s="12" t="e">
        <f t="shared" si="167"/>
        <v>#DIV/0!</v>
      </c>
      <c r="AU237" s="1">
        <f t="shared" si="168"/>
        <v>0</v>
      </c>
      <c r="AV237" s="1">
        <f t="shared" si="169"/>
        <v>0</v>
      </c>
      <c r="AW237" s="1">
        <f t="shared" si="170"/>
        <v>0</v>
      </c>
      <c r="AX237" s="1">
        <f t="shared" si="171"/>
        <v>0</v>
      </c>
      <c r="AY237" s="1">
        <f t="shared" si="172"/>
        <v>0</v>
      </c>
      <c r="AZ237" s="1">
        <f t="shared" si="173"/>
        <v>1</v>
      </c>
      <c r="BA237" s="19">
        <f t="shared" si="174"/>
        <v>0.16666666666666666</v>
      </c>
      <c r="BB237" s="19">
        <f t="shared" si="175"/>
        <v>0</v>
      </c>
      <c r="BC237" s="9" t="e">
        <f t="shared" si="176"/>
        <v>#DIV/0!</v>
      </c>
      <c r="BD237" s="9" t="e">
        <f t="shared" si="177"/>
        <v>#DIV/0!</v>
      </c>
      <c r="BE237" s="9" t="e">
        <f t="shared" si="178"/>
        <v>#DIV/0!</v>
      </c>
      <c r="BF237" s="9" t="e">
        <f t="shared" si="179"/>
        <v>#DIV/0!</v>
      </c>
      <c r="BG237" s="9">
        <f t="shared" si="180"/>
        <v>-1</v>
      </c>
      <c r="BH237" s="9" t="e">
        <f t="shared" si="181"/>
        <v>#DIV/0!</v>
      </c>
      <c r="BI237" s="12" t="e">
        <f t="shared" si="182"/>
        <v>#DIV/0!</v>
      </c>
      <c r="BJ237" s="13" t="e">
        <f t="shared" si="183"/>
        <v>#DIV/0!</v>
      </c>
      <c r="BK237" s="1">
        <f t="shared" si="184"/>
        <v>0</v>
      </c>
      <c r="BL237" s="1">
        <f t="shared" si="185"/>
        <v>0</v>
      </c>
      <c r="BM237" s="1">
        <f t="shared" si="186"/>
        <v>0</v>
      </c>
      <c r="BN237" s="1">
        <f t="shared" si="187"/>
        <v>1</v>
      </c>
      <c r="BO237" s="1">
        <f t="shared" si="188"/>
        <v>-1</v>
      </c>
      <c r="BP237" s="1">
        <f t="shared" si="189"/>
        <v>1</v>
      </c>
      <c r="BQ237" s="19">
        <f t="shared" si="190"/>
        <v>0.16666666666666666</v>
      </c>
      <c r="BR237" s="17">
        <f t="shared" si="191"/>
        <v>0</v>
      </c>
    </row>
    <row r="238" spans="1:70" x14ac:dyDescent="0.25">
      <c r="A238" t="s">
        <v>242</v>
      </c>
      <c r="B238">
        <v>20</v>
      </c>
      <c r="C238">
        <v>20</v>
      </c>
      <c r="D238">
        <v>19</v>
      </c>
      <c r="E238">
        <v>21</v>
      </c>
      <c r="F238">
        <v>23</v>
      </c>
      <c r="G238">
        <v>22</v>
      </c>
      <c r="H238">
        <v>21</v>
      </c>
      <c r="P238">
        <v>20</v>
      </c>
      <c r="Q238">
        <v>20</v>
      </c>
      <c r="R238">
        <v>19</v>
      </c>
      <c r="S238">
        <v>21</v>
      </c>
      <c r="T238">
        <v>23</v>
      </c>
      <c r="U238">
        <v>22</v>
      </c>
      <c r="V238">
        <v>21</v>
      </c>
      <c r="W238" s="8">
        <f t="shared" si="144"/>
        <v>0</v>
      </c>
      <c r="X238" s="8">
        <f t="shared" si="145"/>
        <v>-0.05</v>
      </c>
      <c r="Y238" s="8">
        <f t="shared" si="146"/>
        <v>0.10526315789473684</v>
      </c>
      <c r="Z238" s="8">
        <f t="shared" si="147"/>
        <v>9.5238095238095233E-2</v>
      </c>
      <c r="AA238" s="8">
        <f t="shared" si="148"/>
        <v>-4.3478260869565216E-2</v>
      </c>
      <c r="AB238" s="8">
        <f t="shared" si="149"/>
        <v>-4.5454545454545456E-2</v>
      </c>
      <c r="AC238" s="12">
        <f t="shared" si="150"/>
        <v>1.0261407801453569E-2</v>
      </c>
      <c r="AD238" s="12">
        <f t="shared" si="151"/>
        <v>-2.1739130434782608E-2</v>
      </c>
      <c r="AE238" s="1">
        <f t="shared" si="152"/>
        <v>0</v>
      </c>
      <c r="AF238" s="1">
        <f t="shared" si="153"/>
        <v>-1</v>
      </c>
      <c r="AG238" s="1">
        <f t="shared" si="154"/>
        <v>2</v>
      </c>
      <c r="AH238" s="1">
        <f t="shared" si="155"/>
        <v>2</v>
      </c>
      <c r="AI238" s="1">
        <f t="shared" si="156"/>
        <v>-1</v>
      </c>
      <c r="AJ238" s="1">
        <f t="shared" si="157"/>
        <v>-1</v>
      </c>
      <c r="AK238" s="17">
        <f t="shared" si="158"/>
        <v>0.16666666666666666</v>
      </c>
      <c r="AL238" s="17">
        <f t="shared" si="159"/>
        <v>-0.5</v>
      </c>
      <c r="AM238" s="1" t="e">
        <f t="shared" si="160"/>
        <v>#DIV/0!</v>
      </c>
      <c r="AN238" s="1" t="e">
        <f t="shared" si="161"/>
        <v>#DIV/0!</v>
      </c>
      <c r="AO238" s="1" t="e">
        <f t="shared" si="162"/>
        <v>#DIV/0!</v>
      </c>
      <c r="AP238" s="1" t="e">
        <f t="shared" si="163"/>
        <v>#DIV/0!</v>
      </c>
      <c r="AQ238" s="1" t="e">
        <f t="shared" si="164"/>
        <v>#DIV/0!</v>
      </c>
      <c r="AR238" s="1" t="e">
        <f t="shared" si="165"/>
        <v>#DIV/0!</v>
      </c>
      <c r="AS238" s="12" t="e">
        <f t="shared" si="166"/>
        <v>#DIV/0!</v>
      </c>
      <c r="AT238" s="12" t="e">
        <f t="shared" si="167"/>
        <v>#DIV/0!</v>
      </c>
      <c r="AU238" s="1">
        <f t="shared" si="168"/>
        <v>0</v>
      </c>
      <c r="AV238" s="1">
        <f t="shared" si="169"/>
        <v>0</v>
      </c>
      <c r="AW238" s="1">
        <f t="shared" si="170"/>
        <v>0</v>
      </c>
      <c r="AX238" s="1">
        <f t="shared" si="171"/>
        <v>0</v>
      </c>
      <c r="AY238" s="1">
        <f t="shared" si="172"/>
        <v>0</v>
      </c>
      <c r="AZ238" s="1">
        <f t="shared" si="173"/>
        <v>0</v>
      </c>
      <c r="BA238" s="19">
        <f t="shared" si="174"/>
        <v>0</v>
      </c>
      <c r="BB238" s="19">
        <f t="shared" si="175"/>
        <v>0</v>
      </c>
      <c r="BC238" s="9">
        <f t="shared" si="176"/>
        <v>0</v>
      </c>
      <c r="BD238" s="9">
        <f t="shared" si="177"/>
        <v>-0.05</v>
      </c>
      <c r="BE238" s="9">
        <f t="shared" si="178"/>
        <v>0.10526315789473684</v>
      </c>
      <c r="BF238" s="9">
        <f t="shared" si="179"/>
        <v>9.5238095238095233E-2</v>
      </c>
      <c r="BG238" s="9">
        <f t="shared" si="180"/>
        <v>-4.3478260869565216E-2</v>
      </c>
      <c r="BH238" s="9">
        <f t="shared" si="181"/>
        <v>-4.5454545454545456E-2</v>
      </c>
      <c r="BI238" s="12">
        <f t="shared" si="182"/>
        <v>1.0261407801453569E-2</v>
      </c>
      <c r="BJ238" s="13">
        <f t="shared" si="183"/>
        <v>-2.1739130434782608E-2</v>
      </c>
      <c r="BK238" s="1">
        <f t="shared" si="184"/>
        <v>0</v>
      </c>
      <c r="BL238" s="1">
        <f t="shared" si="185"/>
        <v>-1</v>
      </c>
      <c r="BM238" s="1">
        <f t="shared" si="186"/>
        <v>2</v>
      </c>
      <c r="BN238" s="1">
        <f t="shared" si="187"/>
        <v>2</v>
      </c>
      <c r="BO238" s="1">
        <f t="shared" si="188"/>
        <v>-1</v>
      </c>
      <c r="BP238" s="1">
        <f t="shared" si="189"/>
        <v>-1</v>
      </c>
      <c r="BQ238" s="19">
        <f t="shared" si="190"/>
        <v>0.16666666666666666</v>
      </c>
      <c r="BR238" s="17">
        <f t="shared" si="191"/>
        <v>-0.5</v>
      </c>
    </row>
    <row r="239" spans="1:70" x14ac:dyDescent="0.25">
      <c r="A239" t="s">
        <v>293</v>
      </c>
      <c r="B239">
        <v>12</v>
      </c>
      <c r="C239">
        <v>11</v>
      </c>
      <c r="D239">
        <v>15</v>
      </c>
      <c r="E239">
        <v>12</v>
      </c>
      <c r="F239">
        <v>10</v>
      </c>
      <c r="G239">
        <v>14</v>
      </c>
      <c r="H239">
        <v>13</v>
      </c>
      <c r="I239">
        <v>3</v>
      </c>
      <c r="J239">
        <v>3</v>
      </c>
      <c r="K239">
        <v>5</v>
      </c>
      <c r="L239">
        <v>6</v>
      </c>
      <c r="M239">
        <v>6</v>
      </c>
      <c r="N239">
        <v>6</v>
      </c>
      <c r="O239">
        <v>6</v>
      </c>
      <c r="P239">
        <v>9</v>
      </c>
      <c r="Q239">
        <v>8</v>
      </c>
      <c r="R239">
        <v>10</v>
      </c>
      <c r="S239">
        <v>6</v>
      </c>
      <c r="T239">
        <v>4</v>
      </c>
      <c r="U239">
        <v>8</v>
      </c>
      <c r="V239">
        <v>7</v>
      </c>
      <c r="W239" s="8">
        <f t="shared" si="144"/>
        <v>-8.3333333333333329E-2</v>
      </c>
      <c r="X239" s="8">
        <f t="shared" si="145"/>
        <v>0.36363636363636365</v>
      </c>
      <c r="Y239" s="8">
        <f t="shared" si="146"/>
        <v>-0.2</v>
      </c>
      <c r="Z239" s="8">
        <f t="shared" si="147"/>
        <v>-0.16666666666666666</v>
      </c>
      <c r="AA239" s="8">
        <f t="shared" si="148"/>
        <v>0.4</v>
      </c>
      <c r="AB239" s="8">
        <f t="shared" si="149"/>
        <v>-7.1428571428571425E-2</v>
      </c>
      <c r="AC239" s="12">
        <f t="shared" si="150"/>
        <v>4.0367965367965379E-2</v>
      </c>
      <c r="AD239" s="12">
        <f t="shared" si="151"/>
        <v>-7.7380952380952384E-2</v>
      </c>
      <c r="AE239" s="1">
        <f t="shared" si="152"/>
        <v>-1</v>
      </c>
      <c r="AF239" s="1">
        <f t="shared" si="153"/>
        <v>4</v>
      </c>
      <c r="AG239" s="1">
        <f t="shared" si="154"/>
        <v>-3</v>
      </c>
      <c r="AH239" s="1">
        <f t="shared" si="155"/>
        <v>-2</v>
      </c>
      <c r="AI239" s="1">
        <f t="shared" si="156"/>
        <v>4</v>
      </c>
      <c r="AJ239" s="1">
        <f t="shared" si="157"/>
        <v>-1</v>
      </c>
      <c r="AK239" s="17">
        <f t="shared" si="158"/>
        <v>0.16666666666666666</v>
      </c>
      <c r="AL239" s="17">
        <f t="shared" si="159"/>
        <v>-1</v>
      </c>
      <c r="AM239" s="1">
        <f t="shared" si="160"/>
        <v>0</v>
      </c>
      <c r="AN239" s="1">
        <f t="shared" si="161"/>
        <v>0.66666666666666663</v>
      </c>
      <c r="AO239" s="1">
        <f t="shared" si="162"/>
        <v>0.2</v>
      </c>
      <c r="AP239" s="1">
        <f t="shared" si="163"/>
        <v>0</v>
      </c>
      <c r="AQ239" s="1">
        <f t="shared" si="164"/>
        <v>0</v>
      </c>
      <c r="AR239" s="1">
        <f t="shared" si="165"/>
        <v>0</v>
      </c>
      <c r="AS239" s="12">
        <f t="shared" si="166"/>
        <v>0.14444444444444446</v>
      </c>
      <c r="AT239" s="12">
        <f t="shared" si="167"/>
        <v>0</v>
      </c>
      <c r="AU239" s="1">
        <f t="shared" si="168"/>
        <v>0</v>
      </c>
      <c r="AV239" s="1">
        <f t="shared" si="169"/>
        <v>2</v>
      </c>
      <c r="AW239" s="1">
        <f t="shared" si="170"/>
        <v>1</v>
      </c>
      <c r="AX239" s="1">
        <f t="shared" si="171"/>
        <v>0</v>
      </c>
      <c r="AY239" s="1">
        <f t="shared" si="172"/>
        <v>0</v>
      </c>
      <c r="AZ239" s="1">
        <f t="shared" si="173"/>
        <v>0</v>
      </c>
      <c r="BA239" s="19">
        <f t="shared" si="174"/>
        <v>0.5</v>
      </c>
      <c r="BB239" s="19">
        <f t="shared" si="175"/>
        <v>0</v>
      </c>
      <c r="BC239" s="9">
        <f t="shared" si="176"/>
        <v>-0.1111111111111111</v>
      </c>
      <c r="BD239" s="9">
        <f t="shared" si="177"/>
        <v>0.25</v>
      </c>
      <c r="BE239" s="9">
        <f t="shared" si="178"/>
        <v>-0.4</v>
      </c>
      <c r="BF239" s="9">
        <f t="shared" si="179"/>
        <v>-0.33333333333333331</v>
      </c>
      <c r="BG239" s="9">
        <f t="shared" si="180"/>
        <v>1</v>
      </c>
      <c r="BH239" s="9">
        <f t="shared" si="181"/>
        <v>-0.125</v>
      </c>
      <c r="BI239" s="12">
        <f t="shared" si="182"/>
        <v>4.6759259259259257E-2</v>
      </c>
      <c r="BJ239" s="13">
        <f t="shared" si="183"/>
        <v>-0.11805555555555555</v>
      </c>
      <c r="BK239" s="1">
        <f t="shared" si="184"/>
        <v>-1</v>
      </c>
      <c r="BL239" s="1">
        <f t="shared" si="185"/>
        <v>2</v>
      </c>
      <c r="BM239" s="1">
        <f t="shared" si="186"/>
        <v>-4</v>
      </c>
      <c r="BN239" s="1">
        <f t="shared" si="187"/>
        <v>-2</v>
      </c>
      <c r="BO239" s="1">
        <f t="shared" si="188"/>
        <v>4</v>
      </c>
      <c r="BP239" s="1">
        <f t="shared" si="189"/>
        <v>-1</v>
      </c>
      <c r="BQ239" s="19">
        <f t="shared" si="190"/>
        <v>-0.33333333333333331</v>
      </c>
      <c r="BR239" s="17">
        <f t="shared" si="191"/>
        <v>-1</v>
      </c>
    </row>
    <row r="240" spans="1:70" x14ac:dyDescent="0.25">
      <c r="A240" t="s">
        <v>299</v>
      </c>
      <c r="B240">
        <v>11</v>
      </c>
      <c r="C240">
        <v>13</v>
      </c>
      <c r="D240">
        <v>18</v>
      </c>
      <c r="E240">
        <v>14</v>
      </c>
      <c r="F240">
        <v>13</v>
      </c>
      <c r="G240">
        <v>16</v>
      </c>
      <c r="H240">
        <v>12</v>
      </c>
      <c r="I240">
        <v>6</v>
      </c>
      <c r="J240">
        <v>5</v>
      </c>
      <c r="K240">
        <v>6</v>
      </c>
      <c r="L240">
        <v>5</v>
      </c>
      <c r="M240">
        <v>5</v>
      </c>
      <c r="N240">
        <v>6</v>
      </c>
      <c r="O240">
        <v>6</v>
      </c>
      <c r="P240">
        <v>5</v>
      </c>
      <c r="Q240">
        <v>8</v>
      </c>
      <c r="R240">
        <v>12</v>
      </c>
      <c r="S240">
        <v>9</v>
      </c>
      <c r="T240">
        <v>8</v>
      </c>
      <c r="U240">
        <v>10</v>
      </c>
      <c r="V240">
        <v>6</v>
      </c>
      <c r="W240" s="8">
        <f t="shared" si="144"/>
        <v>0.18181818181818182</v>
      </c>
      <c r="X240" s="8">
        <f t="shared" si="145"/>
        <v>0.38461538461538464</v>
      </c>
      <c r="Y240" s="8">
        <f t="shared" si="146"/>
        <v>-0.22222222222222221</v>
      </c>
      <c r="Z240" s="8">
        <f t="shared" si="147"/>
        <v>-7.1428571428571425E-2</v>
      </c>
      <c r="AA240" s="8">
        <f t="shared" si="148"/>
        <v>0.23076923076923078</v>
      </c>
      <c r="AB240" s="8">
        <f t="shared" si="149"/>
        <v>-0.25</v>
      </c>
      <c r="AC240" s="12">
        <f t="shared" si="150"/>
        <v>4.2258667258667261E-2</v>
      </c>
      <c r="AD240" s="12">
        <f t="shared" si="151"/>
        <v>5.5194805194805213E-2</v>
      </c>
      <c r="AE240" s="1">
        <f t="shared" si="152"/>
        <v>2</v>
      </c>
      <c r="AF240" s="1">
        <f t="shared" si="153"/>
        <v>5</v>
      </c>
      <c r="AG240" s="1">
        <f t="shared" si="154"/>
        <v>-4</v>
      </c>
      <c r="AH240" s="1">
        <f t="shared" si="155"/>
        <v>-1</v>
      </c>
      <c r="AI240" s="1">
        <f t="shared" si="156"/>
        <v>3</v>
      </c>
      <c r="AJ240" s="1">
        <f t="shared" si="157"/>
        <v>-4</v>
      </c>
      <c r="AK240" s="17">
        <f t="shared" si="158"/>
        <v>0.16666666666666666</v>
      </c>
      <c r="AL240" s="17">
        <f t="shared" si="159"/>
        <v>0.5</v>
      </c>
      <c r="AM240" s="1">
        <f t="shared" si="160"/>
        <v>-0.16666666666666666</v>
      </c>
      <c r="AN240" s="1">
        <f t="shared" si="161"/>
        <v>0.2</v>
      </c>
      <c r="AO240" s="1">
        <f t="shared" si="162"/>
        <v>-0.16666666666666666</v>
      </c>
      <c r="AP240" s="1">
        <f t="shared" si="163"/>
        <v>0</v>
      </c>
      <c r="AQ240" s="1">
        <f t="shared" si="164"/>
        <v>0.2</v>
      </c>
      <c r="AR240" s="1">
        <f t="shared" si="165"/>
        <v>0</v>
      </c>
      <c r="AS240" s="12">
        <f t="shared" si="166"/>
        <v>1.1111111111111118E-2</v>
      </c>
      <c r="AT240" s="12">
        <f t="shared" si="167"/>
        <v>0</v>
      </c>
      <c r="AU240" s="1">
        <f t="shared" si="168"/>
        <v>-1</v>
      </c>
      <c r="AV240" s="1">
        <f t="shared" si="169"/>
        <v>1</v>
      </c>
      <c r="AW240" s="1">
        <f t="shared" si="170"/>
        <v>-1</v>
      </c>
      <c r="AX240" s="1">
        <f t="shared" si="171"/>
        <v>0</v>
      </c>
      <c r="AY240" s="1">
        <f t="shared" si="172"/>
        <v>1</v>
      </c>
      <c r="AZ240" s="1">
        <f t="shared" si="173"/>
        <v>0</v>
      </c>
      <c r="BA240" s="19">
        <f t="shared" si="174"/>
        <v>0</v>
      </c>
      <c r="BB240" s="19">
        <f t="shared" si="175"/>
        <v>0</v>
      </c>
      <c r="BC240" s="9">
        <f t="shared" si="176"/>
        <v>0.6</v>
      </c>
      <c r="BD240" s="9">
        <f t="shared" si="177"/>
        <v>0.5</v>
      </c>
      <c r="BE240" s="9">
        <f t="shared" si="178"/>
        <v>-0.25</v>
      </c>
      <c r="BF240" s="9">
        <f t="shared" si="179"/>
        <v>-0.1111111111111111</v>
      </c>
      <c r="BG240" s="9">
        <f t="shared" si="180"/>
        <v>0.25</v>
      </c>
      <c r="BH240" s="9">
        <f t="shared" si="181"/>
        <v>-0.4</v>
      </c>
      <c r="BI240" s="12">
        <f t="shared" si="182"/>
        <v>9.8148148148148151E-2</v>
      </c>
      <c r="BJ240" s="13">
        <f t="shared" si="183"/>
        <v>6.9444444444444448E-2</v>
      </c>
      <c r="BK240" s="1">
        <f t="shared" si="184"/>
        <v>3</v>
      </c>
      <c r="BL240" s="1">
        <f t="shared" si="185"/>
        <v>4</v>
      </c>
      <c r="BM240" s="1">
        <f t="shared" si="186"/>
        <v>-3</v>
      </c>
      <c r="BN240" s="1">
        <f t="shared" si="187"/>
        <v>-1</v>
      </c>
      <c r="BO240" s="1">
        <f t="shared" si="188"/>
        <v>2</v>
      </c>
      <c r="BP240" s="1">
        <f t="shared" si="189"/>
        <v>-4</v>
      </c>
      <c r="BQ240" s="19">
        <f t="shared" si="190"/>
        <v>0.16666666666666666</v>
      </c>
      <c r="BR240" s="17">
        <f t="shared" si="191"/>
        <v>0.5</v>
      </c>
    </row>
    <row r="241" spans="1:70" x14ac:dyDescent="0.25">
      <c r="A241" t="s">
        <v>301</v>
      </c>
      <c r="B241">
        <v>10</v>
      </c>
      <c r="C241">
        <v>3</v>
      </c>
      <c r="D241">
        <v>11</v>
      </c>
      <c r="E241">
        <v>11</v>
      </c>
      <c r="F241">
        <v>3</v>
      </c>
      <c r="G241">
        <v>4</v>
      </c>
      <c r="H241">
        <v>11</v>
      </c>
      <c r="I241">
        <v>7</v>
      </c>
      <c r="J241">
        <v>2</v>
      </c>
      <c r="K241">
        <v>5</v>
      </c>
      <c r="L241">
        <v>3</v>
      </c>
      <c r="M241">
        <v>2</v>
      </c>
      <c r="N241">
        <v>2</v>
      </c>
      <c r="O241">
        <v>7</v>
      </c>
      <c r="P241">
        <v>3</v>
      </c>
      <c r="Q241">
        <v>1</v>
      </c>
      <c r="R241">
        <v>6</v>
      </c>
      <c r="S241">
        <v>8</v>
      </c>
      <c r="T241">
        <v>1</v>
      </c>
      <c r="U241">
        <v>2</v>
      </c>
      <c r="V241">
        <v>4</v>
      </c>
      <c r="W241" s="8">
        <f t="shared" si="144"/>
        <v>-0.7</v>
      </c>
      <c r="X241" s="8">
        <f t="shared" si="145"/>
        <v>2.6666666666666665</v>
      </c>
      <c r="Y241" s="8">
        <f t="shared" si="146"/>
        <v>0</v>
      </c>
      <c r="Z241" s="8">
        <f t="shared" si="147"/>
        <v>-0.72727272727272729</v>
      </c>
      <c r="AA241" s="8">
        <f t="shared" si="148"/>
        <v>0.33333333333333331</v>
      </c>
      <c r="AB241" s="8">
        <f t="shared" si="149"/>
        <v>1.75</v>
      </c>
      <c r="AC241" s="12">
        <f t="shared" si="150"/>
        <v>0.55378787878787872</v>
      </c>
      <c r="AD241" s="12">
        <f t="shared" si="151"/>
        <v>0.16666666666666666</v>
      </c>
      <c r="AE241" s="1">
        <f t="shared" si="152"/>
        <v>-7</v>
      </c>
      <c r="AF241" s="1">
        <f t="shared" si="153"/>
        <v>8</v>
      </c>
      <c r="AG241" s="1">
        <f t="shared" si="154"/>
        <v>0</v>
      </c>
      <c r="AH241" s="1">
        <f t="shared" si="155"/>
        <v>-8</v>
      </c>
      <c r="AI241" s="1">
        <f t="shared" si="156"/>
        <v>1</v>
      </c>
      <c r="AJ241" s="1">
        <f t="shared" si="157"/>
        <v>7</v>
      </c>
      <c r="AK241" s="17">
        <f t="shared" si="158"/>
        <v>0.16666666666666666</v>
      </c>
      <c r="AL241" s="17">
        <f t="shared" si="159"/>
        <v>0.5</v>
      </c>
      <c r="AM241" s="1">
        <f t="shared" si="160"/>
        <v>-0.7142857142857143</v>
      </c>
      <c r="AN241" s="1">
        <f t="shared" si="161"/>
        <v>1.5</v>
      </c>
      <c r="AO241" s="1">
        <f t="shared" si="162"/>
        <v>-0.4</v>
      </c>
      <c r="AP241" s="1">
        <f t="shared" si="163"/>
        <v>-0.33333333333333331</v>
      </c>
      <c r="AQ241" s="1">
        <f t="shared" si="164"/>
        <v>0</v>
      </c>
      <c r="AR241" s="1">
        <f t="shared" si="165"/>
        <v>2.5</v>
      </c>
      <c r="AS241" s="12">
        <f t="shared" si="166"/>
        <v>0.42539682539682538</v>
      </c>
      <c r="AT241" s="12">
        <f t="shared" si="167"/>
        <v>-0.16666666666666666</v>
      </c>
      <c r="AU241" s="1">
        <f t="shared" si="168"/>
        <v>-5</v>
      </c>
      <c r="AV241" s="1">
        <f t="shared" si="169"/>
        <v>3</v>
      </c>
      <c r="AW241" s="1">
        <f t="shared" si="170"/>
        <v>-2</v>
      </c>
      <c r="AX241" s="1">
        <f t="shared" si="171"/>
        <v>-1</v>
      </c>
      <c r="AY241" s="1">
        <f t="shared" si="172"/>
        <v>0</v>
      </c>
      <c r="AZ241" s="1">
        <f t="shared" si="173"/>
        <v>5</v>
      </c>
      <c r="BA241" s="19">
        <f t="shared" si="174"/>
        <v>0</v>
      </c>
      <c r="BB241" s="19">
        <f t="shared" si="175"/>
        <v>-0.5</v>
      </c>
      <c r="BC241" s="9">
        <f t="shared" si="176"/>
        <v>-0.66666666666666663</v>
      </c>
      <c r="BD241" s="9">
        <f t="shared" si="177"/>
        <v>5</v>
      </c>
      <c r="BE241" s="9">
        <f t="shared" si="178"/>
        <v>0.33333333333333331</v>
      </c>
      <c r="BF241" s="9">
        <f t="shared" si="179"/>
        <v>-0.875</v>
      </c>
      <c r="BG241" s="9">
        <f t="shared" si="180"/>
        <v>1</v>
      </c>
      <c r="BH241" s="9">
        <f t="shared" si="181"/>
        <v>1</v>
      </c>
      <c r="BI241" s="12">
        <f t="shared" si="182"/>
        <v>0.96527777777777768</v>
      </c>
      <c r="BJ241" s="13">
        <f t="shared" si="183"/>
        <v>0.66666666666666674</v>
      </c>
      <c r="BK241" s="1">
        <f t="shared" si="184"/>
        <v>-2</v>
      </c>
      <c r="BL241" s="1">
        <f t="shared" si="185"/>
        <v>5</v>
      </c>
      <c r="BM241" s="1">
        <f t="shared" si="186"/>
        <v>2</v>
      </c>
      <c r="BN241" s="1">
        <f t="shared" si="187"/>
        <v>-7</v>
      </c>
      <c r="BO241" s="1">
        <f t="shared" si="188"/>
        <v>1</v>
      </c>
      <c r="BP241" s="1">
        <f t="shared" si="189"/>
        <v>2</v>
      </c>
      <c r="BQ241" s="19">
        <f t="shared" si="190"/>
        <v>0.16666666666666666</v>
      </c>
      <c r="BR241" s="17">
        <f t="shared" si="191"/>
        <v>1.5</v>
      </c>
    </row>
    <row r="242" spans="1:70" x14ac:dyDescent="0.25">
      <c r="A242" t="s">
        <v>312</v>
      </c>
      <c r="B242">
        <v>10</v>
      </c>
      <c r="C242">
        <v>10</v>
      </c>
      <c r="D242">
        <v>14</v>
      </c>
      <c r="E242">
        <v>19</v>
      </c>
      <c r="F242">
        <v>28</v>
      </c>
      <c r="G242">
        <v>22</v>
      </c>
      <c r="H242">
        <v>11</v>
      </c>
      <c r="I242">
        <v>6</v>
      </c>
      <c r="J242">
        <v>5</v>
      </c>
      <c r="K242">
        <v>10</v>
      </c>
      <c r="L242">
        <v>12</v>
      </c>
      <c r="M242">
        <v>20</v>
      </c>
      <c r="N242">
        <v>10</v>
      </c>
      <c r="O242">
        <v>8</v>
      </c>
      <c r="P242">
        <v>4</v>
      </c>
      <c r="Q242">
        <v>5</v>
      </c>
      <c r="R242">
        <v>4</v>
      </c>
      <c r="S242">
        <v>7</v>
      </c>
      <c r="T242">
        <v>8</v>
      </c>
      <c r="U242">
        <v>12</v>
      </c>
      <c r="V242">
        <v>3</v>
      </c>
      <c r="W242" s="8">
        <f t="shared" si="144"/>
        <v>0</v>
      </c>
      <c r="X242" s="8">
        <f t="shared" si="145"/>
        <v>0.4</v>
      </c>
      <c r="Y242" s="8">
        <f t="shared" si="146"/>
        <v>0.35714285714285715</v>
      </c>
      <c r="Z242" s="8">
        <f t="shared" si="147"/>
        <v>0.47368421052631576</v>
      </c>
      <c r="AA242" s="8">
        <f t="shared" si="148"/>
        <v>-0.21428571428571427</v>
      </c>
      <c r="AB242" s="8">
        <f t="shared" si="149"/>
        <v>-0.5</v>
      </c>
      <c r="AC242" s="12">
        <f t="shared" si="150"/>
        <v>8.6090225563909772E-2</v>
      </c>
      <c r="AD242" s="12">
        <f t="shared" si="151"/>
        <v>0.17857142857142858</v>
      </c>
      <c r="AE242" s="1">
        <f t="shared" si="152"/>
        <v>0</v>
      </c>
      <c r="AF242" s="1">
        <f t="shared" si="153"/>
        <v>4</v>
      </c>
      <c r="AG242" s="1">
        <f t="shared" si="154"/>
        <v>5</v>
      </c>
      <c r="AH242" s="1">
        <f t="shared" si="155"/>
        <v>9</v>
      </c>
      <c r="AI242" s="1">
        <f t="shared" si="156"/>
        <v>-6</v>
      </c>
      <c r="AJ242" s="1">
        <f t="shared" si="157"/>
        <v>-11</v>
      </c>
      <c r="AK242" s="17">
        <f t="shared" si="158"/>
        <v>0.16666666666666666</v>
      </c>
      <c r="AL242" s="17">
        <f t="shared" si="159"/>
        <v>2</v>
      </c>
      <c r="AM242" s="1">
        <f t="shared" si="160"/>
        <v>-0.16666666666666666</v>
      </c>
      <c r="AN242" s="1">
        <f t="shared" si="161"/>
        <v>1</v>
      </c>
      <c r="AO242" s="1">
        <f t="shared" si="162"/>
        <v>0.2</v>
      </c>
      <c r="AP242" s="1">
        <f t="shared" si="163"/>
        <v>0.66666666666666663</v>
      </c>
      <c r="AQ242" s="1">
        <f t="shared" si="164"/>
        <v>-0.5</v>
      </c>
      <c r="AR242" s="1">
        <f t="shared" si="165"/>
        <v>-0.2</v>
      </c>
      <c r="AS242" s="12">
        <f t="shared" si="166"/>
        <v>0.16666666666666671</v>
      </c>
      <c r="AT242" s="12">
        <f t="shared" si="167"/>
        <v>1.6666666666666691E-2</v>
      </c>
      <c r="AU242" s="1">
        <f t="shared" si="168"/>
        <v>-1</v>
      </c>
      <c r="AV242" s="1">
        <f t="shared" si="169"/>
        <v>5</v>
      </c>
      <c r="AW242" s="1">
        <f t="shared" si="170"/>
        <v>2</v>
      </c>
      <c r="AX242" s="1">
        <f t="shared" si="171"/>
        <v>8</v>
      </c>
      <c r="AY242" s="1">
        <f t="shared" si="172"/>
        <v>-10</v>
      </c>
      <c r="AZ242" s="1">
        <f t="shared" si="173"/>
        <v>-2</v>
      </c>
      <c r="BA242" s="19">
        <f t="shared" si="174"/>
        <v>0.33333333333333331</v>
      </c>
      <c r="BB242" s="19">
        <f t="shared" si="175"/>
        <v>0.5</v>
      </c>
      <c r="BC242" s="9">
        <f t="shared" si="176"/>
        <v>0.25</v>
      </c>
      <c r="BD242" s="9">
        <f t="shared" si="177"/>
        <v>-0.2</v>
      </c>
      <c r="BE242" s="9">
        <f t="shared" si="178"/>
        <v>0.75</v>
      </c>
      <c r="BF242" s="9">
        <f t="shared" si="179"/>
        <v>0.14285714285714285</v>
      </c>
      <c r="BG242" s="9">
        <f t="shared" si="180"/>
        <v>0.5</v>
      </c>
      <c r="BH242" s="9">
        <f t="shared" si="181"/>
        <v>-0.75</v>
      </c>
      <c r="BI242" s="12">
        <f t="shared" si="182"/>
        <v>0.11547619047619047</v>
      </c>
      <c r="BJ242" s="13">
        <f t="shared" si="183"/>
        <v>0.19642857142857142</v>
      </c>
      <c r="BK242" s="1">
        <f t="shared" si="184"/>
        <v>1</v>
      </c>
      <c r="BL242" s="1">
        <f t="shared" si="185"/>
        <v>-1</v>
      </c>
      <c r="BM242" s="1">
        <f t="shared" si="186"/>
        <v>3</v>
      </c>
      <c r="BN242" s="1">
        <f t="shared" si="187"/>
        <v>1</v>
      </c>
      <c r="BO242" s="1">
        <f t="shared" si="188"/>
        <v>4</v>
      </c>
      <c r="BP242" s="1">
        <f t="shared" si="189"/>
        <v>-9</v>
      </c>
      <c r="BQ242" s="19">
        <f t="shared" si="190"/>
        <v>-0.16666666666666666</v>
      </c>
      <c r="BR242" s="17">
        <f t="shared" si="191"/>
        <v>1</v>
      </c>
    </row>
    <row r="243" spans="1:70" x14ac:dyDescent="0.25">
      <c r="A243" t="s">
        <v>328</v>
      </c>
      <c r="B243">
        <v>8</v>
      </c>
      <c r="C243">
        <v>9</v>
      </c>
      <c r="D243">
        <v>6</v>
      </c>
      <c r="E243">
        <v>7</v>
      </c>
      <c r="F243">
        <v>12</v>
      </c>
      <c r="G243">
        <v>11</v>
      </c>
      <c r="H243">
        <v>9</v>
      </c>
      <c r="I243">
        <v>2</v>
      </c>
      <c r="J243">
        <v>3</v>
      </c>
      <c r="K243">
        <v>2</v>
      </c>
      <c r="L243">
        <v>4</v>
      </c>
      <c r="M243">
        <v>10</v>
      </c>
      <c r="N243">
        <v>6</v>
      </c>
      <c r="O243">
        <v>5</v>
      </c>
      <c r="P243">
        <v>6</v>
      </c>
      <c r="Q243">
        <v>6</v>
      </c>
      <c r="R243">
        <v>4</v>
      </c>
      <c r="S243">
        <v>3</v>
      </c>
      <c r="T243">
        <v>2</v>
      </c>
      <c r="U243">
        <v>5</v>
      </c>
      <c r="V243">
        <v>4</v>
      </c>
      <c r="W243" s="8">
        <f t="shared" si="144"/>
        <v>0.125</v>
      </c>
      <c r="X243" s="8">
        <f t="shared" si="145"/>
        <v>-0.33333333333333331</v>
      </c>
      <c r="Y243" s="8">
        <f t="shared" si="146"/>
        <v>0.16666666666666666</v>
      </c>
      <c r="Z243" s="8">
        <f t="shared" si="147"/>
        <v>0.7142857142857143</v>
      </c>
      <c r="AA243" s="8">
        <f t="shared" si="148"/>
        <v>-8.3333333333333329E-2</v>
      </c>
      <c r="AB243" s="8">
        <f t="shared" si="149"/>
        <v>-0.18181818181818182</v>
      </c>
      <c r="AC243" s="12">
        <f t="shared" si="150"/>
        <v>6.7911255411255408E-2</v>
      </c>
      <c r="AD243" s="12">
        <f t="shared" si="151"/>
        <v>2.0833333333333329E-2</v>
      </c>
      <c r="AE243" s="1">
        <f t="shared" si="152"/>
        <v>1</v>
      </c>
      <c r="AF243" s="1">
        <f t="shared" si="153"/>
        <v>-3</v>
      </c>
      <c r="AG243" s="1">
        <f t="shared" si="154"/>
        <v>1</v>
      </c>
      <c r="AH243" s="1">
        <f t="shared" si="155"/>
        <v>5</v>
      </c>
      <c r="AI243" s="1">
        <f t="shared" si="156"/>
        <v>-1</v>
      </c>
      <c r="AJ243" s="1">
        <f t="shared" si="157"/>
        <v>-2</v>
      </c>
      <c r="AK243" s="17">
        <f t="shared" si="158"/>
        <v>0.16666666666666666</v>
      </c>
      <c r="AL243" s="17">
        <f t="shared" si="159"/>
        <v>0</v>
      </c>
      <c r="AM243" s="1">
        <f t="shared" si="160"/>
        <v>0.5</v>
      </c>
      <c r="AN243" s="1">
        <f t="shared" si="161"/>
        <v>-0.33333333333333331</v>
      </c>
      <c r="AO243" s="1">
        <f t="shared" si="162"/>
        <v>1</v>
      </c>
      <c r="AP243" s="1">
        <f t="shared" si="163"/>
        <v>1.5</v>
      </c>
      <c r="AQ243" s="1">
        <f t="shared" si="164"/>
        <v>-0.4</v>
      </c>
      <c r="AR243" s="1">
        <f t="shared" si="165"/>
        <v>-0.16666666666666666</v>
      </c>
      <c r="AS243" s="12">
        <f t="shared" si="166"/>
        <v>0.35000000000000009</v>
      </c>
      <c r="AT243" s="12">
        <f t="shared" si="167"/>
        <v>0.16666666666666666</v>
      </c>
      <c r="AU243" s="1">
        <f t="shared" si="168"/>
        <v>1</v>
      </c>
      <c r="AV243" s="1">
        <f t="shared" si="169"/>
        <v>-1</v>
      </c>
      <c r="AW243" s="1">
        <f t="shared" si="170"/>
        <v>2</v>
      </c>
      <c r="AX243" s="1">
        <f t="shared" si="171"/>
        <v>6</v>
      </c>
      <c r="AY243" s="1">
        <f t="shared" si="172"/>
        <v>-4</v>
      </c>
      <c r="AZ243" s="1">
        <f t="shared" si="173"/>
        <v>-1</v>
      </c>
      <c r="BA243" s="19">
        <f t="shared" si="174"/>
        <v>0.5</v>
      </c>
      <c r="BB243" s="19">
        <f t="shared" si="175"/>
        <v>0</v>
      </c>
      <c r="BC243" s="9">
        <f t="shared" si="176"/>
        <v>0</v>
      </c>
      <c r="BD243" s="9">
        <f t="shared" si="177"/>
        <v>-0.33333333333333331</v>
      </c>
      <c r="BE243" s="9">
        <f t="shared" si="178"/>
        <v>-0.25</v>
      </c>
      <c r="BF243" s="9">
        <f t="shared" si="179"/>
        <v>-0.33333333333333331</v>
      </c>
      <c r="BG243" s="9">
        <f t="shared" si="180"/>
        <v>1.5</v>
      </c>
      <c r="BH243" s="9">
        <f t="shared" si="181"/>
        <v>-0.2</v>
      </c>
      <c r="BI243" s="12">
        <f t="shared" si="182"/>
        <v>6.3888888888888912E-2</v>
      </c>
      <c r="BJ243" s="13">
        <f t="shared" si="183"/>
        <v>-0.22500000000000001</v>
      </c>
      <c r="BK243" s="1">
        <f t="shared" si="184"/>
        <v>0</v>
      </c>
      <c r="BL243" s="1">
        <f t="shared" si="185"/>
        <v>-2</v>
      </c>
      <c r="BM243" s="1">
        <f t="shared" si="186"/>
        <v>-1</v>
      </c>
      <c r="BN243" s="1">
        <f t="shared" si="187"/>
        <v>-1</v>
      </c>
      <c r="BO243" s="1">
        <f t="shared" si="188"/>
        <v>3</v>
      </c>
      <c r="BP243" s="1">
        <f t="shared" si="189"/>
        <v>-1</v>
      </c>
      <c r="BQ243" s="19">
        <f t="shared" si="190"/>
        <v>-0.33333333333333331</v>
      </c>
      <c r="BR243" s="17">
        <f t="shared" si="191"/>
        <v>-1</v>
      </c>
    </row>
    <row r="244" spans="1:70" x14ac:dyDescent="0.25">
      <c r="A244" t="s">
        <v>330</v>
      </c>
      <c r="B244">
        <v>8</v>
      </c>
      <c r="C244">
        <v>5</v>
      </c>
      <c r="D244">
        <v>8</v>
      </c>
      <c r="E244">
        <v>5</v>
      </c>
      <c r="F244">
        <v>3</v>
      </c>
      <c r="G244">
        <v>10</v>
      </c>
      <c r="H244">
        <v>9</v>
      </c>
      <c r="I244">
        <v>4</v>
      </c>
      <c r="J244">
        <v>3</v>
      </c>
      <c r="K244">
        <v>2</v>
      </c>
      <c r="L244">
        <v>3</v>
      </c>
      <c r="M244">
        <v>1</v>
      </c>
      <c r="N244">
        <v>6</v>
      </c>
      <c r="O244">
        <v>8</v>
      </c>
      <c r="P244">
        <v>4</v>
      </c>
      <c r="Q244">
        <v>2</v>
      </c>
      <c r="R244">
        <v>6</v>
      </c>
      <c r="S244">
        <v>2</v>
      </c>
      <c r="T244">
        <v>2</v>
      </c>
      <c r="U244">
        <v>4</v>
      </c>
      <c r="V244">
        <v>1</v>
      </c>
      <c r="W244" s="8">
        <f t="shared" si="144"/>
        <v>-0.375</v>
      </c>
      <c r="X244" s="8">
        <f t="shared" si="145"/>
        <v>0.6</v>
      </c>
      <c r="Y244" s="8">
        <f t="shared" si="146"/>
        <v>-0.375</v>
      </c>
      <c r="Z244" s="8">
        <f t="shared" si="147"/>
        <v>-0.4</v>
      </c>
      <c r="AA244" s="8">
        <f t="shared" si="148"/>
        <v>2.3333333333333335</v>
      </c>
      <c r="AB244" s="8">
        <f t="shared" si="149"/>
        <v>-0.1</v>
      </c>
      <c r="AC244" s="12">
        <f t="shared" si="150"/>
        <v>0.28055555555555556</v>
      </c>
      <c r="AD244" s="12">
        <f t="shared" si="151"/>
        <v>-0.23749999999999999</v>
      </c>
      <c r="AE244" s="1">
        <f t="shared" si="152"/>
        <v>-3</v>
      </c>
      <c r="AF244" s="1">
        <f t="shared" si="153"/>
        <v>3</v>
      </c>
      <c r="AG244" s="1">
        <f t="shared" si="154"/>
        <v>-3</v>
      </c>
      <c r="AH244" s="1">
        <f t="shared" si="155"/>
        <v>-2</v>
      </c>
      <c r="AI244" s="1">
        <f t="shared" si="156"/>
        <v>7</v>
      </c>
      <c r="AJ244" s="1">
        <f t="shared" si="157"/>
        <v>-1</v>
      </c>
      <c r="AK244" s="17">
        <f t="shared" si="158"/>
        <v>0.16666666666666666</v>
      </c>
      <c r="AL244" s="17">
        <f t="shared" si="159"/>
        <v>-1.5</v>
      </c>
      <c r="AM244" s="1">
        <f t="shared" si="160"/>
        <v>-0.25</v>
      </c>
      <c r="AN244" s="1">
        <f t="shared" si="161"/>
        <v>-0.33333333333333331</v>
      </c>
      <c r="AO244" s="1">
        <f t="shared" si="162"/>
        <v>0.5</v>
      </c>
      <c r="AP244" s="1">
        <f t="shared" si="163"/>
        <v>-0.66666666666666663</v>
      </c>
      <c r="AQ244" s="1">
        <f t="shared" si="164"/>
        <v>5</v>
      </c>
      <c r="AR244" s="1">
        <f t="shared" si="165"/>
        <v>0.33333333333333331</v>
      </c>
      <c r="AS244" s="12">
        <f t="shared" si="166"/>
        <v>0.76388888888888884</v>
      </c>
      <c r="AT244" s="12">
        <f t="shared" si="167"/>
        <v>4.166666666666663E-2</v>
      </c>
      <c r="AU244" s="1">
        <f t="shared" si="168"/>
        <v>-1</v>
      </c>
      <c r="AV244" s="1">
        <f t="shared" si="169"/>
        <v>-1</v>
      </c>
      <c r="AW244" s="1">
        <f t="shared" si="170"/>
        <v>1</v>
      </c>
      <c r="AX244" s="1">
        <f t="shared" si="171"/>
        <v>-2</v>
      </c>
      <c r="AY244" s="1">
        <f t="shared" si="172"/>
        <v>5</v>
      </c>
      <c r="AZ244" s="1">
        <f t="shared" si="173"/>
        <v>2</v>
      </c>
      <c r="BA244" s="19">
        <f t="shared" si="174"/>
        <v>0.66666666666666663</v>
      </c>
      <c r="BB244" s="19">
        <f t="shared" si="175"/>
        <v>0</v>
      </c>
      <c r="BC244" s="9">
        <f t="shared" si="176"/>
        <v>-0.5</v>
      </c>
      <c r="BD244" s="9">
        <f t="shared" si="177"/>
        <v>2</v>
      </c>
      <c r="BE244" s="9">
        <f t="shared" si="178"/>
        <v>-0.66666666666666663</v>
      </c>
      <c r="BF244" s="9">
        <f t="shared" si="179"/>
        <v>0</v>
      </c>
      <c r="BG244" s="9">
        <f t="shared" si="180"/>
        <v>1</v>
      </c>
      <c r="BH244" s="9">
        <f t="shared" si="181"/>
        <v>-0.75</v>
      </c>
      <c r="BI244" s="12">
        <f t="shared" si="182"/>
        <v>0.18055555555555558</v>
      </c>
      <c r="BJ244" s="13">
        <f t="shared" si="183"/>
        <v>-0.25</v>
      </c>
      <c r="BK244" s="1">
        <f t="shared" si="184"/>
        <v>-2</v>
      </c>
      <c r="BL244" s="1">
        <f t="shared" si="185"/>
        <v>4</v>
      </c>
      <c r="BM244" s="1">
        <f t="shared" si="186"/>
        <v>-4</v>
      </c>
      <c r="BN244" s="1">
        <f t="shared" si="187"/>
        <v>0</v>
      </c>
      <c r="BO244" s="1">
        <f t="shared" si="188"/>
        <v>2</v>
      </c>
      <c r="BP244" s="1">
        <f t="shared" si="189"/>
        <v>-3</v>
      </c>
      <c r="BQ244" s="19">
        <f t="shared" si="190"/>
        <v>-0.5</v>
      </c>
      <c r="BR244" s="17">
        <f t="shared" si="191"/>
        <v>-1</v>
      </c>
    </row>
    <row r="245" spans="1:70" x14ac:dyDescent="0.25">
      <c r="A245" t="s">
        <v>339</v>
      </c>
      <c r="B245">
        <v>7</v>
      </c>
      <c r="C245">
        <v>5</v>
      </c>
      <c r="D245">
        <v>2</v>
      </c>
      <c r="E245">
        <v>8</v>
      </c>
      <c r="F245">
        <v>5</v>
      </c>
      <c r="G245">
        <v>6</v>
      </c>
      <c r="H245">
        <v>8</v>
      </c>
      <c r="I245">
        <v>4</v>
      </c>
      <c r="J245">
        <v>1</v>
      </c>
      <c r="L245">
        <v>4</v>
      </c>
      <c r="M245">
        <v>2</v>
      </c>
      <c r="N245">
        <v>2</v>
      </c>
      <c r="O245">
        <v>5</v>
      </c>
      <c r="P245">
        <v>3</v>
      </c>
      <c r="Q245">
        <v>4</v>
      </c>
      <c r="R245">
        <v>2</v>
      </c>
      <c r="S245">
        <v>4</v>
      </c>
      <c r="T245">
        <v>3</v>
      </c>
      <c r="U245">
        <v>4</v>
      </c>
      <c r="V245">
        <v>3</v>
      </c>
      <c r="W245" s="8">
        <f t="shared" si="144"/>
        <v>-0.2857142857142857</v>
      </c>
      <c r="X245" s="8">
        <f t="shared" si="145"/>
        <v>-0.6</v>
      </c>
      <c r="Y245" s="8">
        <f t="shared" si="146"/>
        <v>3</v>
      </c>
      <c r="Z245" s="8">
        <f t="shared" si="147"/>
        <v>-0.375</v>
      </c>
      <c r="AA245" s="8">
        <f t="shared" si="148"/>
        <v>0.2</v>
      </c>
      <c r="AB245" s="8">
        <f t="shared" si="149"/>
        <v>0.33333333333333331</v>
      </c>
      <c r="AC245" s="12">
        <f t="shared" si="150"/>
        <v>0.37876984126984126</v>
      </c>
      <c r="AD245" s="12">
        <f t="shared" si="151"/>
        <v>-4.2857142857142844E-2</v>
      </c>
      <c r="AE245" s="1">
        <f t="shared" si="152"/>
        <v>-2</v>
      </c>
      <c r="AF245" s="1">
        <f t="shared" si="153"/>
        <v>-3</v>
      </c>
      <c r="AG245" s="1">
        <f t="shared" si="154"/>
        <v>6</v>
      </c>
      <c r="AH245" s="1">
        <f t="shared" si="155"/>
        <v>-3</v>
      </c>
      <c r="AI245" s="1">
        <f t="shared" si="156"/>
        <v>1</v>
      </c>
      <c r="AJ245" s="1">
        <f t="shared" si="157"/>
        <v>2</v>
      </c>
      <c r="AK245" s="17">
        <f t="shared" si="158"/>
        <v>0.16666666666666666</v>
      </c>
      <c r="AL245" s="17">
        <f t="shared" si="159"/>
        <v>-0.5</v>
      </c>
      <c r="AM245" s="1">
        <f t="shared" si="160"/>
        <v>-0.75</v>
      </c>
      <c r="AN245" s="1">
        <f t="shared" si="161"/>
        <v>-1</v>
      </c>
      <c r="AO245" s="1" t="e">
        <f t="shared" si="162"/>
        <v>#DIV/0!</v>
      </c>
      <c r="AP245" s="1">
        <f t="shared" si="163"/>
        <v>-0.5</v>
      </c>
      <c r="AQ245" s="1">
        <f t="shared" si="164"/>
        <v>0</v>
      </c>
      <c r="AR245" s="1">
        <f t="shared" si="165"/>
        <v>1.5</v>
      </c>
      <c r="AS245" s="12" t="e">
        <f t="shared" si="166"/>
        <v>#DIV/0!</v>
      </c>
      <c r="AT245" s="12" t="e">
        <f t="shared" si="167"/>
        <v>#DIV/0!</v>
      </c>
      <c r="AU245" s="1">
        <f t="shared" si="168"/>
        <v>-3</v>
      </c>
      <c r="AV245" s="1">
        <f t="shared" si="169"/>
        <v>-1</v>
      </c>
      <c r="AW245" s="1">
        <f t="shared" si="170"/>
        <v>4</v>
      </c>
      <c r="AX245" s="1">
        <f t="shared" si="171"/>
        <v>-2</v>
      </c>
      <c r="AY245" s="1">
        <f t="shared" si="172"/>
        <v>0</v>
      </c>
      <c r="AZ245" s="1">
        <f t="shared" si="173"/>
        <v>3</v>
      </c>
      <c r="BA245" s="19">
        <f t="shared" si="174"/>
        <v>0.16666666666666666</v>
      </c>
      <c r="BB245" s="19">
        <f t="shared" si="175"/>
        <v>-0.5</v>
      </c>
      <c r="BC245" s="9">
        <f t="shared" si="176"/>
        <v>0.33333333333333331</v>
      </c>
      <c r="BD245" s="9">
        <f t="shared" si="177"/>
        <v>-0.5</v>
      </c>
      <c r="BE245" s="9">
        <f t="shared" si="178"/>
        <v>1</v>
      </c>
      <c r="BF245" s="9">
        <f t="shared" si="179"/>
        <v>-0.25</v>
      </c>
      <c r="BG245" s="9">
        <f t="shared" si="180"/>
        <v>0.33333333333333331</v>
      </c>
      <c r="BH245" s="9">
        <f t="shared" si="181"/>
        <v>-0.25</v>
      </c>
      <c r="BI245" s="12">
        <f t="shared" si="182"/>
        <v>0.11111111111111109</v>
      </c>
      <c r="BJ245" s="13">
        <f t="shared" si="183"/>
        <v>4.166666666666663E-2</v>
      </c>
      <c r="BK245" s="1">
        <f t="shared" si="184"/>
        <v>1</v>
      </c>
      <c r="BL245" s="1">
        <f t="shared" si="185"/>
        <v>-2</v>
      </c>
      <c r="BM245" s="1">
        <f t="shared" si="186"/>
        <v>2</v>
      </c>
      <c r="BN245" s="1">
        <f t="shared" si="187"/>
        <v>-1</v>
      </c>
      <c r="BO245" s="1">
        <f t="shared" si="188"/>
        <v>1</v>
      </c>
      <c r="BP245" s="1">
        <f t="shared" si="189"/>
        <v>-1</v>
      </c>
      <c r="BQ245" s="19">
        <f t="shared" si="190"/>
        <v>0</v>
      </c>
      <c r="BR245" s="17">
        <f t="shared" si="191"/>
        <v>0</v>
      </c>
    </row>
    <row r="246" spans="1:70" x14ac:dyDescent="0.25">
      <c r="A246" t="s">
        <v>355</v>
      </c>
      <c r="B246">
        <v>6</v>
      </c>
      <c r="C246">
        <v>6</v>
      </c>
      <c r="D246">
        <v>6</v>
      </c>
      <c r="E246">
        <v>6</v>
      </c>
      <c r="F246">
        <v>4</v>
      </c>
      <c r="G246">
        <v>4</v>
      </c>
      <c r="H246">
        <v>7</v>
      </c>
      <c r="I246">
        <v>4</v>
      </c>
      <c r="J246">
        <v>3</v>
      </c>
      <c r="K246">
        <v>3</v>
      </c>
      <c r="L246">
        <v>2</v>
      </c>
      <c r="M246">
        <v>3</v>
      </c>
      <c r="N246">
        <v>3</v>
      </c>
      <c r="O246">
        <v>3</v>
      </c>
      <c r="P246">
        <v>2</v>
      </c>
      <c r="Q246">
        <v>3</v>
      </c>
      <c r="R246">
        <v>3</v>
      </c>
      <c r="S246">
        <v>4</v>
      </c>
      <c r="T246">
        <v>1</v>
      </c>
      <c r="U246">
        <v>1</v>
      </c>
      <c r="V246">
        <v>4</v>
      </c>
      <c r="W246" s="8">
        <f t="shared" si="144"/>
        <v>0</v>
      </c>
      <c r="X246" s="8">
        <f t="shared" si="145"/>
        <v>0</v>
      </c>
      <c r="Y246" s="8">
        <f t="shared" si="146"/>
        <v>0</v>
      </c>
      <c r="Z246" s="8">
        <f t="shared" si="147"/>
        <v>-0.33333333333333331</v>
      </c>
      <c r="AA246" s="8">
        <f t="shared" si="148"/>
        <v>0</v>
      </c>
      <c r="AB246" s="8">
        <f t="shared" si="149"/>
        <v>0.75</v>
      </c>
      <c r="AC246" s="12">
        <f t="shared" si="150"/>
        <v>6.9444444444444448E-2</v>
      </c>
      <c r="AD246" s="12">
        <f t="shared" si="151"/>
        <v>0</v>
      </c>
      <c r="AE246" s="1">
        <f t="shared" si="152"/>
        <v>0</v>
      </c>
      <c r="AF246" s="1">
        <f t="shared" si="153"/>
        <v>0</v>
      </c>
      <c r="AG246" s="1">
        <f t="shared" si="154"/>
        <v>0</v>
      </c>
      <c r="AH246" s="1">
        <f t="shared" si="155"/>
        <v>-2</v>
      </c>
      <c r="AI246" s="1">
        <f t="shared" si="156"/>
        <v>0</v>
      </c>
      <c r="AJ246" s="1">
        <f t="shared" si="157"/>
        <v>3</v>
      </c>
      <c r="AK246" s="17">
        <f t="shared" si="158"/>
        <v>0.16666666666666666</v>
      </c>
      <c r="AL246" s="17">
        <f t="shared" si="159"/>
        <v>0</v>
      </c>
      <c r="AM246" s="1">
        <f t="shared" si="160"/>
        <v>-0.25</v>
      </c>
      <c r="AN246" s="1">
        <f t="shared" si="161"/>
        <v>0</v>
      </c>
      <c r="AO246" s="1">
        <f t="shared" si="162"/>
        <v>-0.33333333333333331</v>
      </c>
      <c r="AP246" s="1">
        <f t="shared" si="163"/>
        <v>0.5</v>
      </c>
      <c r="AQ246" s="1">
        <f t="shared" si="164"/>
        <v>0</v>
      </c>
      <c r="AR246" s="1">
        <f t="shared" si="165"/>
        <v>0</v>
      </c>
      <c r="AS246" s="12">
        <f t="shared" si="166"/>
        <v>-1.3888888888888876E-2</v>
      </c>
      <c r="AT246" s="12">
        <f t="shared" si="167"/>
        <v>0</v>
      </c>
      <c r="AU246" s="1">
        <f t="shared" si="168"/>
        <v>-1</v>
      </c>
      <c r="AV246" s="1">
        <f t="shared" si="169"/>
        <v>0</v>
      </c>
      <c r="AW246" s="1">
        <f t="shared" si="170"/>
        <v>-1</v>
      </c>
      <c r="AX246" s="1">
        <f t="shared" si="171"/>
        <v>1</v>
      </c>
      <c r="AY246" s="1">
        <f t="shared" si="172"/>
        <v>0</v>
      </c>
      <c r="AZ246" s="1">
        <f t="shared" si="173"/>
        <v>0</v>
      </c>
      <c r="BA246" s="19">
        <f t="shared" si="174"/>
        <v>-0.16666666666666666</v>
      </c>
      <c r="BB246" s="19">
        <f t="shared" si="175"/>
        <v>0</v>
      </c>
      <c r="BC246" s="9">
        <f t="shared" si="176"/>
        <v>0.5</v>
      </c>
      <c r="BD246" s="9">
        <f t="shared" si="177"/>
        <v>0</v>
      </c>
      <c r="BE246" s="9">
        <f t="shared" si="178"/>
        <v>0.33333333333333331</v>
      </c>
      <c r="BF246" s="9">
        <f t="shared" si="179"/>
        <v>-0.75</v>
      </c>
      <c r="BG246" s="9">
        <f t="shared" si="180"/>
        <v>0</v>
      </c>
      <c r="BH246" s="9">
        <f t="shared" si="181"/>
        <v>3</v>
      </c>
      <c r="BI246" s="12">
        <f t="shared" si="182"/>
        <v>0.51388888888888884</v>
      </c>
      <c r="BJ246" s="13">
        <f t="shared" si="183"/>
        <v>0.16666666666666666</v>
      </c>
      <c r="BK246" s="1">
        <f t="shared" si="184"/>
        <v>1</v>
      </c>
      <c r="BL246" s="1">
        <f t="shared" si="185"/>
        <v>0</v>
      </c>
      <c r="BM246" s="1">
        <f t="shared" si="186"/>
        <v>1</v>
      </c>
      <c r="BN246" s="1">
        <f t="shared" si="187"/>
        <v>-3</v>
      </c>
      <c r="BO246" s="1">
        <f t="shared" si="188"/>
        <v>0</v>
      </c>
      <c r="BP246" s="1">
        <f t="shared" si="189"/>
        <v>3</v>
      </c>
      <c r="BQ246" s="19">
        <f t="shared" si="190"/>
        <v>0.33333333333333331</v>
      </c>
      <c r="BR246" s="17">
        <f t="shared" si="191"/>
        <v>0.5</v>
      </c>
    </row>
    <row r="247" spans="1:70" x14ac:dyDescent="0.25">
      <c r="A247" t="s">
        <v>362</v>
      </c>
      <c r="B247">
        <v>6</v>
      </c>
      <c r="C247">
        <v>5</v>
      </c>
      <c r="D247">
        <v>5</v>
      </c>
      <c r="E247">
        <v>3</v>
      </c>
      <c r="F247">
        <v>10</v>
      </c>
      <c r="G247">
        <v>1</v>
      </c>
      <c r="H247">
        <v>7</v>
      </c>
      <c r="I247">
        <v>3</v>
      </c>
      <c r="J247">
        <v>5</v>
      </c>
      <c r="K247">
        <v>1</v>
      </c>
      <c r="L247">
        <v>2</v>
      </c>
      <c r="M247">
        <v>5</v>
      </c>
      <c r="O247">
        <v>5</v>
      </c>
      <c r="P247">
        <v>3</v>
      </c>
      <c r="R247">
        <v>4</v>
      </c>
      <c r="S247">
        <v>1</v>
      </c>
      <c r="T247">
        <v>5</v>
      </c>
      <c r="U247">
        <v>1</v>
      </c>
      <c r="V247">
        <v>2</v>
      </c>
      <c r="W247" s="8">
        <f t="shared" si="144"/>
        <v>-0.16666666666666666</v>
      </c>
      <c r="X247" s="8">
        <f t="shared" si="145"/>
        <v>0</v>
      </c>
      <c r="Y247" s="8">
        <f t="shared" si="146"/>
        <v>-0.4</v>
      </c>
      <c r="Z247" s="8">
        <f t="shared" si="147"/>
        <v>2.3333333333333335</v>
      </c>
      <c r="AA247" s="8">
        <f t="shared" si="148"/>
        <v>-0.9</v>
      </c>
      <c r="AB247" s="8">
        <f t="shared" si="149"/>
        <v>6</v>
      </c>
      <c r="AC247" s="12">
        <f t="shared" si="150"/>
        <v>1.1444444444444446</v>
      </c>
      <c r="AD247" s="12">
        <f t="shared" si="151"/>
        <v>-8.3333333333333329E-2</v>
      </c>
      <c r="AE247" s="1">
        <f t="shared" si="152"/>
        <v>-1</v>
      </c>
      <c r="AF247" s="1">
        <f t="shared" si="153"/>
        <v>0</v>
      </c>
      <c r="AG247" s="1">
        <f t="shared" si="154"/>
        <v>-2</v>
      </c>
      <c r="AH247" s="1">
        <f t="shared" si="155"/>
        <v>7</v>
      </c>
      <c r="AI247" s="1">
        <f t="shared" si="156"/>
        <v>-9</v>
      </c>
      <c r="AJ247" s="1">
        <f t="shared" si="157"/>
        <v>6</v>
      </c>
      <c r="AK247" s="17">
        <f t="shared" si="158"/>
        <v>0.16666666666666666</v>
      </c>
      <c r="AL247" s="17">
        <f t="shared" si="159"/>
        <v>-0.5</v>
      </c>
      <c r="AM247" s="1">
        <f t="shared" si="160"/>
        <v>0.66666666666666663</v>
      </c>
      <c r="AN247" s="1">
        <f t="shared" si="161"/>
        <v>-0.8</v>
      </c>
      <c r="AO247" s="1">
        <f t="shared" si="162"/>
        <v>1</v>
      </c>
      <c r="AP247" s="1">
        <f t="shared" si="163"/>
        <v>1.5</v>
      </c>
      <c r="AQ247" s="1">
        <f t="shared" si="164"/>
        <v>-1</v>
      </c>
      <c r="AR247" s="1" t="e">
        <f t="shared" si="165"/>
        <v>#DIV/0!</v>
      </c>
      <c r="AS247" s="12" t="e">
        <f t="shared" si="166"/>
        <v>#DIV/0!</v>
      </c>
      <c r="AT247" s="12" t="e">
        <f t="shared" si="167"/>
        <v>#DIV/0!</v>
      </c>
      <c r="AU247" s="1">
        <f t="shared" si="168"/>
        <v>2</v>
      </c>
      <c r="AV247" s="1">
        <f t="shared" si="169"/>
        <v>-4</v>
      </c>
      <c r="AW247" s="1">
        <f t="shared" si="170"/>
        <v>1</v>
      </c>
      <c r="AX247" s="1">
        <f t="shared" si="171"/>
        <v>3</v>
      </c>
      <c r="AY247" s="1">
        <f t="shared" si="172"/>
        <v>-5</v>
      </c>
      <c r="AZ247" s="1">
        <f t="shared" si="173"/>
        <v>5</v>
      </c>
      <c r="BA247" s="19">
        <f t="shared" si="174"/>
        <v>0.33333333333333331</v>
      </c>
      <c r="BB247" s="19">
        <f t="shared" si="175"/>
        <v>1.5</v>
      </c>
      <c r="BC247" s="9">
        <f t="shared" si="176"/>
        <v>-1</v>
      </c>
      <c r="BD247" s="9" t="e">
        <f t="shared" si="177"/>
        <v>#DIV/0!</v>
      </c>
      <c r="BE247" s="9">
        <f t="shared" si="178"/>
        <v>-0.75</v>
      </c>
      <c r="BF247" s="9">
        <f t="shared" si="179"/>
        <v>4</v>
      </c>
      <c r="BG247" s="9">
        <f t="shared" si="180"/>
        <v>-0.8</v>
      </c>
      <c r="BH247" s="9">
        <f t="shared" si="181"/>
        <v>1</v>
      </c>
      <c r="BI247" s="12" t="e">
        <f t="shared" si="182"/>
        <v>#DIV/0!</v>
      </c>
      <c r="BJ247" s="13" t="e">
        <f t="shared" si="183"/>
        <v>#DIV/0!</v>
      </c>
      <c r="BK247" s="1">
        <f t="shared" si="184"/>
        <v>-3</v>
      </c>
      <c r="BL247" s="1">
        <f t="shared" si="185"/>
        <v>4</v>
      </c>
      <c r="BM247" s="1">
        <f t="shared" si="186"/>
        <v>-3</v>
      </c>
      <c r="BN247" s="1">
        <f t="shared" si="187"/>
        <v>4</v>
      </c>
      <c r="BO247" s="1">
        <f t="shared" si="188"/>
        <v>-4</v>
      </c>
      <c r="BP247" s="1">
        <f t="shared" si="189"/>
        <v>1</v>
      </c>
      <c r="BQ247" s="19">
        <f t="shared" si="190"/>
        <v>-0.16666666666666666</v>
      </c>
      <c r="BR247" s="17">
        <f t="shared" si="191"/>
        <v>-1</v>
      </c>
    </row>
    <row r="248" spans="1:70" x14ac:dyDescent="0.25">
      <c r="A248" t="s">
        <v>365</v>
      </c>
      <c r="B248">
        <v>6</v>
      </c>
      <c r="C248">
        <v>9</v>
      </c>
      <c r="D248">
        <v>13</v>
      </c>
      <c r="E248">
        <v>46</v>
      </c>
      <c r="F248">
        <v>11</v>
      </c>
      <c r="G248">
        <v>8</v>
      </c>
      <c r="H248">
        <v>7</v>
      </c>
      <c r="I248">
        <v>3</v>
      </c>
      <c r="J248">
        <v>8</v>
      </c>
      <c r="K248">
        <v>8</v>
      </c>
      <c r="L248">
        <v>26</v>
      </c>
      <c r="M248">
        <v>8</v>
      </c>
      <c r="N248">
        <v>2</v>
      </c>
      <c r="O248">
        <v>1</v>
      </c>
      <c r="P248">
        <v>3</v>
      </c>
      <c r="Q248">
        <v>1</v>
      </c>
      <c r="R248">
        <v>5</v>
      </c>
      <c r="S248">
        <v>20</v>
      </c>
      <c r="T248">
        <v>3</v>
      </c>
      <c r="U248">
        <v>6</v>
      </c>
      <c r="V248">
        <v>6</v>
      </c>
      <c r="W248" s="8">
        <f t="shared" si="144"/>
        <v>0.5</v>
      </c>
      <c r="X248" s="8">
        <f t="shared" si="145"/>
        <v>0.44444444444444442</v>
      </c>
      <c r="Y248" s="8">
        <f t="shared" si="146"/>
        <v>2.5384615384615383</v>
      </c>
      <c r="Z248" s="8">
        <f t="shared" si="147"/>
        <v>-0.76086956521739135</v>
      </c>
      <c r="AA248" s="8">
        <f t="shared" si="148"/>
        <v>-0.27272727272727271</v>
      </c>
      <c r="AB248" s="8">
        <f t="shared" si="149"/>
        <v>-0.125</v>
      </c>
      <c r="AC248" s="12">
        <f t="shared" si="150"/>
        <v>0.38738485749355317</v>
      </c>
      <c r="AD248" s="12">
        <f t="shared" si="151"/>
        <v>0.15972222222222221</v>
      </c>
      <c r="AE248" s="1">
        <f t="shared" si="152"/>
        <v>3</v>
      </c>
      <c r="AF248" s="1">
        <f t="shared" si="153"/>
        <v>4</v>
      </c>
      <c r="AG248" s="1">
        <f t="shared" si="154"/>
        <v>33</v>
      </c>
      <c r="AH248" s="1">
        <f t="shared" si="155"/>
        <v>-35</v>
      </c>
      <c r="AI248" s="1">
        <f t="shared" si="156"/>
        <v>-3</v>
      </c>
      <c r="AJ248" s="1">
        <f t="shared" si="157"/>
        <v>-1</v>
      </c>
      <c r="AK248" s="17">
        <f t="shared" si="158"/>
        <v>0.16666666666666666</v>
      </c>
      <c r="AL248" s="17">
        <f t="shared" si="159"/>
        <v>1</v>
      </c>
      <c r="AM248" s="1">
        <f t="shared" si="160"/>
        <v>1.6666666666666667</v>
      </c>
      <c r="AN248" s="1">
        <f t="shared" si="161"/>
        <v>0</v>
      </c>
      <c r="AO248" s="1">
        <f t="shared" si="162"/>
        <v>2.25</v>
      </c>
      <c r="AP248" s="1">
        <f t="shared" si="163"/>
        <v>-0.69230769230769229</v>
      </c>
      <c r="AQ248" s="1">
        <f t="shared" si="164"/>
        <v>-0.75</v>
      </c>
      <c r="AR248" s="1">
        <f t="shared" si="165"/>
        <v>-0.5</v>
      </c>
      <c r="AS248" s="12">
        <f t="shared" si="166"/>
        <v>0.32905982905982906</v>
      </c>
      <c r="AT248" s="12">
        <f t="shared" si="167"/>
        <v>-0.25</v>
      </c>
      <c r="AU248" s="1">
        <f t="shared" si="168"/>
        <v>5</v>
      </c>
      <c r="AV248" s="1">
        <f t="shared" si="169"/>
        <v>0</v>
      </c>
      <c r="AW248" s="1">
        <f t="shared" si="170"/>
        <v>18</v>
      </c>
      <c r="AX248" s="1">
        <f t="shared" si="171"/>
        <v>-18</v>
      </c>
      <c r="AY248" s="1">
        <f t="shared" si="172"/>
        <v>-6</v>
      </c>
      <c r="AZ248" s="1">
        <f t="shared" si="173"/>
        <v>-1</v>
      </c>
      <c r="BA248" s="19">
        <f t="shared" si="174"/>
        <v>-0.33333333333333331</v>
      </c>
      <c r="BB248" s="19">
        <f t="shared" si="175"/>
        <v>-0.5</v>
      </c>
      <c r="BC248" s="9">
        <f t="shared" si="176"/>
        <v>-0.66666666666666663</v>
      </c>
      <c r="BD248" s="9">
        <f t="shared" si="177"/>
        <v>4</v>
      </c>
      <c r="BE248" s="9">
        <f t="shared" si="178"/>
        <v>3</v>
      </c>
      <c r="BF248" s="9">
        <f t="shared" si="179"/>
        <v>-0.85</v>
      </c>
      <c r="BG248" s="9">
        <f t="shared" si="180"/>
        <v>1</v>
      </c>
      <c r="BH248" s="9">
        <f t="shared" si="181"/>
        <v>0</v>
      </c>
      <c r="BI248" s="12">
        <f t="shared" si="182"/>
        <v>1.0805555555555557</v>
      </c>
      <c r="BJ248" s="13">
        <f t="shared" si="183"/>
        <v>0.5</v>
      </c>
      <c r="BK248" s="1">
        <f t="shared" si="184"/>
        <v>-2</v>
      </c>
      <c r="BL248" s="1">
        <f t="shared" si="185"/>
        <v>4</v>
      </c>
      <c r="BM248" s="1">
        <f t="shared" si="186"/>
        <v>15</v>
      </c>
      <c r="BN248" s="1">
        <f t="shared" si="187"/>
        <v>-17</v>
      </c>
      <c r="BO248" s="1">
        <f t="shared" si="188"/>
        <v>3</v>
      </c>
      <c r="BP248" s="1">
        <f t="shared" si="189"/>
        <v>0</v>
      </c>
      <c r="BQ248" s="19">
        <f t="shared" si="190"/>
        <v>0.5</v>
      </c>
      <c r="BR248" s="17">
        <f t="shared" si="191"/>
        <v>1.5</v>
      </c>
    </row>
    <row r="249" spans="1:70" x14ac:dyDescent="0.25">
      <c r="A249" t="s">
        <v>378</v>
      </c>
      <c r="B249">
        <v>5</v>
      </c>
      <c r="C249">
        <v>5</v>
      </c>
      <c r="D249">
        <v>4</v>
      </c>
      <c r="E249">
        <v>2</v>
      </c>
      <c r="F249">
        <v>7</v>
      </c>
      <c r="G249">
        <v>9</v>
      </c>
      <c r="H249">
        <v>6</v>
      </c>
      <c r="I249">
        <v>3</v>
      </c>
      <c r="J249">
        <v>3</v>
      </c>
      <c r="K249">
        <v>3</v>
      </c>
      <c r="L249">
        <v>2</v>
      </c>
      <c r="M249">
        <v>4</v>
      </c>
      <c r="N249">
        <v>5</v>
      </c>
      <c r="O249">
        <v>6</v>
      </c>
      <c r="P249">
        <v>2</v>
      </c>
      <c r="Q249">
        <v>2</v>
      </c>
      <c r="R249">
        <v>1</v>
      </c>
      <c r="T249">
        <v>3</v>
      </c>
      <c r="U249">
        <v>4</v>
      </c>
      <c r="W249" s="8">
        <f t="shared" si="144"/>
        <v>0</v>
      </c>
      <c r="X249" s="8">
        <f t="shared" si="145"/>
        <v>-0.2</v>
      </c>
      <c r="Y249" s="8">
        <f t="shared" si="146"/>
        <v>-0.5</v>
      </c>
      <c r="Z249" s="8">
        <f t="shared" si="147"/>
        <v>2.5</v>
      </c>
      <c r="AA249" s="8">
        <f t="shared" si="148"/>
        <v>0.2857142857142857</v>
      </c>
      <c r="AB249" s="8">
        <f t="shared" si="149"/>
        <v>-0.33333333333333331</v>
      </c>
      <c r="AC249" s="12">
        <f t="shared" si="150"/>
        <v>0.29206349206349208</v>
      </c>
      <c r="AD249" s="12">
        <f t="shared" si="151"/>
        <v>-0.1</v>
      </c>
      <c r="AE249" s="1">
        <f t="shared" si="152"/>
        <v>0</v>
      </c>
      <c r="AF249" s="1">
        <f t="shared" si="153"/>
        <v>-1</v>
      </c>
      <c r="AG249" s="1">
        <f t="shared" si="154"/>
        <v>-2</v>
      </c>
      <c r="AH249" s="1">
        <f t="shared" si="155"/>
        <v>5</v>
      </c>
      <c r="AI249" s="1">
        <f t="shared" si="156"/>
        <v>2</v>
      </c>
      <c r="AJ249" s="1">
        <f t="shared" si="157"/>
        <v>-3</v>
      </c>
      <c r="AK249" s="17">
        <f t="shared" si="158"/>
        <v>0.16666666666666666</v>
      </c>
      <c r="AL249" s="17">
        <f t="shared" si="159"/>
        <v>-0.5</v>
      </c>
      <c r="AM249" s="1">
        <f t="shared" si="160"/>
        <v>0</v>
      </c>
      <c r="AN249" s="1">
        <f t="shared" si="161"/>
        <v>0</v>
      </c>
      <c r="AO249" s="1">
        <f t="shared" si="162"/>
        <v>-0.33333333333333331</v>
      </c>
      <c r="AP249" s="1">
        <f t="shared" si="163"/>
        <v>1</v>
      </c>
      <c r="AQ249" s="1">
        <f t="shared" si="164"/>
        <v>0.25</v>
      </c>
      <c r="AR249" s="1">
        <f t="shared" si="165"/>
        <v>0.2</v>
      </c>
      <c r="AS249" s="12">
        <f t="shared" si="166"/>
        <v>0.18611111111111112</v>
      </c>
      <c r="AT249" s="12">
        <f t="shared" si="167"/>
        <v>0.1</v>
      </c>
      <c r="AU249" s="1">
        <f t="shared" si="168"/>
        <v>0</v>
      </c>
      <c r="AV249" s="1">
        <f t="shared" si="169"/>
        <v>0</v>
      </c>
      <c r="AW249" s="1">
        <f t="shared" si="170"/>
        <v>-1</v>
      </c>
      <c r="AX249" s="1">
        <f t="shared" si="171"/>
        <v>2</v>
      </c>
      <c r="AY249" s="1">
        <f t="shared" si="172"/>
        <v>1</v>
      </c>
      <c r="AZ249" s="1">
        <f t="shared" si="173"/>
        <v>1</v>
      </c>
      <c r="BA249" s="19">
        <f t="shared" si="174"/>
        <v>0.5</v>
      </c>
      <c r="BB249" s="19">
        <f t="shared" si="175"/>
        <v>0.5</v>
      </c>
      <c r="BC249" s="9">
        <f t="shared" si="176"/>
        <v>0</v>
      </c>
      <c r="BD249" s="9">
        <f t="shared" si="177"/>
        <v>-0.5</v>
      </c>
      <c r="BE249" s="9">
        <f t="shared" si="178"/>
        <v>-1</v>
      </c>
      <c r="BF249" s="9" t="e">
        <f t="shared" si="179"/>
        <v>#DIV/0!</v>
      </c>
      <c r="BG249" s="9">
        <f t="shared" si="180"/>
        <v>0.33333333333333331</v>
      </c>
      <c r="BH249" s="9">
        <f t="shared" si="181"/>
        <v>-1</v>
      </c>
      <c r="BI249" s="12" t="e">
        <f t="shared" si="182"/>
        <v>#DIV/0!</v>
      </c>
      <c r="BJ249" s="13" t="e">
        <f t="shared" si="183"/>
        <v>#DIV/0!</v>
      </c>
      <c r="BK249" s="1">
        <f t="shared" si="184"/>
        <v>0</v>
      </c>
      <c r="BL249" s="1">
        <f t="shared" si="185"/>
        <v>-1</v>
      </c>
      <c r="BM249" s="1">
        <f t="shared" si="186"/>
        <v>-1</v>
      </c>
      <c r="BN249" s="1">
        <f t="shared" si="187"/>
        <v>3</v>
      </c>
      <c r="BO249" s="1">
        <f t="shared" si="188"/>
        <v>1</v>
      </c>
      <c r="BP249" s="1">
        <f t="shared" si="189"/>
        <v>-4</v>
      </c>
      <c r="BQ249" s="19">
        <f t="shared" si="190"/>
        <v>-0.33333333333333331</v>
      </c>
      <c r="BR249" s="17">
        <f t="shared" si="191"/>
        <v>-0.5</v>
      </c>
    </row>
    <row r="250" spans="1:70" x14ac:dyDescent="0.25">
      <c r="A250" t="s">
        <v>383</v>
      </c>
      <c r="B250">
        <v>5</v>
      </c>
      <c r="C250">
        <v>3</v>
      </c>
      <c r="D250">
        <v>7</v>
      </c>
      <c r="E250">
        <v>2</v>
      </c>
      <c r="F250">
        <v>9</v>
      </c>
      <c r="G250">
        <v>5</v>
      </c>
      <c r="H250">
        <v>6</v>
      </c>
      <c r="I250">
        <v>2</v>
      </c>
      <c r="K250">
        <v>4</v>
      </c>
      <c r="L250">
        <v>1</v>
      </c>
      <c r="M250">
        <v>4</v>
      </c>
      <c r="N250">
        <v>1</v>
      </c>
      <c r="O250">
        <v>3</v>
      </c>
      <c r="P250">
        <v>3</v>
      </c>
      <c r="Q250">
        <v>3</v>
      </c>
      <c r="R250">
        <v>3</v>
      </c>
      <c r="S250">
        <v>1</v>
      </c>
      <c r="T250">
        <v>5</v>
      </c>
      <c r="U250">
        <v>4</v>
      </c>
      <c r="V250">
        <v>3</v>
      </c>
      <c r="W250" s="8">
        <f t="shared" si="144"/>
        <v>-0.4</v>
      </c>
      <c r="X250" s="8">
        <f t="shared" si="145"/>
        <v>1.3333333333333333</v>
      </c>
      <c r="Y250" s="8">
        <f t="shared" si="146"/>
        <v>-0.7142857142857143</v>
      </c>
      <c r="Z250" s="8">
        <f t="shared" si="147"/>
        <v>3.5</v>
      </c>
      <c r="AA250" s="8">
        <f t="shared" si="148"/>
        <v>-0.44444444444444442</v>
      </c>
      <c r="AB250" s="8">
        <f t="shared" si="149"/>
        <v>0.2</v>
      </c>
      <c r="AC250" s="12">
        <f t="shared" si="150"/>
        <v>0.57910052910052912</v>
      </c>
      <c r="AD250" s="12">
        <f t="shared" si="151"/>
        <v>-9.9999999999999978E-2</v>
      </c>
      <c r="AE250" s="1">
        <f t="shared" si="152"/>
        <v>-2</v>
      </c>
      <c r="AF250" s="1">
        <f t="shared" si="153"/>
        <v>4</v>
      </c>
      <c r="AG250" s="1">
        <f t="shared" si="154"/>
        <v>-5</v>
      </c>
      <c r="AH250" s="1">
        <f t="shared" si="155"/>
        <v>7</v>
      </c>
      <c r="AI250" s="1">
        <f t="shared" si="156"/>
        <v>-4</v>
      </c>
      <c r="AJ250" s="1">
        <f t="shared" si="157"/>
        <v>1</v>
      </c>
      <c r="AK250" s="17">
        <f t="shared" si="158"/>
        <v>0.16666666666666666</v>
      </c>
      <c r="AL250" s="17">
        <f t="shared" si="159"/>
        <v>-0.5</v>
      </c>
      <c r="AM250" s="1">
        <f t="shared" si="160"/>
        <v>-1</v>
      </c>
      <c r="AN250" s="1" t="e">
        <f t="shared" si="161"/>
        <v>#DIV/0!</v>
      </c>
      <c r="AO250" s="1">
        <f t="shared" si="162"/>
        <v>-0.75</v>
      </c>
      <c r="AP250" s="1">
        <f t="shared" si="163"/>
        <v>3</v>
      </c>
      <c r="AQ250" s="1">
        <f t="shared" si="164"/>
        <v>-0.75</v>
      </c>
      <c r="AR250" s="1">
        <f t="shared" si="165"/>
        <v>2</v>
      </c>
      <c r="AS250" s="12" t="e">
        <f t="shared" si="166"/>
        <v>#DIV/0!</v>
      </c>
      <c r="AT250" s="12" t="e">
        <f t="shared" si="167"/>
        <v>#DIV/0!</v>
      </c>
      <c r="AU250" s="1">
        <f t="shared" si="168"/>
        <v>-2</v>
      </c>
      <c r="AV250" s="1">
        <f t="shared" si="169"/>
        <v>4</v>
      </c>
      <c r="AW250" s="1">
        <f t="shared" si="170"/>
        <v>-3</v>
      </c>
      <c r="AX250" s="1">
        <f t="shared" si="171"/>
        <v>3</v>
      </c>
      <c r="AY250" s="1">
        <f t="shared" si="172"/>
        <v>-3</v>
      </c>
      <c r="AZ250" s="1">
        <f t="shared" si="173"/>
        <v>2</v>
      </c>
      <c r="BA250" s="19">
        <f t="shared" si="174"/>
        <v>0.16666666666666666</v>
      </c>
      <c r="BB250" s="19">
        <f t="shared" si="175"/>
        <v>0</v>
      </c>
      <c r="BC250" s="9">
        <f t="shared" si="176"/>
        <v>0</v>
      </c>
      <c r="BD250" s="9">
        <f t="shared" si="177"/>
        <v>0</v>
      </c>
      <c r="BE250" s="9">
        <f t="shared" si="178"/>
        <v>-0.66666666666666663</v>
      </c>
      <c r="BF250" s="9">
        <f t="shared" si="179"/>
        <v>4</v>
      </c>
      <c r="BG250" s="9">
        <f t="shared" si="180"/>
        <v>-0.2</v>
      </c>
      <c r="BH250" s="9">
        <f t="shared" si="181"/>
        <v>-0.25</v>
      </c>
      <c r="BI250" s="12">
        <f t="shared" si="182"/>
        <v>0.48055555555555557</v>
      </c>
      <c r="BJ250" s="13">
        <f t="shared" si="183"/>
        <v>-0.1</v>
      </c>
      <c r="BK250" s="1">
        <f t="shared" si="184"/>
        <v>0</v>
      </c>
      <c r="BL250" s="1">
        <f t="shared" si="185"/>
        <v>0</v>
      </c>
      <c r="BM250" s="1">
        <f t="shared" si="186"/>
        <v>-2</v>
      </c>
      <c r="BN250" s="1">
        <f t="shared" si="187"/>
        <v>4</v>
      </c>
      <c r="BO250" s="1">
        <f t="shared" si="188"/>
        <v>-1</v>
      </c>
      <c r="BP250" s="1">
        <f t="shared" si="189"/>
        <v>-1</v>
      </c>
      <c r="BQ250" s="19">
        <f t="shared" si="190"/>
        <v>0</v>
      </c>
      <c r="BR250" s="17">
        <f t="shared" si="191"/>
        <v>-0.5</v>
      </c>
    </row>
    <row r="251" spans="1:70" x14ac:dyDescent="0.25">
      <c r="A251" t="s">
        <v>384</v>
      </c>
      <c r="B251">
        <v>5</v>
      </c>
      <c r="C251">
        <v>3</v>
      </c>
      <c r="D251">
        <v>5</v>
      </c>
      <c r="E251">
        <v>3</v>
      </c>
      <c r="F251">
        <v>7</v>
      </c>
      <c r="G251">
        <v>7</v>
      </c>
      <c r="H251">
        <v>6</v>
      </c>
      <c r="I251">
        <v>5</v>
      </c>
      <c r="J251">
        <v>1</v>
      </c>
      <c r="K251">
        <v>3</v>
      </c>
      <c r="L251">
        <v>2</v>
      </c>
      <c r="M251">
        <v>4</v>
      </c>
      <c r="N251">
        <v>3</v>
      </c>
      <c r="O251">
        <v>3</v>
      </c>
      <c r="Q251">
        <v>2</v>
      </c>
      <c r="R251">
        <v>2</v>
      </c>
      <c r="S251">
        <v>1</v>
      </c>
      <c r="T251">
        <v>3</v>
      </c>
      <c r="U251">
        <v>4</v>
      </c>
      <c r="V251">
        <v>3</v>
      </c>
      <c r="W251" s="8">
        <f t="shared" si="144"/>
        <v>-0.4</v>
      </c>
      <c r="X251" s="8">
        <f t="shared" si="145"/>
        <v>0.66666666666666663</v>
      </c>
      <c r="Y251" s="8">
        <f t="shared" si="146"/>
        <v>-0.4</v>
      </c>
      <c r="Z251" s="8">
        <f t="shared" si="147"/>
        <v>1.3333333333333333</v>
      </c>
      <c r="AA251" s="8">
        <f t="shared" si="148"/>
        <v>0</v>
      </c>
      <c r="AB251" s="8">
        <f t="shared" si="149"/>
        <v>-0.14285714285714285</v>
      </c>
      <c r="AC251" s="12">
        <f t="shared" si="150"/>
        <v>0.17619047619047615</v>
      </c>
      <c r="AD251" s="12">
        <f t="shared" si="151"/>
        <v>-7.1428571428571425E-2</v>
      </c>
      <c r="AE251" s="1">
        <f t="shared" si="152"/>
        <v>-2</v>
      </c>
      <c r="AF251" s="1">
        <f t="shared" si="153"/>
        <v>2</v>
      </c>
      <c r="AG251" s="1">
        <f t="shared" si="154"/>
        <v>-2</v>
      </c>
      <c r="AH251" s="1">
        <f t="shared" si="155"/>
        <v>4</v>
      </c>
      <c r="AI251" s="1">
        <f t="shared" si="156"/>
        <v>0</v>
      </c>
      <c r="AJ251" s="1">
        <f t="shared" si="157"/>
        <v>-1</v>
      </c>
      <c r="AK251" s="17">
        <f t="shared" si="158"/>
        <v>0.16666666666666666</v>
      </c>
      <c r="AL251" s="17">
        <f t="shared" si="159"/>
        <v>-0.5</v>
      </c>
      <c r="AM251" s="1">
        <f t="shared" si="160"/>
        <v>-0.8</v>
      </c>
      <c r="AN251" s="1">
        <f t="shared" si="161"/>
        <v>2</v>
      </c>
      <c r="AO251" s="1">
        <f t="shared" si="162"/>
        <v>-0.33333333333333331</v>
      </c>
      <c r="AP251" s="1">
        <f t="shared" si="163"/>
        <v>1</v>
      </c>
      <c r="AQ251" s="1">
        <f t="shared" si="164"/>
        <v>-0.25</v>
      </c>
      <c r="AR251" s="1">
        <f t="shared" si="165"/>
        <v>0</v>
      </c>
      <c r="AS251" s="12">
        <f t="shared" si="166"/>
        <v>0.26944444444444443</v>
      </c>
      <c r="AT251" s="12">
        <f t="shared" si="167"/>
        <v>-0.125</v>
      </c>
      <c r="AU251" s="1">
        <f t="shared" si="168"/>
        <v>-4</v>
      </c>
      <c r="AV251" s="1">
        <f t="shared" si="169"/>
        <v>2</v>
      </c>
      <c r="AW251" s="1">
        <f t="shared" si="170"/>
        <v>-1</v>
      </c>
      <c r="AX251" s="1">
        <f t="shared" si="171"/>
        <v>2</v>
      </c>
      <c r="AY251" s="1">
        <f t="shared" si="172"/>
        <v>-1</v>
      </c>
      <c r="AZ251" s="1">
        <f t="shared" si="173"/>
        <v>0</v>
      </c>
      <c r="BA251" s="19">
        <f t="shared" si="174"/>
        <v>-0.33333333333333331</v>
      </c>
      <c r="BB251" s="19">
        <f t="shared" si="175"/>
        <v>-0.5</v>
      </c>
      <c r="BC251" s="9" t="e">
        <f t="shared" si="176"/>
        <v>#DIV/0!</v>
      </c>
      <c r="BD251" s="9">
        <f t="shared" si="177"/>
        <v>0</v>
      </c>
      <c r="BE251" s="9">
        <f t="shared" si="178"/>
        <v>-0.5</v>
      </c>
      <c r="BF251" s="9">
        <f t="shared" si="179"/>
        <v>2</v>
      </c>
      <c r="BG251" s="9">
        <f t="shared" si="180"/>
        <v>0.33333333333333331</v>
      </c>
      <c r="BH251" s="9">
        <f t="shared" si="181"/>
        <v>-0.25</v>
      </c>
      <c r="BI251" s="12" t="e">
        <f t="shared" si="182"/>
        <v>#DIV/0!</v>
      </c>
      <c r="BJ251" s="13" t="e">
        <f t="shared" si="183"/>
        <v>#DIV/0!</v>
      </c>
      <c r="BK251" s="1">
        <f t="shared" si="184"/>
        <v>2</v>
      </c>
      <c r="BL251" s="1">
        <f t="shared" si="185"/>
        <v>0</v>
      </c>
      <c r="BM251" s="1">
        <f t="shared" si="186"/>
        <v>-1</v>
      </c>
      <c r="BN251" s="1">
        <f t="shared" si="187"/>
        <v>2</v>
      </c>
      <c r="BO251" s="1">
        <f t="shared" si="188"/>
        <v>1</v>
      </c>
      <c r="BP251" s="1">
        <f t="shared" si="189"/>
        <v>-1</v>
      </c>
      <c r="BQ251" s="19">
        <f t="shared" si="190"/>
        <v>0.5</v>
      </c>
      <c r="BR251" s="17">
        <f t="shared" si="191"/>
        <v>0.5</v>
      </c>
    </row>
    <row r="252" spans="1:70" x14ac:dyDescent="0.25">
      <c r="A252" t="s">
        <v>390</v>
      </c>
      <c r="B252">
        <v>4</v>
      </c>
      <c r="C252">
        <v>4</v>
      </c>
      <c r="D252">
        <v>4</v>
      </c>
      <c r="E252">
        <v>6</v>
      </c>
      <c r="F252">
        <v>3</v>
      </c>
      <c r="G252">
        <v>9</v>
      </c>
      <c r="H252">
        <v>5</v>
      </c>
      <c r="I252">
        <v>3</v>
      </c>
      <c r="J252">
        <v>2</v>
      </c>
      <c r="K252">
        <v>4</v>
      </c>
      <c r="L252">
        <v>4</v>
      </c>
      <c r="M252">
        <v>1</v>
      </c>
      <c r="N252">
        <v>4</v>
      </c>
      <c r="O252">
        <v>2</v>
      </c>
      <c r="P252">
        <v>1</v>
      </c>
      <c r="Q252">
        <v>2</v>
      </c>
      <c r="S252">
        <v>2</v>
      </c>
      <c r="T252">
        <v>2</v>
      </c>
      <c r="U252">
        <v>5</v>
      </c>
      <c r="V252">
        <v>3</v>
      </c>
      <c r="W252" s="8">
        <f t="shared" si="144"/>
        <v>0</v>
      </c>
      <c r="X252" s="8">
        <f t="shared" si="145"/>
        <v>0</v>
      </c>
      <c r="Y252" s="8">
        <f t="shared" si="146"/>
        <v>0.5</v>
      </c>
      <c r="Z252" s="8">
        <f t="shared" si="147"/>
        <v>-0.5</v>
      </c>
      <c r="AA252" s="8">
        <f t="shared" si="148"/>
        <v>2</v>
      </c>
      <c r="AB252" s="8">
        <f t="shared" si="149"/>
        <v>-0.44444444444444442</v>
      </c>
      <c r="AC252" s="12">
        <f t="shared" si="150"/>
        <v>0.25925925925925924</v>
      </c>
      <c r="AD252" s="12">
        <f t="shared" si="151"/>
        <v>0</v>
      </c>
      <c r="AE252" s="1">
        <f t="shared" si="152"/>
        <v>0</v>
      </c>
      <c r="AF252" s="1">
        <f t="shared" si="153"/>
        <v>0</v>
      </c>
      <c r="AG252" s="1">
        <f t="shared" si="154"/>
        <v>2</v>
      </c>
      <c r="AH252" s="1">
        <f t="shared" si="155"/>
        <v>-3</v>
      </c>
      <c r="AI252" s="1">
        <f t="shared" si="156"/>
        <v>6</v>
      </c>
      <c r="AJ252" s="1">
        <f t="shared" si="157"/>
        <v>-4</v>
      </c>
      <c r="AK252" s="17">
        <f t="shared" si="158"/>
        <v>0.16666666666666666</v>
      </c>
      <c r="AL252" s="17">
        <f t="shared" si="159"/>
        <v>0</v>
      </c>
      <c r="AM252" s="1">
        <f t="shared" si="160"/>
        <v>-0.33333333333333331</v>
      </c>
      <c r="AN252" s="1">
        <f t="shared" si="161"/>
        <v>1</v>
      </c>
      <c r="AO252" s="1">
        <f t="shared" si="162"/>
        <v>0</v>
      </c>
      <c r="AP252" s="1">
        <f t="shared" si="163"/>
        <v>-0.75</v>
      </c>
      <c r="AQ252" s="1">
        <f t="shared" si="164"/>
        <v>3</v>
      </c>
      <c r="AR252" s="1">
        <f t="shared" si="165"/>
        <v>-0.5</v>
      </c>
      <c r="AS252" s="12">
        <f t="shared" si="166"/>
        <v>0.40277777777777785</v>
      </c>
      <c r="AT252" s="12">
        <f t="shared" si="167"/>
        <v>-0.16666666666666666</v>
      </c>
      <c r="AU252" s="1">
        <f t="shared" si="168"/>
        <v>-1</v>
      </c>
      <c r="AV252" s="1">
        <f t="shared" si="169"/>
        <v>2</v>
      </c>
      <c r="AW252" s="1">
        <f t="shared" si="170"/>
        <v>0</v>
      </c>
      <c r="AX252" s="1">
        <f t="shared" si="171"/>
        <v>-3</v>
      </c>
      <c r="AY252" s="1">
        <f t="shared" si="172"/>
        <v>3</v>
      </c>
      <c r="AZ252" s="1">
        <f t="shared" si="173"/>
        <v>-2</v>
      </c>
      <c r="BA252" s="19">
        <f t="shared" si="174"/>
        <v>-0.16666666666666666</v>
      </c>
      <c r="BB252" s="19">
        <f t="shared" si="175"/>
        <v>-0.5</v>
      </c>
      <c r="BC252" s="9">
        <f t="shared" si="176"/>
        <v>1</v>
      </c>
      <c r="BD252" s="9">
        <f t="shared" si="177"/>
        <v>-1</v>
      </c>
      <c r="BE252" s="9" t="e">
        <f t="shared" si="178"/>
        <v>#DIV/0!</v>
      </c>
      <c r="BF252" s="9">
        <f t="shared" si="179"/>
        <v>0</v>
      </c>
      <c r="BG252" s="9">
        <f t="shared" si="180"/>
        <v>1.5</v>
      </c>
      <c r="BH252" s="9">
        <f t="shared" si="181"/>
        <v>-0.4</v>
      </c>
      <c r="BI252" s="12" t="e">
        <f t="shared" si="182"/>
        <v>#DIV/0!</v>
      </c>
      <c r="BJ252" s="13" t="e">
        <f t="shared" si="183"/>
        <v>#DIV/0!</v>
      </c>
      <c r="BK252" s="1">
        <f t="shared" si="184"/>
        <v>1</v>
      </c>
      <c r="BL252" s="1">
        <f t="shared" si="185"/>
        <v>-2</v>
      </c>
      <c r="BM252" s="1">
        <f t="shared" si="186"/>
        <v>2</v>
      </c>
      <c r="BN252" s="1">
        <f t="shared" si="187"/>
        <v>0</v>
      </c>
      <c r="BO252" s="1">
        <f t="shared" si="188"/>
        <v>3</v>
      </c>
      <c r="BP252" s="1">
        <f t="shared" si="189"/>
        <v>-2</v>
      </c>
      <c r="BQ252" s="19">
        <f t="shared" si="190"/>
        <v>0.33333333333333331</v>
      </c>
      <c r="BR252" s="17">
        <f t="shared" si="191"/>
        <v>0.5</v>
      </c>
    </row>
    <row r="253" spans="1:70" x14ac:dyDescent="0.25">
      <c r="A253" t="s">
        <v>411</v>
      </c>
      <c r="B253">
        <v>4</v>
      </c>
      <c r="C253">
        <v>5</v>
      </c>
      <c r="D253">
        <v>2</v>
      </c>
      <c r="E253">
        <v>3</v>
      </c>
      <c r="F253">
        <v>2</v>
      </c>
      <c r="G253">
        <v>5</v>
      </c>
      <c r="H253">
        <v>5</v>
      </c>
      <c r="I253">
        <v>2</v>
      </c>
      <c r="J253">
        <v>1</v>
      </c>
      <c r="L253">
        <v>2</v>
      </c>
      <c r="M253">
        <v>1</v>
      </c>
      <c r="N253">
        <v>2</v>
      </c>
      <c r="O253">
        <v>3</v>
      </c>
      <c r="P253">
        <v>2</v>
      </c>
      <c r="Q253">
        <v>4</v>
      </c>
      <c r="R253">
        <v>2</v>
      </c>
      <c r="S253">
        <v>1</v>
      </c>
      <c r="T253">
        <v>1</v>
      </c>
      <c r="U253">
        <v>3</v>
      </c>
      <c r="V253">
        <v>2</v>
      </c>
      <c r="W253" s="8">
        <f t="shared" si="144"/>
        <v>0.25</v>
      </c>
      <c r="X253" s="8">
        <f t="shared" si="145"/>
        <v>-0.6</v>
      </c>
      <c r="Y253" s="8">
        <f t="shared" si="146"/>
        <v>0.5</v>
      </c>
      <c r="Z253" s="8">
        <f t="shared" si="147"/>
        <v>-0.33333333333333331</v>
      </c>
      <c r="AA253" s="8">
        <f t="shared" si="148"/>
        <v>1.5</v>
      </c>
      <c r="AB253" s="8">
        <f t="shared" si="149"/>
        <v>0</v>
      </c>
      <c r="AC253" s="12">
        <f t="shared" si="150"/>
        <v>0.21944444444444444</v>
      </c>
      <c r="AD253" s="12">
        <f t="shared" si="151"/>
        <v>0.125</v>
      </c>
      <c r="AE253" s="1">
        <f t="shared" si="152"/>
        <v>1</v>
      </c>
      <c r="AF253" s="1">
        <f t="shared" si="153"/>
        <v>-3</v>
      </c>
      <c r="AG253" s="1">
        <f t="shared" si="154"/>
        <v>1</v>
      </c>
      <c r="AH253" s="1">
        <f t="shared" si="155"/>
        <v>-1</v>
      </c>
      <c r="AI253" s="1">
        <f t="shared" si="156"/>
        <v>3</v>
      </c>
      <c r="AJ253" s="1">
        <f t="shared" si="157"/>
        <v>0</v>
      </c>
      <c r="AK253" s="17">
        <f t="shared" si="158"/>
        <v>0.16666666666666666</v>
      </c>
      <c r="AL253" s="17">
        <f t="shared" si="159"/>
        <v>0.5</v>
      </c>
      <c r="AM253" s="1">
        <f t="shared" si="160"/>
        <v>-0.5</v>
      </c>
      <c r="AN253" s="1">
        <f t="shared" si="161"/>
        <v>-1</v>
      </c>
      <c r="AO253" s="1" t="e">
        <f t="shared" si="162"/>
        <v>#DIV/0!</v>
      </c>
      <c r="AP253" s="1">
        <f t="shared" si="163"/>
        <v>-0.5</v>
      </c>
      <c r="AQ253" s="1">
        <f t="shared" si="164"/>
        <v>1</v>
      </c>
      <c r="AR253" s="1">
        <f t="shared" si="165"/>
        <v>0.5</v>
      </c>
      <c r="AS253" s="12" t="e">
        <f t="shared" si="166"/>
        <v>#DIV/0!</v>
      </c>
      <c r="AT253" s="12" t="e">
        <f t="shared" si="167"/>
        <v>#DIV/0!</v>
      </c>
      <c r="AU253" s="1">
        <f t="shared" si="168"/>
        <v>-1</v>
      </c>
      <c r="AV253" s="1">
        <f t="shared" si="169"/>
        <v>-1</v>
      </c>
      <c r="AW253" s="1">
        <f t="shared" si="170"/>
        <v>2</v>
      </c>
      <c r="AX253" s="1">
        <f t="shared" si="171"/>
        <v>-1</v>
      </c>
      <c r="AY253" s="1">
        <f t="shared" si="172"/>
        <v>1</v>
      </c>
      <c r="AZ253" s="1">
        <f t="shared" si="173"/>
        <v>1</v>
      </c>
      <c r="BA253" s="19">
        <f t="shared" si="174"/>
        <v>0.16666666666666666</v>
      </c>
      <c r="BB253" s="19">
        <f t="shared" si="175"/>
        <v>0</v>
      </c>
      <c r="BC253" s="9">
        <f t="shared" si="176"/>
        <v>1</v>
      </c>
      <c r="BD253" s="9">
        <f t="shared" si="177"/>
        <v>-0.5</v>
      </c>
      <c r="BE253" s="9">
        <f t="shared" si="178"/>
        <v>-0.5</v>
      </c>
      <c r="BF253" s="9">
        <f t="shared" si="179"/>
        <v>0</v>
      </c>
      <c r="BG253" s="9">
        <f t="shared" si="180"/>
        <v>2</v>
      </c>
      <c r="BH253" s="9">
        <f t="shared" si="181"/>
        <v>-0.33333333333333331</v>
      </c>
      <c r="BI253" s="12">
        <f t="shared" si="182"/>
        <v>0.27777777777777779</v>
      </c>
      <c r="BJ253" s="13">
        <f t="shared" si="183"/>
        <v>-0.16666666666666666</v>
      </c>
      <c r="BK253" s="1">
        <f t="shared" si="184"/>
        <v>2</v>
      </c>
      <c r="BL253" s="1">
        <f t="shared" si="185"/>
        <v>-2</v>
      </c>
      <c r="BM253" s="1">
        <f t="shared" si="186"/>
        <v>-1</v>
      </c>
      <c r="BN253" s="1">
        <f t="shared" si="187"/>
        <v>0</v>
      </c>
      <c r="BO253" s="1">
        <f t="shared" si="188"/>
        <v>2</v>
      </c>
      <c r="BP253" s="1">
        <f t="shared" si="189"/>
        <v>-1</v>
      </c>
      <c r="BQ253" s="19">
        <f t="shared" si="190"/>
        <v>0</v>
      </c>
      <c r="BR253" s="17">
        <f t="shared" si="191"/>
        <v>-0.5</v>
      </c>
    </row>
    <row r="254" spans="1:70" x14ac:dyDescent="0.25">
      <c r="A254" t="s">
        <v>452</v>
      </c>
      <c r="B254">
        <v>2</v>
      </c>
      <c r="C254">
        <v>4</v>
      </c>
      <c r="D254">
        <v>2</v>
      </c>
      <c r="E254">
        <v>3</v>
      </c>
      <c r="F254">
        <v>3</v>
      </c>
      <c r="G254">
        <v>3</v>
      </c>
      <c r="H254">
        <v>3</v>
      </c>
      <c r="I254">
        <v>1</v>
      </c>
      <c r="J254">
        <v>2</v>
      </c>
      <c r="K254">
        <v>2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2</v>
      </c>
      <c r="S254">
        <v>1</v>
      </c>
      <c r="T254">
        <v>2</v>
      </c>
      <c r="U254">
        <v>2</v>
      </c>
      <c r="V254">
        <v>2</v>
      </c>
      <c r="W254" s="8">
        <f t="shared" si="144"/>
        <v>1</v>
      </c>
      <c r="X254" s="8">
        <f t="shared" si="145"/>
        <v>-0.5</v>
      </c>
      <c r="Y254" s="8">
        <f t="shared" si="146"/>
        <v>0.5</v>
      </c>
      <c r="Z254" s="8">
        <f t="shared" si="147"/>
        <v>0</v>
      </c>
      <c r="AA254" s="8">
        <f t="shared" si="148"/>
        <v>0</v>
      </c>
      <c r="AB254" s="8">
        <f t="shared" si="149"/>
        <v>0</v>
      </c>
      <c r="AC254" s="12">
        <f t="shared" si="150"/>
        <v>0.16666666666666666</v>
      </c>
      <c r="AD254" s="12">
        <f t="shared" si="151"/>
        <v>0</v>
      </c>
      <c r="AE254" s="1">
        <f t="shared" si="152"/>
        <v>2</v>
      </c>
      <c r="AF254" s="1">
        <f t="shared" si="153"/>
        <v>-2</v>
      </c>
      <c r="AG254" s="1">
        <f t="shared" si="154"/>
        <v>1</v>
      </c>
      <c r="AH254" s="1">
        <f t="shared" si="155"/>
        <v>0</v>
      </c>
      <c r="AI254" s="1">
        <f t="shared" si="156"/>
        <v>0</v>
      </c>
      <c r="AJ254" s="1">
        <f t="shared" si="157"/>
        <v>0</v>
      </c>
      <c r="AK254" s="17">
        <f t="shared" si="158"/>
        <v>0.16666666666666666</v>
      </c>
      <c r="AL254" s="17">
        <f t="shared" si="159"/>
        <v>0</v>
      </c>
      <c r="AM254" s="1">
        <f t="shared" si="160"/>
        <v>1</v>
      </c>
      <c r="AN254" s="1">
        <f t="shared" si="161"/>
        <v>0</v>
      </c>
      <c r="AO254" s="1">
        <f t="shared" si="162"/>
        <v>0</v>
      </c>
      <c r="AP254" s="1">
        <f t="shared" si="163"/>
        <v>-0.5</v>
      </c>
      <c r="AQ254" s="1">
        <f t="shared" si="164"/>
        <v>0</v>
      </c>
      <c r="AR254" s="1">
        <f t="shared" si="165"/>
        <v>0</v>
      </c>
      <c r="AS254" s="12">
        <f t="shared" si="166"/>
        <v>8.3333333333333329E-2</v>
      </c>
      <c r="AT254" s="12">
        <f t="shared" si="167"/>
        <v>0</v>
      </c>
      <c r="AU254" s="1">
        <f t="shared" si="168"/>
        <v>1</v>
      </c>
      <c r="AV254" s="1">
        <f t="shared" si="169"/>
        <v>0</v>
      </c>
      <c r="AW254" s="1">
        <f t="shared" si="170"/>
        <v>0</v>
      </c>
      <c r="AX254" s="1">
        <f t="shared" si="171"/>
        <v>-1</v>
      </c>
      <c r="AY254" s="1">
        <f t="shared" si="172"/>
        <v>0</v>
      </c>
      <c r="AZ254" s="1">
        <f t="shared" si="173"/>
        <v>0</v>
      </c>
      <c r="BA254" s="19">
        <f t="shared" si="174"/>
        <v>0</v>
      </c>
      <c r="BB254" s="19">
        <f t="shared" si="175"/>
        <v>0</v>
      </c>
      <c r="BC254" s="9">
        <f t="shared" si="176"/>
        <v>1</v>
      </c>
      <c r="BD254" s="9">
        <f t="shared" si="177"/>
        <v>-1</v>
      </c>
      <c r="BE254" s="9" t="e">
        <f t="shared" si="178"/>
        <v>#DIV/0!</v>
      </c>
      <c r="BF254" s="9">
        <f t="shared" si="179"/>
        <v>1</v>
      </c>
      <c r="BG254" s="9">
        <f t="shared" si="180"/>
        <v>0</v>
      </c>
      <c r="BH254" s="9">
        <f t="shared" si="181"/>
        <v>0</v>
      </c>
      <c r="BI254" s="12" t="e">
        <f t="shared" si="182"/>
        <v>#DIV/0!</v>
      </c>
      <c r="BJ254" s="13" t="e">
        <f t="shared" si="183"/>
        <v>#DIV/0!</v>
      </c>
      <c r="BK254" s="1">
        <f t="shared" si="184"/>
        <v>1</v>
      </c>
      <c r="BL254" s="1">
        <f t="shared" si="185"/>
        <v>-2</v>
      </c>
      <c r="BM254" s="1">
        <f t="shared" si="186"/>
        <v>1</v>
      </c>
      <c r="BN254" s="1">
        <f t="shared" si="187"/>
        <v>1</v>
      </c>
      <c r="BO254" s="1">
        <f t="shared" si="188"/>
        <v>0</v>
      </c>
      <c r="BP254" s="1">
        <f t="shared" si="189"/>
        <v>0</v>
      </c>
      <c r="BQ254" s="19">
        <f t="shared" si="190"/>
        <v>0.16666666666666666</v>
      </c>
      <c r="BR254" s="17">
        <f t="shared" si="191"/>
        <v>0.5</v>
      </c>
    </row>
    <row r="255" spans="1:70" x14ac:dyDescent="0.25">
      <c r="A255" t="s">
        <v>466</v>
      </c>
      <c r="B255">
        <v>2</v>
      </c>
      <c r="C255">
        <v>1</v>
      </c>
      <c r="D255">
        <v>6</v>
      </c>
      <c r="E255">
        <v>3</v>
      </c>
      <c r="F255">
        <v>2</v>
      </c>
      <c r="G255">
        <v>5</v>
      </c>
      <c r="H255">
        <v>3</v>
      </c>
      <c r="K255">
        <v>1</v>
      </c>
      <c r="L255">
        <v>1</v>
      </c>
      <c r="N255">
        <v>2</v>
      </c>
      <c r="O255">
        <v>2</v>
      </c>
      <c r="P255">
        <v>2</v>
      </c>
      <c r="Q255">
        <v>1</v>
      </c>
      <c r="R255">
        <v>5</v>
      </c>
      <c r="S255">
        <v>2</v>
      </c>
      <c r="T255">
        <v>2</v>
      </c>
      <c r="U255">
        <v>3</v>
      </c>
      <c r="V255">
        <v>1</v>
      </c>
      <c r="W255" s="8">
        <f t="shared" si="144"/>
        <v>-0.5</v>
      </c>
      <c r="X255" s="8">
        <f t="shared" si="145"/>
        <v>5</v>
      </c>
      <c r="Y255" s="8">
        <f t="shared" si="146"/>
        <v>-0.5</v>
      </c>
      <c r="Z255" s="8">
        <f t="shared" si="147"/>
        <v>-0.33333333333333331</v>
      </c>
      <c r="AA255" s="8">
        <f t="shared" si="148"/>
        <v>1.5</v>
      </c>
      <c r="AB255" s="8">
        <f t="shared" si="149"/>
        <v>-0.4</v>
      </c>
      <c r="AC255" s="12">
        <f t="shared" si="150"/>
        <v>0.79444444444444429</v>
      </c>
      <c r="AD255" s="12">
        <f t="shared" si="151"/>
        <v>-0.3666666666666667</v>
      </c>
      <c r="AE255" s="1">
        <f t="shared" si="152"/>
        <v>-1</v>
      </c>
      <c r="AF255" s="1">
        <f t="shared" si="153"/>
        <v>5</v>
      </c>
      <c r="AG255" s="1">
        <f t="shared" si="154"/>
        <v>-3</v>
      </c>
      <c r="AH255" s="1">
        <f t="shared" si="155"/>
        <v>-1</v>
      </c>
      <c r="AI255" s="1">
        <f t="shared" si="156"/>
        <v>3</v>
      </c>
      <c r="AJ255" s="1">
        <f t="shared" si="157"/>
        <v>-2</v>
      </c>
      <c r="AK255" s="17">
        <f t="shared" si="158"/>
        <v>0.16666666666666666</v>
      </c>
      <c r="AL255" s="17">
        <f t="shared" si="159"/>
        <v>-1</v>
      </c>
      <c r="AM255" s="1" t="e">
        <f t="shared" si="160"/>
        <v>#DIV/0!</v>
      </c>
      <c r="AN255" s="1" t="e">
        <f t="shared" si="161"/>
        <v>#DIV/0!</v>
      </c>
      <c r="AO255" s="1">
        <f t="shared" si="162"/>
        <v>0</v>
      </c>
      <c r="AP255" s="1">
        <f t="shared" si="163"/>
        <v>-1</v>
      </c>
      <c r="AQ255" s="1" t="e">
        <f t="shared" si="164"/>
        <v>#DIV/0!</v>
      </c>
      <c r="AR255" s="1">
        <f t="shared" si="165"/>
        <v>0</v>
      </c>
      <c r="AS255" s="12" t="e">
        <f t="shared" si="166"/>
        <v>#DIV/0!</v>
      </c>
      <c r="AT255" s="12" t="e">
        <f t="shared" si="167"/>
        <v>#DIV/0!</v>
      </c>
      <c r="AU255" s="1">
        <f t="shared" si="168"/>
        <v>0</v>
      </c>
      <c r="AV255" s="1">
        <f t="shared" si="169"/>
        <v>1</v>
      </c>
      <c r="AW255" s="1">
        <f t="shared" si="170"/>
        <v>0</v>
      </c>
      <c r="AX255" s="1">
        <f t="shared" si="171"/>
        <v>-1</v>
      </c>
      <c r="AY255" s="1">
        <f t="shared" si="172"/>
        <v>2</v>
      </c>
      <c r="AZ255" s="1">
        <f t="shared" si="173"/>
        <v>0</v>
      </c>
      <c r="BA255" s="19">
        <f t="shared" si="174"/>
        <v>0.33333333333333331</v>
      </c>
      <c r="BB255" s="19">
        <f t="shared" si="175"/>
        <v>0</v>
      </c>
      <c r="BC255" s="9">
        <f t="shared" si="176"/>
        <v>-0.5</v>
      </c>
      <c r="BD255" s="9">
        <f t="shared" si="177"/>
        <v>4</v>
      </c>
      <c r="BE255" s="9">
        <f t="shared" si="178"/>
        <v>-0.6</v>
      </c>
      <c r="BF255" s="9">
        <f t="shared" si="179"/>
        <v>0</v>
      </c>
      <c r="BG255" s="9">
        <f t="shared" si="180"/>
        <v>0.5</v>
      </c>
      <c r="BH255" s="9">
        <f t="shared" si="181"/>
        <v>-0.66666666666666663</v>
      </c>
      <c r="BI255" s="12">
        <f t="shared" si="182"/>
        <v>0.45555555555555555</v>
      </c>
      <c r="BJ255" s="13">
        <f t="shared" si="183"/>
        <v>-0.25</v>
      </c>
      <c r="BK255" s="1">
        <f t="shared" si="184"/>
        <v>-1</v>
      </c>
      <c r="BL255" s="1">
        <f t="shared" si="185"/>
        <v>4</v>
      </c>
      <c r="BM255" s="1">
        <f t="shared" si="186"/>
        <v>-3</v>
      </c>
      <c r="BN255" s="1">
        <f t="shared" si="187"/>
        <v>0</v>
      </c>
      <c r="BO255" s="1">
        <f t="shared" si="188"/>
        <v>1</v>
      </c>
      <c r="BP255" s="1">
        <f t="shared" si="189"/>
        <v>-2</v>
      </c>
      <c r="BQ255" s="19">
        <f t="shared" si="190"/>
        <v>-0.16666666666666666</v>
      </c>
      <c r="BR255" s="17">
        <f t="shared" si="191"/>
        <v>-0.5</v>
      </c>
    </row>
    <row r="256" spans="1:70" x14ac:dyDescent="0.25">
      <c r="A256" t="s">
        <v>485</v>
      </c>
      <c r="B256">
        <v>1</v>
      </c>
      <c r="D256">
        <v>1</v>
      </c>
      <c r="E256">
        <v>1</v>
      </c>
      <c r="F256">
        <v>2</v>
      </c>
      <c r="H256">
        <v>2</v>
      </c>
      <c r="P256">
        <v>1</v>
      </c>
      <c r="R256">
        <v>1</v>
      </c>
      <c r="S256">
        <v>1</v>
      </c>
      <c r="T256">
        <v>2</v>
      </c>
      <c r="V256">
        <v>2</v>
      </c>
      <c r="W256" s="8">
        <f t="shared" si="144"/>
        <v>-1</v>
      </c>
      <c r="X256" s="8" t="e">
        <f t="shared" si="145"/>
        <v>#DIV/0!</v>
      </c>
      <c r="Y256" s="8">
        <f t="shared" si="146"/>
        <v>0</v>
      </c>
      <c r="Z256" s="8">
        <f t="shared" si="147"/>
        <v>1</v>
      </c>
      <c r="AA256" s="8">
        <f t="shared" si="148"/>
        <v>-1</v>
      </c>
      <c r="AB256" s="8" t="e">
        <f t="shared" si="149"/>
        <v>#DIV/0!</v>
      </c>
      <c r="AC256" s="12" t="e">
        <f t="shared" si="150"/>
        <v>#DIV/0!</v>
      </c>
      <c r="AD256" s="12" t="e">
        <f t="shared" si="151"/>
        <v>#DIV/0!</v>
      </c>
      <c r="AE256" s="1">
        <f t="shared" si="152"/>
        <v>-1</v>
      </c>
      <c r="AF256" s="1">
        <f t="shared" si="153"/>
        <v>1</v>
      </c>
      <c r="AG256" s="1">
        <f t="shared" si="154"/>
        <v>0</v>
      </c>
      <c r="AH256" s="1">
        <f t="shared" si="155"/>
        <v>1</v>
      </c>
      <c r="AI256" s="1">
        <f t="shared" si="156"/>
        <v>-2</v>
      </c>
      <c r="AJ256" s="1">
        <f t="shared" si="157"/>
        <v>2</v>
      </c>
      <c r="AK256" s="17">
        <f t="shared" si="158"/>
        <v>0.16666666666666666</v>
      </c>
      <c r="AL256" s="17">
        <f t="shared" si="159"/>
        <v>0.5</v>
      </c>
      <c r="AM256" s="1" t="e">
        <f t="shared" si="160"/>
        <v>#DIV/0!</v>
      </c>
      <c r="AN256" s="1" t="e">
        <f t="shared" si="161"/>
        <v>#DIV/0!</v>
      </c>
      <c r="AO256" s="1" t="e">
        <f t="shared" si="162"/>
        <v>#DIV/0!</v>
      </c>
      <c r="AP256" s="1" t="e">
        <f t="shared" si="163"/>
        <v>#DIV/0!</v>
      </c>
      <c r="AQ256" s="1" t="e">
        <f t="shared" si="164"/>
        <v>#DIV/0!</v>
      </c>
      <c r="AR256" s="1" t="e">
        <f t="shared" si="165"/>
        <v>#DIV/0!</v>
      </c>
      <c r="AS256" s="12" t="e">
        <f t="shared" si="166"/>
        <v>#DIV/0!</v>
      </c>
      <c r="AT256" s="12" t="e">
        <f t="shared" si="167"/>
        <v>#DIV/0!</v>
      </c>
      <c r="AU256" s="1">
        <f t="shared" si="168"/>
        <v>0</v>
      </c>
      <c r="AV256" s="1">
        <f t="shared" si="169"/>
        <v>0</v>
      </c>
      <c r="AW256" s="1">
        <f t="shared" si="170"/>
        <v>0</v>
      </c>
      <c r="AX256" s="1">
        <f t="shared" si="171"/>
        <v>0</v>
      </c>
      <c r="AY256" s="1">
        <f t="shared" si="172"/>
        <v>0</v>
      </c>
      <c r="AZ256" s="1">
        <f t="shared" si="173"/>
        <v>0</v>
      </c>
      <c r="BA256" s="19">
        <f t="shared" si="174"/>
        <v>0</v>
      </c>
      <c r="BB256" s="19">
        <f t="shared" si="175"/>
        <v>0</v>
      </c>
      <c r="BC256" s="9">
        <f t="shared" si="176"/>
        <v>-1</v>
      </c>
      <c r="BD256" s="9" t="e">
        <f t="shared" si="177"/>
        <v>#DIV/0!</v>
      </c>
      <c r="BE256" s="9">
        <f t="shared" si="178"/>
        <v>0</v>
      </c>
      <c r="BF256" s="9">
        <f t="shared" si="179"/>
        <v>1</v>
      </c>
      <c r="BG256" s="9">
        <f t="shared" si="180"/>
        <v>-1</v>
      </c>
      <c r="BH256" s="9" t="e">
        <f t="shared" si="181"/>
        <v>#DIV/0!</v>
      </c>
      <c r="BI256" s="12" t="e">
        <f t="shared" si="182"/>
        <v>#DIV/0!</v>
      </c>
      <c r="BJ256" s="13" t="e">
        <f t="shared" si="183"/>
        <v>#DIV/0!</v>
      </c>
      <c r="BK256" s="1">
        <f t="shared" si="184"/>
        <v>-1</v>
      </c>
      <c r="BL256" s="1">
        <f t="shared" si="185"/>
        <v>1</v>
      </c>
      <c r="BM256" s="1">
        <f t="shared" si="186"/>
        <v>0</v>
      </c>
      <c r="BN256" s="1">
        <f t="shared" si="187"/>
        <v>1</v>
      </c>
      <c r="BO256" s="1">
        <f t="shared" si="188"/>
        <v>-2</v>
      </c>
      <c r="BP256" s="1">
        <f t="shared" si="189"/>
        <v>2</v>
      </c>
      <c r="BQ256" s="19">
        <f t="shared" si="190"/>
        <v>0.16666666666666666</v>
      </c>
      <c r="BR256" s="17">
        <f t="shared" si="191"/>
        <v>0.5</v>
      </c>
    </row>
    <row r="257" spans="1:70" x14ac:dyDescent="0.25">
      <c r="A257" t="s">
        <v>507</v>
      </c>
      <c r="B257">
        <v>1</v>
      </c>
      <c r="F257">
        <v>3</v>
      </c>
      <c r="G257">
        <v>1</v>
      </c>
      <c r="H257">
        <v>2</v>
      </c>
      <c r="I257">
        <v>1</v>
      </c>
      <c r="M257">
        <v>1</v>
      </c>
      <c r="O257">
        <v>1</v>
      </c>
      <c r="T257">
        <v>2</v>
      </c>
      <c r="U257">
        <v>1</v>
      </c>
      <c r="V257">
        <v>1</v>
      </c>
      <c r="W257" s="8">
        <f t="shared" si="144"/>
        <v>-1</v>
      </c>
      <c r="X257" s="8" t="e">
        <f t="shared" si="145"/>
        <v>#DIV/0!</v>
      </c>
      <c r="Y257" s="8" t="e">
        <f t="shared" si="146"/>
        <v>#DIV/0!</v>
      </c>
      <c r="Z257" s="8" t="e">
        <f t="shared" si="147"/>
        <v>#DIV/0!</v>
      </c>
      <c r="AA257" s="8">
        <f t="shared" si="148"/>
        <v>-0.66666666666666663</v>
      </c>
      <c r="AB257" s="8">
        <f t="shared" si="149"/>
        <v>1</v>
      </c>
      <c r="AC257" s="12" t="e">
        <f t="shared" si="150"/>
        <v>#DIV/0!</v>
      </c>
      <c r="AD257" s="12" t="e">
        <f t="shared" si="151"/>
        <v>#DIV/0!</v>
      </c>
      <c r="AE257" s="1">
        <f t="shared" si="152"/>
        <v>-1</v>
      </c>
      <c r="AF257" s="1">
        <f t="shared" si="153"/>
        <v>0</v>
      </c>
      <c r="AG257" s="1">
        <f t="shared" si="154"/>
        <v>0</v>
      </c>
      <c r="AH257" s="1">
        <f t="shared" si="155"/>
        <v>3</v>
      </c>
      <c r="AI257" s="1">
        <f t="shared" si="156"/>
        <v>-2</v>
      </c>
      <c r="AJ257" s="1">
        <f t="shared" si="157"/>
        <v>1</v>
      </c>
      <c r="AK257" s="17">
        <f t="shared" si="158"/>
        <v>0.16666666666666666</v>
      </c>
      <c r="AL257" s="17">
        <f t="shared" si="159"/>
        <v>0</v>
      </c>
      <c r="AM257" s="1">
        <f t="shared" si="160"/>
        <v>-1</v>
      </c>
      <c r="AN257" s="1" t="e">
        <f t="shared" si="161"/>
        <v>#DIV/0!</v>
      </c>
      <c r="AO257" s="1" t="e">
        <f t="shared" si="162"/>
        <v>#DIV/0!</v>
      </c>
      <c r="AP257" s="1" t="e">
        <f t="shared" si="163"/>
        <v>#DIV/0!</v>
      </c>
      <c r="AQ257" s="1">
        <f t="shared" si="164"/>
        <v>-1</v>
      </c>
      <c r="AR257" s="1" t="e">
        <f t="shared" si="165"/>
        <v>#DIV/0!</v>
      </c>
      <c r="AS257" s="12" t="e">
        <f t="shared" si="166"/>
        <v>#DIV/0!</v>
      </c>
      <c r="AT257" s="12" t="e">
        <f t="shared" si="167"/>
        <v>#DIV/0!</v>
      </c>
      <c r="AU257" s="1">
        <f t="shared" si="168"/>
        <v>-1</v>
      </c>
      <c r="AV257" s="1">
        <f t="shared" si="169"/>
        <v>0</v>
      </c>
      <c r="AW257" s="1">
        <f t="shared" si="170"/>
        <v>0</v>
      </c>
      <c r="AX257" s="1">
        <f t="shared" si="171"/>
        <v>1</v>
      </c>
      <c r="AY257" s="1">
        <f t="shared" si="172"/>
        <v>-1</v>
      </c>
      <c r="AZ257" s="1">
        <f t="shared" si="173"/>
        <v>1</v>
      </c>
      <c r="BA257" s="19">
        <f t="shared" si="174"/>
        <v>0</v>
      </c>
      <c r="BB257" s="19">
        <f t="shared" si="175"/>
        <v>0</v>
      </c>
      <c r="BC257" s="9" t="e">
        <f t="shared" si="176"/>
        <v>#DIV/0!</v>
      </c>
      <c r="BD257" s="9" t="e">
        <f t="shared" si="177"/>
        <v>#DIV/0!</v>
      </c>
      <c r="BE257" s="9" t="e">
        <f t="shared" si="178"/>
        <v>#DIV/0!</v>
      </c>
      <c r="BF257" s="9" t="e">
        <f t="shared" si="179"/>
        <v>#DIV/0!</v>
      </c>
      <c r="BG257" s="9">
        <f t="shared" si="180"/>
        <v>-0.5</v>
      </c>
      <c r="BH257" s="9">
        <f t="shared" si="181"/>
        <v>0</v>
      </c>
      <c r="BI257" s="12" t="e">
        <f t="shared" si="182"/>
        <v>#DIV/0!</v>
      </c>
      <c r="BJ257" s="13" t="e">
        <f t="shared" si="183"/>
        <v>#DIV/0!</v>
      </c>
      <c r="BK257" s="1">
        <f t="shared" si="184"/>
        <v>0</v>
      </c>
      <c r="BL257" s="1">
        <f t="shared" si="185"/>
        <v>0</v>
      </c>
      <c r="BM257" s="1">
        <f t="shared" si="186"/>
        <v>0</v>
      </c>
      <c r="BN257" s="1">
        <f t="shared" si="187"/>
        <v>2</v>
      </c>
      <c r="BO257" s="1">
        <f t="shared" si="188"/>
        <v>-1</v>
      </c>
      <c r="BP257" s="1">
        <f t="shared" si="189"/>
        <v>0</v>
      </c>
      <c r="BQ257" s="19">
        <f t="shared" si="190"/>
        <v>0.16666666666666666</v>
      </c>
      <c r="BR257" s="17">
        <f t="shared" si="191"/>
        <v>0</v>
      </c>
    </row>
    <row r="258" spans="1:70" x14ac:dyDescent="0.25">
      <c r="A258" t="s">
        <v>510</v>
      </c>
      <c r="B258">
        <v>1</v>
      </c>
      <c r="C258">
        <v>7</v>
      </c>
      <c r="D258">
        <v>4</v>
      </c>
      <c r="F258">
        <v>3</v>
      </c>
      <c r="G258">
        <v>2</v>
      </c>
      <c r="H258">
        <v>2</v>
      </c>
      <c r="I258">
        <v>1</v>
      </c>
      <c r="J258">
        <v>4</v>
      </c>
      <c r="K258">
        <v>1</v>
      </c>
      <c r="M258">
        <v>2</v>
      </c>
      <c r="N258">
        <v>2</v>
      </c>
      <c r="O258">
        <v>1</v>
      </c>
      <c r="Q258">
        <v>3</v>
      </c>
      <c r="R258">
        <v>3</v>
      </c>
      <c r="T258">
        <v>1</v>
      </c>
      <c r="V258">
        <v>1</v>
      </c>
      <c r="W258" s="8">
        <f t="shared" ref="W258:W321" si="192">+(C258-B258)/B258</f>
        <v>6</v>
      </c>
      <c r="X258" s="8">
        <f t="shared" ref="X258:X321" si="193">+(D258-C258)/C258</f>
        <v>-0.42857142857142855</v>
      </c>
      <c r="Y258" s="8">
        <f t="shared" ref="Y258:Y321" si="194">+(E258-D258)/D258</f>
        <v>-1</v>
      </c>
      <c r="Z258" s="8" t="e">
        <f t="shared" ref="Z258:Z321" si="195">+(F258-E258)/E258</f>
        <v>#DIV/0!</v>
      </c>
      <c r="AA258" s="8">
        <f t="shared" ref="AA258:AA321" si="196">+(G258-F258)/F258</f>
        <v>-0.33333333333333331</v>
      </c>
      <c r="AB258" s="8">
        <f t="shared" ref="AB258:AB321" si="197">+(H258-G258)/G258</f>
        <v>0</v>
      </c>
      <c r="AC258" s="12" t="e">
        <f t="shared" ref="AC258:AC321" si="198">+AVERAGE(W258:AB258)</f>
        <v>#DIV/0!</v>
      </c>
      <c r="AD258" s="12" t="e">
        <f t="shared" ref="AD258:AD321" si="199">MEDIAN(W258:AB258)</f>
        <v>#DIV/0!</v>
      </c>
      <c r="AE258" s="1">
        <f t="shared" ref="AE258:AE321" si="200">C258-B258</f>
        <v>6</v>
      </c>
      <c r="AF258" s="1">
        <f t="shared" ref="AF258:AF321" si="201">D258-C258</f>
        <v>-3</v>
      </c>
      <c r="AG258" s="1">
        <f t="shared" ref="AG258:AG321" si="202">E258-D258</f>
        <v>-4</v>
      </c>
      <c r="AH258" s="1">
        <f t="shared" ref="AH258:AH321" si="203">F258-E258</f>
        <v>3</v>
      </c>
      <c r="AI258" s="1">
        <f t="shared" ref="AI258:AI321" si="204">G258-F258</f>
        <v>-1</v>
      </c>
      <c r="AJ258" s="1">
        <f t="shared" ref="AJ258:AJ321" si="205">H258-G258</f>
        <v>0</v>
      </c>
      <c r="AK258" s="17">
        <f t="shared" ref="AK258:AK321" si="206">+AVERAGE(AE258:AJ258)</f>
        <v>0.16666666666666666</v>
      </c>
      <c r="AL258" s="17">
        <f t="shared" ref="AL258:AL321" si="207">+MEDIAN(AE258:AJ258)</f>
        <v>-0.5</v>
      </c>
      <c r="AM258" s="1">
        <f t="shared" ref="AM258:AM321" si="208">+(J258-I258)/I258</f>
        <v>3</v>
      </c>
      <c r="AN258" s="1">
        <f t="shared" ref="AN258:AN321" si="209">+(K258-J258)/J258</f>
        <v>-0.75</v>
      </c>
      <c r="AO258" s="1">
        <f t="shared" ref="AO258:AO321" si="210">+(L258-K258)/K258</f>
        <v>-1</v>
      </c>
      <c r="AP258" s="1" t="e">
        <f t="shared" ref="AP258:AP321" si="211">+(M258-L258)/L258</f>
        <v>#DIV/0!</v>
      </c>
      <c r="AQ258" s="1">
        <f t="shared" ref="AQ258:AQ321" si="212">+(N258-M258)/M258</f>
        <v>0</v>
      </c>
      <c r="AR258" s="1">
        <f t="shared" ref="AR258:AR321" si="213">+(O258-N258)/N258</f>
        <v>-0.5</v>
      </c>
      <c r="AS258" s="12" t="e">
        <f t="shared" ref="AS258:AS321" si="214">+AVERAGE(AM258:AR258)</f>
        <v>#DIV/0!</v>
      </c>
      <c r="AT258" s="12" t="e">
        <f t="shared" ref="AT258:AT321" si="215">+MEDIAN(AM258:AR258)</f>
        <v>#DIV/0!</v>
      </c>
      <c r="AU258" s="1">
        <f t="shared" ref="AU258:AU321" si="216">J258-I258</f>
        <v>3</v>
      </c>
      <c r="AV258" s="1">
        <f t="shared" ref="AV258:AV321" si="217">K258-J258</f>
        <v>-3</v>
      </c>
      <c r="AW258" s="1">
        <f t="shared" ref="AW258:AW321" si="218">L258-K258</f>
        <v>-1</v>
      </c>
      <c r="AX258" s="1">
        <f t="shared" ref="AX258:AX321" si="219">M258-L258</f>
        <v>2</v>
      </c>
      <c r="AY258" s="1">
        <f t="shared" ref="AY258:AY321" si="220">N258-M258</f>
        <v>0</v>
      </c>
      <c r="AZ258" s="1">
        <f t="shared" ref="AZ258:AZ321" si="221">O258-N258</f>
        <v>-1</v>
      </c>
      <c r="BA258" s="19">
        <f t="shared" ref="BA258:BA321" si="222">+AVERAGE(AU258:AZ258)</f>
        <v>0</v>
      </c>
      <c r="BB258" s="19">
        <f t="shared" ref="BB258:BB321" si="223">MEDIAN(AU258:AZ258)</f>
        <v>-0.5</v>
      </c>
      <c r="BC258" s="9" t="e">
        <f t="shared" ref="BC258:BC321" si="224">+(Q258-P258)/P258</f>
        <v>#DIV/0!</v>
      </c>
      <c r="BD258" s="9">
        <f t="shared" ref="BD258:BD321" si="225">+(R258-Q258)/Q258</f>
        <v>0</v>
      </c>
      <c r="BE258" s="9">
        <f t="shared" ref="BE258:BE321" si="226">+(S258-R258)/R258</f>
        <v>-1</v>
      </c>
      <c r="BF258" s="9" t="e">
        <f t="shared" ref="BF258:BF321" si="227">+(T258-S258)/S258</f>
        <v>#DIV/0!</v>
      </c>
      <c r="BG258" s="9">
        <f t="shared" ref="BG258:BG321" si="228">+(U258-T258)/T258</f>
        <v>-1</v>
      </c>
      <c r="BH258" s="9" t="e">
        <f t="shared" ref="BH258:BH321" si="229">+(V258-U258)/U258</f>
        <v>#DIV/0!</v>
      </c>
      <c r="BI258" s="12" t="e">
        <f t="shared" ref="BI258:BI321" si="230">+AVERAGE(BC258:BH258)</f>
        <v>#DIV/0!</v>
      </c>
      <c r="BJ258" s="13" t="e">
        <f t="shared" ref="BJ258:BJ321" si="231">MEDIAN(BC258:BH258)</f>
        <v>#DIV/0!</v>
      </c>
      <c r="BK258" s="1">
        <f t="shared" ref="BK258:BK321" si="232">+Q258-P258</f>
        <v>3</v>
      </c>
      <c r="BL258" s="1">
        <f t="shared" ref="BL258:BL321" si="233">+R258-Q258</f>
        <v>0</v>
      </c>
      <c r="BM258" s="1">
        <f t="shared" ref="BM258:BM321" si="234">+S258-R258</f>
        <v>-3</v>
      </c>
      <c r="BN258" s="1">
        <f t="shared" ref="BN258:BN321" si="235">+T258-S258</f>
        <v>1</v>
      </c>
      <c r="BO258" s="1">
        <f t="shared" ref="BO258:BO321" si="236">+U258-T258</f>
        <v>-1</v>
      </c>
      <c r="BP258" s="1">
        <f t="shared" ref="BP258:BP321" si="237">+V258-U258</f>
        <v>1</v>
      </c>
      <c r="BQ258" s="19">
        <f t="shared" ref="BQ258:BQ321" si="238">+AVERAGE(BK258:BP258)</f>
        <v>0.16666666666666666</v>
      </c>
      <c r="BR258" s="17">
        <f t="shared" ref="BR258:BR321" si="239">MEDIAN(BK258:BP258)</f>
        <v>0.5</v>
      </c>
    </row>
    <row r="259" spans="1:70" x14ac:dyDescent="0.25">
      <c r="A259" t="s">
        <v>513</v>
      </c>
      <c r="B259">
        <v>1</v>
      </c>
      <c r="E259">
        <v>5</v>
      </c>
      <c r="F259">
        <v>1</v>
      </c>
      <c r="G259">
        <v>3</v>
      </c>
      <c r="H259">
        <v>2</v>
      </c>
      <c r="L259">
        <v>3</v>
      </c>
      <c r="M259">
        <v>1</v>
      </c>
      <c r="N259">
        <v>2</v>
      </c>
      <c r="P259">
        <v>1</v>
      </c>
      <c r="S259">
        <v>2</v>
      </c>
      <c r="U259">
        <v>1</v>
      </c>
      <c r="V259">
        <v>2</v>
      </c>
      <c r="W259" s="8">
        <f t="shared" si="192"/>
        <v>-1</v>
      </c>
      <c r="X259" s="8" t="e">
        <f t="shared" si="193"/>
        <v>#DIV/0!</v>
      </c>
      <c r="Y259" s="8" t="e">
        <f t="shared" si="194"/>
        <v>#DIV/0!</v>
      </c>
      <c r="Z259" s="8">
        <f t="shared" si="195"/>
        <v>-0.8</v>
      </c>
      <c r="AA259" s="8">
        <f t="shared" si="196"/>
        <v>2</v>
      </c>
      <c r="AB259" s="8">
        <f t="shared" si="197"/>
        <v>-0.33333333333333331</v>
      </c>
      <c r="AC259" s="12" t="e">
        <f t="shared" si="198"/>
        <v>#DIV/0!</v>
      </c>
      <c r="AD259" s="12" t="e">
        <f t="shared" si="199"/>
        <v>#DIV/0!</v>
      </c>
      <c r="AE259" s="1">
        <f t="shared" si="200"/>
        <v>-1</v>
      </c>
      <c r="AF259" s="1">
        <f t="shared" si="201"/>
        <v>0</v>
      </c>
      <c r="AG259" s="1">
        <f t="shared" si="202"/>
        <v>5</v>
      </c>
      <c r="AH259" s="1">
        <f t="shared" si="203"/>
        <v>-4</v>
      </c>
      <c r="AI259" s="1">
        <f t="shared" si="204"/>
        <v>2</v>
      </c>
      <c r="AJ259" s="1">
        <f t="shared" si="205"/>
        <v>-1</v>
      </c>
      <c r="AK259" s="17">
        <f t="shared" si="206"/>
        <v>0.16666666666666666</v>
      </c>
      <c r="AL259" s="17">
        <f t="shared" si="207"/>
        <v>-0.5</v>
      </c>
      <c r="AM259" s="1" t="e">
        <f t="shared" si="208"/>
        <v>#DIV/0!</v>
      </c>
      <c r="AN259" s="1" t="e">
        <f t="shared" si="209"/>
        <v>#DIV/0!</v>
      </c>
      <c r="AO259" s="1" t="e">
        <f t="shared" si="210"/>
        <v>#DIV/0!</v>
      </c>
      <c r="AP259" s="1">
        <f t="shared" si="211"/>
        <v>-0.66666666666666663</v>
      </c>
      <c r="AQ259" s="1">
        <f t="shared" si="212"/>
        <v>1</v>
      </c>
      <c r="AR259" s="1">
        <f t="shared" si="213"/>
        <v>-1</v>
      </c>
      <c r="AS259" s="12" t="e">
        <f t="shared" si="214"/>
        <v>#DIV/0!</v>
      </c>
      <c r="AT259" s="12" t="e">
        <f t="shared" si="215"/>
        <v>#DIV/0!</v>
      </c>
      <c r="AU259" s="1">
        <f t="shared" si="216"/>
        <v>0</v>
      </c>
      <c r="AV259" s="1">
        <f t="shared" si="217"/>
        <v>0</v>
      </c>
      <c r="AW259" s="1">
        <f t="shared" si="218"/>
        <v>3</v>
      </c>
      <c r="AX259" s="1">
        <f t="shared" si="219"/>
        <v>-2</v>
      </c>
      <c r="AY259" s="1">
        <f t="shared" si="220"/>
        <v>1</v>
      </c>
      <c r="AZ259" s="1">
        <f t="shared" si="221"/>
        <v>-2</v>
      </c>
      <c r="BA259" s="19">
        <f t="shared" si="222"/>
        <v>0</v>
      </c>
      <c r="BB259" s="19">
        <f t="shared" si="223"/>
        <v>0</v>
      </c>
      <c r="BC259" s="9">
        <f t="shared" si="224"/>
        <v>-1</v>
      </c>
      <c r="BD259" s="9" t="e">
        <f t="shared" si="225"/>
        <v>#DIV/0!</v>
      </c>
      <c r="BE259" s="9" t="e">
        <f t="shared" si="226"/>
        <v>#DIV/0!</v>
      </c>
      <c r="BF259" s="9">
        <f t="shared" si="227"/>
        <v>-1</v>
      </c>
      <c r="BG259" s="9" t="e">
        <f t="shared" si="228"/>
        <v>#DIV/0!</v>
      </c>
      <c r="BH259" s="9">
        <f t="shared" si="229"/>
        <v>1</v>
      </c>
      <c r="BI259" s="12" t="e">
        <f t="shared" si="230"/>
        <v>#DIV/0!</v>
      </c>
      <c r="BJ259" s="13" t="e">
        <f t="shared" si="231"/>
        <v>#DIV/0!</v>
      </c>
      <c r="BK259" s="1">
        <f t="shared" si="232"/>
        <v>-1</v>
      </c>
      <c r="BL259" s="1">
        <f t="shared" si="233"/>
        <v>0</v>
      </c>
      <c r="BM259" s="1">
        <f t="shared" si="234"/>
        <v>2</v>
      </c>
      <c r="BN259" s="1">
        <f t="shared" si="235"/>
        <v>-2</v>
      </c>
      <c r="BO259" s="1">
        <f t="shared" si="236"/>
        <v>1</v>
      </c>
      <c r="BP259" s="1">
        <f t="shared" si="237"/>
        <v>1</v>
      </c>
      <c r="BQ259" s="19">
        <f t="shared" si="238"/>
        <v>0.16666666666666666</v>
      </c>
      <c r="BR259" s="17">
        <f t="shared" si="239"/>
        <v>0.5</v>
      </c>
    </row>
    <row r="260" spans="1:70" x14ac:dyDescent="0.25">
      <c r="A260" t="s">
        <v>514</v>
      </c>
      <c r="B260">
        <v>1</v>
      </c>
      <c r="E260">
        <v>1</v>
      </c>
      <c r="F260">
        <v>1</v>
      </c>
      <c r="G260">
        <v>6</v>
      </c>
      <c r="H260">
        <v>2</v>
      </c>
      <c r="I260">
        <v>1</v>
      </c>
      <c r="L260">
        <v>1</v>
      </c>
      <c r="M260">
        <v>1</v>
      </c>
      <c r="N260">
        <v>1</v>
      </c>
      <c r="U260">
        <v>5</v>
      </c>
      <c r="V260">
        <v>2</v>
      </c>
      <c r="W260" s="8">
        <f t="shared" si="192"/>
        <v>-1</v>
      </c>
      <c r="X260" s="8" t="e">
        <f t="shared" si="193"/>
        <v>#DIV/0!</v>
      </c>
      <c r="Y260" s="8" t="e">
        <f t="shared" si="194"/>
        <v>#DIV/0!</v>
      </c>
      <c r="Z260" s="8">
        <f t="shared" si="195"/>
        <v>0</v>
      </c>
      <c r="AA260" s="8">
        <f t="shared" si="196"/>
        <v>5</v>
      </c>
      <c r="AB260" s="8">
        <f t="shared" si="197"/>
        <v>-0.66666666666666663</v>
      </c>
      <c r="AC260" s="12" t="e">
        <f t="shared" si="198"/>
        <v>#DIV/0!</v>
      </c>
      <c r="AD260" s="12" t="e">
        <f t="shared" si="199"/>
        <v>#DIV/0!</v>
      </c>
      <c r="AE260" s="1">
        <f t="shared" si="200"/>
        <v>-1</v>
      </c>
      <c r="AF260" s="1">
        <f t="shared" si="201"/>
        <v>0</v>
      </c>
      <c r="AG260" s="1">
        <f t="shared" si="202"/>
        <v>1</v>
      </c>
      <c r="AH260" s="1">
        <f t="shared" si="203"/>
        <v>0</v>
      </c>
      <c r="AI260" s="1">
        <f t="shared" si="204"/>
        <v>5</v>
      </c>
      <c r="AJ260" s="1">
        <f t="shared" si="205"/>
        <v>-4</v>
      </c>
      <c r="AK260" s="17">
        <f t="shared" si="206"/>
        <v>0.16666666666666666</v>
      </c>
      <c r="AL260" s="17">
        <f t="shared" si="207"/>
        <v>0</v>
      </c>
      <c r="AM260" s="1">
        <f t="shared" si="208"/>
        <v>-1</v>
      </c>
      <c r="AN260" s="1" t="e">
        <f t="shared" si="209"/>
        <v>#DIV/0!</v>
      </c>
      <c r="AO260" s="1" t="e">
        <f t="shared" si="210"/>
        <v>#DIV/0!</v>
      </c>
      <c r="AP260" s="1">
        <f t="shared" si="211"/>
        <v>0</v>
      </c>
      <c r="AQ260" s="1">
        <f t="shared" si="212"/>
        <v>0</v>
      </c>
      <c r="AR260" s="1">
        <f t="shared" si="213"/>
        <v>-1</v>
      </c>
      <c r="AS260" s="12" t="e">
        <f t="shared" si="214"/>
        <v>#DIV/0!</v>
      </c>
      <c r="AT260" s="12" t="e">
        <f t="shared" si="215"/>
        <v>#DIV/0!</v>
      </c>
      <c r="AU260" s="1">
        <f t="shared" si="216"/>
        <v>-1</v>
      </c>
      <c r="AV260" s="1">
        <f t="shared" si="217"/>
        <v>0</v>
      </c>
      <c r="AW260" s="1">
        <f t="shared" si="218"/>
        <v>1</v>
      </c>
      <c r="AX260" s="1">
        <f t="shared" si="219"/>
        <v>0</v>
      </c>
      <c r="AY260" s="1">
        <f t="shared" si="220"/>
        <v>0</v>
      </c>
      <c r="AZ260" s="1">
        <f t="shared" si="221"/>
        <v>-1</v>
      </c>
      <c r="BA260" s="19">
        <f t="shared" si="222"/>
        <v>-0.16666666666666666</v>
      </c>
      <c r="BB260" s="19">
        <f t="shared" si="223"/>
        <v>0</v>
      </c>
      <c r="BC260" s="9" t="e">
        <f t="shared" si="224"/>
        <v>#DIV/0!</v>
      </c>
      <c r="BD260" s="9" t="e">
        <f t="shared" si="225"/>
        <v>#DIV/0!</v>
      </c>
      <c r="BE260" s="9" t="e">
        <f t="shared" si="226"/>
        <v>#DIV/0!</v>
      </c>
      <c r="BF260" s="9" t="e">
        <f t="shared" si="227"/>
        <v>#DIV/0!</v>
      </c>
      <c r="BG260" s="9" t="e">
        <f t="shared" si="228"/>
        <v>#DIV/0!</v>
      </c>
      <c r="BH260" s="9">
        <f t="shared" si="229"/>
        <v>-0.6</v>
      </c>
      <c r="BI260" s="12" t="e">
        <f t="shared" si="230"/>
        <v>#DIV/0!</v>
      </c>
      <c r="BJ260" s="13" t="e">
        <f t="shared" si="231"/>
        <v>#DIV/0!</v>
      </c>
      <c r="BK260" s="1">
        <f t="shared" si="232"/>
        <v>0</v>
      </c>
      <c r="BL260" s="1">
        <f t="shared" si="233"/>
        <v>0</v>
      </c>
      <c r="BM260" s="1">
        <f t="shared" si="234"/>
        <v>0</v>
      </c>
      <c r="BN260" s="1">
        <f t="shared" si="235"/>
        <v>0</v>
      </c>
      <c r="BO260" s="1">
        <f t="shared" si="236"/>
        <v>5</v>
      </c>
      <c r="BP260" s="1">
        <f t="shared" si="237"/>
        <v>-3</v>
      </c>
      <c r="BQ260" s="19">
        <f t="shared" si="238"/>
        <v>0.33333333333333331</v>
      </c>
      <c r="BR260" s="17">
        <f t="shared" si="239"/>
        <v>0</v>
      </c>
    </row>
    <row r="261" spans="1:70" x14ac:dyDescent="0.25">
      <c r="A261" t="s">
        <v>515</v>
      </c>
      <c r="B261">
        <v>1</v>
      </c>
      <c r="D261">
        <v>3</v>
      </c>
      <c r="E261">
        <v>6</v>
      </c>
      <c r="F261">
        <v>2</v>
      </c>
      <c r="G261">
        <v>2</v>
      </c>
      <c r="H261">
        <v>2</v>
      </c>
      <c r="I261">
        <v>1</v>
      </c>
      <c r="K261">
        <v>2</v>
      </c>
      <c r="L261">
        <v>5</v>
      </c>
      <c r="M261">
        <v>2</v>
      </c>
      <c r="N261">
        <v>2</v>
      </c>
      <c r="O261">
        <v>2</v>
      </c>
      <c r="R261">
        <v>1</v>
      </c>
      <c r="S261">
        <v>1</v>
      </c>
      <c r="W261" s="8">
        <f t="shared" si="192"/>
        <v>-1</v>
      </c>
      <c r="X261" s="8" t="e">
        <f t="shared" si="193"/>
        <v>#DIV/0!</v>
      </c>
      <c r="Y261" s="8">
        <f t="shared" si="194"/>
        <v>1</v>
      </c>
      <c r="Z261" s="8">
        <f t="shared" si="195"/>
        <v>-0.66666666666666663</v>
      </c>
      <c r="AA261" s="8">
        <f t="shared" si="196"/>
        <v>0</v>
      </c>
      <c r="AB261" s="8">
        <f t="shared" si="197"/>
        <v>0</v>
      </c>
      <c r="AC261" s="12" t="e">
        <f t="shared" si="198"/>
        <v>#DIV/0!</v>
      </c>
      <c r="AD261" s="12" t="e">
        <f t="shared" si="199"/>
        <v>#DIV/0!</v>
      </c>
      <c r="AE261" s="1">
        <f t="shared" si="200"/>
        <v>-1</v>
      </c>
      <c r="AF261" s="1">
        <f t="shared" si="201"/>
        <v>3</v>
      </c>
      <c r="AG261" s="1">
        <f t="shared" si="202"/>
        <v>3</v>
      </c>
      <c r="AH261" s="1">
        <f t="shared" si="203"/>
        <v>-4</v>
      </c>
      <c r="AI261" s="1">
        <f t="shared" si="204"/>
        <v>0</v>
      </c>
      <c r="AJ261" s="1">
        <f t="shared" si="205"/>
        <v>0</v>
      </c>
      <c r="AK261" s="17">
        <f t="shared" si="206"/>
        <v>0.16666666666666666</v>
      </c>
      <c r="AL261" s="17">
        <f t="shared" si="207"/>
        <v>0</v>
      </c>
      <c r="AM261" s="1">
        <f t="shared" si="208"/>
        <v>-1</v>
      </c>
      <c r="AN261" s="1" t="e">
        <f t="shared" si="209"/>
        <v>#DIV/0!</v>
      </c>
      <c r="AO261" s="1">
        <f t="shared" si="210"/>
        <v>1.5</v>
      </c>
      <c r="AP261" s="1">
        <f t="shared" si="211"/>
        <v>-0.6</v>
      </c>
      <c r="AQ261" s="1">
        <f t="shared" si="212"/>
        <v>0</v>
      </c>
      <c r="AR261" s="1">
        <f t="shared" si="213"/>
        <v>0</v>
      </c>
      <c r="AS261" s="12" t="e">
        <f t="shared" si="214"/>
        <v>#DIV/0!</v>
      </c>
      <c r="AT261" s="12" t="e">
        <f t="shared" si="215"/>
        <v>#DIV/0!</v>
      </c>
      <c r="AU261" s="1">
        <f t="shared" si="216"/>
        <v>-1</v>
      </c>
      <c r="AV261" s="1">
        <f t="shared" si="217"/>
        <v>2</v>
      </c>
      <c r="AW261" s="1">
        <f t="shared" si="218"/>
        <v>3</v>
      </c>
      <c r="AX261" s="1">
        <f t="shared" si="219"/>
        <v>-3</v>
      </c>
      <c r="AY261" s="1">
        <f t="shared" si="220"/>
        <v>0</v>
      </c>
      <c r="AZ261" s="1">
        <f t="shared" si="221"/>
        <v>0</v>
      </c>
      <c r="BA261" s="19">
        <f t="shared" si="222"/>
        <v>0.16666666666666666</v>
      </c>
      <c r="BB261" s="19">
        <f t="shared" si="223"/>
        <v>0</v>
      </c>
      <c r="BC261" s="9" t="e">
        <f t="shared" si="224"/>
        <v>#DIV/0!</v>
      </c>
      <c r="BD261" s="9" t="e">
        <f t="shared" si="225"/>
        <v>#DIV/0!</v>
      </c>
      <c r="BE261" s="9">
        <f t="shared" si="226"/>
        <v>0</v>
      </c>
      <c r="BF261" s="9">
        <f t="shared" si="227"/>
        <v>-1</v>
      </c>
      <c r="BG261" s="9" t="e">
        <f t="shared" si="228"/>
        <v>#DIV/0!</v>
      </c>
      <c r="BH261" s="9" t="e">
        <f t="shared" si="229"/>
        <v>#DIV/0!</v>
      </c>
      <c r="BI261" s="12" t="e">
        <f t="shared" si="230"/>
        <v>#DIV/0!</v>
      </c>
      <c r="BJ261" s="13" t="e">
        <f t="shared" si="231"/>
        <v>#DIV/0!</v>
      </c>
      <c r="BK261" s="1">
        <f t="shared" si="232"/>
        <v>0</v>
      </c>
      <c r="BL261" s="1">
        <f t="shared" si="233"/>
        <v>1</v>
      </c>
      <c r="BM261" s="1">
        <f t="shared" si="234"/>
        <v>0</v>
      </c>
      <c r="BN261" s="1">
        <f t="shared" si="235"/>
        <v>-1</v>
      </c>
      <c r="BO261" s="1">
        <f t="shared" si="236"/>
        <v>0</v>
      </c>
      <c r="BP261" s="1">
        <f t="shared" si="237"/>
        <v>0</v>
      </c>
      <c r="BQ261" s="19">
        <f t="shared" si="238"/>
        <v>0</v>
      </c>
      <c r="BR261" s="17">
        <f t="shared" si="239"/>
        <v>0</v>
      </c>
    </row>
    <row r="262" spans="1:70" x14ac:dyDescent="0.25">
      <c r="A262" t="s">
        <v>528</v>
      </c>
      <c r="B262">
        <v>1</v>
      </c>
      <c r="C262">
        <v>1</v>
      </c>
      <c r="D262">
        <v>2</v>
      </c>
      <c r="E262">
        <v>4</v>
      </c>
      <c r="F262">
        <v>4</v>
      </c>
      <c r="G262">
        <v>3</v>
      </c>
      <c r="H262">
        <v>2</v>
      </c>
      <c r="L262">
        <v>2</v>
      </c>
      <c r="M262">
        <v>1</v>
      </c>
      <c r="N262">
        <v>2</v>
      </c>
      <c r="O262">
        <v>2</v>
      </c>
      <c r="P262">
        <v>1</v>
      </c>
      <c r="Q262">
        <v>1</v>
      </c>
      <c r="R262">
        <v>2</v>
      </c>
      <c r="S262">
        <v>2</v>
      </c>
      <c r="T262">
        <v>3</v>
      </c>
      <c r="U262">
        <v>1</v>
      </c>
      <c r="W262" s="8">
        <f t="shared" si="192"/>
        <v>0</v>
      </c>
      <c r="X262" s="8">
        <f t="shared" si="193"/>
        <v>1</v>
      </c>
      <c r="Y262" s="8">
        <f t="shared" si="194"/>
        <v>1</v>
      </c>
      <c r="Z262" s="8">
        <f t="shared" si="195"/>
        <v>0</v>
      </c>
      <c r="AA262" s="8">
        <f t="shared" si="196"/>
        <v>-0.25</v>
      </c>
      <c r="AB262" s="8">
        <f t="shared" si="197"/>
        <v>-0.33333333333333331</v>
      </c>
      <c r="AC262" s="12">
        <f t="shared" si="198"/>
        <v>0.23611111111111113</v>
      </c>
      <c r="AD262" s="12">
        <f t="shared" si="199"/>
        <v>0</v>
      </c>
      <c r="AE262" s="1">
        <f t="shared" si="200"/>
        <v>0</v>
      </c>
      <c r="AF262" s="1">
        <f t="shared" si="201"/>
        <v>1</v>
      </c>
      <c r="AG262" s="1">
        <f t="shared" si="202"/>
        <v>2</v>
      </c>
      <c r="AH262" s="1">
        <f t="shared" si="203"/>
        <v>0</v>
      </c>
      <c r="AI262" s="1">
        <f t="shared" si="204"/>
        <v>-1</v>
      </c>
      <c r="AJ262" s="1">
        <f t="shared" si="205"/>
        <v>-1</v>
      </c>
      <c r="AK262" s="17">
        <f t="shared" si="206"/>
        <v>0.16666666666666666</v>
      </c>
      <c r="AL262" s="17">
        <f t="shared" si="207"/>
        <v>0</v>
      </c>
      <c r="AM262" s="1" t="e">
        <f t="shared" si="208"/>
        <v>#DIV/0!</v>
      </c>
      <c r="AN262" s="1" t="e">
        <f t="shared" si="209"/>
        <v>#DIV/0!</v>
      </c>
      <c r="AO262" s="1" t="e">
        <f t="shared" si="210"/>
        <v>#DIV/0!</v>
      </c>
      <c r="AP262" s="1">
        <f t="shared" si="211"/>
        <v>-0.5</v>
      </c>
      <c r="AQ262" s="1">
        <f t="shared" si="212"/>
        <v>1</v>
      </c>
      <c r="AR262" s="1">
        <f t="shared" si="213"/>
        <v>0</v>
      </c>
      <c r="AS262" s="12" t="e">
        <f t="shared" si="214"/>
        <v>#DIV/0!</v>
      </c>
      <c r="AT262" s="12" t="e">
        <f t="shared" si="215"/>
        <v>#DIV/0!</v>
      </c>
      <c r="AU262" s="1">
        <f t="shared" si="216"/>
        <v>0</v>
      </c>
      <c r="AV262" s="1">
        <f t="shared" si="217"/>
        <v>0</v>
      </c>
      <c r="AW262" s="1">
        <f t="shared" si="218"/>
        <v>2</v>
      </c>
      <c r="AX262" s="1">
        <f t="shared" si="219"/>
        <v>-1</v>
      </c>
      <c r="AY262" s="1">
        <f t="shared" si="220"/>
        <v>1</v>
      </c>
      <c r="AZ262" s="1">
        <f t="shared" si="221"/>
        <v>0</v>
      </c>
      <c r="BA262" s="19">
        <f t="shared" si="222"/>
        <v>0.33333333333333331</v>
      </c>
      <c r="BB262" s="19">
        <f t="shared" si="223"/>
        <v>0</v>
      </c>
      <c r="BC262" s="9">
        <f t="shared" si="224"/>
        <v>0</v>
      </c>
      <c r="BD262" s="9">
        <f t="shared" si="225"/>
        <v>1</v>
      </c>
      <c r="BE262" s="9">
        <f t="shared" si="226"/>
        <v>0</v>
      </c>
      <c r="BF262" s="9">
        <f t="shared" si="227"/>
        <v>0.5</v>
      </c>
      <c r="BG262" s="9">
        <f t="shared" si="228"/>
        <v>-0.66666666666666663</v>
      </c>
      <c r="BH262" s="9">
        <f t="shared" si="229"/>
        <v>-1</v>
      </c>
      <c r="BI262" s="12">
        <f t="shared" si="230"/>
        <v>-2.7777777777777773E-2</v>
      </c>
      <c r="BJ262" s="13">
        <f t="shared" si="231"/>
        <v>0</v>
      </c>
      <c r="BK262" s="1">
        <f t="shared" si="232"/>
        <v>0</v>
      </c>
      <c r="BL262" s="1">
        <f t="shared" si="233"/>
        <v>1</v>
      </c>
      <c r="BM262" s="1">
        <f t="shared" si="234"/>
        <v>0</v>
      </c>
      <c r="BN262" s="1">
        <f t="shared" si="235"/>
        <v>1</v>
      </c>
      <c r="BO262" s="1">
        <f t="shared" si="236"/>
        <v>-2</v>
      </c>
      <c r="BP262" s="1">
        <f t="shared" si="237"/>
        <v>-1</v>
      </c>
      <c r="BQ262" s="19">
        <f t="shared" si="238"/>
        <v>-0.16666666666666666</v>
      </c>
      <c r="BR262" s="17">
        <f t="shared" si="239"/>
        <v>0</v>
      </c>
    </row>
    <row r="263" spans="1:70" x14ac:dyDescent="0.25">
      <c r="A263" t="s">
        <v>532</v>
      </c>
      <c r="B263">
        <v>1</v>
      </c>
      <c r="E263">
        <v>1</v>
      </c>
      <c r="F263">
        <v>3</v>
      </c>
      <c r="G263">
        <v>1</v>
      </c>
      <c r="H263">
        <v>2</v>
      </c>
      <c r="L263">
        <v>1</v>
      </c>
      <c r="M263">
        <v>2</v>
      </c>
      <c r="N263">
        <v>1</v>
      </c>
      <c r="O263">
        <v>1</v>
      </c>
      <c r="P263">
        <v>1</v>
      </c>
      <c r="T263">
        <v>1</v>
      </c>
      <c r="V263">
        <v>1</v>
      </c>
      <c r="W263" s="8">
        <f t="shared" si="192"/>
        <v>-1</v>
      </c>
      <c r="X263" s="8" t="e">
        <f t="shared" si="193"/>
        <v>#DIV/0!</v>
      </c>
      <c r="Y263" s="8" t="e">
        <f t="shared" si="194"/>
        <v>#DIV/0!</v>
      </c>
      <c r="Z263" s="8">
        <f t="shared" si="195"/>
        <v>2</v>
      </c>
      <c r="AA263" s="8">
        <f t="shared" si="196"/>
        <v>-0.66666666666666663</v>
      </c>
      <c r="AB263" s="8">
        <f t="shared" si="197"/>
        <v>1</v>
      </c>
      <c r="AC263" s="12" t="e">
        <f t="shared" si="198"/>
        <v>#DIV/0!</v>
      </c>
      <c r="AD263" s="12" t="e">
        <f t="shared" si="199"/>
        <v>#DIV/0!</v>
      </c>
      <c r="AE263" s="1">
        <f t="shared" si="200"/>
        <v>-1</v>
      </c>
      <c r="AF263" s="1">
        <f t="shared" si="201"/>
        <v>0</v>
      </c>
      <c r="AG263" s="1">
        <f t="shared" si="202"/>
        <v>1</v>
      </c>
      <c r="AH263" s="1">
        <f t="shared" si="203"/>
        <v>2</v>
      </c>
      <c r="AI263" s="1">
        <f t="shared" si="204"/>
        <v>-2</v>
      </c>
      <c r="AJ263" s="1">
        <f t="shared" si="205"/>
        <v>1</v>
      </c>
      <c r="AK263" s="17">
        <f t="shared" si="206"/>
        <v>0.16666666666666666</v>
      </c>
      <c r="AL263" s="17">
        <f t="shared" si="207"/>
        <v>0.5</v>
      </c>
      <c r="AM263" s="1" t="e">
        <f t="shared" si="208"/>
        <v>#DIV/0!</v>
      </c>
      <c r="AN263" s="1" t="e">
        <f t="shared" si="209"/>
        <v>#DIV/0!</v>
      </c>
      <c r="AO263" s="1" t="e">
        <f t="shared" si="210"/>
        <v>#DIV/0!</v>
      </c>
      <c r="AP263" s="1">
        <f t="shared" si="211"/>
        <v>1</v>
      </c>
      <c r="AQ263" s="1">
        <f t="shared" si="212"/>
        <v>-0.5</v>
      </c>
      <c r="AR263" s="1">
        <f t="shared" si="213"/>
        <v>0</v>
      </c>
      <c r="AS263" s="12" t="e">
        <f t="shared" si="214"/>
        <v>#DIV/0!</v>
      </c>
      <c r="AT263" s="12" t="e">
        <f t="shared" si="215"/>
        <v>#DIV/0!</v>
      </c>
      <c r="AU263" s="1">
        <f t="shared" si="216"/>
        <v>0</v>
      </c>
      <c r="AV263" s="1">
        <f t="shared" si="217"/>
        <v>0</v>
      </c>
      <c r="AW263" s="1">
        <f t="shared" si="218"/>
        <v>1</v>
      </c>
      <c r="AX263" s="1">
        <f t="shared" si="219"/>
        <v>1</v>
      </c>
      <c r="AY263" s="1">
        <f t="shared" si="220"/>
        <v>-1</v>
      </c>
      <c r="AZ263" s="1">
        <f t="shared" si="221"/>
        <v>0</v>
      </c>
      <c r="BA263" s="19">
        <f t="shared" si="222"/>
        <v>0.16666666666666666</v>
      </c>
      <c r="BB263" s="19">
        <f t="shared" si="223"/>
        <v>0</v>
      </c>
      <c r="BC263" s="9">
        <f t="shared" si="224"/>
        <v>-1</v>
      </c>
      <c r="BD263" s="9" t="e">
        <f t="shared" si="225"/>
        <v>#DIV/0!</v>
      </c>
      <c r="BE263" s="9" t="e">
        <f t="shared" si="226"/>
        <v>#DIV/0!</v>
      </c>
      <c r="BF263" s="9" t="e">
        <f t="shared" si="227"/>
        <v>#DIV/0!</v>
      </c>
      <c r="BG263" s="9">
        <f t="shared" si="228"/>
        <v>-1</v>
      </c>
      <c r="BH263" s="9" t="e">
        <f t="shared" si="229"/>
        <v>#DIV/0!</v>
      </c>
      <c r="BI263" s="12" t="e">
        <f t="shared" si="230"/>
        <v>#DIV/0!</v>
      </c>
      <c r="BJ263" s="13" t="e">
        <f t="shared" si="231"/>
        <v>#DIV/0!</v>
      </c>
      <c r="BK263" s="1">
        <f t="shared" si="232"/>
        <v>-1</v>
      </c>
      <c r="BL263" s="1">
        <f t="shared" si="233"/>
        <v>0</v>
      </c>
      <c r="BM263" s="1">
        <f t="shared" si="234"/>
        <v>0</v>
      </c>
      <c r="BN263" s="1">
        <f t="shared" si="235"/>
        <v>1</v>
      </c>
      <c r="BO263" s="1">
        <f t="shared" si="236"/>
        <v>-1</v>
      </c>
      <c r="BP263" s="1">
        <f t="shared" si="237"/>
        <v>1</v>
      </c>
      <c r="BQ263" s="19">
        <f t="shared" si="238"/>
        <v>0</v>
      </c>
      <c r="BR263" s="17">
        <f t="shared" si="239"/>
        <v>0</v>
      </c>
    </row>
    <row r="264" spans="1:70" x14ac:dyDescent="0.25">
      <c r="A264" t="s">
        <v>536</v>
      </c>
      <c r="B264">
        <v>1</v>
      </c>
      <c r="D264">
        <v>2</v>
      </c>
      <c r="E264">
        <v>1</v>
      </c>
      <c r="F264">
        <v>3</v>
      </c>
      <c r="H264">
        <v>2</v>
      </c>
      <c r="K264">
        <v>1</v>
      </c>
      <c r="L264">
        <v>1</v>
      </c>
      <c r="M264">
        <v>2</v>
      </c>
      <c r="O264">
        <v>1</v>
      </c>
      <c r="P264">
        <v>1</v>
      </c>
      <c r="R264">
        <v>1</v>
      </c>
      <c r="T264">
        <v>1</v>
      </c>
      <c r="V264">
        <v>1</v>
      </c>
      <c r="W264" s="8">
        <f t="shared" si="192"/>
        <v>-1</v>
      </c>
      <c r="X264" s="8" t="e">
        <f t="shared" si="193"/>
        <v>#DIV/0!</v>
      </c>
      <c r="Y264" s="8">
        <f t="shared" si="194"/>
        <v>-0.5</v>
      </c>
      <c r="Z264" s="8">
        <f t="shared" si="195"/>
        <v>2</v>
      </c>
      <c r="AA264" s="8">
        <f t="shared" si="196"/>
        <v>-1</v>
      </c>
      <c r="AB264" s="8" t="e">
        <f t="shared" si="197"/>
        <v>#DIV/0!</v>
      </c>
      <c r="AC264" s="12" t="e">
        <f t="shared" si="198"/>
        <v>#DIV/0!</v>
      </c>
      <c r="AD264" s="12" t="e">
        <f t="shared" si="199"/>
        <v>#DIV/0!</v>
      </c>
      <c r="AE264" s="1">
        <f t="shared" si="200"/>
        <v>-1</v>
      </c>
      <c r="AF264" s="1">
        <f t="shared" si="201"/>
        <v>2</v>
      </c>
      <c r="AG264" s="1">
        <f t="shared" si="202"/>
        <v>-1</v>
      </c>
      <c r="AH264" s="1">
        <f t="shared" si="203"/>
        <v>2</v>
      </c>
      <c r="AI264" s="1">
        <f t="shared" si="204"/>
        <v>-3</v>
      </c>
      <c r="AJ264" s="1">
        <f t="shared" si="205"/>
        <v>2</v>
      </c>
      <c r="AK264" s="17">
        <f t="shared" si="206"/>
        <v>0.16666666666666666</v>
      </c>
      <c r="AL264" s="17">
        <f t="shared" si="207"/>
        <v>0.5</v>
      </c>
      <c r="AM264" s="1" t="e">
        <f t="shared" si="208"/>
        <v>#DIV/0!</v>
      </c>
      <c r="AN264" s="1" t="e">
        <f t="shared" si="209"/>
        <v>#DIV/0!</v>
      </c>
      <c r="AO264" s="1">
        <f t="shared" si="210"/>
        <v>0</v>
      </c>
      <c r="AP264" s="1">
        <f t="shared" si="211"/>
        <v>1</v>
      </c>
      <c r="AQ264" s="1">
        <f t="shared" si="212"/>
        <v>-1</v>
      </c>
      <c r="AR264" s="1" t="e">
        <f t="shared" si="213"/>
        <v>#DIV/0!</v>
      </c>
      <c r="AS264" s="12" t="e">
        <f t="shared" si="214"/>
        <v>#DIV/0!</v>
      </c>
      <c r="AT264" s="12" t="e">
        <f t="shared" si="215"/>
        <v>#DIV/0!</v>
      </c>
      <c r="AU264" s="1">
        <f t="shared" si="216"/>
        <v>0</v>
      </c>
      <c r="AV264" s="1">
        <f t="shared" si="217"/>
        <v>1</v>
      </c>
      <c r="AW264" s="1">
        <f t="shared" si="218"/>
        <v>0</v>
      </c>
      <c r="AX264" s="1">
        <f t="shared" si="219"/>
        <v>1</v>
      </c>
      <c r="AY264" s="1">
        <f t="shared" si="220"/>
        <v>-2</v>
      </c>
      <c r="AZ264" s="1">
        <f t="shared" si="221"/>
        <v>1</v>
      </c>
      <c r="BA264" s="19">
        <f t="shared" si="222"/>
        <v>0.16666666666666666</v>
      </c>
      <c r="BB264" s="19">
        <f t="shared" si="223"/>
        <v>0.5</v>
      </c>
      <c r="BC264" s="9">
        <f t="shared" si="224"/>
        <v>-1</v>
      </c>
      <c r="BD264" s="9" t="e">
        <f t="shared" si="225"/>
        <v>#DIV/0!</v>
      </c>
      <c r="BE264" s="9">
        <f t="shared" si="226"/>
        <v>-1</v>
      </c>
      <c r="BF264" s="9" t="e">
        <f t="shared" si="227"/>
        <v>#DIV/0!</v>
      </c>
      <c r="BG264" s="9">
        <f t="shared" si="228"/>
        <v>-1</v>
      </c>
      <c r="BH264" s="9" t="e">
        <f t="shared" si="229"/>
        <v>#DIV/0!</v>
      </c>
      <c r="BI264" s="12" t="e">
        <f t="shared" si="230"/>
        <v>#DIV/0!</v>
      </c>
      <c r="BJ264" s="13" t="e">
        <f t="shared" si="231"/>
        <v>#DIV/0!</v>
      </c>
      <c r="BK264" s="1">
        <f t="shared" si="232"/>
        <v>-1</v>
      </c>
      <c r="BL264" s="1">
        <f t="shared" si="233"/>
        <v>1</v>
      </c>
      <c r="BM264" s="1">
        <f t="shared" si="234"/>
        <v>-1</v>
      </c>
      <c r="BN264" s="1">
        <f t="shared" si="235"/>
        <v>1</v>
      </c>
      <c r="BO264" s="1">
        <f t="shared" si="236"/>
        <v>-1</v>
      </c>
      <c r="BP264" s="1">
        <f t="shared" si="237"/>
        <v>1</v>
      </c>
      <c r="BQ264" s="19">
        <f t="shared" si="238"/>
        <v>0</v>
      </c>
      <c r="BR264" s="17">
        <f t="shared" si="239"/>
        <v>0</v>
      </c>
    </row>
    <row r="265" spans="1:70" x14ac:dyDescent="0.25">
      <c r="A265" t="s">
        <v>545</v>
      </c>
      <c r="B265">
        <v>1</v>
      </c>
      <c r="D265">
        <v>1</v>
      </c>
      <c r="H265">
        <v>2</v>
      </c>
      <c r="K265">
        <v>1</v>
      </c>
      <c r="O265">
        <v>1</v>
      </c>
      <c r="P265">
        <v>1</v>
      </c>
      <c r="V265">
        <v>1</v>
      </c>
      <c r="W265" s="8">
        <f t="shared" si="192"/>
        <v>-1</v>
      </c>
      <c r="X265" s="8" t="e">
        <f t="shared" si="193"/>
        <v>#DIV/0!</v>
      </c>
      <c r="Y265" s="8">
        <f t="shared" si="194"/>
        <v>-1</v>
      </c>
      <c r="Z265" s="8" t="e">
        <f t="shared" si="195"/>
        <v>#DIV/0!</v>
      </c>
      <c r="AA265" s="8" t="e">
        <f t="shared" si="196"/>
        <v>#DIV/0!</v>
      </c>
      <c r="AB265" s="8" t="e">
        <f t="shared" si="197"/>
        <v>#DIV/0!</v>
      </c>
      <c r="AC265" s="12" t="e">
        <f t="shared" si="198"/>
        <v>#DIV/0!</v>
      </c>
      <c r="AD265" s="12" t="e">
        <f t="shared" si="199"/>
        <v>#DIV/0!</v>
      </c>
      <c r="AE265" s="1">
        <f t="shared" si="200"/>
        <v>-1</v>
      </c>
      <c r="AF265" s="1">
        <f t="shared" si="201"/>
        <v>1</v>
      </c>
      <c r="AG265" s="1">
        <f t="shared" si="202"/>
        <v>-1</v>
      </c>
      <c r="AH265" s="1">
        <f t="shared" si="203"/>
        <v>0</v>
      </c>
      <c r="AI265" s="1">
        <f t="shared" si="204"/>
        <v>0</v>
      </c>
      <c r="AJ265" s="1">
        <f t="shared" si="205"/>
        <v>2</v>
      </c>
      <c r="AK265" s="17">
        <f t="shared" si="206"/>
        <v>0.16666666666666666</v>
      </c>
      <c r="AL265" s="17">
        <f t="shared" si="207"/>
        <v>0</v>
      </c>
      <c r="AM265" s="1" t="e">
        <f t="shared" si="208"/>
        <v>#DIV/0!</v>
      </c>
      <c r="AN265" s="1" t="e">
        <f t="shared" si="209"/>
        <v>#DIV/0!</v>
      </c>
      <c r="AO265" s="1">
        <f t="shared" si="210"/>
        <v>-1</v>
      </c>
      <c r="AP265" s="1" t="e">
        <f t="shared" si="211"/>
        <v>#DIV/0!</v>
      </c>
      <c r="AQ265" s="1" t="e">
        <f t="shared" si="212"/>
        <v>#DIV/0!</v>
      </c>
      <c r="AR265" s="1" t="e">
        <f t="shared" si="213"/>
        <v>#DIV/0!</v>
      </c>
      <c r="AS265" s="12" t="e">
        <f t="shared" si="214"/>
        <v>#DIV/0!</v>
      </c>
      <c r="AT265" s="12" t="e">
        <f t="shared" si="215"/>
        <v>#DIV/0!</v>
      </c>
      <c r="AU265" s="1">
        <f t="shared" si="216"/>
        <v>0</v>
      </c>
      <c r="AV265" s="1">
        <f t="shared" si="217"/>
        <v>1</v>
      </c>
      <c r="AW265" s="1">
        <f t="shared" si="218"/>
        <v>-1</v>
      </c>
      <c r="AX265" s="1">
        <f t="shared" si="219"/>
        <v>0</v>
      </c>
      <c r="AY265" s="1">
        <f t="shared" si="220"/>
        <v>0</v>
      </c>
      <c r="AZ265" s="1">
        <f t="shared" si="221"/>
        <v>1</v>
      </c>
      <c r="BA265" s="19">
        <f t="shared" si="222"/>
        <v>0.16666666666666666</v>
      </c>
      <c r="BB265" s="19">
        <f t="shared" si="223"/>
        <v>0</v>
      </c>
      <c r="BC265" s="9">
        <f t="shared" si="224"/>
        <v>-1</v>
      </c>
      <c r="BD265" s="9" t="e">
        <f t="shared" si="225"/>
        <v>#DIV/0!</v>
      </c>
      <c r="BE265" s="9" t="e">
        <f t="shared" si="226"/>
        <v>#DIV/0!</v>
      </c>
      <c r="BF265" s="9" t="e">
        <f t="shared" si="227"/>
        <v>#DIV/0!</v>
      </c>
      <c r="BG265" s="9" t="e">
        <f t="shared" si="228"/>
        <v>#DIV/0!</v>
      </c>
      <c r="BH265" s="9" t="e">
        <f t="shared" si="229"/>
        <v>#DIV/0!</v>
      </c>
      <c r="BI265" s="12" t="e">
        <f t="shared" si="230"/>
        <v>#DIV/0!</v>
      </c>
      <c r="BJ265" s="13" t="e">
        <f t="shared" si="231"/>
        <v>#DIV/0!</v>
      </c>
      <c r="BK265" s="1">
        <f t="shared" si="232"/>
        <v>-1</v>
      </c>
      <c r="BL265" s="1">
        <f t="shared" si="233"/>
        <v>0</v>
      </c>
      <c r="BM265" s="1">
        <f t="shared" si="234"/>
        <v>0</v>
      </c>
      <c r="BN265" s="1">
        <f t="shared" si="235"/>
        <v>0</v>
      </c>
      <c r="BO265" s="1">
        <f t="shared" si="236"/>
        <v>0</v>
      </c>
      <c r="BP265" s="1">
        <f t="shared" si="237"/>
        <v>1</v>
      </c>
      <c r="BQ265" s="19">
        <f t="shared" si="238"/>
        <v>0</v>
      </c>
      <c r="BR265" s="17">
        <f t="shared" si="239"/>
        <v>0</v>
      </c>
    </row>
    <row r="266" spans="1:70" x14ac:dyDescent="0.25">
      <c r="A266" t="s">
        <v>568</v>
      </c>
      <c r="B266">
        <v>1</v>
      </c>
      <c r="E266">
        <v>2</v>
      </c>
      <c r="G266">
        <v>1</v>
      </c>
      <c r="H266">
        <v>2</v>
      </c>
      <c r="L266">
        <v>2</v>
      </c>
      <c r="N266">
        <v>1</v>
      </c>
      <c r="O266">
        <v>1</v>
      </c>
      <c r="P266">
        <v>1</v>
      </c>
      <c r="V266">
        <v>1</v>
      </c>
      <c r="W266" s="8">
        <f t="shared" si="192"/>
        <v>-1</v>
      </c>
      <c r="X266" s="8" t="e">
        <f t="shared" si="193"/>
        <v>#DIV/0!</v>
      </c>
      <c r="Y266" s="8" t="e">
        <f t="shared" si="194"/>
        <v>#DIV/0!</v>
      </c>
      <c r="Z266" s="8">
        <f t="shared" si="195"/>
        <v>-1</v>
      </c>
      <c r="AA266" s="8" t="e">
        <f t="shared" si="196"/>
        <v>#DIV/0!</v>
      </c>
      <c r="AB266" s="8">
        <f t="shared" si="197"/>
        <v>1</v>
      </c>
      <c r="AC266" s="12" t="e">
        <f t="shared" si="198"/>
        <v>#DIV/0!</v>
      </c>
      <c r="AD266" s="12" t="e">
        <f t="shared" si="199"/>
        <v>#DIV/0!</v>
      </c>
      <c r="AE266" s="1">
        <f t="shared" si="200"/>
        <v>-1</v>
      </c>
      <c r="AF266" s="1">
        <f t="shared" si="201"/>
        <v>0</v>
      </c>
      <c r="AG266" s="1">
        <f t="shared" si="202"/>
        <v>2</v>
      </c>
      <c r="AH266" s="1">
        <f t="shared" si="203"/>
        <v>-2</v>
      </c>
      <c r="AI266" s="1">
        <f t="shared" si="204"/>
        <v>1</v>
      </c>
      <c r="AJ266" s="1">
        <f t="shared" si="205"/>
        <v>1</v>
      </c>
      <c r="AK266" s="17">
        <f t="shared" si="206"/>
        <v>0.16666666666666666</v>
      </c>
      <c r="AL266" s="17">
        <f t="shared" si="207"/>
        <v>0.5</v>
      </c>
      <c r="AM266" s="1" t="e">
        <f t="shared" si="208"/>
        <v>#DIV/0!</v>
      </c>
      <c r="AN266" s="1" t="e">
        <f t="shared" si="209"/>
        <v>#DIV/0!</v>
      </c>
      <c r="AO266" s="1" t="e">
        <f t="shared" si="210"/>
        <v>#DIV/0!</v>
      </c>
      <c r="AP266" s="1">
        <f t="shared" si="211"/>
        <v>-1</v>
      </c>
      <c r="AQ266" s="1" t="e">
        <f t="shared" si="212"/>
        <v>#DIV/0!</v>
      </c>
      <c r="AR266" s="1">
        <f t="shared" si="213"/>
        <v>0</v>
      </c>
      <c r="AS266" s="12" t="e">
        <f t="shared" si="214"/>
        <v>#DIV/0!</v>
      </c>
      <c r="AT266" s="12" t="e">
        <f t="shared" si="215"/>
        <v>#DIV/0!</v>
      </c>
      <c r="AU266" s="1">
        <f t="shared" si="216"/>
        <v>0</v>
      </c>
      <c r="AV266" s="1">
        <f t="shared" si="217"/>
        <v>0</v>
      </c>
      <c r="AW266" s="1">
        <f t="shared" si="218"/>
        <v>2</v>
      </c>
      <c r="AX266" s="1">
        <f t="shared" si="219"/>
        <v>-2</v>
      </c>
      <c r="AY266" s="1">
        <f t="shared" si="220"/>
        <v>1</v>
      </c>
      <c r="AZ266" s="1">
        <f t="shared" si="221"/>
        <v>0</v>
      </c>
      <c r="BA266" s="19">
        <f t="shared" si="222"/>
        <v>0.16666666666666666</v>
      </c>
      <c r="BB266" s="19">
        <f t="shared" si="223"/>
        <v>0</v>
      </c>
      <c r="BC266" s="9">
        <f t="shared" si="224"/>
        <v>-1</v>
      </c>
      <c r="BD266" s="9" t="e">
        <f t="shared" si="225"/>
        <v>#DIV/0!</v>
      </c>
      <c r="BE266" s="9" t="e">
        <f t="shared" si="226"/>
        <v>#DIV/0!</v>
      </c>
      <c r="BF266" s="9" t="e">
        <f t="shared" si="227"/>
        <v>#DIV/0!</v>
      </c>
      <c r="BG266" s="9" t="e">
        <f t="shared" si="228"/>
        <v>#DIV/0!</v>
      </c>
      <c r="BH266" s="9" t="e">
        <f t="shared" si="229"/>
        <v>#DIV/0!</v>
      </c>
      <c r="BI266" s="12" t="e">
        <f t="shared" si="230"/>
        <v>#DIV/0!</v>
      </c>
      <c r="BJ266" s="13" t="e">
        <f t="shared" si="231"/>
        <v>#DIV/0!</v>
      </c>
      <c r="BK266" s="1">
        <f t="shared" si="232"/>
        <v>-1</v>
      </c>
      <c r="BL266" s="1">
        <f t="shared" si="233"/>
        <v>0</v>
      </c>
      <c r="BM266" s="1">
        <f t="shared" si="234"/>
        <v>0</v>
      </c>
      <c r="BN266" s="1">
        <f t="shared" si="235"/>
        <v>0</v>
      </c>
      <c r="BO266" s="1">
        <f t="shared" si="236"/>
        <v>0</v>
      </c>
      <c r="BP266" s="1">
        <f t="shared" si="237"/>
        <v>1</v>
      </c>
      <c r="BQ266" s="19">
        <f t="shared" si="238"/>
        <v>0</v>
      </c>
      <c r="BR266" s="17">
        <f t="shared" si="239"/>
        <v>0</v>
      </c>
    </row>
    <row r="267" spans="1:70" x14ac:dyDescent="0.25">
      <c r="A267" t="s">
        <v>575</v>
      </c>
      <c r="C267">
        <v>4</v>
      </c>
      <c r="D267">
        <v>1</v>
      </c>
      <c r="F267">
        <v>1</v>
      </c>
      <c r="H267">
        <v>1</v>
      </c>
      <c r="J267">
        <v>3</v>
      </c>
      <c r="O267">
        <v>1</v>
      </c>
      <c r="Q267">
        <v>1</v>
      </c>
      <c r="R267">
        <v>1</v>
      </c>
      <c r="T267">
        <v>1</v>
      </c>
      <c r="W267" s="8" t="e">
        <f t="shared" si="192"/>
        <v>#DIV/0!</v>
      </c>
      <c r="X267" s="8">
        <f t="shared" si="193"/>
        <v>-0.75</v>
      </c>
      <c r="Y267" s="8">
        <f t="shared" si="194"/>
        <v>-1</v>
      </c>
      <c r="Z267" s="8" t="e">
        <f t="shared" si="195"/>
        <v>#DIV/0!</v>
      </c>
      <c r="AA267" s="8">
        <f t="shared" si="196"/>
        <v>-1</v>
      </c>
      <c r="AB267" s="8" t="e">
        <f t="shared" si="197"/>
        <v>#DIV/0!</v>
      </c>
      <c r="AC267" s="12" t="e">
        <f t="shared" si="198"/>
        <v>#DIV/0!</v>
      </c>
      <c r="AD267" s="12" t="e">
        <f t="shared" si="199"/>
        <v>#DIV/0!</v>
      </c>
      <c r="AE267" s="1">
        <f t="shared" si="200"/>
        <v>4</v>
      </c>
      <c r="AF267" s="1">
        <f t="shared" si="201"/>
        <v>-3</v>
      </c>
      <c r="AG267" s="1">
        <f t="shared" si="202"/>
        <v>-1</v>
      </c>
      <c r="AH267" s="1">
        <f t="shared" si="203"/>
        <v>1</v>
      </c>
      <c r="AI267" s="1">
        <f t="shared" si="204"/>
        <v>-1</v>
      </c>
      <c r="AJ267" s="1">
        <f t="shared" si="205"/>
        <v>1</v>
      </c>
      <c r="AK267" s="17">
        <f t="shared" si="206"/>
        <v>0.16666666666666666</v>
      </c>
      <c r="AL267" s="17">
        <f t="shared" si="207"/>
        <v>0</v>
      </c>
      <c r="AM267" s="1" t="e">
        <f t="shared" si="208"/>
        <v>#DIV/0!</v>
      </c>
      <c r="AN267" s="1">
        <f t="shared" si="209"/>
        <v>-1</v>
      </c>
      <c r="AO267" s="1" t="e">
        <f t="shared" si="210"/>
        <v>#DIV/0!</v>
      </c>
      <c r="AP267" s="1" t="e">
        <f t="shared" si="211"/>
        <v>#DIV/0!</v>
      </c>
      <c r="AQ267" s="1" t="e">
        <f t="shared" si="212"/>
        <v>#DIV/0!</v>
      </c>
      <c r="AR267" s="1" t="e">
        <f t="shared" si="213"/>
        <v>#DIV/0!</v>
      </c>
      <c r="AS267" s="12" t="e">
        <f t="shared" si="214"/>
        <v>#DIV/0!</v>
      </c>
      <c r="AT267" s="12" t="e">
        <f t="shared" si="215"/>
        <v>#DIV/0!</v>
      </c>
      <c r="AU267" s="1">
        <f t="shared" si="216"/>
        <v>3</v>
      </c>
      <c r="AV267" s="1">
        <f t="shared" si="217"/>
        <v>-3</v>
      </c>
      <c r="AW267" s="1">
        <f t="shared" si="218"/>
        <v>0</v>
      </c>
      <c r="AX267" s="1">
        <f t="shared" si="219"/>
        <v>0</v>
      </c>
      <c r="AY267" s="1">
        <f t="shared" si="220"/>
        <v>0</v>
      </c>
      <c r="AZ267" s="1">
        <f t="shared" si="221"/>
        <v>1</v>
      </c>
      <c r="BA267" s="19">
        <f t="shared" si="222"/>
        <v>0.16666666666666666</v>
      </c>
      <c r="BB267" s="19">
        <f t="shared" si="223"/>
        <v>0</v>
      </c>
      <c r="BC267" s="9" t="e">
        <f t="shared" si="224"/>
        <v>#DIV/0!</v>
      </c>
      <c r="BD267" s="9">
        <f t="shared" si="225"/>
        <v>0</v>
      </c>
      <c r="BE267" s="9">
        <f t="shared" si="226"/>
        <v>-1</v>
      </c>
      <c r="BF267" s="9" t="e">
        <f t="shared" si="227"/>
        <v>#DIV/0!</v>
      </c>
      <c r="BG267" s="9">
        <f t="shared" si="228"/>
        <v>-1</v>
      </c>
      <c r="BH267" s="9" t="e">
        <f t="shared" si="229"/>
        <v>#DIV/0!</v>
      </c>
      <c r="BI267" s="12" t="e">
        <f t="shared" si="230"/>
        <v>#DIV/0!</v>
      </c>
      <c r="BJ267" s="13" t="e">
        <f t="shared" si="231"/>
        <v>#DIV/0!</v>
      </c>
      <c r="BK267" s="1">
        <f t="shared" si="232"/>
        <v>1</v>
      </c>
      <c r="BL267" s="1">
        <f t="shared" si="233"/>
        <v>0</v>
      </c>
      <c r="BM267" s="1">
        <f t="shared" si="234"/>
        <v>-1</v>
      </c>
      <c r="BN267" s="1">
        <f t="shared" si="235"/>
        <v>1</v>
      </c>
      <c r="BO267" s="1">
        <f t="shared" si="236"/>
        <v>-1</v>
      </c>
      <c r="BP267" s="1">
        <f t="shared" si="237"/>
        <v>0</v>
      </c>
      <c r="BQ267" s="19">
        <f t="shared" si="238"/>
        <v>0</v>
      </c>
      <c r="BR267" s="17">
        <f t="shared" si="239"/>
        <v>0</v>
      </c>
    </row>
    <row r="268" spans="1:70" x14ac:dyDescent="0.25">
      <c r="A268" t="s">
        <v>579</v>
      </c>
      <c r="C268">
        <v>2</v>
      </c>
      <c r="D268">
        <v>1</v>
      </c>
      <c r="F268">
        <v>1</v>
      </c>
      <c r="G268">
        <v>2</v>
      </c>
      <c r="H268">
        <v>1</v>
      </c>
      <c r="Q268">
        <v>2</v>
      </c>
      <c r="R268">
        <v>1</v>
      </c>
      <c r="T268">
        <v>1</v>
      </c>
      <c r="U268">
        <v>2</v>
      </c>
      <c r="V268">
        <v>1</v>
      </c>
      <c r="W268" s="8" t="e">
        <f t="shared" si="192"/>
        <v>#DIV/0!</v>
      </c>
      <c r="X268" s="8">
        <f t="shared" si="193"/>
        <v>-0.5</v>
      </c>
      <c r="Y268" s="8">
        <f t="shared" si="194"/>
        <v>-1</v>
      </c>
      <c r="Z268" s="8" t="e">
        <f t="shared" si="195"/>
        <v>#DIV/0!</v>
      </c>
      <c r="AA268" s="8">
        <f t="shared" si="196"/>
        <v>1</v>
      </c>
      <c r="AB268" s="8">
        <f t="shared" si="197"/>
        <v>-0.5</v>
      </c>
      <c r="AC268" s="12" t="e">
        <f t="shared" si="198"/>
        <v>#DIV/0!</v>
      </c>
      <c r="AD268" s="12" t="e">
        <f t="shared" si="199"/>
        <v>#DIV/0!</v>
      </c>
      <c r="AE268" s="1">
        <f t="shared" si="200"/>
        <v>2</v>
      </c>
      <c r="AF268" s="1">
        <f t="shared" si="201"/>
        <v>-1</v>
      </c>
      <c r="AG268" s="1">
        <f t="shared" si="202"/>
        <v>-1</v>
      </c>
      <c r="AH268" s="1">
        <f t="shared" si="203"/>
        <v>1</v>
      </c>
      <c r="AI268" s="1">
        <f t="shared" si="204"/>
        <v>1</v>
      </c>
      <c r="AJ268" s="1">
        <f t="shared" si="205"/>
        <v>-1</v>
      </c>
      <c r="AK268" s="17">
        <f t="shared" si="206"/>
        <v>0.16666666666666666</v>
      </c>
      <c r="AL268" s="17">
        <f t="shared" si="207"/>
        <v>0</v>
      </c>
      <c r="AM268" s="1" t="e">
        <f t="shared" si="208"/>
        <v>#DIV/0!</v>
      </c>
      <c r="AN268" s="1" t="e">
        <f t="shared" si="209"/>
        <v>#DIV/0!</v>
      </c>
      <c r="AO268" s="1" t="e">
        <f t="shared" si="210"/>
        <v>#DIV/0!</v>
      </c>
      <c r="AP268" s="1" t="e">
        <f t="shared" si="211"/>
        <v>#DIV/0!</v>
      </c>
      <c r="AQ268" s="1" t="e">
        <f t="shared" si="212"/>
        <v>#DIV/0!</v>
      </c>
      <c r="AR268" s="1" t="e">
        <f t="shared" si="213"/>
        <v>#DIV/0!</v>
      </c>
      <c r="AS268" s="12" t="e">
        <f t="shared" si="214"/>
        <v>#DIV/0!</v>
      </c>
      <c r="AT268" s="12" t="e">
        <f t="shared" si="215"/>
        <v>#DIV/0!</v>
      </c>
      <c r="AU268" s="1">
        <f t="shared" si="216"/>
        <v>0</v>
      </c>
      <c r="AV268" s="1">
        <f t="shared" si="217"/>
        <v>0</v>
      </c>
      <c r="AW268" s="1">
        <f t="shared" si="218"/>
        <v>0</v>
      </c>
      <c r="AX268" s="1">
        <f t="shared" si="219"/>
        <v>0</v>
      </c>
      <c r="AY268" s="1">
        <f t="shared" si="220"/>
        <v>0</v>
      </c>
      <c r="AZ268" s="1">
        <f t="shared" si="221"/>
        <v>0</v>
      </c>
      <c r="BA268" s="19">
        <f t="shared" si="222"/>
        <v>0</v>
      </c>
      <c r="BB268" s="19">
        <f t="shared" si="223"/>
        <v>0</v>
      </c>
      <c r="BC268" s="9" t="e">
        <f t="shared" si="224"/>
        <v>#DIV/0!</v>
      </c>
      <c r="BD268" s="9">
        <f t="shared" si="225"/>
        <v>-0.5</v>
      </c>
      <c r="BE268" s="9">
        <f t="shared" si="226"/>
        <v>-1</v>
      </c>
      <c r="BF268" s="9" t="e">
        <f t="shared" si="227"/>
        <v>#DIV/0!</v>
      </c>
      <c r="BG268" s="9">
        <f t="shared" si="228"/>
        <v>1</v>
      </c>
      <c r="BH268" s="9">
        <f t="shared" si="229"/>
        <v>-0.5</v>
      </c>
      <c r="BI268" s="12" t="e">
        <f t="shared" si="230"/>
        <v>#DIV/0!</v>
      </c>
      <c r="BJ268" s="13" t="e">
        <f t="shared" si="231"/>
        <v>#DIV/0!</v>
      </c>
      <c r="BK268" s="1">
        <f t="shared" si="232"/>
        <v>2</v>
      </c>
      <c r="BL268" s="1">
        <f t="shared" si="233"/>
        <v>-1</v>
      </c>
      <c r="BM268" s="1">
        <f t="shared" si="234"/>
        <v>-1</v>
      </c>
      <c r="BN268" s="1">
        <f t="shared" si="235"/>
        <v>1</v>
      </c>
      <c r="BO268" s="1">
        <f t="shared" si="236"/>
        <v>1</v>
      </c>
      <c r="BP268" s="1">
        <f t="shared" si="237"/>
        <v>-1</v>
      </c>
      <c r="BQ268" s="19">
        <f t="shared" si="238"/>
        <v>0.16666666666666666</v>
      </c>
      <c r="BR268" s="17">
        <f t="shared" si="239"/>
        <v>0</v>
      </c>
    </row>
    <row r="269" spans="1:70" x14ac:dyDescent="0.25">
      <c r="A269" t="s">
        <v>581</v>
      </c>
      <c r="C269">
        <v>2</v>
      </c>
      <c r="D269">
        <v>3</v>
      </c>
      <c r="E269">
        <v>3</v>
      </c>
      <c r="F269">
        <v>1</v>
      </c>
      <c r="G269">
        <v>3</v>
      </c>
      <c r="H269">
        <v>1</v>
      </c>
      <c r="J269">
        <v>2</v>
      </c>
      <c r="K269">
        <v>1</v>
      </c>
      <c r="L269">
        <v>2</v>
      </c>
      <c r="N269">
        <v>2</v>
      </c>
      <c r="R269">
        <v>2</v>
      </c>
      <c r="S269">
        <v>1</v>
      </c>
      <c r="T269">
        <v>1</v>
      </c>
      <c r="U269">
        <v>1</v>
      </c>
      <c r="V269">
        <v>1</v>
      </c>
      <c r="W269" s="8" t="e">
        <f t="shared" si="192"/>
        <v>#DIV/0!</v>
      </c>
      <c r="X269" s="8">
        <f t="shared" si="193"/>
        <v>0.5</v>
      </c>
      <c r="Y269" s="8">
        <f t="shared" si="194"/>
        <v>0</v>
      </c>
      <c r="Z269" s="8">
        <f t="shared" si="195"/>
        <v>-0.66666666666666663</v>
      </c>
      <c r="AA269" s="8">
        <f t="shared" si="196"/>
        <v>2</v>
      </c>
      <c r="AB269" s="8">
        <f t="shared" si="197"/>
        <v>-0.66666666666666663</v>
      </c>
      <c r="AC269" s="12" t="e">
        <f t="shared" si="198"/>
        <v>#DIV/0!</v>
      </c>
      <c r="AD269" s="12" t="e">
        <f t="shared" si="199"/>
        <v>#DIV/0!</v>
      </c>
      <c r="AE269" s="1">
        <f t="shared" si="200"/>
        <v>2</v>
      </c>
      <c r="AF269" s="1">
        <f t="shared" si="201"/>
        <v>1</v>
      </c>
      <c r="AG269" s="1">
        <f t="shared" si="202"/>
        <v>0</v>
      </c>
      <c r="AH269" s="1">
        <f t="shared" si="203"/>
        <v>-2</v>
      </c>
      <c r="AI269" s="1">
        <f t="shared" si="204"/>
        <v>2</v>
      </c>
      <c r="AJ269" s="1">
        <f t="shared" si="205"/>
        <v>-2</v>
      </c>
      <c r="AK269" s="17">
        <f t="shared" si="206"/>
        <v>0.16666666666666666</v>
      </c>
      <c r="AL269" s="17">
        <f t="shared" si="207"/>
        <v>0.5</v>
      </c>
      <c r="AM269" s="1" t="e">
        <f t="shared" si="208"/>
        <v>#DIV/0!</v>
      </c>
      <c r="AN269" s="1">
        <f t="shared" si="209"/>
        <v>-0.5</v>
      </c>
      <c r="AO269" s="1">
        <f t="shared" si="210"/>
        <v>1</v>
      </c>
      <c r="AP269" s="1">
        <f t="shared" si="211"/>
        <v>-1</v>
      </c>
      <c r="AQ269" s="1" t="e">
        <f t="shared" si="212"/>
        <v>#DIV/0!</v>
      </c>
      <c r="AR269" s="1">
        <f t="shared" si="213"/>
        <v>-1</v>
      </c>
      <c r="AS269" s="12" t="e">
        <f t="shared" si="214"/>
        <v>#DIV/0!</v>
      </c>
      <c r="AT269" s="12" t="e">
        <f t="shared" si="215"/>
        <v>#DIV/0!</v>
      </c>
      <c r="AU269" s="1">
        <f t="shared" si="216"/>
        <v>2</v>
      </c>
      <c r="AV269" s="1">
        <f t="shared" si="217"/>
        <v>-1</v>
      </c>
      <c r="AW269" s="1">
        <f t="shared" si="218"/>
        <v>1</v>
      </c>
      <c r="AX269" s="1">
        <f t="shared" si="219"/>
        <v>-2</v>
      </c>
      <c r="AY269" s="1">
        <f t="shared" si="220"/>
        <v>2</v>
      </c>
      <c r="AZ269" s="1">
        <f t="shared" si="221"/>
        <v>-2</v>
      </c>
      <c r="BA269" s="19">
        <f t="shared" si="222"/>
        <v>0</v>
      </c>
      <c r="BB269" s="19">
        <f t="shared" si="223"/>
        <v>0</v>
      </c>
      <c r="BC269" s="9" t="e">
        <f t="shared" si="224"/>
        <v>#DIV/0!</v>
      </c>
      <c r="BD269" s="9" t="e">
        <f t="shared" si="225"/>
        <v>#DIV/0!</v>
      </c>
      <c r="BE269" s="9">
        <f t="shared" si="226"/>
        <v>-0.5</v>
      </c>
      <c r="BF269" s="9">
        <f t="shared" si="227"/>
        <v>0</v>
      </c>
      <c r="BG269" s="9">
        <f t="shared" si="228"/>
        <v>0</v>
      </c>
      <c r="BH269" s="9">
        <f t="shared" si="229"/>
        <v>0</v>
      </c>
      <c r="BI269" s="12" t="e">
        <f t="shared" si="230"/>
        <v>#DIV/0!</v>
      </c>
      <c r="BJ269" s="13" t="e">
        <f t="shared" si="231"/>
        <v>#DIV/0!</v>
      </c>
      <c r="BK269" s="1">
        <f t="shared" si="232"/>
        <v>0</v>
      </c>
      <c r="BL269" s="1">
        <f t="shared" si="233"/>
        <v>2</v>
      </c>
      <c r="BM269" s="1">
        <f t="shared" si="234"/>
        <v>-1</v>
      </c>
      <c r="BN269" s="1">
        <f t="shared" si="235"/>
        <v>0</v>
      </c>
      <c r="BO269" s="1">
        <f t="shared" si="236"/>
        <v>0</v>
      </c>
      <c r="BP269" s="1">
        <f t="shared" si="237"/>
        <v>0</v>
      </c>
      <c r="BQ269" s="19">
        <f t="shared" si="238"/>
        <v>0.16666666666666666</v>
      </c>
      <c r="BR269" s="17">
        <f t="shared" si="239"/>
        <v>0</v>
      </c>
    </row>
    <row r="270" spans="1:70" x14ac:dyDescent="0.25">
      <c r="A270" t="s">
        <v>584</v>
      </c>
      <c r="C270">
        <v>2</v>
      </c>
      <c r="D270">
        <v>3</v>
      </c>
      <c r="E270">
        <v>3</v>
      </c>
      <c r="F270">
        <v>1</v>
      </c>
      <c r="G270">
        <v>2</v>
      </c>
      <c r="H270">
        <v>1</v>
      </c>
      <c r="J270">
        <v>2</v>
      </c>
      <c r="K270">
        <v>2</v>
      </c>
      <c r="L270">
        <v>2</v>
      </c>
      <c r="M270">
        <v>1</v>
      </c>
      <c r="N270">
        <v>2</v>
      </c>
      <c r="O270">
        <v>1</v>
      </c>
      <c r="R270">
        <v>1</v>
      </c>
      <c r="S270">
        <v>1</v>
      </c>
      <c r="W270" s="8" t="e">
        <f t="shared" si="192"/>
        <v>#DIV/0!</v>
      </c>
      <c r="X270" s="8">
        <f t="shared" si="193"/>
        <v>0.5</v>
      </c>
      <c r="Y270" s="8">
        <f t="shared" si="194"/>
        <v>0</v>
      </c>
      <c r="Z270" s="8">
        <f t="shared" si="195"/>
        <v>-0.66666666666666663</v>
      </c>
      <c r="AA270" s="8">
        <f t="shared" si="196"/>
        <v>1</v>
      </c>
      <c r="AB270" s="8">
        <f t="shared" si="197"/>
        <v>-0.5</v>
      </c>
      <c r="AC270" s="12" t="e">
        <f t="shared" si="198"/>
        <v>#DIV/0!</v>
      </c>
      <c r="AD270" s="12" t="e">
        <f t="shared" si="199"/>
        <v>#DIV/0!</v>
      </c>
      <c r="AE270" s="1">
        <f t="shared" si="200"/>
        <v>2</v>
      </c>
      <c r="AF270" s="1">
        <f t="shared" si="201"/>
        <v>1</v>
      </c>
      <c r="AG270" s="1">
        <f t="shared" si="202"/>
        <v>0</v>
      </c>
      <c r="AH270" s="1">
        <f t="shared" si="203"/>
        <v>-2</v>
      </c>
      <c r="AI270" s="1">
        <f t="shared" si="204"/>
        <v>1</v>
      </c>
      <c r="AJ270" s="1">
        <f t="shared" si="205"/>
        <v>-1</v>
      </c>
      <c r="AK270" s="17">
        <f t="shared" si="206"/>
        <v>0.16666666666666666</v>
      </c>
      <c r="AL270" s="17">
        <f t="shared" si="207"/>
        <v>0.5</v>
      </c>
      <c r="AM270" s="1" t="e">
        <f t="shared" si="208"/>
        <v>#DIV/0!</v>
      </c>
      <c r="AN270" s="1">
        <f t="shared" si="209"/>
        <v>0</v>
      </c>
      <c r="AO270" s="1">
        <f t="shared" si="210"/>
        <v>0</v>
      </c>
      <c r="AP270" s="1">
        <f t="shared" si="211"/>
        <v>-0.5</v>
      </c>
      <c r="AQ270" s="1">
        <f t="shared" si="212"/>
        <v>1</v>
      </c>
      <c r="AR270" s="1">
        <f t="shared" si="213"/>
        <v>-0.5</v>
      </c>
      <c r="AS270" s="12" t="e">
        <f t="shared" si="214"/>
        <v>#DIV/0!</v>
      </c>
      <c r="AT270" s="12" t="e">
        <f t="shared" si="215"/>
        <v>#DIV/0!</v>
      </c>
      <c r="AU270" s="1">
        <f t="shared" si="216"/>
        <v>2</v>
      </c>
      <c r="AV270" s="1">
        <f t="shared" si="217"/>
        <v>0</v>
      </c>
      <c r="AW270" s="1">
        <f t="shared" si="218"/>
        <v>0</v>
      </c>
      <c r="AX270" s="1">
        <f t="shared" si="219"/>
        <v>-1</v>
      </c>
      <c r="AY270" s="1">
        <f t="shared" si="220"/>
        <v>1</v>
      </c>
      <c r="AZ270" s="1">
        <f t="shared" si="221"/>
        <v>-1</v>
      </c>
      <c r="BA270" s="19">
        <f t="shared" si="222"/>
        <v>0.16666666666666666</v>
      </c>
      <c r="BB270" s="19">
        <f t="shared" si="223"/>
        <v>0</v>
      </c>
      <c r="BC270" s="9" t="e">
        <f t="shared" si="224"/>
        <v>#DIV/0!</v>
      </c>
      <c r="BD270" s="9" t="e">
        <f t="shared" si="225"/>
        <v>#DIV/0!</v>
      </c>
      <c r="BE270" s="9">
        <f t="shared" si="226"/>
        <v>0</v>
      </c>
      <c r="BF270" s="9">
        <f t="shared" si="227"/>
        <v>-1</v>
      </c>
      <c r="BG270" s="9" t="e">
        <f t="shared" si="228"/>
        <v>#DIV/0!</v>
      </c>
      <c r="BH270" s="9" t="e">
        <f t="shared" si="229"/>
        <v>#DIV/0!</v>
      </c>
      <c r="BI270" s="12" t="e">
        <f t="shared" si="230"/>
        <v>#DIV/0!</v>
      </c>
      <c r="BJ270" s="13" t="e">
        <f t="shared" si="231"/>
        <v>#DIV/0!</v>
      </c>
      <c r="BK270" s="1">
        <f t="shared" si="232"/>
        <v>0</v>
      </c>
      <c r="BL270" s="1">
        <f t="shared" si="233"/>
        <v>1</v>
      </c>
      <c r="BM270" s="1">
        <f t="shared" si="234"/>
        <v>0</v>
      </c>
      <c r="BN270" s="1">
        <f t="shared" si="235"/>
        <v>-1</v>
      </c>
      <c r="BO270" s="1">
        <f t="shared" si="236"/>
        <v>0</v>
      </c>
      <c r="BP270" s="1">
        <f t="shared" si="237"/>
        <v>0</v>
      </c>
      <c r="BQ270" s="19">
        <f t="shared" si="238"/>
        <v>0</v>
      </c>
      <c r="BR270" s="17">
        <f t="shared" si="239"/>
        <v>0</v>
      </c>
    </row>
    <row r="271" spans="1:70" x14ac:dyDescent="0.25">
      <c r="A271" t="s">
        <v>590</v>
      </c>
      <c r="C271">
        <v>1</v>
      </c>
      <c r="D271">
        <v>1</v>
      </c>
      <c r="H271">
        <v>1</v>
      </c>
      <c r="Q271">
        <v>1</v>
      </c>
      <c r="R271">
        <v>1</v>
      </c>
      <c r="V271">
        <v>1</v>
      </c>
      <c r="W271" s="8" t="e">
        <f t="shared" si="192"/>
        <v>#DIV/0!</v>
      </c>
      <c r="X271" s="8">
        <f t="shared" si="193"/>
        <v>0</v>
      </c>
      <c r="Y271" s="8">
        <f t="shared" si="194"/>
        <v>-1</v>
      </c>
      <c r="Z271" s="8" t="e">
        <f t="shared" si="195"/>
        <v>#DIV/0!</v>
      </c>
      <c r="AA271" s="8" t="e">
        <f t="shared" si="196"/>
        <v>#DIV/0!</v>
      </c>
      <c r="AB271" s="8" t="e">
        <f t="shared" si="197"/>
        <v>#DIV/0!</v>
      </c>
      <c r="AC271" s="12" t="e">
        <f t="shared" si="198"/>
        <v>#DIV/0!</v>
      </c>
      <c r="AD271" s="12" t="e">
        <f t="shared" si="199"/>
        <v>#DIV/0!</v>
      </c>
      <c r="AE271" s="1">
        <f t="shared" si="200"/>
        <v>1</v>
      </c>
      <c r="AF271" s="1">
        <f t="shared" si="201"/>
        <v>0</v>
      </c>
      <c r="AG271" s="1">
        <f t="shared" si="202"/>
        <v>-1</v>
      </c>
      <c r="AH271" s="1">
        <f t="shared" si="203"/>
        <v>0</v>
      </c>
      <c r="AI271" s="1">
        <f t="shared" si="204"/>
        <v>0</v>
      </c>
      <c r="AJ271" s="1">
        <f t="shared" si="205"/>
        <v>1</v>
      </c>
      <c r="AK271" s="17">
        <f t="shared" si="206"/>
        <v>0.16666666666666666</v>
      </c>
      <c r="AL271" s="17">
        <f t="shared" si="207"/>
        <v>0</v>
      </c>
      <c r="AM271" s="1" t="e">
        <f t="shared" si="208"/>
        <v>#DIV/0!</v>
      </c>
      <c r="AN271" s="1" t="e">
        <f t="shared" si="209"/>
        <v>#DIV/0!</v>
      </c>
      <c r="AO271" s="1" t="e">
        <f t="shared" si="210"/>
        <v>#DIV/0!</v>
      </c>
      <c r="AP271" s="1" t="e">
        <f t="shared" si="211"/>
        <v>#DIV/0!</v>
      </c>
      <c r="AQ271" s="1" t="e">
        <f t="shared" si="212"/>
        <v>#DIV/0!</v>
      </c>
      <c r="AR271" s="1" t="e">
        <f t="shared" si="213"/>
        <v>#DIV/0!</v>
      </c>
      <c r="AS271" s="12" t="e">
        <f t="shared" si="214"/>
        <v>#DIV/0!</v>
      </c>
      <c r="AT271" s="12" t="e">
        <f t="shared" si="215"/>
        <v>#DIV/0!</v>
      </c>
      <c r="AU271" s="1">
        <f t="shared" si="216"/>
        <v>0</v>
      </c>
      <c r="AV271" s="1">
        <f t="shared" si="217"/>
        <v>0</v>
      </c>
      <c r="AW271" s="1">
        <f t="shared" si="218"/>
        <v>0</v>
      </c>
      <c r="AX271" s="1">
        <f t="shared" si="219"/>
        <v>0</v>
      </c>
      <c r="AY271" s="1">
        <f t="shared" si="220"/>
        <v>0</v>
      </c>
      <c r="AZ271" s="1">
        <f t="shared" si="221"/>
        <v>0</v>
      </c>
      <c r="BA271" s="19">
        <f t="shared" si="222"/>
        <v>0</v>
      </c>
      <c r="BB271" s="19">
        <f t="shared" si="223"/>
        <v>0</v>
      </c>
      <c r="BC271" s="9" t="e">
        <f t="shared" si="224"/>
        <v>#DIV/0!</v>
      </c>
      <c r="BD271" s="9">
        <f t="shared" si="225"/>
        <v>0</v>
      </c>
      <c r="BE271" s="9">
        <f t="shared" si="226"/>
        <v>-1</v>
      </c>
      <c r="BF271" s="9" t="e">
        <f t="shared" si="227"/>
        <v>#DIV/0!</v>
      </c>
      <c r="BG271" s="9" t="e">
        <f t="shared" si="228"/>
        <v>#DIV/0!</v>
      </c>
      <c r="BH271" s="9" t="e">
        <f t="shared" si="229"/>
        <v>#DIV/0!</v>
      </c>
      <c r="BI271" s="12" t="e">
        <f t="shared" si="230"/>
        <v>#DIV/0!</v>
      </c>
      <c r="BJ271" s="13" t="e">
        <f t="shared" si="231"/>
        <v>#DIV/0!</v>
      </c>
      <c r="BK271" s="1">
        <f t="shared" si="232"/>
        <v>1</v>
      </c>
      <c r="BL271" s="1">
        <f t="shared" si="233"/>
        <v>0</v>
      </c>
      <c r="BM271" s="1">
        <f t="shared" si="234"/>
        <v>-1</v>
      </c>
      <c r="BN271" s="1">
        <f t="shared" si="235"/>
        <v>0</v>
      </c>
      <c r="BO271" s="1">
        <f t="shared" si="236"/>
        <v>0</v>
      </c>
      <c r="BP271" s="1">
        <f t="shared" si="237"/>
        <v>1</v>
      </c>
      <c r="BQ271" s="19">
        <f t="shared" si="238"/>
        <v>0.16666666666666666</v>
      </c>
      <c r="BR271" s="17">
        <f t="shared" si="239"/>
        <v>0</v>
      </c>
    </row>
    <row r="272" spans="1:70" x14ac:dyDescent="0.25">
      <c r="A272" t="s">
        <v>592</v>
      </c>
      <c r="C272">
        <v>1</v>
      </c>
      <c r="D272">
        <v>2</v>
      </c>
      <c r="E272">
        <v>3</v>
      </c>
      <c r="F272">
        <v>3</v>
      </c>
      <c r="G272">
        <v>1</v>
      </c>
      <c r="H272">
        <v>1</v>
      </c>
      <c r="J272">
        <v>1</v>
      </c>
      <c r="K272">
        <v>2</v>
      </c>
      <c r="L272">
        <v>3</v>
      </c>
      <c r="M272">
        <v>3</v>
      </c>
      <c r="N272">
        <v>1</v>
      </c>
      <c r="O272">
        <v>1</v>
      </c>
      <c r="W272" s="8" t="e">
        <f t="shared" si="192"/>
        <v>#DIV/0!</v>
      </c>
      <c r="X272" s="8">
        <f t="shared" si="193"/>
        <v>1</v>
      </c>
      <c r="Y272" s="8">
        <f t="shared" si="194"/>
        <v>0.5</v>
      </c>
      <c r="Z272" s="8">
        <f t="shared" si="195"/>
        <v>0</v>
      </c>
      <c r="AA272" s="8">
        <f t="shared" si="196"/>
        <v>-0.66666666666666663</v>
      </c>
      <c r="AB272" s="8">
        <f t="shared" si="197"/>
        <v>0</v>
      </c>
      <c r="AC272" s="12" t="e">
        <f t="shared" si="198"/>
        <v>#DIV/0!</v>
      </c>
      <c r="AD272" s="12" t="e">
        <f t="shared" si="199"/>
        <v>#DIV/0!</v>
      </c>
      <c r="AE272" s="1">
        <f t="shared" si="200"/>
        <v>1</v>
      </c>
      <c r="AF272" s="1">
        <f t="shared" si="201"/>
        <v>1</v>
      </c>
      <c r="AG272" s="1">
        <f t="shared" si="202"/>
        <v>1</v>
      </c>
      <c r="AH272" s="1">
        <f t="shared" si="203"/>
        <v>0</v>
      </c>
      <c r="AI272" s="1">
        <f t="shared" si="204"/>
        <v>-2</v>
      </c>
      <c r="AJ272" s="1">
        <f t="shared" si="205"/>
        <v>0</v>
      </c>
      <c r="AK272" s="17">
        <f t="shared" si="206"/>
        <v>0.16666666666666666</v>
      </c>
      <c r="AL272" s="17">
        <f t="shared" si="207"/>
        <v>0.5</v>
      </c>
      <c r="AM272" s="1" t="e">
        <f t="shared" si="208"/>
        <v>#DIV/0!</v>
      </c>
      <c r="AN272" s="1">
        <f t="shared" si="209"/>
        <v>1</v>
      </c>
      <c r="AO272" s="1">
        <f t="shared" si="210"/>
        <v>0.5</v>
      </c>
      <c r="AP272" s="1">
        <f t="shared" si="211"/>
        <v>0</v>
      </c>
      <c r="AQ272" s="1">
        <f t="shared" si="212"/>
        <v>-0.66666666666666663</v>
      </c>
      <c r="AR272" s="1">
        <f t="shared" si="213"/>
        <v>0</v>
      </c>
      <c r="AS272" s="12" t="e">
        <f t="shared" si="214"/>
        <v>#DIV/0!</v>
      </c>
      <c r="AT272" s="12" t="e">
        <f t="shared" si="215"/>
        <v>#DIV/0!</v>
      </c>
      <c r="AU272" s="1">
        <f t="shared" si="216"/>
        <v>1</v>
      </c>
      <c r="AV272" s="1">
        <f t="shared" si="217"/>
        <v>1</v>
      </c>
      <c r="AW272" s="1">
        <f t="shared" si="218"/>
        <v>1</v>
      </c>
      <c r="AX272" s="1">
        <f t="shared" si="219"/>
        <v>0</v>
      </c>
      <c r="AY272" s="1">
        <f t="shared" si="220"/>
        <v>-2</v>
      </c>
      <c r="AZ272" s="1">
        <f t="shared" si="221"/>
        <v>0</v>
      </c>
      <c r="BA272" s="19">
        <f t="shared" si="222"/>
        <v>0.16666666666666666</v>
      </c>
      <c r="BB272" s="19">
        <f t="shared" si="223"/>
        <v>0.5</v>
      </c>
      <c r="BC272" s="9" t="e">
        <f t="shared" si="224"/>
        <v>#DIV/0!</v>
      </c>
      <c r="BD272" s="9" t="e">
        <f t="shared" si="225"/>
        <v>#DIV/0!</v>
      </c>
      <c r="BE272" s="9" t="e">
        <f t="shared" si="226"/>
        <v>#DIV/0!</v>
      </c>
      <c r="BF272" s="9" t="e">
        <f t="shared" si="227"/>
        <v>#DIV/0!</v>
      </c>
      <c r="BG272" s="9" t="e">
        <f t="shared" si="228"/>
        <v>#DIV/0!</v>
      </c>
      <c r="BH272" s="9" t="e">
        <f t="shared" si="229"/>
        <v>#DIV/0!</v>
      </c>
      <c r="BI272" s="12" t="e">
        <f t="shared" si="230"/>
        <v>#DIV/0!</v>
      </c>
      <c r="BJ272" s="13" t="e">
        <f t="shared" si="231"/>
        <v>#DIV/0!</v>
      </c>
      <c r="BK272" s="1">
        <f t="shared" si="232"/>
        <v>0</v>
      </c>
      <c r="BL272" s="1">
        <f t="shared" si="233"/>
        <v>0</v>
      </c>
      <c r="BM272" s="1">
        <f t="shared" si="234"/>
        <v>0</v>
      </c>
      <c r="BN272" s="1">
        <f t="shared" si="235"/>
        <v>0</v>
      </c>
      <c r="BO272" s="1">
        <f t="shared" si="236"/>
        <v>0</v>
      </c>
      <c r="BP272" s="1">
        <f t="shared" si="237"/>
        <v>0</v>
      </c>
      <c r="BQ272" s="19">
        <f t="shared" si="238"/>
        <v>0</v>
      </c>
      <c r="BR272" s="17">
        <f t="shared" si="239"/>
        <v>0</v>
      </c>
    </row>
    <row r="273" spans="1:70" x14ac:dyDescent="0.25">
      <c r="A273" t="s">
        <v>604</v>
      </c>
      <c r="C273">
        <v>1</v>
      </c>
      <c r="H273">
        <v>1</v>
      </c>
      <c r="J273">
        <v>1</v>
      </c>
      <c r="O273">
        <v>1</v>
      </c>
      <c r="W273" s="8" t="e">
        <f t="shared" si="192"/>
        <v>#DIV/0!</v>
      </c>
      <c r="X273" s="8">
        <f t="shared" si="193"/>
        <v>-1</v>
      </c>
      <c r="Y273" s="8" t="e">
        <f t="shared" si="194"/>
        <v>#DIV/0!</v>
      </c>
      <c r="Z273" s="8" t="e">
        <f t="shared" si="195"/>
        <v>#DIV/0!</v>
      </c>
      <c r="AA273" s="8" t="e">
        <f t="shared" si="196"/>
        <v>#DIV/0!</v>
      </c>
      <c r="AB273" s="8" t="e">
        <f t="shared" si="197"/>
        <v>#DIV/0!</v>
      </c>
      <c r="AC273" s="12" t="e">
        <f t="shared" si="198"/>
        <v>#DIV/0!</v>
      </c>
      <c r="AD273" s="12" t="e">
        <f t="shared" si="199"/>
        <v>#DIV/0!</v>
      </c>
      <c r="AE273" s="1">
        <f t="shared" si="200"/>
        <v>1</v>
      </c>
      <c r="AF273" s="1">
        <f t="shared" si="201"/>
        <v>-1</v>
      </c>
      <c r="AG273" s="1">
        <f t="shared" si="202"/>
        <v>0</v>
      </c>
      <c r="AH273" s="1">
        <f t="shared" si="203"/>
        <v>0</v>
      </c>
      <c r="AI273" s="1">
        <f t="shared" si="204"/>
        <v>0</v>
      </c>
      <c r="AJ273" s="1">
        <f t="shared" si="205"/>
        <v>1</v>
      </c>
      <c r="AK273" s="17">
        <f t="shared" si="206"/>
        <v>0.16666666666666666</v>
      </c>
      <c r="AL273" s="17">
        <f t="shared" si="207"/>
        <v>0</v>
      </c>
      <c r="AM273" s="1" t="e">
        <f t="shared" si="208"/>
        <v>#DIV/0!</v>
      </c>
      <c r="AN273" s="1">
        <f t="shared" si="209"/>
        <v>-1</v>
      </c>
      <c r="AO273" s="1" t="e">
        <f t="shared" si="210"/>
        <v>#DIV/0!</v>
      </c>
      <c r="AP273" s="1" t="e">
        <f t="shared" si="211"/>
        <v>#DIV/0!</v>
      </c>
      <c r="AQ273" s="1" t="e">
        <f t="shared" si="212"/>
        <v>#DIV/0!</v>
      </c>
      <c r="AR273" s="1" t="e">
        <f t="shared" si="213"/>
        <v>#DIV/0!</v>
      </c>
      <c r="AS273" s="12" t="e">
        <f t="shared" si="214"/>
        <v>#DIV/0!</v>
      </c>
      <c r="AT273" s="12" t="e">
        <f t="shared" si="215"/>
        <v>#DIV/0!</v>
      </c>
      <c r="AU273" s="1">
        <f t="shared" si="216"/>
        <v>1</v>
      </c>
      <c r="AV273" s="1">
        <f t="shared" si="217"/>
        <v>-1</v>
      </c>
      <c r="AW273" s="1">
        <f t="shared" si="218"/>
        <v>0</v>
      </c>
      <c r="AX273" s="1">
        <f t="shared" si="219"/>
        <v>0</v>
      </c>
      <c r="AY273" s="1">
        <f t="shared" si="220"/>
        <v>0</v>
      </c>
      <c r="AZ273" s="1">
        <f t="shared" si="221"/>
        <v>1</v>
      </c>
      <c r="BA273" s="19">
        <f t="shared" si="222"/>
        <v>0.16666666666666666</v>
      </c>
      <c r="BB273" s="19">
        <f t="shared" si="223"/>
        <v>0</v>
      </c>
      <c r="BC273" s="9" t="e">
        <f t="shared" si="224"/>
        <v>#DIV/0!</v>
      </c>
      <c r="BD273" s="9" t="e">
        <f t="shared" si="225"/>
        <v>#DIV/0!</v>
      </c>
      <c r="BE273" s="9" t="e">
        <f t="shared" si="226"/>
        <v>#DIV/0!</v>
      </c>
      <c r="BF273" s="9" t="e">
        <f t="shared" si="227"/>
        <v>#DIV/0!</v>
      </c>
      <c r="BG273" s="9" t="e">
        <f t="shared" si="228"/>
        <v>#DIV/0!</v>
      </c>
      <c r="BH273" s="9" t="e">
        <f t="shared" si="229"/>
        <v>#DIV/0!</v>
      </c>
      <c r="BI273" s="12" t="e">
        <f t="shared" si="230"/>
        <v>#DIV/0!</v>
      </c>
      <c r="BJ273" s="13" t="e">
        <f t="shared" si="231"/>
        <v>#DIV/0!</v>
      </c>
      <c r="BK273" s="1">
        <f t="shared" si="232"/>
        <v>0</v>
      </c>
      <c r="BL273" s="1">
        <f t="shared" si="233"/>
        <v>0</v>
      </c>
      <c r="BM273" s="1">
        <f t="shared" si="234"/>
        <v>0</v>
      </c>
      <c r="BN273" s="1">
        <f t="shared" si="235"/>
        <v>0</v>
      </c>
      <c r="BO273" s="1">
        <f t="shared" si="236"/>
        <v>0</v>
      </c>
      <c r="BP273" s="1">
        <f t="shared" si="237"/>
        <v>0</v>
      </c>
      <c r="BQ273" s="19">
        <f t="shared" si="238"/>
        <v>0</v>
      </c>
      <c r="BR273" s="17">
        <f t="shared" si="239"/>
        <v>0</v>
      </c>
    </row>
    <row r="274" spans="1:70" x14ac:dyDescent="0.25">
      <c r="A274" t="s">
        <v>605</v>
      </c>
      <c r="C274">
        <v>1</v>
      </c>
      <c r="E274">
        <v>1</v>
      </c>
      <c r="F274">
        <v>1</v>
      </c>
      <c r="G274">
        <v>1</v>
      </c>
      <c r="H274">
        <v>1</v>
      </c>
      <c r="J274">
        <v>1</v>
      </c>
      <c r="L274">
        <v>1</v>
      </c>
      <c r="M274">
        <v>1</v>
      </c>
      <c r="N274">
        <v>1</v>
      </c>
      <c r="O274">
        <v>1</v>
      </c>
      <c r="W274" s="8" t="e">
        <f t="shared" si="192"/>
        <v>#DIV/0!</v>
      </c>
      <c r="X274" s="8">
        <f t="shared" si="193"/>
        <v>-1</v>
      </c>
      <c r="Y274" s="8" t="e">
        <f t="shared" si="194"/>
        <v>#DIV/0!</v>
      </c>
      <c r="Z274" s="8">
        <f t="shared" si="195"/>
        <v>0</v>
      </c>
      <c r="AA274" s="8">
        <f t="shared" si="196"/>
        <v>0</v>
      </c>
      <c r="AB274" s="8">
        <f t="shared" si="197"/>
        <v>0</v>
      </c>
      <c r="AC274" s="12" t="e">
        <f t="shared" si="198"/>
        <v>#DIV/0!</v>
      </c>
      <c r="AD274" s="12" t="e">
        <f t="shared" si="199"/>
        <v>#DIV/0!</v>
      </c>
      <c r="AE274" s="1">
        <f t="shared" si="200"/>
        <v>1</v>
      </c>
      <c r="AF274" s="1">
        <f t="shared" si="201"/>
        <v>-1</v>
      </c>
      <c r="AG274" s="1">
        <f t="shared" si="202"/>
        <v>1</v>
      </c>
      <c r="AH274" s="1">
        <f t="shared" si="203"/>
        <v>0</v>
      </c>
      <c r="AI274" s="1">
        <f t="shared" si="204"/>
        <v>0</v>
      </c>
      <c r="AJ274" s="1">
        <f t="shared" si="205"/>
        <v>0</v>
      </c>
      <c r="AK274" s="17">
        <f t="shared" si="206"/>
        <v>0.16666666666666666</v>
      </c>
      <c r="AL274" s="17">
        <f t="shared" si="207"/>
        <v>0</v>
      </c>
      <c r="AM274" s="1" t="e">
        <f t="shared" si="208"/>
        <v>#DIV/0!</v>
      </c>
      <c r="AN274" s="1">
        <f t="shared" si="209"/>
        <v>-1</v>
      </c>
      <c r="AO274" s="1" t="e">
        <f t="shared" si="210"/>
        <v>#DIV/0!</v>
      </c>
      <c r="AP274" s="1">
        <f t="shared" si="211"/>
        <v>0</v>
      </c>
      <c r="AQ274" s="1">
        <f t="shared" si="212"/>
        <v>0</v>
      </c>
      <c r="AR274" s="1">
        <f t="shared" si="213"/>
        <v>0</v>
      </c>
      <c r="AS274" s="12" t="e">
        <f t="shared" si="214"/>
        <v>#DIV/0!</v>
      </c>
      <c r="AT274" s="12" t="e">
        <f t="shared" si="215"/>
        <v>#DIV/0!</v>
      </c>
      <c r="AU274" s="1">
        <f t="shared" si="216"/>
        <v>1</v>
      </c>
      <c r="AV274" s="1">
        <f t="shared" si="217"/>
        <v>-1</v>
      </c>
      <c r="AW274" s="1">
        <f t="shared" si="218"/>
        <v>1</v>
      </c>
      <c r="AX274" s="1">
        <f t="shared" si="219"/>
        <v>0</v>
      </c>
      <c r="AY274" s="1">
        <f t="shared" si="220"/>
        <v>0</v>
      </c>
      <c r="AZ274" s="1">
        <f t="shared" si="221"/>
        <v>0</v>
      </c>
      <c r="BA274" s="19">
        <f t="shared" si="222"/>
        <v>0.16666666666666666</v>
      </c>
      <c r="BB274" s="19">
        <f t="shared" si="223"/>
        <v>0</v>
      </c>
      <c r="BC274" s="9" t="e">
        <f t="shared" si="224"/>
        <v>#DIV/0!</v>
      </c>
      <c r="BD274" s="9" t="e">
        <f t="shared" si="225"/>
        <v>#DIV/0!</v>
      </c>
      <c r="BE274" s="9" t="e">
        <f t="shared" si="226"/>
        <v>#DIV/0!</v>
      </c>
      <c r="BF274" s="9" t="e">
        <f t="shared" si="227"/>
        <v>#DIV/0!</v>
      </c>
      <c r="BG274" s="9" t="e">
        <f t="shared" si="228"/>
        <v>#DIV/0!</v>
      </c>
      <c r="BH274" s="9" t="e">
        <f t="shared" si="229"/>
        <v>#DIV/0!</v>
      </c>
      <c r="BI274" s="12" t="e">
        <f t="shared" si="230"/>
        <v>#DIV/0!</v>
      </c>
      <c r="BJ274" s="13" t="e">
        <f t="shared" si="231"/>
        <v>#DIV/0!</v>
      </c>
      <c r="BK274" s="1">
        <f t="shared" si="232"/>
        <v>0</v>
      </c>
      <c r="BL274" s="1">
        <f t="shared" si="233"/>
        <v>0</v>
      </c>
      <c r="BM274" s="1">
        <f t="shared" si="234"/>
        <v>0</v>
      </c>
      <c r="BN274" s="1">
        <f t="shared" si="235"/>
        <v>0</v>
      </c>
      <c r="BO274" s="1">
        <f t="shared" si="236"/>
        <v>0</v>
      </c>
      <c r="BP274" s="1">
        <f t="shared" si="237"/>
        <v>0</v>
      </c>
      <c r="BQ274" s="19">
        <f t="shared" si="238"/>
        <v>0</v>
      </c>
      <c r="BR274" s="17">
        <f t="shared" si="239"/>
        <v>0</v>
      </c>
    </row>
    <row r="275" spans="1:70" x14ac:dyDescent="0.25">
      <c r="A275" t="s">
        <v>606</v>
      </c>
      <c r="C275">
        <v>1</v>
      </c>
      <c r="D275">
        <v>1</v>
      </c>
      <c r="E275">
        <v>1</v>
      </c>
      <c r="F275">
        <v>1</v>
      </c>
      <c r="H275">
        <v>1</v>
      </c>
      <c r="J275">
        <v>1</v>
      </c>
      <c r="M275">
        <v>1</v>
      </c>
      <c r="O275">
        <v>1</v>
      </c>
      <c r="R275">
        <v>1</v>
      </c>
      <c r="S275">
        <v>1</v>
      </c>
      <c r="W275" s="8" t="e">
        <f t="shared" si="192"/>
        <v>#DIV/0!</v>
      </c>
      <c r="X275" s="8">
        <f t="shared" si="193"/>
        <v>0</v>
      </c>
      <c r="Y275" s="8">
        <f t="shared" si="194"/>
        <v>0</v>
      </c>
      <c r="Z275" s="8">
        <f t="shared" si="195"/>
        <v>0</v>
      </c>
      <c r="AA275" s="8">
        <f t="shared" si="196"/>
        <v>-1</v>
      </c>
      <c r="AB275" s="8" t="e">
        <f t="shared" si="197"/>
        <v>#DIV/0!</v>
      </c>
      <c r="AC275" s="12" t="e">
        <f t="shared" si="198"/>
        <v>#DIV/0!</v>
      </c>
      <c r="AD275" s="12" t="e">
        <f t="shared" si="199"/>
        <v>#DIV/0!</v>
      </c>
      <c r="AE275" s="1">
        <f t="shared" si="200"/>
        <v>1</v>
      </c>
      <c r="AF275" s="1">
        <f t="shared" si="201"/>
        <v>0</v>
      </c>
      <c r="AG275" s="1">
        <f t="shared" si="202"/>
        <v>0</v>
      </c>
      <c r="AH275" s="1">
        <f t="shared" si="203"/>
        <v>0</v>
      </c>
      <c r="AI275" s="1">
        <f t="shared" si="204"/>
        <v>-1</v>
      </c>
      <c r="AJ275" s="1">
        <f t="shared" si="205"/>
        <v>1</v>
      </c>
      <c r="AK275" s="17">
        <f t="shared" si="206"/>
        <v>0.16666666666666666</v>
      </c>
      <c r="AL275" s="17">
        <f t="shared" si="207"/>
        <v>0</v>
      </c>
      <c r="AM275" s="1" t="e">
        <f t="shared" si="208"/>
        <v>#DIV/0!</v>
      </c>
      <c r="AN275" s="1">
        <f t="shared" si="209"/>
        <v>-1</v>
      </c>
      <c r="AO275" s="1" t="e">
        <f t="shared" si="210"/>
        <v>#DIV/0!</v>
      </c>
      <c r="AP275" s="1" t="e">
        <f t="shared" si="211"/>
        <v>#DIV/0!</v>
      </c>
      <c r="AQ275" s="1">
        <f t="shared" si="212"/>
        <v>-1</v>
      </c>
      <c r="AR275" s="1" t="e">
        <f t="shared" si="213"/>
        <v>#DIV/0!</v>
      </c>
      <c r="AS275" s="12" t="e">
        <f t="shared" si="214"/>
        <v>#DIV/0!</v>
      </c>
      <c r="AT275" s="12" t="e">
        <f t="shared" si="215"/>
        <v>#DIV/0!</v>
      </c>
      <c r="AU275" s="1">
        <f t="shared" si="216"/>
        <v>1</v>
      </c>
      <c r="AV275" s="1">
        <f t="shared" si="217"/>
        <v>-1</v>
      </c>
      <c r="AW275" s="1">
        <f t="shared" si="218"/>
        <v>0</v>
      </c>
      <c r="AX275" s="1">
        <f t="shared" si="219"/>
        <v>1</v>
      </c>
      <c r="AY275" s="1">
        <f t="shared" si="220"/>
        <v>-1</v>
      </c>
      <c r="AZ275" s="1">
        <f t="shared" si="221"/>
        <v>1</v>
      </c>
      <c r="BA275" s="19">
        <f t="shared" si="222"/>
        <v>0.16666666666666666</v>
      </c>
      <c r="BB275" s="19">
        <f t="shared" si="223"/>
        <v>0.5</v>
      </c>
      <c r="BC275" s="9" t="e">
        <f t="shared" si="224"/>
        <v>#DIV/0!</v>
      </c>
      <c r="BD275" s="9" t="e">
        <f t="shared" si="225"/>
        <v>#DIV/0!</v>
      </c>
      <c r="BE275" s="9">
        <f t="shared" si="226"/>
        <v>0</v>
      </c>
      <c r="BF275" s="9">
        <f t="shared" si="227"/>
        <v>-1</v>
      </c>
      <c r="BG275" s="9" t="e">
        <f t="shared" si="228"/>
        <v>#DIV/0!</v>
      </c>
      <c r="BH275" s="9" t="e">
        <f t="shared" si="229"/>
        <v>#DIV/0!</v>
      </c>
      <c r="BI275" s="12" t="e">
        <f t="shared" si="230"/>
        <v>#DIV/0!</v>
      </c>
      <c r="BJ275" s="13" t="e">
        <f t="shared" si="231"/>
        <v>#DIV/0!</v>
      </c>
      <c r="BK275" s="1">
        <f t="shared" si="232"/>
        <v>0</v>
      </c>
      <c r="BL275" s="1">
        <f t="shared" si="233"/>
        <v>1</v>
      </c>
      <c r="BM275" s="1">
        <f t="shared" si="234"/>
        <v>0</v>
      </c>
      <c r="BN275" s="1">
        <f t="shared" si="235"/>
        <v>-1</v>
      </c>
      <c r="BO275" s="1">
        <f t="shared" si="236"/>
        <v>0</v>
      </c>
      <c r="BP275" s="1">
        <f t="shared" si="237"/>
        <v>0</v>
      </c>
      <c r="BQ275" s="19">
        <f t="shared" si="238"/>
        <v>0</v>
      </c>
      <c r="BR275" s="17">
        <f t="shared" si="239"/>
        <v>0</v>
      </c>
    </row>
    <row r="276" spans="1:70" x14ac:dyDescent="0.25">
      <c r="A276" t="s">
        <v>610</v>
      </c>
      <c r="C276">
        <v>1</v>
      </c>
      <c r="G276">
        <v>1</v>
      </c>
      <c r="H276">
        <v>1</v>
      </c>
      <c r="J276">
        <v>1</v>
      </c>
      <c r="N276">
        <v>1</v>
      </c>
      <c r="O276">
        <v>1</v>
      </c>
      <c r="W276" s="8" t="e">
        <f t="shared" si="192"/>
        <v>#DIV/0!</v>
      </c>
      <c r="X276" s="8">
        <f t="shared" si="193"/>
        <v>-1</v>
      </c>
      <c r="Y276" s="8" t="e">
        <f t="shared" si="194"/>
        <v>#DIV/0!</v>
      </c>
      <c r="Z276" s="8" t="e">
        <f t="shared" si="195"/>
        <v>#DIV/0!</v>
      </c>
      <c r="AA276" s="8" t="e">
        <f t="shared" si="196"/>
        <v>#DIV/0!</v>
      </c>
      <c r="AB276" s="8">
        <f t="shared" si="197"/>
        <v>0</v>
      </c>
      <c r="AC276" s="12" t="e">
        <f t="shared" si="198"/>
        <v>#DIV/0!</v>
      </c>
      <c r="AD276" s="12" t="e">
        <f t="shared" si="199"/>
        <v>#DIV/0!</v>
      </c>
      <c r="AE276" s="1">
        <f t="shared" si="200"/>
        <v>1</v>
      </c>
      <c r="AF276" s="1">
        <f t="shared" si="201"/>
        <v>-1</v>
      </c>
      <c r="AG276" s="1">
        <f t="shared" si="202"/>
        <v>0</v>
      </c>
      <c r="AH276" s="1">
        <f t="shared" si="203"/>
        <v>0</v>
      </c>
      <c r="AI276" s="1">
        <f t="shared" si="204"/>
        <v>1</v>
      </c>
      <c r="AJ276" s="1">
        <f t="shared" si="205"/>
        <v>0</v>
      </c>
      <c r="AK276" s="17">
        <f t="shared" si="206"/>
        <v>0.16666666666666666</v>
      </c>
      <c r="AL276" s="17">
        <f t="shared" si="207"/>
        <v>0</v>
      </c>
      <c r="AM276" s="1" t="e">
        <f t="shared" si="208"/>
        <v>#DIV/0!</v>
      </c>
      <c r="AN276" s="1">
        <f t="shared" si="209"/>
        <v>-1</v>
      </c>
      <c r="AO276" s="1" t="e">
        <f t="shared" si="210"/>
        <v>#DIV/0!</v>
      </c>
      <c r="AP276" s="1" t="e">
        <f t="shared" si="211"/>
        <v>#DIV/0!</v>
      </c>
      <c r="AQ276" s="1" t="e">
        <f t="shared" si="212"/>
        <v>#DIV/0!</v>
      </c>
      <c r="AR276" s="1">
        <f t="shared" si="213"/>
        <v>0</v>
      </c>
      <c r="AS276" s="12" t="e">
        <f t="shared" si="214"/>
        <v>#DIV/0!</v>
      </c>
      <c r="AT276" s="12" t="e">
        <f t="shared" si="215"/>
        <v>#DIV/0!</v>
      </c>
      <c r="AU276" s="1">
        <f t="shared" si="216"/>
        <v>1</v>
      </c>
      <c r="AV276" s="1">
        <f t="shared" si="217"/>
        <v>-1</v>
      </c>
      <c r="AW276" s="1">
        <f t="shared" si="218"/>
        <v>0</v>
      </c>
      <c r="AX276" s="1">
        <f t="shared" si="219"/>
        <v>0</v>
      </c>
      <c r="AY276" s="1">
        <f t="shared" si="220"/>
        <v>1</v>
      </c>
      <c r="AZ276" s="1">
        <f t="shared" si="221"/>
        <v>0</v>
      </c>
      <c r="BA276" s="19">
        <f t="shared" si="222"/>
        <v>0.16666666666666666</v>
      </c>
      <c r="BB276" s="19">
        <f t="shared" si="223"/>
        <v>0</v>
      </c>
      <c r="BC276" s="9" t="e">
        <f t="shared" si="224"/>
        <v>#DIV/0!</v>
      </c>
      <c r="BD276" s="9" t="e">
        <f t="shared" si="225"/>
        <v>#DIV/0!</v>
      </c>
      <c r="BE276" s="9" t="e">
        <f t="shared" si="226"/>
        <v>#DIV/0!</v>
      </c>
      <c r="BF276" s="9" t="e">
        <f t="shared" si="227"/>
        <v>#DIV/0!</v>
      </c>
      <c r="BG276" s="9" t="e">
        <f t="shared" si="228"/>
        <v>#DIV/0!</v>
      </c>
      <c r="BH276" s="9" t="e">
        <f t="shared" si="229"/>
        <v>#DIV/0!</v>
      </c>
      <c r="BI276" s="12" t="e">
        <f t="shared" si="230"/>
        <v>#DIV/0!</v>
      </c>
      <c r="BJ276" s="13" t="e">
        <f t="shared" si="231"/>
        <v>#DIV/0!</v>
      </c>
      <c r="BK276" s="1">
        <f t="shared" si="232"/>
        <v>0</v>
      </c>
      <c r="BL276" s="1">
        <f t="shared" si="233"/>
        <v>0</v>
      </c>
      <c r="BM276" s="1">
        <f t="shared" si="234"/>
        <v>0</v>
      </c>
      <c r="BN276" s="1">
        <f t="shared" si="235"/>
        <v>0</v>
      </c>
      <c r="BO276" s="1">
        <f t="shared" si="236"/>
        <v>0</v>
      </c>
      <c r="BP276" s="1">
        <f t="shared" si="237"/>
        <v>0</v>
      </c>
      <c r="BQ276" s="19">
        <f t="shared" si="238"/>
        <v>0</v>
      </c>
      <c r="BR276" s="17">
        <f t="shared" si="239"/>
        <v>0</v>
      </c>
    </row>
    <row r="277" spans="1:70" x14ac:dyDescent="0.25">
      <c r="A277" t="s">
        <v>613</v>
      </c>
      <c r="C277">
        <v>1</v>
      </c>
      <c r="D277">
        <v>2</v>
      </c>
      <c r="E277">
        <v>1</v>
      </c>
      <c r="G277">
        <v>2</v>
      </c>
      <c r="H277">
        <v>1</v>
      </c>
      <c r="O277">
        <v>1</v>
      </c>
      <c r="Q277">
        <v>1</v>
      </c>
      <c r="R277">
        <v>2</v>
      </c>
      <c r="S277">
        <v>1</v>
      </c>
      <c r="U277">
        <v>2</v>
      </c>
      <c r="W277" s="8" t="e">
        <f t="shared" si="192"/>
        <v>#DIV/0!</v>
      </c>
      <c r="X277" s="8">
        <f t="shared" si="193"/>
        <v>1</v>
      </c>
      <c r="Y277" s="8">
        <f t="shared" si="194"/>
        <v>-0.5</v>
      </c>
      <c r="Z277" s="8">
        <f t="shared" si="195"/>
        <v>-1</v>
      </c>
      <c r="AA277" s="8" t="e">
        <f t="shared" si="196"/>
        <v>#DIV/0!</v>
      </c>
      <c r="AB277" s="8">
        <f t="shared" si="197"/>
        <v>-0.5</v>
      </c>
      <c r="AC277" s="12" t="e">
        <f t="shared" si="198"/>
        <v>#DIV/0!</v>
      </c>
      <c r="AD277" s="12" t="e">
        <f t="shared" si="199"/>
        <v>#DIV/0!</v>
      </c>
      <c r="AE277" s="1">
        <f t="shared" si="200"/>
        <v>1</v>
      </c>
      <c r="AF277" s="1">
        <f t="shared" si="201"/>
        <v>1</v>
      </c>
      <c r="AG277" s="1">
        <f t="shared" si="202"/>
        <v>-1</v>
      </c>
      <c r="AH277" s="1">
        <f t="shared" si="203"/>
        <v>-1</v>
      </c>
      <c r="AI277" s="1">
        <f t="shared" si="204"/>
        <v>2</v>
      </c>
      <c r="AJ277" s="1">
        <f t="shared" si="205"/>
        <v>-1</v>
      </c>
      <c r="AK277" s="17">
        <f t="shared" si="206"/>
        <v>0.16666666666666666</v>
      </c>
      <c r="AL277" s="17">
        <f t="shared" si="207"/>
        <v>0</v>
      </c>
      <c r="AM277" s="1" t="e">
        <f t="shared" si="208"/>
        <v>#DIV/0!</v>
      </c>
      <c r="AN277" s="1" t="e">
        <f t="shared" si="209"/>
        <v>#DIV/0!</v>
      </c>
      <c r="AO277" s="1" t="e">
        <f t="shared" si="210"/>
        <v>#DIV/0!</v>
      </c>
      <c r="AP277" s="1" t="e">
        <f t="shared" si="211"/>
        <v>#DIV/0!</v>
      </c>
      <c r="AQ277" s="1" t="e">
        <f t="shared" si="212"/>
        <v>#DIV/0!</v>
      </c>
      <c r="AR277" s="1" t="e">
        <f t="shared" si="213"/>
        <v>#DIV/0!</v>
      </c>
      <c r="AS277" s="12" t="e">
        <f t="shared" si="214"/>
        <v>#DIV/0!</v>
      </c>
      <c r="AT277" s="12" t="e">
        <f t="shared" si="215"/>
        <v>#DIV/0!</v>
      </c>
      <c r="AU277" s="1">
        <f t="shared" si="216"/>
        <v>0</v>
      </c>
      <c r="AV277" s="1">
        <f t="shared" si="217"/>
        <v>0</v>
      </c>
      <c r="AW277" s="1">
        <f t="shared" si="218"/>
        <v>0</v>
      </c>
      <c r="AX277" s="1">
        <f t="shared" si="219"/>
        <v>0</v>
      </c>
      <c r="AY277" s="1">
        <f t="shared" si="220"/>
        <v>0</v>
      </c>
      <c r="AZ277" s="1">
        <f t="shared" si="221"/>
        <v>1</v>
      </c>
      <c r="BA277" s="19">
        <f t="shared" si="222"/>
        <v>0.16666666666666666</v>
      </c>
      <c r="BB277" s="19">
        <f t="shared" si="223"/>
        <v>0</v>
      </c>
      <c r="BC277" s="9" t="e">
        <f t="shared" si="224"/>
        <v>#DIV/0!</v>
      </c>
      <c r="BD277" s="9">
        <f t="shared" si="225"/>
        <v>1</v>
      </c>
      <c r="BE277" s="9">
        <f t="shared" si="226"/>
        <v>-0.5</v>
      </c>
      <c r="BF277" s="9">
        <f t="shared" si="227"/>
        <v>-1</v>
      </c>
      <c r="BG277" s="9" t="e">
        <f t="shared" si="228"/>
        <v>#DIV/0!</v>
      </c>
      <c r="BH277" s="9">
        <f t="shared" si="229"/>
        <v>-1</v>
      </c>
      <c r="BI277" s="12" t="e">
        <f t="shared" si="230"/>
        <v>#DIV/0!</v>
      </c>
      <c r="BJ277" s="13" t="e">
        <f t="shared" si="231"/>
        <v>#DIV/0!</v>
      </c>
      <c r="BK277" s="1">
        <f t="shared" si="232"/>
        <v>1</v>
      </c>
      <c r="BL277" s="1">
        <f t="shared" si="233"/>
        <v>1</v>
      </c>
      <c r="BM277" s="1">
        <f t="shared" si="234"/>
        <v>-1</v>
      </c>
      <c r="BN277" s="1">
        <f t="shared" si="235"/>
        <v>-1</v>
      </c>
      <c r="BO277" s="1">
        <f t="shared" si="236"/>
        <v>2</v>
      </c>
      <c r="BP277" s="1">
        <f t="shared" si="237"/>
        <v>-2</v>
      </c>
      <c r="BQ277" s="19">
        <f t="shared" si="238"/>
        <v>0</v>
      </c>
      <c r="BR277" s="17">
        <f t="shared" si="239"/>
        <v>0</v>
      </c>
    </row>
    <row r="278" spans="1:70" x14ac:dyDescent="0.25">
      <c r="A278" t="s">
        <v>623</v>
      </c>
      <c r="D278">
        <v>1</v>
      </c>
      <c r="H278">
        <v>1</v>
      </c>
      <c r="O278">
        <v>1</v>
      </c>
      <c r="R278">
        <v>1</v>
      </c>
      <c r="W278" s="8" t="e">
        <f t="shared" si="192"/>
        <v>#DIV/0!</v>
      </c>
      <c r="X278" s="8" t="e">
        <f t="shared" si="193"/>
        <v>#DIV/0!</v>
      </c>
      <c r="Y278" s="8">
        <f t="shared" si="194"/>
        <v>-1</v>
      </c>
      <c r="Z278" s="8" t="e">
        <f t="shared" si="195"/>
        <v>#DIV/0!</v>
      </c>
      <c r="AA278" s="8" t="e">
        <f t="shared" si="196"/>
        <v>#DIV/0!</v>
      </c>
      <c r="AB278" s="8" t="e">
        <f t="shared" si="197"/>
        <v>#DIV/0!</v>
      </c>
      <c r="AC278" s="12" t="e">
        <f t="shared" si="198"/>
        <v>#DIV/0!</v>
      </c>
      <c r="AD278" s="12" t="e">
        <f t="shared" si="199"/>
        <v>#DIV/0!</v>
      </c>
      <c r="AE278" s="1">
        <f t="shared" si="200"/>
        <v>0</v>
      </c>
      <c r="AF278" s="1">
        <f t="shared" si="201"/>
        <v>1</v>
      </c>
      <c r="AG278" s="1">
        <f t="shared" si="202"/>
        <v>-1</v>
      </c>
      <c r="AH278" s="1">
        <f t="shared" si="203"/>
        <v>0</v>
      </c>
      <c r="AI278" s="1">
        <f t="shared" si="204"/>
        <v>0</v>
      </c>
      <c r="AJ278" s="1">
        <f t="shared" si="205"/>
        <v>1</v>
      </c>
      <c r="AK278" s="17">
        <f t="shared" si="206"/>
        <v>0.16666666666666666</v>
      </c>
      <c r="AL278" s="17">
        <f t="shared" si="207"/>
        <v>0</v>
      </c>
      <c r="AM278" s="1" t="e">
        <f t="shared" si="208"/>
        <v>#DIV/0!</v>
      </c>
      <c r="AN278" s="1" t="e">
        <f t="shared" si="209"/>
        <v>#DIV/0!</v>
      </c>
      <c r="AO278" s="1" t="e">
        <f t="shared" si="210"/>
        <v>#DIV/0!</v>
      </c>
      <c r="AP278" s="1" t="e">
        <f t="shared" si="211"/>
        <v>#DIV/0!</v>
      </c>
      <c r="AQ278" s="1" t="e">
        <f t="shared" si="212"/>
        <v>#DIV/0!</v>
      </c>
      <c r="AR278" s="1" t="e">
        <f t="shared" si="213"/>
        <v>#DIV/0!</v>
      </c>
      <c r="AS278" s="12" t="e">
        <f t="shared" si="214"/>
        <v>#DIV/0!</v>
      </c>
      <c r="AT278" s="12" t="e">
        <f t="shared" si="215"/>
        <v>#DIV/0!</v>
      </c>
      <c r="AU278" s="1">
        <f t="shared" si="216"/>
        <v>0</v>
      </c>
      <c r="AV278" s="1">
        <f t="shared" si="217"/>
        <v>0</v>
      </c>
      <c r="AW278" s="1">
        <f t="shared" si="218"/>
        <v>0</v>
      </c>
      <c r="AX278" s="1">
        <f t="shared" si="219"/>
        <v>0</v>
      </c>
      <c r="AY278" s="1">
        <f t="shared" si="220"/>
        <v>0</v>
      </c>
      <c r="AZ278" s="1">
        <f t="shared" si="221"/>
        <v>1</v>
      </c>
      <c r="BA278" s="19">
        <f t="shared" si="222"/>
        <v>0.16666666666666666</v>
      </c>
      <c r="BB278" s="19">
        <f t="shared" si="223"/>
        <v>0</v>
      </c>
      <c r="BC278" s="9" t="e">
        <f t="shared" si="224"/>
        <v>#DIV/0!</v>
      </c>
      <c r="BD278" s="9" t="e">
        <f t="shared" si="225"/>
        <v>#DIV/0!</v>
      </c>
      <c r="BE278" s="9">
        <f t="shared" si="226"/>
        <v>-1</v>
      </c>
      <c r="BF278" s="9" t="e">
        <f t="shared" si="227"/>
        <v>#DIV/0!</v>
      </c>
      <c r="BG278" s="9" t="e">
        <f t="shared" si="228"/>
        <v>#DIV/0!</v>
      </c>
      <c r="BH278" s="9" t="e">
        <f t="shared" si="229"/>
        <v>#DIV/0!</v>
      </c>
      <c r="BI278" s="12" t="e">
        <f t="shared" si="230"/>
        <v>#DIV/0!</v>
      </c>
      <c r="BJ278" s="13" t="e">
        <f t="shared" si="231"/>
        <v>#DIV/0!</v>
      </c>
      <c r="BK278" s="1">
        <f t="shared" si="232"/>
        <v>0</v>
      </c>
      <c r="BL278" s="1">
        <f t="shared" si="233"/>
        <v>1</v>
      </c>
      <c r="BM278" s="1">
        <f t="shared" si="234"/>
        <v>-1</v>
      </c>
      <c r="BN278" s="1">
        <f t="shared" si="235"/>
        <v>0</v>
      </c>
      <c r="BO278" s="1">
        <f t="shared" si="236"/>
        <v>0</v>
      </c>
      <c r="BP278" s="1">
        <f t="shared" si="237"/>
        <v>0</v>
      </c>
      <c r="BQ278" s="19">
        <f t="shared" si="238"/>
        <v>0</v>
      </c>
      <c r="BR278" s="17">
        <f t="shared" si="239"/>
        <v>0</v>
      </c>
    </row>
    <row r="279" spans="1:70" x14ac:dyDescent="0.25">
      <c r="A279" t="s">
        <v>628</v>
      </c>
      <c r="D279">
        <v>1</v>
      </c>
      <c r="E279">
        <v>1</v>
      </c>
      <c r="H279">
        <v>1</v>
      </c>
      <c r="L279">
        <v>1</v>
      </c>
      <c r="O279">
        <v>1</v>
      </c>
      <c r="R279">
        <v>1</v>
      </c>
      <c r="W279" s="8" t="e">
        <f t="shared" si="192"/>
        <v>#DIV/0!</v>
      </c>
      <c r="X279" s="8" t="e">
        <f t="shared" si="193"/>
        <v>#DIV/0!</v>
      </c>
      <c r="Y279" s="8">
        <f t="shared" si="194"/>
        <v>0</v>
      </c>
      <c r="Z279" s="8">
        <f t="shared" si="195"/>
        <v>-1</v>
      </c>
      <c r="AA279" s="8" t="e">
        <f t="shared" si="196"/>
        <v>#DIV/0!</v>
      </c>
      <c r="AB279" s="8" t="e">
        <f t="shared" si="197"/>
        <v>#DIV/0!</v>
      </c>
      <c r="AC279" s="12" t="e">
        <f t="shared" si="198"/>
        <v>#DIV/0!</v>
      </c>
      <c r="AD279" s="12" t="e">
        <f t="shared" si="199"/>
        <v>#DIV/0!</v>
      </c>
      <c r="AE279" s="1">
        <f t="shared" si="200"/>
        <v>0</v>
      </c>
      <c r="AF279" s="1">
        <f t="shared" si="201"/>
        <v>1</v>
      </c>
      <c r="AG279" s="1">
        <f t="shared" si="202"/>
        <v>0</v>
      </c>
      <c r="AH279" s="1">
        <f t="shared" si="203"/>
        <v>-1</v>
      </c>
      <c r="AI279" s="1">
        <f t="shared" si="204"/>
        <v>0</v>
      </c>
      <c r="AJ279" s="1">
        <f t="shared" si="205"/>
        <v>1</v>
      </c>
      <c r="AK279" s="17">
        <f t="shared" si="206"/>
        <v>0.16666666666666666</v>
      </c>
      <c r="AL279" s="17">
        <f t="shared" si="207"/>
        <v>0</v>
      </c>
      <c r="AM279" s="1" t="e">
        <f t="shared" si="208"/>
        <v>#DIV/0!</v>
      </c>
      <c r="AN279" s="1" t="e">
        <f t="shared" si="209"/>
        <v>#DIV/0!</v>
      </c>
      <c r="AO279" s="1" t="e">
        <f t="shared" si="210"/>
        <v>#DIV/0!</v>
      </c>
      <c r="AP279" s="1">
        <f t="shared" si="211"/>
        <v>-1</v>
      </c>
      <c r="AQ279" s="1" t="e">
        <f t="shared" si="212"/>
        <v>#DIV/0!</v>
      </c>
      <c r="AR279" s="1" t="e">
        <f t="shared" si="213"/>
        <v>#DIV/0!</v>
      </c>
      <c r="AS279" s="12" t="e">
        <f t="shared" si="214"/>
        <v>#DIV/0!</v>
      </c>
      <c r="AT279" s="12" t="e">
        <f t="shared" si="215"/>
        <v>#DIV/0!</v>
      </c>
      <c r="AU279" s="1">
        <f t="shared" si="216"/>
        <v>0</v>
      </c>
      <c r="AV279" s="1">
        <f t="shared" si="217"/>
        <v>0</v>
      </c>
      <c r="AW279" s="1">
        <f t="shared" si="218"/>
        <v>1</v>
      </c>
      <c r="AX279" s="1">
        <f t="shared" si="219"/>
        <v>-1</v>
      </c>
      <c r="AY279" s="1">
        <f t="shared" si="220"/>
        <v>0</v>
      </c>
      <c r="AZ279" s="1">
        <f t="shared" si="221"/>
        <v>1</v>
      </c>
      <c r="BA279" s="19">
        <f t="shared" si="222"/>
        <v>0.16666666666666666</v>
      </c>
      <c r="BB279" s="19">
        <f t="shared" si="223"/>
        <v>0</v>
      </c>
      <c r="BC279" s="9" t="e">
        <f t="shared" si="224"/>
        <v>#DIV/0!</v>
      </c>
      <c r="BD279" s="9" t="e">
        <f t="shared" si="225"/>
        <v>#DIV/0!</v>
      </c>
      <c r="BE279" s="9">
        <f t="shared" si="226"/>
        <v>-1</v>
      </c>
      <c r="BF279" s="9" t="e">
        <f t="shared" si="227"/>
        <v>#DIV/0!</v>
      </c>
      <c r="BG279" s="9" t="e">
        <f t="shared" si="228"/>
        <v>#DIV/0!</v>
      </c>
      <c r="BH279" s="9" t="e">
        <f t="shared" si="229"/>
        <v>#DIV/0!</v>
      </c>
      <c r="BI279" s="12" t="e">
        <f t="shared" si="230"/>
        <v>#DIV/0!</v>
      </c>
      <c r="BJ279" s="13" t="e">
        <f t="shared" si="231"/>
        <v>#DIV/0!</v>
      </c>
      <c r="BK279" s="1">
        <f t="shared" si="232"/>
        <v>0</v>
      </c>
      <c r="BL279" s="1">
        <f t="shared" si="233"/>
        <v>1</v>
      </c>
      <c r="BM279" s="1">
        <f t="shared" si="234"/>
        <v>-1</v>
      </c>
      <c r="BN279" s="1">
        <f t="shared" si="235"/>
        <v>0</v>
      </c>
      <c r="BO279" s="1">
        <f t="shared" si="236"/>
        <v>0</v>
      </c>
      <c r="BP279" s="1">
        <f t="shared" si="237"/>
        <v>0</v>
      </c>
      <c r="BQ279" s="19">
        <f t="shared" si="238"/>
        <v>0</v>
      </c>
      <c r="BR279" s="17">
        <f t="shared" si="239"/>
        <v>0</v>
      </c>
    </row>
    <row r="280" spans="1:70" x14ac:dyDescent="0.25">
      <c r="A280" t="s">
        <v>639</v>
      </c>
      <c r="E280">
        <v>3</v>
      </c>
      <c r="H280">
        <v>1</v>
      </c>
      <c r="S280">
        <v>3</v>
      </c>
      <c r="V280">
        <v>1</v>
      </c>
      <c r="W280" s="8" t="e">
        <f t="shared" si="192"/>
        <v>#DIV/0!</v>
      </c>
      <c r="X280" s="8" t="e">
        <f t="shared" si="193"/>
        <v>#DIV/0!</v>
      </c>
      <c r="Y280" s="8" t="e">
        <f t="shared" si="194"/>
        <v>#DIV/0!</v>
      </c>
      <c r="Z280" s="8">
        <f t="shared" si="195"/>
        <v>-1</v>
      </c>
      <c r="AA280" s="8" t="e">
        <f t="shared" si="196"/>
        <v>#DIV/0!</v>
      </c>
      <c r="AB280" s="8" t="e">
        <f t="shared" si="197"/>
        <v>#DIV/0!</v>
      </c>
      <c r="AC280" s="12" t="e">
        <f t="shared" si="198"/>
        <v>#DIV/0!</v>
      </c>
      <c r="AD280" s="12" t="e">
        <f t="shared" si="199"/>
        <v>#DIV/0!</v>
      </c>
      <c r="AE280" s="1">
        <f t="shared" si="200"/>
        <v>0</v>
      </c>
      <c r="AF280" s="1">
        <f t="shared" si="201"/>
        <v>0</v>
      </c>
      <c r="AG280" s="1">
        <f t="shared" si="202"/>
        <v>3</v>
      </c>
      <c r="AH280" s="1">
        <f t="shared" si="203"/>
        <v>-3</v>
      </c>
      <c r="AI280" s="1">
        <f t="shared" si="204"/>
        <v>0</v>
      </c>
      <c r="AJ280" s="1">
        <f t="shared" si="205"/>
        <v>1</v>
      </c>
      <c r="AK280" s="17">
        <f t="shared" si="206"/>
        <v>0.16666666666666666</v>
      </c>
      <c r="AL280" s="17">
        <f t="shared" si="207"/>
        <v>0</v>
      </c>
      <c r="AM280" s="1" t="e">
        <f t="shared" si="208"/>
        <v>#DIV/0!</v>
      </c>
      <c r="AN280" s="1" t="e">
        <f t="shared" si="209"/>
        <v>#DIV/0!</v>
      </c>
      <c r="AO280" s="1" t="e">
        <f t="shared" si="210"/>
        <v>#DIV/0!</v>
      </c>
      <c r="AP280" s="1" t="e">
        <f t="shared" si="211"/>
        <v>#DIV/0!</v>
      </c>
      <c r="AQ280" s="1" t="e">
        <f t="shared" si="212"/>
        <v>#DIV/0!</v>
      </c>
      <c r="AR280" s="1" t="e">
        <f t="shared" si="213"/>
        <v>#DIV/0!</v>
      </c>
      <c r="AS280" s="12" t="e">
        <f t="shared" si="214"/>
        <v>#DIV/0!</v>
      </c>
      <c r="AT280" s="12" t="e">
        <f t="shared" si="215"/>
        <v>#DIV/0!</v>
      </c>
      <c r="AU280" s="1">
        <f t="shared" si="216"/>
        <v>0</v>
      </c>
      <c r="AV280" s="1">
        <f t="shared" si="217"/>
        <v>0</v>
      </c>
      <c r="AW280" s="1">
        <f t="shared" si="218"/>
        <v>0</v>
      </c>
      <c r="AX280" s="1">
        <f t="shared" si="219"/>
        <v>0</v>
      </c>
      <c r="AY280" s="1">
        <f t="shared" si="220"/>
        <v>0</v>
      </c>
      <c r="AZ280" s="1">
        <f t="shared" si="221"/>
        <v>0</v>
      </c>
      <c r="BA280" s="19">
        <f t="shared" si="222"/>
        <v>0</v>
      </c>
      <c r="BB280" s="19">
        <f t="shared" si="223"/>
        <v>0</v>
      </c>
      <c r="BC280" s="9" t="e">
        <f t="shared" si="224"/>
        <v>#DIV/0!</v>
      </c>
      <c r="BD280" s="9" t="e">
        <f t="shared" si="225"/>
        <v>#DIV/0!</v>
      </c>
      <c r="BE280" s="9" t="e">
        <f t="shared" si="226"/>
        <v>#DIV/0!</v>
      </c>
      <c r="BF280" s="9">
        <f t="shared" si="227"/>
        <v>-1</v>
      </c>
      <c r="BG280" s="9" t="e">
        <f t="shared" si="228"/>
        <v>#DIV/0!</v>
      </c>
      <c r="BH280" s="9" t="e">
        <f t="shared" si="229"/>
        <v>#DIV/0!</v>
      </c>
      <c r="BI280" s="12" t="e">
        <f t="shared" si="230"/>
        <v>#DIV/0!</v>
      </c>
      <c r="BJ280" s="13" t="e">
        <f t="shared" si="231"/>
        <v>#DIV/0!</v>
      </c>
      <c r="BK280" s="1">
        <f t="shared" si="232"/>
        <v>0</v>
      </c>
      <c r="BL280" s="1">
        <f t="shared" si="233"/>
        <v>0</v>
      </c>
      <c r="BM280" s="1">
        <f t="shared" si="234"/>
        <v>3</v>
      </c>
      <c r="BN280" s="1">
        <f t="shared" si="235"/>
        <v>-3</v>
      </c>
      <c r="BO280" s="1">
        <f t="shared" si="236"/>
        <v>0</v>
      </c>
      <c r="BP280" s="1">
        <f t="shared" si="237"/>
        <v>1</v>
      </c>
      <c r="BQ280" s="19">
        <f t="shared" si="238"/>
        <v>0.16666666666666666</v>
      </c>
      <c r="BR280" s="17">
        <f t="shared" si="239"/>
        <v>0</v>
      </c>
    </row>
    <row r="281" spans="1:70" x14ac:dyDescent="0.25">
      <c r="A281" t="s">
        <v>653</v>
      </c>
      <c r="E281">
        <v>1</v>
      </c>
      <c r="H281">
        <v>1</v>
      </c>
      <c r="S281">
        <v>1</v>
      </c>
      <c r="V281">
        <v>1</v>
      </c>
      <c r="W281" s="8" t="e">
        <f t="shared" si="192"/>
        <v>#DIV/0!</v>
      </c>
      <c r="X281" s="8" t="e">
        <f t="shared" si="193"/>
        <v>#DIV/0!</v>
      </c>
      <c r="Y281" s="8" t="e">
        <f t="shared" si="194"/>
        <v>#DIV/0!</v>
      </c>
      <c r="Z281" s="8">
        <f t="shared" si="195"/>
        <v>-1</v>
      </c>
      <c r="AA281" s="8" t="e">
        <f t="shared" si="196"/>
        <v>#DIV/0!</v>
      </c>
      <c r="AB281" s="8" t="e">
        <f t="shared" si="197"/>
        <v>#DIV/0!</v>
      </c>
      <c r="AC281" s="12" t="e">
        <f t="shared" si="198"/>
        <v>#DIV/0!</v>
      </c>
      <c r="AD281" s="12" t="e">
        <f t="shared" si="199"/>
        <v>#DIV/0!</v>
      </c>
      <c r="AE281" s="1">
        <f t="shared" si="200"/>
        <v>0</v>
      </c>
      <c r="AF281" s="1">
        <f t="shared" si="201"/>
        <v>0</v>
      </c>
      <c r="AG281" s="1">
        <f t="shared" si="202"/>
        <v>1</v>
      </c>
      <c r="AH281" s="1">
        <f t="shared" si="203"/>
        <v>-1</v>
      </c>
      <c r="AI281" s="1">
        <f t="shared" si="204"/>
        <v>0</v>
      </c>
      <c r="AJ281" s="1">
        <f t="shared" si="205"/>
        <v>1</v>
      </c>
      <c r="AK281" s="17">
        <f t="shared" si="206"/>
        <v>0.16666666666666666</v>
      </c>
      <c r="AL281" s="17">
        <f t="shared" si="207"/>
        <v>0</v>
      </c>
      <c r="AM281" s="1" t="e">
        <f t="shared" si="208"/>
        <v>#DIV/0!</v>
      </c>
      <c r="AN281" s="1" t="e">
        <f t="shared" si="209"/>
        <v>#DIV/0!</v>
      </c>
      <c r="AO281" s="1" t="e">
        <f t="shared" si="210"/>
        <v>#DIV/0!</v>
      </c>
      <c r="AP281" s="1" t="e">
        <f t="shared" si="211"/>
        <v>#DIV/0!</v>
      </c>
      <c r="AQ281" s="1" t="e">
        <f t="shared" si="212"/>
        <v>#DIV/0!</v>
      </c>
      <c r="AR281" s="1" t="e">
        <f t="shared" si="213"/>
        <v>#DIV/0!</v>
      </c>
      <c r="AS281" s="12" t="e">
        <f t="shared" si="214"/>
        <v>#DIV/0!</v>
      </c>
      <c r="AT281" s="12" t="e">
        <f t="shared" si="215"/>
        <v>#DIV/0!</v>
      </c>
      <c r="AU281" s="1">
        <f t="shared" si="216"/>
        <v>0</v>
      </c>
      <c r="AV281" s="1">
        <f t="shared" si="217"/>
        <v>0</v>
      </c>
      <c r="AW281" s="1">
        <f t="shared" si="218"/>
        <v>0</v>
      </c>
      <c r="AX281" s="1">
        <f t="shared" si="219"/>
        <v>0</v>
      </c>
      <c r="AY281" s="1">
        <f t="shared" si="220"/>
        <v>0</v>
      </c>
      <c r="AZ281" s="1">
        <f t="shared" si="221"/>
        <v>0</v>
      </c>
      <c r="BA281" s="19">
        <f t="shared" si="222"/>
        <v>0</v>
      </c>
      <c r="BB281" s="19">
        <f t="shared" si="223"/>
        <v>0</v>
      </c>
      <c r="BC281" s="9" t="e">
        <f t="shared" si="224"/>
        <v>#DIV/0!</v>
      </c>
      <c r="BD281" s="9" t="e">
        <f t="shared" si="225"/>
        <v>#DIV/0!</v>
      </c>
      <c r="BE281" s="9" t="e">
        <f t="shared" si="226"/>
        <v>#DIV/0!</v>
      </c>
      <c r="BF281" s="9">
        <f t="shared" si="227"/>
        <v>-1</v>
      </c>
      <c r="BG281" s="9" t="e">
        <f t="shared" si="228"/>
        <v>#DIV/0!</v>
      </c>
      <c r="BH281" s="9" t="e">
        <f t="shared" si="229"/>
        <v>#DIV/0!</v>
      </c>
      <c r="BI281" s="12" t="e">
        <f t="shared" si="230"/>
        <v>#DIV/0!</v>
      </c>
      <c r="BJ281" s="13" t="e">
        <f t="shared" si="231"/>
        <v>#DIV/0!</v>
      </c>
      <c r="BK281" s="1">
        <f t="shared" si="232"/>
        <v>0</v>
      </c>
      <c r="BL281" s="1">
        <f t="shared" si="233"/>
        <v>0</v>
      </c>
      <c r="BM281" s="1">
        <f t="shared" si="234"/>
        <v>1</v>
      </c>
      <c r="BN281" s="1">
        <f t="shared" si="235"/>
        <v>-1</v>
      </c>
      <c r="BO281" s="1">
        <f t="shared" si="236"/>
        <v>0</v>
      </c>
      <c r="BP281" s="1">
        <f t="shared" si="237"/>
        <v>1</v>
      </c>
      <c r="BQ281" s="19">
        <f t="shared" si="238"/>
        <v>0.16666666666666666</v>
      </c>
      <c r="BR281" s="17">
        <f t="shared" si="239"/>
        <v>0</v>
      </c>
    </row>
    <row r="282" spans="1:70" x14ac:dyDescent="0.25">
      <c r="A282" t="s">
        <v>656</v>
      </c>
      <c r="E282">
        <v>1</v>
      </c>
      <c r="G282">
        <v>2</v>
      </c>
      <c r="H282">
        <v>1</v>
      </c>
      <c r="L282">
        <v>1</v>
      </c>
      <c r="N282">
        <v>2</v>
      </c>
      <c r="O282">
        <v>1</v>
      </c>
      <c r="W282" s="8" t="e">
        <f t="shared" si="192"/>
        <v>#DIV/0!</v>
      </c>
      <c r="X282" s="8" t="e">
        <f t="shared" si="193"/>
        <v>#DIV/0!</v>
      </c>
      <c r="Y282" s="8" t="e">
        <f t="shared" si="194"/>
        <v>#DIV/0!</v>
      </c>
      <c r="Z282" s="8">
        <f t="shared" si="195"/>
        <v>-1</v>
      </c>
      <c r="AA282" s="8" t="e">
        <f t="shared" si="196"/>
        <v>#DIV/0!</v>
      </c>
      <c r="AB282" s="8">
        <f t="shared" si="197"/>
        <v>-0.5</v>
      </c>
      <c r="AC282" s="12" t="e">
        <f t="shared" si="198"/>
        <v>#DIV/0!</v>
      </c>
      <c r="AD282" s="12" t="e">
        <f t="shared" si="199"/>
        <v>#DIV/0!</v>
      </c>
      <c r="AE282" s="1">
        <f t="shared" si="200"/>
        <v>0</v>
      </c>
      <c r="AF282" s="1">
        <f t="shared" si="201"/>
        <v>0</v>
      </c>
      <c r="AG282" s="1">
        <f t="shared" si="202"/>
        <v>1</v>
      </c>
      <c r="AH282" s="1">
        <f t="shared" si="203"/>
        <v>-1</v>
      </c>
      <c r="AI282" s="1">
        <f t="shared" si="204"/>
        <v>2</v>
      </c>
      <c r="AJ282" s="1">
        <f t="shared" si="205"/>
        <v>-1</v>
      </c>
      <c r="AK282" s="17">
        <f t="shared" si="206"/>
        <v>0.16666666666666666</v>
      </c>
      <c r="AL282" s="17">
        <f t="shared" si="207"/>
        <v>0</v>
      </c>
      <c r="AM282" s="1" t="e">
        <f t="shared" si="208"/>
        <v>#DIV/0!</v>
      </c>
      <c r="AN282" s="1" t="e">
        <f t="shared" si="209"/>
        <v>#DIV/0!</v>
      </c>
      <c r="AO282" s="1" t="e">
        <f t="shared" si="210"/>
        <v>#DIV/0!</v>
      </c>
      <c r="AP282" s="1">
        <f t="shared" si="211"/>
        <v>-1</v>
      </c>
      <c r="AQ282" s="1" t="e">
        <f t="shared" si="212"/>
        <v>#DIV/0!</v>
      </c>
      <c r="AR282" s="1">
        <f t="shared" si="213"/>
        <v>-0.5</v>
      </c>
      <c r="AS282" s="12" t="e">
        <f t="shared" si="214"/>
        <v>#DIV/0!</v>
      </c>
      <c r="AT282" s="12" t="e">
        <f t="shared" si="215"/>
        <v>#DIV/0!</v>
      </c>
      <c r="AU282" s="1">
        <f t="shared" si="216"/>
        <v>0</v>
      </c>
      <c r="AV282" s="1">
        <f t="shared" si="217"/>
        <v>0</v>
      </c>
      <c r="AW282" s="1">
        <f t="shared" si="218"/>
        <v>1</v>
      </c>
      <c r="AX282" s="1">
        <f t="shared" si="219"/>
        <v>-1</v>
      </c>
      <c r="AY282" s="1">
        <f t="shared" si="220"/>
        <v>2</v>
      </c>
      <c r="AZ282" s="1">
        <f t="shared" si="221"/>
        <v>-1</v>
      </c>
      <c r="BA282" s="19">
        <f t="shared" si="222"/>
        <v>0.16666666666666666</v>
      </c>
      <c r="BB282" s="19">
        <f t="shared" si="223"/>
        <v>0</v>
      </c>
      <c r="BC282" s="9" t="e">
        <f t="shared" si="224"/>
        <v>#DIV/0!</v>
      </c>
      <c r="BD282" s="9" t="e">
        <f t="shared" si="225"/>
        <v>#DIV/0!</v>
      </c>
      <c r="BE282" s="9" t="e">
        <f t="shared" si="226"/>
        <v>#DIV/0!</v>
      </c>
      <c r="BF282" s="9" t="e">
        <f t="shared" si="227"/>
        <v>#DIV/0!</v>
      </c>
      <c r="BG282" s="9" t="e">
        <f t="shared" si="228"/>
        <v>#DIV/0!</v>
      </c>
      <c r="BH282" s="9" t="e">
        <f t="shared" si="229"/>
        <v>#DIV/0!</v>
      </c>
      <c r="BI282" s="12" t="e">
        <f t="shared" si="230"/>
        <v>#DIV/0!</v>
      </c>
      <c r="BJ282" s="13" t="e">
        <f t="shared" si="231"/>
        <v>#DIV/0!</v>
      </c>
      <c r="BK282" s="1">
        <f t="shared" si="232"/>
        <v>0</v>
      </c>
      <c r="BL282" s="1">
        <f t="shared" si="233"/>
        <v>0</v>
      </c>
      <c r="BM282" s="1">
        <f t="shared" si="234"/>
        <v>0</v>
      </c>
      <c r="BN282" s="1">
        <f t="shared" si="235"/>
        <v>0</v>
      </c>
      <c r="BO282" s="1">
        <f t="shared" si="236"/>
        <v>0</v>
      </c>
      <c r="BP282" s="1">
        <f t="shared" si="237"/>
        <v>0</v>
      </c>
      <c r="BQ282" s="19">
        <f t="shared" si="238"/>
        <v>0</v>
      </c>
      <c r="BR282" s="17">
        <f t="shared" si="239"/>
        <v>0</v>
      </c>
    </row>
    <row r="283" spans="1:70" x14ac:dyDescent="0.25">
      <c r="A283" t="s">
        <v>666</v>
      </c>
      <c r="F283">
        <v>1</v>
      </c>
      <c r="G283">
        <v>1</v>
      </c>
      <c r="H283">
        <v>1</v>
      </c>
      <c r="M283">
        <v>1</v>
      </c>
      <c r="O283">
        <v>1</v>
      </c>
      <c r="U283">
        <v>1</v>
      </c>
      <c r="W283" s="8" t="e">
        <f t="shared" si="192"/>
        <v>#DIV/0!</v>
      </c>
      <c r="X283" s="8" t="e">
        <f t="shared" si="193"/>
        <v>#DIV/0!</v>
      </c>
      <c r="Y283" s="8" t="e">
        <f t="shared" si="194"/>
        <v>#DIV/0!</v>
      </c>
      <c r="Z283" s="8" t="e">
        <f t="shared" si="195"/>
        <v>#DIV/0!</v>
      </c>
      <c r="AA283" s="8">
        <f t="shared" si="196"/>
        <v>0</v>
      </c>
      <c r="AB283" s="8">
        <f t="shared" si="197"/>
        <v>0</v>
      </c>
      <c r="AC283" s="12" t="e">
        <f t="shared" si="198"/>
        <v>#DIV/0!</v>
      </c>
      <c r="AD283" s="12" t="e">
        <f t="shared" si="199"/>
        <v>#DIV/0!</v>
      </c>
      <c r="AE283" s="1">
        <f t="shared" si="200"/>
        <v>0</v>
      </c>
      <c r="AF283" s="1">
        <f t="shared" si="201"/>
        <v>0</v>
      </c>
      <c r="AG283" s="1">
        <f t="shared" si="202"/>
        <v>0</v>
      </c>
      <c r="AH283" s="1">
        <f t="shared" si="203"/>
        <v>1</v>
      </c>
      <c r="AI283" s="1">
        <f t="shared" si="204"/>
        <v>0</v>
      </c>
      <c r="AJ283" s="1">
        <f t="shared" si="205"/>
        <v>0</v>
      </c>
      <c r="AK283" s="17">
        <f t="shared" si="206"/>
        <v>0.16666666666666666</v>
      </c>
      <c r="AL283" s="17">
        <f t="shared" si="207"/>
        <v>0</v>
      </c>
      <c r="AM283" s="1" t="e">
        <f t="shared" si="208"/>
        <v>#DIV/0!</v>
      </c>
      <c r="AN283" s="1" t="e">
        <f t="shared" si="209"/>
        <v>#DIV/0!</v>
      </c>
      <c r="AO283" s="1" t="e">
        <f t="shared" si="210"/>
        <v>#DIV/0!</v>
      </c>
      <c r="AP283" s="1" t="e">
        <f t="shared" si="211"/>
        <v>#DIV/0!</v>
      </c>
      <c r="AQ283" s="1">
        <f t="shared" si="212"/>
        <v>-1</v>
      </c>
      <c r="AR283" s="1" t="e">
        <f t="shared" si="213"/>
        <v>#DIV/0!</v>
      </c>
      <c r="AS283" s="12" t="e">
        <f t="shared" si="214"/>
        <v>#DIV/0!</v>
      </c>
      <c r="AT283" s="12" t="e">
        <f t="shared" si="215"/>
        <v>#DIV/0!</v>
      </c>
      <c r="AU283" s="1">
        <f t="shared" si="216"/>
        <v>0</v>
      </c>
      <c r="AV283" s="1">
        <f t="shared" si="217"/>
        <v>0</v>
      </c>
      <c r="AW283" s="1">
        <f t="shared" si="218"/>
        <v>0</v>
      </c>
      <c r="AX283" s="1">
        <f t="shared" si="219"/>
        <v>1</v>
      </c>
      <c r="AY283" s="1">
        <f t="shared" si="220"/>
        <v>-1</v>
      </c>
      <c r="AZ283" s="1">
        <f t="shared" si="221"/>
        <v>1</v>
      </c>
      <c r="BA283" s="19">
        <f t="shared" si="222"/>
        <v>0.16666666666666666</v>
      </c>
      <c r="BB283" s="19">
        <f t="shared" si="223"/>
        <v>0</v>
      </c>
      <c r="BC283" s="9" t="e">
        <f t="shared" si="224"/>
        <v>#DIV/0!</v>
      </c>
      <c r="BD283" s="9" t="e">
        <f t="shared" si="225"/>
        <v>#DIV/0!</v>
      </c>
      <c r="BE283" s="9" t="e">
        <f t="shared" si="226"/>
        <v>#DIV/0!</v>
      </c>
      <c r="BF283" s="9" t="e">
        <f t="shared" si="227"/>
        <v>#DIV/0!</v>
      </c>
      <c r="BG283" s="9" t="e">
        <f t="shared" si="228"/>
        <v>#DIV/0!</v>
      </c>
      <c r="BH283" s="9">
        <f t="shared" si="229"/>
        <v>-1</v>
      </c>
      <c r="BI283" s="12" t="e">
        <f t="shared" si="230"/>
        <v>#DIV/0!</v>
      </c>
      <c r="BJ283" s="13" t="e">
        <f t="shared" si="231"/>
        <v>#DIV/0!</v>
      </c>
      <c r="BK283" s="1">
        <f t="shared" si="232"/>
        <v>0</v>
      </c>
      <c r="BL283" s="1">
        <f t="shared" si="233"/>
        <v>0</v>
      </c>
      <c r="BM283" s="1">
        <f t="shared" si="234"/>
        <v>0</v>
      </c>
      <c r="BN283" s="1">
        <f t="shared" si="235"/>
        <v>0</v>
      </c>
      <c r="BO283" s="1">
        <f t="shared" si="236"/>
        <v>1</v>
      </c>
      <c r="BP283" s="1">
        <f t="shared" si="237"/>
        <v>-1</v>
      </c>
      <c r="BQ283" s="19">
        <f t="shared" si="238"/>
        <v>0</v>
      </c>
      <c r="BR283" s="17">
        <f t="shared" si="239"/>
        <v>0</v>
      </c>
    </row>
    <row r="284" spans="1:70" x14ac:dyDescent="0.25">
      <c r="A284" t="s">
        <v>674</v>
      </c>
      <c r="G284">
        <v>1</v>
      </c>
      <c r="H284">
        <v>1</v>
      </c>
      <c r="N284">
        <v>1</v>
      </c>
      <c r="V284">
        <v>1</v>
      </c>
      <c r="W284" s="8" t="e">
        <f t="shared" si="192"/>
        <v>#DIV/0!</v>
      </c>
      <c r="X284" s="8" t="e">
        <f t="shared" si="193"/>
        <v>#DIV/0!</v>
      </c>
      <c r="Y284" s="8" t="e">
        <f t="shared" si="194"/>
        <v>#DIV/0!</v>
      </c>
      <c r="Z284" s="8" t="e">
        <f t="shared" si="195"/>
        <v>#DIV/0!</v>
      </c>
      <c r="AA284" s="8" t="e">
        <f t="shared" si="196"/>
        <v>#DIV/0!</v>
      </c>
      <c r="AB284" s="8">
        <f t="shared" si="197"/>
        <v>0</v>
      </c>
      <c r="AC284" s="12" t="e">
        <f t="shared" si="198"/>
        <v>#DIV/0!</v>
      </c>
      <c r="AD284" s="12" t="e">
        <f t="shared" si="199"/>
        <v>#DIV/0!</v>
      </c>
      <c r="AE284" s="1">
        <f t="shared" si="200"/>
        <v>0</v>
      </c>
      <c r="AF284" s="1">
        <f t="shared" si="201"/>
        <v>0</v>
      </c>
      <c r="AG284" s="1">
        <f t="shared" si="202"/>
        <v>0</v>
      </c>
      <c r="AH284" s="1">
        <f t="shared" si="203"/>
        <v>0</v>
      </c>
      <c r="AI284" s="1">
        <f t="shared" si="204"/>
        <v>1</v>
      </c>
      <c r="AJ284" s="1">
        <f t="shared" si="205"/>
        <v>0</v>
      </c>
      <c r="AK284" s="17">
        <f t="shared" si="206"/>
        <v>0.16666666666666666</v>
      </c>
      <c r="AL284" s="17">
        <f t="shared" si="207"/>
        <v>0</v>
      </c>
      <c r="AM284" s="1" t="e">
        <f t="shared" si="208"/>
        <v>#DIV/0!</v>
      </c>
      <c r="AN284" s="1" t="e">
        <f t="shared" si="209"/>
        <v>#DIV/0!</v>
      </c>
      <c r="AO284" s="1" t="e">
        <f t="shared" si="210"/>
        <v>#DIV/0!</v>
      </c>
      <c r="AP284" s="1" t="e">
        <f t="shared" si="211"/>
        <v>#DIV/0!</v>
      </c>
      <c r="AQ284" s="1" t="e">
        <f t="shared" si="212"/>
        <v>#DIV/0!</v>
      </c>
      <c r="AR284" s="1">
        <f t="shared" si="213"/>
        <v>-1</v>
      </c>
      <c r="AS284" s="12" t="e">
        <f t="shared" si="214"/>
        <v>#DIV/0!</v>
      </c>
      <c r="AT284" s="12" t="e">
        <f t="shared" si="215"/>
        <v>#DIV/0!</v>
      </c>
      <c r="AU284" s="1">
        <f t="shared" si="216"/>
        <v>0</v>
      </c>
      <c r="AV284" s="1">
        <f t="shared" si="217"/>
        <v>0</v>
      </c>
      <c r="AW284" s="1">
        <f t="shared" si="218"/>
        <v>0</v>
      </c>
      <c r="AX284" s="1">
        <f t="shared" si="219"/>
        <v>0</v>
      </c>
      <c r="AY284" s="1">
        <f t="shared" si="220"/>
        <v>1</v>
      </c>
      <c r="AZ284" s="1">
        <f t="shared" si="221"/>
        <v>-1</v>
      </c>
      <c r="BA284" s="19">
        <f t="shared" si="222"/>
        <v>0</v>
      </c>
      <c r="BB284" s="19">
        <f t="shared" si="223"/>
        <v>0</v>
      </c>
      <c r="BC284" s="9" t="e">
        <f t="shared" si="224"/>
        <v>#DIV/0!</v>
      </c>
      <c r="BD284" s="9" t="e">
        <f t="shared" si="225"/>
        <v>#DIV/0!</v>
      </c>
      <c r="BE284" s="9" t="e">
        <f t="shared" si="226"/>
        <v>#DIV/0!</v>
      </c>
      <c r="BF284" s="9" t="e">
        <f t="shared" si="227"/>
        <v>#DIV/0!</v>
      </c>
      <c r="BG284" s="9" t="e">
        <f t="shared" si="228"/>
        <v>#DIV/0!</v>
      </c>
      <c r="BH284" s="9" t="e">
        <f t="shared" si="229"/>
        <v>#DIV/0!</v>
      </c>
      <c r="BI284" s="12" t="e">
        <f t="shared" si="230"/>
        <v>#DIV/0!</v>
      </c>
      <c r="BJ284" s="13" t="e">
        <f t="shared" si="231"/>
        <v>#DIV/0!</v>
      </c>
      <c r="BK284" s="1">
        <f t="shared" si="232"/>
        <v>0</v>
      </c>
      <c r="BL284" s="1">
        <f t="shared" si="233"/>
        <v>0</v>
      </c>
      <c r="BM284" s="1">
        <f t="shared" si="234"/>
        <v>0</v>
      </c>
      <c r="BN284" s="1">
        <f t="shared" si="235"/>
        <v>0</v>
      </c>
      <c r="BO284" s="1">
        <f t="shared" si="236"/>
        <v>0</v>
      </c>
      <c r="BP284" s="1">
        <f t="shared" si="237"/>
        <v>1</v>
      </c>
      <c r="BQ284" s="19">
        <f t="shared" si="238"/>
        <v>0.16666666666666666</v>
      </c>
      <c r="BR284" s="17">
        <f t="shared" si="239"/>
        <v>0</v>
      </c>
    </row>
    <row r="285" spans="1:70" x14ac:dyDescent="0.25">
      <c r="A285" t="s">
        <v>680</v>
      </c>
      <c r="H285">
        <v>1</v>
      </c>
      <c r="O285">
        <v>1</v>
      </c>
      <c r="W285" s="8" t="e">
        <f t="shared" si="192"/>
        <v>#DIV/0!</v>
      </c>
      <c r="X285" s="8" t="e">
        <f t="shared" si="193"/>
        <v>#DIV/0!</v>
      </c>
      <c r="Y285" s="8" t="e">
        <f t="shared" si="194"/>
        <v>#DIV/0!</v>
      </c>
      <c r="Z285" s="8" t="e">
        <f t="shared" si="195"/>
        <v>#DIV/0!</v>
      </c>
      <c r="AA285" s="8" t="e">
        <f t="shared" si="196"/>
        <v>#DIV/0!</v>
      </c>
      <c r="AB285" s="8" t="e">
        <f t="shared" si="197"/>
        <v>#DIV/0!</v>
      </c>
      <c r="AC285" s="12" t="e">
        <f t="shared" si="198"/>
        <v>#DIV/0!</v>
      </c>
      <c r="AD285" s="12" t="e">
        <f t="shared" si="199"/>
        <v>#DIV/0!</v>
      </c>
      <c r="AE285" s="1">
        <f t="shared" si="200"/>
        <v>0</v>
      </c>
      <c r="AF285" s="1">
        <f t="shared" si="201"/>
        <v>0</v>
      </c>
      <c r="AG285" s="1">
        <f t="shared" si="202"/>
        <v>0</v>
      </c>
      <c r="AH285" s="1">
        <f t="shared" si="203"/>
        <v>0</v>
      </c>
      <c r="AI285" s="1">
        <f t="shared" si="204"/>
        <v>0</v>
      </c>
      <c r="AJ285" s="1">
        <f t="shared" si="205"/>
        <v>1</v>
      </c>
      <c r="AK285" s="17">
        <f t="shared" si="206"/>
        <v>0.16666666666666666</v>
      </c>
      <c r="AL285" s="17">
        <f t="shared" si="207"/>
        <v>0</v>
      </c>
      <c r="AM285" s="1" t="e">
        <f t="shared" si="208"/>
        <v>#DIV/0!</v>
      </c>
      <c r="AN285" s="1" t="e">
        <f t="shared" si="209"/>
        <v>#DIV/0!</v>
      </c>
      <c r="AO285" s="1" t="e">
        <f t="shared" si="210"/>
        <v>#DIV/0!</v>
      </c>
      <c r="AP285" s="1" t="e">
        <f t="shared" si="211"/>
        <v>#DIV/0!</v>
      </c>
      <c r="AQ285" s="1" t="e">
        <f t="shared" si="212"/>
        <v>#DIV/0!</v>
      </c>
      <c r="AR285" s="1" t="e">
        <f t="shared" si="213"/>
        <v>#DIV/0!</v>
      </c>
      <c r="AS285" s="12" t="e">
        <f t="shared" si="214"/>
        <v>#DIV/0!</v>
      </c>
      <c r="AT285" s="12" t="e">
        <f t="shared" si="215"/>
        <v>#DIV/0!</v>
      </c>
      <c r="AU285" s="1">
        <f t="shared" si="216"/>
        <v>0</v>
      </c>
      <c r="AV285" s="1">
        <f t="shared" si="217"/>
        <v>0</v>
      </c>
      <c r="AW285" s="1">
        <f t="shared" si="218"/>
        <v>0</v>
      </c>
      <c r="AX285" s="1">
        <f t="shared" si="219"/>
        <v>0</v>
      </c>
      <c r="AY285" s="1">
        <f t="shared" si="220"/>
        <v>0</v>
      </c>
      <c r="AZ285" s="1">
        <f t="shared" si="221"/>
        <v>1</v>
      </c>
      <c r="BA285" s="19">
        <f t="shared" si="222"/>
        <v>0.16666666666666666</v>
      </c>
      <c r="BB285" s="19">
        <f t="shared" si="223"/>
        <v>0</v>
      </c>
      <c r="BC285" s="9" t="e">
        <f t="shared" si="224"/>
        <v>#DIV/0!</v>
      </c>
      <c r="BD285" s="9" t="e">
        <f t="shared" si="225"/>
        <v>#DIV/0!</v>
      </c>
      <c r="BE285" s="9" t="e">
        <f t="shared" si="226"/>
        <v>#DIV/0!</v>
      </c>
      <c r="BF285" s="9" t="e">
        <f t="shared" si="227"/>
        <v>#DIV/0!</v>
      </c>
      <c r="BG285" s="9" t="e">
        <f t="shared" si="228"/>
        <v>#DIV/0!</v>
      </c>
      <c r="BH285" s="9" t="e">
        <f t="shared" si="229"/>
        <v>#DIV/0!</v>
      </c>
      <c r="BI285" s="12" t="e">
        <f t="shared" si="230"/>
        <v>#DIV/0!</v>
      </c>
      <c r="BJ285" s="13" t="e">
        <f t="shared" si="231"/>
        <v>#DIV/0!</v>
      </c>
      <c r="BK285" s="1">
        <f t="shared" si="232"/>
        <v>0</v>
      </c>
      <c r="BL285" s="1">
        <f t="shared" si="233"/>
        <v>0</v>
      </c>
      <c r="BM285" s="1">
        <f t="shared" si="234"/>
        <v>0</v>
      </c>
      <c r="BN285" s="1">
        <f t="shared" si="235"/>
        <v>0</v>
      </c>
      <c r="BO285" s="1">
        <f t="shared" si="236"/>
        <v>0</v>
      </c>
      <c r="BP285" s="1">
        <f t="shared" si="237"/>
        <v>0</v>
      </c>
      <c r="BQ285" s="19">
        <f t="shared" si="238"/>
        <v>0</v>
      </c>
      <c r="BR285" s="17">
        <f t="shared" si="239"/>
        <v>0</v>
      </c>
    </row>
    <row r="286" spans="1:70" x14ac:dyDescent="0.25">
      <c r="A286" t="s">
        <v>681</v>
      </c>
      <c r="H286">
        <v>1</v>
      </c>
      <c r="V286">
        <v>1</v>
      </c>
      <c r="W286" s="8" t="e">
        <f t="shared" si="192"/>
        <v>#DIV/0!</v>
      </c>
      <c r="X286" s="8" t="e">
        <f t="shared" si="193"/>
        <v>#DIV/0!</v>
      </c>
      <c r="Y286" s="8" t="e">
        <f t="shared" si="194"/>
        <v>#DIV/0!</v>
      </c>
      <c r="Z286" s="8" t="e">
        <f t="shared" si="195"/>
        <v>#DIV/0!</v>
      </c>
      <c r="AA286" s="8" t="e">
        <f t="shared" si="196"/>
        <v>#DIV/0!</v>
      </c>
      <c r="AB286" s="8" t="e">
        <f t="shared" si="197"/>
        <v>#DIV/0!</v>
      </c>
      <c r="AC286" s="12" t="e">
        <f t="shared" si="198"/>
        <v>#DIV/0!</v>
      </c>
      <c r="AD286" s="12" t="e">
        <f t="shared" si="199"/>
        <v>#DIV/0!</v>
      </c>
      <c r="AE286" s="1">
        <f t="shared" si="200"/>
        <v>0</v>
      </c>
      <c r="AF286" s="1">
        <f t="shared" si="201"/>
        <v>0</v>
      </c>
      <c r="AG286" s="1">
        <f t="shared" si="202"/>
        <v>0</v>
      </c>
      <c r="AH286" s="1">
        <f t="shared" si="203"/>
        <v>0</v>
      </c>
      <c r="AI286" s="1">
        <f t="shared" si="204"/>
        <v>0</v>
      </c>
      <c r="AJ286" s="1">
        <f t="shared" si="205"/>
        <v>1</v>
      </c>
      <c r="AK286" s="17">
        <f t="shared" si="206"/>
        <v>0.16666666666666666</v>
      </c>
      <c r="AL286" s="17">
        <f t="shared" si="207"/>
        <v>0</v>
      </c>
      <c r="AM286" s="1" t="e">
        <f t="shared" si="208"/>
        <v>#DIV/0!</v>
      </c>
      <c r="AN286" s="1" t="e">
        <f t="shared" si="209"/>
        <v>#DIV/0!</v>
      </c>
      <c r="AO286" s="1" t="e">
        <f t="shared" si="210"/>
        <v>#DIV/0!</v>
      </c>
      <c r="AP286" s="1" t="e">
        <f t="shared" si="211"/>
        <v>#DIV/0!</v>
      </c>
      <c r="AQ286" s="1" t="e">
        <f t="shared" si="212"/>
        <v>#DIV/0!</v>
      </c>
      <c r="AR286" s="1" t="e">
        <f t="shared" si="213"/>
        <v>#DIV/0!</v>
      </c>
      <c r="AS286" s="12" t="e">
        <f t="shared" si="214"/>
        <v>#DIV/0!</v>
      </c>
      <c r="AT286" s="12" t="e">
        <f t="shared" si="215"/>
        <v>#DIV/0!</v>
      </c>
      <c r="AU286" s="1">
        <f t="shared" si="216"/>
        <v>0</v>
      </c>
      <c r="AV286" s="1">
        <f t="shared" si="217"/>
        <v>0</v>
      </c>
      <c r="AW286" s="1">
        <f t="shared" si="218"/>
        <v>0</v>
      </c>
      <c r="AX286" s="1">
        <f t="shared" si="219"/>
        <v>0</v>
      </c>
      <c r="AY286" s="1">
        <f t="shared" si="220"/>
        <v>0</v>
      </c>
      <c r="AZ286" s="1">
        <f t="shared" si="221"/>
        <v>0</v>
      </c>
      <c r="BA286" s="19">
        <f t="shared" si="222"/>
        <v>0</v>
      </c>
      <c r="BB286" s="19">
        <f t="shared" si="223"/>
        <v>0</v>
      </c>
      <c r="BC286" s="9" t="e">
        <f t="shared" si="224"/>
        <v>#DIV/0!</v>
      </c>
      <c r="BD286" s="9" t="e">
        <f t="shared" si="225"/>
        <v>#DIV/0!</v>
      </c>
      <c r="BE286" s="9" t="e">
        <f t="shared" si="226"/>
        <v>#DIV/0!</v>
      </c>
      <c r="BF286" s="9" t="e">
        <f t="shared" si="227"/>
        <v>#DIV/0!</v>
      </c>
      <c r="BG286" s="9" t="e">
        <f t="shared" si="228"/>
        <v>#DIV/0!</v>
      </c>
      <c r="BH286" s="9" t="e">
        <f t="shared" si="229"/>
        <v>#DIV/0!</v>
      </c>
      <c r="BI286" s="12" t="e">
        <f t="shared" si="230"/>
        <v>#DIV/0!</v>
      </c>
      <c r="BJ286" s="13" t="e">
        <f t="shared" si="231"/>
        <v>#DIV/0!</v>
      </c>
      <c r="BK286" s="1">
        <f t="shared" si="232"/>
        <v>0</v>
      </c>
      <c r="BL286" s="1">
        <f t="shared" si="233"/>
        <v>0</v>
      </c>
      <c r="BM286" s="1">
        <f t="shared" si="234"/>
        <v>0</v>
      </c>
      <c r="BN286" s="1">
        <f t="shared" si="235"/>
        <v>0</v>
      </c>
      <c r="BO286" s="1">
        <f t="shared" si="236"/>
        <v>0</v>
      </c>
      <c r="BP286" s="1">
        <f t="shared" si="237"/>
        <v>1</v>
      </c>
      <c r="BQ286" s="19">
        <f t="shared" si="238"/>
        <v>0.16666666666666666</v>
      </c>
      <c r="BR286" s="17">
        <f t="shared" si="239"/>
        <v>0</v>
      </c>
    </row>
    <row r="287" spans="1:70" x14ac:dyDescent="0.25">
      <c r="A287" t="s">
        <v>193</v>
      </c>
      <c r="B287">
        <v>42</v>
      </c>
      <c r="C287">
        <v>53</v>
      </c>
      <c r="D287">
        <v>45</v>
      </c>
      <c r="E287">
        <v>25</v>
      </c>
      <c r="F287">
        <v>38</v>
      </c>
      <c r="G287">
        <v>54</v>
      </c>
      <c r="H287">
        <v>42</v>
      </c>
      <c r="I287">
        <v>22</v>
      </c>
      <c r="J287">
        <v>23</v>
      </c>
      <c r="K287">
        <v>29</v>
      </c>
      <c r="L287">
        <v>12</v>
      </c>
      <c r="M287">
        <v>17</v>
      </c>
      <c r="N287">
        <v>27</v>
      </c>
      <c r="O287">
        <v>26</v>
      </c>
      <c r="P287">
        <v>20</v>
      </c>
      <c r="Q287">
        <v>30</v>
      </c>
      <c r="R287">
        <v>16</v>
      </c>
      <c r="S287">
        <v>13</v>
      </c>
      <c r="T287">
        <v>21</v>
      </c>
      <c r="U287">
        <v>27</v>
      </c>
      <c r="V287">
        <v>16</v>
      </c>
      <c r="W287" s="8">
        <f t="shared" si="192"/>
        <v>0.26190476190476192</v>
      </c>
      <c r="X287" s="8">
        <f t="shared" si="193"/>
        <v>-0.15094339622641509</v>
      </c>
      <c r="Y287" s="8">
        <f t="shared" si="194"/>
        <v>-0.44444444444444442</v>
      </c>
      <c r="Z287" s="8">
        <f t="shared" si="195"/>
        <v>0.52</v>
      </c>
      <c r="AA287" s="8">
        <f t="shared" si="196"/>
        <v>0.42105263157894735</v>
      </c>
      <c r="AB287" s="8">
        <f t="shared" si="197"/>
        <v>-0.22222222222222221</v>
      </c>
      <c r="AC287" s="12">
        <f t="shared" si="198"/>
        <v>6.4224555098437927E-2</v>
      </c>
      <c r="AD287" s="12">
        <f t="shared" si="199"/>
        <v>5.5480682839173429E-2</v>
      </c>
      <c r="AE287" s="1">
        <f t="shared" si="200"/>
        <v>11</v>
      </c>
      <c r="AF287" s="1">
        <f t="shared" si="201"/>
        <v>-8</v>
      </c>
      <c r="AG287" s="1">
        <f t="shared" si="202"/>
        <v>-20</v>
      </c>
      <c r="AH287" s="1">
        <f t="shared" si="203"/>
        <v>13</v>
      </c>
      <c r="AI287" s="1">
        <f t="shared" si="204"/>
        <v>16</v>
      </c>
      <c r="AJ287" s="1">
        <f t="shared" si="205"/>
        <v>-12</v>
      </c>
      <c r="AK287" s="17">
        <f t="shared" si="206"/>
        <v>0</v>
      </c>
      <c r="AL287" s="17">
        <f t="shared" si="207"/>
        <v>1.5</v>
      </c>
      <c r="AM287" s="1">
        <f t="shared" si="208"/>
        <v>4.5454545454545456E-2</v>
      </c>
      <c r="AN287" s="1">
        <f t="shared" si="209"/>
        <v>0.2608695652173913</v>
      </c>
      <c r="AO287" s="1">
        <f t="shared" si="210"/>
        <v>-0.58620689655172409</v>
      </c>
      <c r="AP287" s="1">
        <f t="shared" si="211"/>
        <v>0.41666666666666669</v>
      </c>
      <c r="AQ287" s="1">
        <f t="shared" si="212"/>
        <v>0.58823529411764708</v>
      </c>
      <c r="AR287" s="1">
        <f t="shared" si="213"/>
        <v>-3.7037037037037035E-2</v>
      </c>
      <c r="AS287" s="12">
        <f t="shared" si="214"/>
        <v>0.11466368964458158</v>
      </c>
      <c r="AT287" s="12">
        <f t="shared" si="215"/>
        <v>0.15316205533596838</v>
      </c>
      <c r="AU287" s="1">
        <f t="shared" si="216"/>
        <v>1</v>
      </c>
      <c r="AV287" s="1">
        <f t="shared" si="217"/>
        <v>6</v>
      </c>
      <c r="AW287" s="1">
        <f t="shared" si="218"/>
        <v>-17</v>
      </c>
      <c r="AX287" s="1">
        <f t="shared" si="219"/>
        <v>5</v>
      </c>
      <c r="AY287" s="1">
        <f t="shared" si="220"/>
        <v>10</v>
      </c>
      <c r="AZ287" s="1">
        <f t="shared" si="221"/>
        <v>-1</v>
      </c>
      <c r="BA287" s="19">
        <f t="shared" si="222"/>
        <v>0.66666666666666663</v>
      </c>
      <c r="BB287" s="19">
        <f t="shared" si="223"/>
        <v>3</v>
      </c>
      <c r="BC287" s="9">
        <f t="shared" si="224"/>
        <v>0.5</v>
      </c>
      <c r="BD287" s="9">
        <f t="shared" si="225"/>
        <v>-0.46666666666666667</v>
      </c>
      <c r="BE287" s="9">
        <f t="shared" si="226"/>
        <v>-0.1875</v>
      </c>
      <c r="BF287" s="9">
        <f t="shared" si="227"/>
        <v>0.61538461538461542</v>
      </c>
      <c r="BG287" s="9">
        <f t="shared" si="228"/>
        <v>0.2857142857142857</v>
      </c>
      <c r="BH287" s="9">
        <f t="shared" si="229"/>
        <v>-0.40740740740740738</v>
      </c>
      <c r="BI287" s="12">
        <f t="shared" si="230"/>
        <v>5.658747117080451E-2</v>
      </c>
      <c r="BJ287" s="13">
        <f t="shared" si="231"/>
        <v>4.9107142857142849E-2</v>
      </c>
      <c r="BK287" s="1">
        <f t="shared" si="232"/>
        <v>10</v>
      </c>
      <c r="BL287" s="1">
        <f t="shared" si="233"/>
        <v>-14</v>
      </c>
      <c r="BM287" s="1">
        <f t="shared" si="234"/>
        <v>-3</v>
      </c>
      <c r="BN287" s="1">
        <f t="shared" si="235"/>
        <v>8</v>
      </c>
      <c r="BO287" s="1">
        <f t="shared" si="236"/>
        <v>6</v>
      </c>
      <c r="BP287" s="1">
        <f t="shared" si="237"/>
        <v>-11</v>
      </c>
      <c r="BQ287" s="19">
        <f t="shared" si="238"/>
        <v>-0.66666666666666663</v>
      </c>
      <c r="BR287" s="17">
        <f t="shared" si="239"/>
        <v>1.5</v>
      </c>
    </row>
    <row r="288" spans="1:70" x14ac:dyDescent="0.25">
      <c r="A288" t="s">
        <v>251</v>
      </c>
      <c r="B288">
        <v>19</v>
      </c>
      <c r="C288">
        <v>9</v>
      </c>
      <c r="D288">
        <v>14</v>
      </c>
      <c r="E288">
        <v>7</v>
      </c>
      <c r="F288">
        <v>10</v>
      </c>
      <c r="G288">
        <v>13</v>
      </c>
      <c r="H288">
        <v>19</v>
      </c>
      <c r="I288">
        <v>4</v>
      </c>
      <c r="J288">
        <v>2</v>
      </c>
      <c r="K288">
        <v>3</v>
      </c>
      <c r="L288">
        <v>2</v>
      </c>
      <c r="M288">
        <v>2</v>
      </c>
      <c r="N288">
        <v>1</v>
      </c>
      <c r="O288">
        <v>6</v>
      </c>
      <c r="P288">
        <v>15</v>
      </c>
      <c r="Q288">
        <v>7</v>
      </c>
      <c r="R288">
        <v>11</v>
      </c>
      <c r="S288">
        <v>5</v>
      </c>
      <c r="T288">
        <v>8</v>
      </c>
      <c r="U288">
        <v>12</v>
      </c>
      <c r="V288">
        <v>13</v>
      </c>
      <c r="W288" s="8">
        <f t="shared" si="192"/>
        <v>-0.52631578947368418</v>
      </c>
      <c r="X288" s="8">
        <f t="shared" si="193"/>
        <v>0.55555555555555558</v>
      </c>
      <c r="Y288" s="8">
        <f t="shared" si="194"/>
        <v>-0.5</v>
      </c>
      <c r="Z288" s="8">
        <f t="shared" si="195"/>
        <v>0.42857142857142855</v>
      </c>
      <c r="AA288" s="8">
        <f t="shared" si="196"/>
        <v>0.3</v>
      </c>
      <c r="AB288" s="8">
        <f t="shared" si="197"/>
        <v>0.46153846153846156</v>
      </c>
      <c r="AC288" s="12">
        <f t="shared" si="198"/>
        <v>0.11989160936529358</v>
      </c>
      <c r="AD288" s="12">
        <f t="shared" si="199"/>
        <v>0.36428571428571427</v>
      </c>
      <c r="AE288" s="1">
        <f t="shared" si="200"/>
        <v>-10</v>
      </c>
      <c r="AF288" s="1">
        <f t="shared" si="201"/>
        <v>5</v>
      </c>
      <c r="AG288" s="1">
        <f t="shared" si="202"/>
        <v>-7</v>
      </c>
      <c r="AH288" s="1">
        <f t="shared" si="203"/>
        <v>3</v>
      </c>
      <c r="AI288" s="1">
        <f t="shared" si="204"/>
        <v>3</v>
      </c>
      <c r="AJ288" s="1">
        <f t="shared" si="205"/>
        <v>6</v>
      </c>
      <c r="AK288" s="17">
        <f t="shared" si="206"/>
        <v>0</v>
      </c>
      <c r="AL288" s="17">
        <f t="shared" si="207"/>
        <v>3</v>
      </c>
      <c r="AM288" s="1">
        <f t="shared" si="208"/>
        <v>-0.5</v>
      </c>
      <c r="AN288" s="1">
        <f t="shared" si="209"/>
        <v>0.5</v>
      </c>
      <c r="AO288" s="1">
        <f t="shared" si="210"/>
        <v>-0.33333333333333331</v>
      </c>
      <c r="AP288" s="1">
        <f t="shared" si="211"/>
        <v>0</v>
      </c>
      <c r="AQ288" s="1">
        <f t="shared" si="212"/>
        <v>-0.5</v>
      </c>
      <c r="AR288" s="1">
        <f t="shared" si="213"/>
        <v>5</v>
      </c>
      <c r="AS288" s="12">
        <f t="shared" si="214"/>
        <v>0.69444444444444453</v>
      </c>
      <c r="AT288" s="12">
        <f t="shared" si="215"/>
        <v>-0.16666666666666666</v>
      </c>
      <c r="AU288" s="1">
        <f t="shared" si="216"/>
        <v>-2</v>
      </c>
      <c r="AV288" s="1">
        <f t="shared" si="217"/>
        <v>1</v>
      </c>
      <c r="AW288" s="1">
        <f t="shared" si="218"/>
        <v>-1</v>
      </c>
      <c r="AX288" s="1">
        <f t="shared" si="219"/>
        <v>0</v>
      </c>
      <c r="AY288" s="1">
        <f t="shared" si="220"/>
        <v>-1</v>
      </c>
      <c r="AZ288" s="1">
        <f t="shared" si="221"/>
        <v>5</v>
      </c>
      <c r="BA288" s="19">
        <f t="shared" si="222"/>
        <v>0.33333333333333331</v>
      </c>
      <c r="BB288" s="19">
        <f t="shared" si="223"/>
        <v>-0.5</v>
      </c>
      <c r="BC288" s="9">
        <f t="shared" si="224"/>
        <v>-0.53333333333333333</v>
      </c>
      <c r="BD288" s="9">
        <f t="shared" si="225"/>
        <v>0.5714285714285714</v>
      </c>
      <c r="BE288" s="9">
        <f t="shared" si="226"/>
        <v>-0.54545454545454541</v>
      </c>
      <c r="BF288" s="9">
        <f t="shared" si="227"/>
        <v>0.6</v>
      </c>
      <c r="BG288" s="9">
        <f t="shared" si="228"/>
        <v>0.5</v>
      </c>
      <c r="BH288" s="9">
        <f t="shared" si="229"/>
        <v>8.3333333333333329E-2</v>
      </c>
      <c r="BI288" s="12">
        <f t="shared" si="230"/>
        <v>0.11266233766233767</v>
      </c>
      <c r="BJ288" s="13">
        <f t="shared" si="231"/>
        <v>0.29166666666666669</v>
      </c>
      <c r="BK288" s="1">
        <f t="shared" si="232"/>
        <v>-8</v>
      </c>
      <c r="BL288" s="1">
        <f t="shared" si="233"/>
        <v>4</v>
      </c>
      <c r="BM288" s="1">
        <f t="shared" si="234"/>
        <v>-6</v>
      </c>
      <c r="BN288" s="1">
        <f t="shared" si="235"/>
        <v>3</v>
      </c>
      <c r="BO288" s="1">
        <f t="shared" si="236"/>
        <v>4</v>
      </c>
      <c r="BP288" s="1">
        <f t="shared" si="237"/>
        <v>1</v>
      </c>
      <c r="BQ288" s="19">
        <f t="shared" si="238"/>
        <v>-0.33333333333333331</v>
      </c>
      <c r="BR288" s="17">
        <f t="shared" si="239"/>
        <v>2</v>
      </c>
    </row>
    <row r="289" spans="1:70" x14ac:dyDescent="0.25">
      <c r="A289" t="s">
        <v>259</v>
      </c>
      <c r="B289">
        <v>17</v>
      </c>
      <c r="C289">
        <v>18</v>
      </c>
      <c r="D289">
        <v>15</v>
      </c>
      <c r="E289">
        <v>22</v>
      </c>
      <c r="F289">
        <v>10</v>
      </c>
      <c r="G289">
        <v>26</v>
      </c>
      <c r="H289">
        <v>17</v>
      </c>
      <c r="I289">
        <v>12</v>
      </c>
      <c r="J289">
        <v>10</v>
      </c>
      <c r="K289">
        <v>9</v>
      </c>
      <c r="L289">
        <v>12</v>
      </c>
      <c r="M289">
        <v>3</v>
      </c>
      <c r="N289">
        <v>16</v>
      </c>
      <c r="O289">
        <v>9</v>
      </c>
      <c r="P289">
        <v>5</v>
      </c>
      <c r="Q289">
        <v>8</v>
      </c>
      <c r="R289">
        <v>6</v>
      </c>
      <c r="S289">
        <v>10</v>
      </c>
      <c r="T289">
        <v>7</v>
      </c>
      <c r="U289">
        <v>10</v>
      </c>
      <c r="V289">
        <v>8</v>
      </c>
      <c r="W289" s="8">
        <f t="shared" si="192"/>
        <v>5.8823529411764705E-2</v>
      </c>
      <c r="X289" s="8">
        <f t="shared" si="193"/>
        <v>-0.16666666666666666</v>
      </c>
      <c r="Y289" s="8">
        <f t="shared" si="194"/>
        <v>0.46666666666666667</v>
      </c>
      <c r="Z289" s="8">
        <f t="shared" si="195"/>
        <v>-0.54545454545454541</v>
      </c>
      <c r="AA289" s="8">
        <f t="shared" si="196"/>
        <v>1.6</v>
      </c>
      <c r="AB289" s="8">
        <f t="shared" si="197"/>
        <v>-0.34615384615384615</v>
      </c>
      <c r="AC289" s="12">
        <f t="shared" si="198"/>
        <v>0.17786918963389553</v>
      </c>
      <c r="AD289" s="12">
        <f t="shared" si="199"/>
        <v>-5.3921568627450983E-2</v>
      </c>
      <c r="AE289" s="1">
        <f t="shared" si="200"/>
        <v>1</v>
      </c>
      <c r="AF289" s="1">
        <f t="shared" si="201"/>
        <v>-3</v>
      </c>
      <c r="AG289" s="1">
        <f t="shared" si="202"/>
        <v>7</v>
      </c>
      <c r="AH289" s="1">
        <f t="shared" si="203"/>
        <v>-12</v>
      </c>
      <c r="AI289" s="1">
        <f t="shared" si="204"/>
        <v>16</v>
      </c>
      <c r="AJ289" s="1">
        <f t="shared" si="205"/>
        <v>-9</v>
      </c>
      <c r="AK289" s="17">
        <f t="shared" si="206"/>
        <v>0</v>
      </c>
      <c r="AL289" s="17">
        <f t="shared" si="207"/>
        <v>-1</v>
      </c>
      <c r="AM289" s="1">
        <f t="shared" si="208"/>
        <v>-0.16666666666666666</v>
      </c>
      <c r="AN289" s="1">
        <f t="shared" si="209"/>
        <v>-0.1</v>
      </c>
      <c r="AO289" s="1">
        <f t="shared" si="210"/>
        <v>0.33333333333333331</v>
      </c>
      <c r="AP289" s="1">
        <f t="shared" si="211"/>
        <v>-0.75</v>
      </c>
      <c r="AQ289" s="1">
        <f t="shared" si="212"/>
        <v>4.333333333333333</v>
      </c>
      <c r="AR289" s="1">
        <f t="shared" si="213"/>
        <v>-0.4375</v>
      </c>
      <c r="AS289" s="12">
        <f t="shared" si="214"/>
        <v>0.53541666666666654</v>
      </c>
      <c r="AT289" s="12">
        <f t="shared" si="215"/>
        <v>-0.13333333333333333</v>
      </c>
      <c r="AU289" s="1">
        <f t="shared" si="216"/>
        <v>-2</v>
      </c>
      <c r="AV289" s="1">
        <f t="shared" si="217"/>
        <v>-1</v>
      </c>
      <c r="AW289" s="1">
        <f t="shared" si="218"/>
        <v>3</v>
      </c>
      <c r="AX289" s="1">
        <f t="shared" si="219"/>
        <v>-9</v>
      </c>
      <c r="AY289" s="1">
        <f t="shared" si="220"/>
        <v>13</v>
      </c>
      <c r="AZ289" s="1">
        <f t="shared" si="221"/>
        <v>-7</v>
      </c>
      <c r="BA289" s="19">
        <f t="shared" si="222"/>
        <v>-0.5</v>
      </c>
      <c r="BB289" s="19">
        <f t="shared" si="223"/>
        <v>-1.5</v>
      </c>
      <c r="BC289" s="9">
        <f t="shared" si="224"/>
        <v>0.6</v>
      </c>
      <c r="BD289" s="9">
        <f t="shared" si="225"/>
        <v>-0.25</v>
      </c>
      <c r="BE289" s="9">
        <f t="shared" si="226"/>
        <v>0.66666666666666663</v>
      </c>
      <c r="BF289" s="9">
        <f t="shared" si="227"/>
        <v>-0.3</v>
      </c>
      <c r="BG289" s="9">
        <f t="shared" si="228"/>
        <v>0.42857142857142855</v>
      </c>
      <c r="BH289" s="9">
        <f t="shared" si="229"/>
        <v>-0.2</v>
      </c>
      <c r="BI289" s="12">
        <f t="shared" si="230"/>
        <v>0.15753968253968254</v>
      </c>
      <c r="BJ289" s="13">
        <f t="shared" si="231"/>
        <v>0.11428571428571427</v>
      </c>
      <c r="BK289" s="1">
        <f t="shared" si="232"/>
        <v>3</v>
      </c>
      <c r="BL289" s="1">
        <f t="shared" si="233"/>
        <v>-2</v>
      </c>
      <c r="BM289" s="1">
        <f t="shared" si="234"/>
        <v>4</v>
      </c>
      <c r="BN289" s="1">
        <f t="shared" si="235"/>
        <v>-3</v>
      </c>
      <c r="BO289" s="1">
        <f t="shared" si="236"/>
        <v>3</v>
      </c>
      <c r="BP289" s="1">
        <f t="shared" si="237"/>
        <v>-2</v>
      </c>
      <c r="BQ289" s="19">
        <f t="shared" si="238"/>
        <v>0.5</v>
      </c>
      <c r="BR289" s="17">
        <f t="shared" si="239"/>
        <v>0.5</v>
      </c>
    </row>
    <row r="290" spans="1:70" x14ac:dyDescent="0.25">
      <c r="A290" t="s">
        <v>268</v>
      </c>
      <c r="B290">
        <v>16</v>
      </c>
      <c r="C290">
        <v>19</v>
      </c>
      <c r="D290">
        <v>20</v>
      </c>
      <c r="E290">
        <v>22</v>
      </c>
      <c r="F290">
        <v>24</v>
      </c>
      <c r="G290">
        <v>20</v>
      </c>
      <c r="H290">
        <v>16</v>
      </c>
      <c r="I290">
        <v>5</v>
      </c>
      <c r="J290">
        <v>8</v>
      </c>
      <c r="K290">
        <v>7</v>
      </c>
      <c r="L290">
        <v>10</v>
      </c>
      <c r="M290">
        <v>14</v>
      </c>
      <c r="N290">
        <v>8</v>
      </c>
      <c r="O290">
        <v>7</v>
      </c>
      <c r="P290">
        <v>11</v>
      </c>
      <c r="Q290">
        <v>11</v>
      </c>
      <c r="R290">
        <v>13</v>
      </c>
      <c r="S290">
        <v>12</v>
      </c>
      <c r="T290">
        <v>10</v>
      </c>
      <c r="U290">
        <v>12</v>
      </c>
      <c r="V290">
        <v>9</v>
      </c>
      <c r="W290" s="8">
        <f t="shared" si="192"/>
        <v>0.1875</v>
      </c>
      <c r="X290" s="8">
        <f t="shared" si="193"/>
        <v>5.2631578947368418E-2</v>
      </c>
      <c r="Y290" s="8">
        <f t="shared" si="194"/>
        <v>0.1</v>
      </c>
      <c r="Z290" s="8">
        <f t="shared" si="195"/>
        <v>9.0909090909090912E-2</v>
      </c>
      <c r="AA290" s="8">
        <f t="shared" si="196"/>
        <v>-0.16666666666666666</v>
      </c>
      <c r="AB290" s="8">
        <f t="shared" si="197"/>
        <v>-0.2</v>
      </c>
      <c r="AC290" s="12">
        <f t="shared" si="198"/>
        <v>1.0729000531632124E-2</v>
      </c>
      <c r="AD290" s="12">
        <f t="shared" si="199"/>
        <v>7.1770334928229665E-2</v>
      </c>
      <c r="AE290" s="1">
        <f t="shared" si="200"/>
        <v>3</v>
      </c>
      <c r="AF290" s="1">
        <f t="shared" si="201"/>
        <v>1</v>
      </c>
      <c r="AG290" s="1">
        <f t="shared" si="202"/>
        <v>2</v>
      </c>
      <c r="AH290" s="1">
        <f t="shared" si="203"/>
        <v>2</v>
      </c>
      <c r="AI290" s="1">
        <f t="shared" si="204"/>
        <v>-4</v>
      </c>
      <c r="AJ290" s="1">
        <f t="shared" si="205"/>
        <v>-4</v>
      </c>
      <c r="AK290" s="17">
        <f t="shared" si="206"/>
        <v>0</v>
      </c>
      <c r="AL290" s="17">
        <f t="shared" si="207"/>
        <v>1.5</v>
      </c>
      <c r="AM290" s="1">
        <f t="shared" si="208"/>
        <v>0.6</v>
      </c>
      <c r="AN290" s="1">
        <f t="shared" si="209"/>
        <v>-0.125</v>
      </c>
      <c r="AO290" s="1">
        <f t="shared" si="210"/>
        <v>0.42857142857142855</v>
      </c>
      <c r="AP290" s="1">
        <f t="shared" si="211"/>
        <v>0.4</v>
      </c>
      <c r="AQ290" s="1">
        <f t="shared" si="212"/>
        <v>-0.42857142857142855</v>
      </c>
      <c r="AR290" s="1">
        <f t="shared" si="213"/>
        <v>-0.125</v>
      </c>
      <c r="AS290" s="12">
        <f t="shared" si="214"/>
        <v>0.12499999999999996</v>
      </c>
      <c r="AT290" s="12">
        <f t="shared" si="215"/>
        <v>0.13750000000000001</v>
      </c>
      <c r="AU290" s="1">
        <f t="shared" si="216"/>
        <v>3</v>
      </c>
      <c r="AV290" s="1">
        <f t="shared" si="217"/>
        <v>-1</v>
      </c>
      <c r="AW290" s="1">
        <f t="shared" si="218"/>
        <v>3</v>
      </c>
      <c r="AX290" s="1">
        <f t="shared" si="219"/>
        <v>4</v>
      </c>
      <c r="AY290" s="1">
        <f t="shared" si="220"/>
        <v>-6</v>
      </c>
      <c r="AZ290" s="1">
        <f t="shared" si="221"/>
        <v>-1</v>
      </c>
      <c r="BA290" s="19">
        <f t="shared" si="222"/>
        <v>0.33333333333333331</v>
      </c>
      <c r="BB290" s="19">
        <f t="shared" si="223"/>
        <v>1</v>
      </c>
      <c r="BC290" s="9">
        <f t="shared" si="224"/>
        <v>0</v>
      </c>
      <c r="BD290" s="9">
        <f t="shared" si="225"/>
        <v>0.18181818181818182</v>
      </c>
      <c r="BE290" s="9">
        <f t="shared" si="226"/>
        <v>-7.6923076923076927E-2</v>
      </c>
      <c r="BF290" s="9">
        <f t="shared" si="227"/>
        <v>-0.16666666666666666</v>
      </c>
      <c r="BG290" s="9">
        <f t="shared" si="228"/>
        <v>0.2</v>
      </c>
      <c r="BH290" s="9">
        <f t="shared" si="229"/>
        <v>-0.25</v>
      </c>
      <c r="BI290" s="12">
        <f t="shared" si="230"/>
        <v>-1.8628593628593624E-2</v>
      </c>
      <c r="BJ290" s="13">
        <f t="shared" si="231"/>
        <v>-3.8461538461538464E-2</v>
      </c>
      <c r="BK290" s="1">
        <f t="shared" si="232"/>
        <v>0</v>
      </c>
      <c r="BL290" s="1">
        <f t="shared" si="233"/>
        <v>2</v>
      </c>
      <c r="BM290" s="1">
        <f t="shared" si="234"/>
        <v>-1</v>
      </c>
      <c r="BN290" s="1">
        <f t="shared" si="235"/>
        <v>-2</v>
      </c>
      <c r="BO290" s="1">
        <f t="shared" si="236"/>
        <v>2</v>
      </c>
      <c r="BP290" s="1">
        <f t="shared" si="237"/>
        <v>-3</v>
      </c>
      <c r="BQ290" s="19">
        <f t="shared" si="238"/>
        <v>-0.33333333333333331</v>
      </c>
      <c r="BR290" s="17">
        <f t="shared" si="239"/>
        <v>-0.5</v>
      </c>
    </row>
    <row r="291" spans="1:70" x14ac:dyDescent="0.25">
      <c r="A291" t="s">
        <v>290</v>
      </c>
      <c r="B291">
        <v>12</v>
      </c>
      <c r="C291">
        <v>8</v>
      </c>
      <c r="D291">
        <v>7</v>
      </c>
      <c r="E291">
        <v>9</v>
      </c>
      <c r="F291">
        <v>11</v>
      </c>
      <c r="G291">
        <v>14</v>
      </c>
      <c r="H291">
        <v>12</v>
      </c>
      <c r="I291">
        <v>9</v>
      </c>
      <c r="J291">
        <v>6</v>
      </c>
      <c r="K291">
        <v>5</v>
      </c>
      <c r="L291">
        <v>7</v>
      </c>
      <c r="M291">
        <v>6</v>
      </c>
      <c r="N291">
        <v>9</v>
      </c>
      <c r="O291">
        <v>10</v>
      </c>
      <c r="P291">
        <v>3</v>
      </c>
      <c r="Q291">
        <v>2</v>
      </c>
      <c r="R291">
        <v>2</v>
      </c>
      <c r="S291">
        <v>2</v>
      </c>
      <c r="T291">
        <v>5</v>
      </c>
      <c r="U291">
        <v>5</v>
      </c>
      <c r="V291">
        <v>2</v>
      </c>
      <c r="W291" s="8">
        <f t="shared" si="192"/>
        <v>-0.33333333333333331</v>
      </c>
      <c r="X291" s="8">
        <f t="shared" si="193"/>
        <v>-0.125</v>
      </c>
      <c r="Y291" s="8">
        <f t="shared" si="194"/>
        <v>0.2857142857142857</v>
      </c>
      <c r="Z291" s="8">
        <f t="shared" si="195"/>
        <v>0.22222222222222221</v>
      </c>
      <c r="AA291" s="8">
        <f t="shared" si="196"/>
        <v>0.27272727272727271</v>
      </c>
      <c r="AB291" s="8">
        <f t="shared" si="197"/>
        <v>-0.14285714285714285</v>
      </c>
      <c r="AC291" s="12">
        <f t="shared" si="198"/>
        <v>2.9912217412217407E-2</v>
      </c>
      <c r="AD291" s="12">
        <f t="shared" si="199"/>
        <v>4.8611111111111105E-2</v>
      </c>
      <c r="AE291" s="1">
        <f t="shared" si="200"/>
        <v>-4</v>
      </c>
      <c r="AF291" s="1">
        <f t="shared" si="201"/>
        <v>-1</v>
      </c>
      <c r="AG291" s="1">
        <f t="shared" si="202"/>
        <v>2</v>
      </c>
      <c r="AH291" s="1">
        <f t="shared" si="203"/>
        <v>2</v>
      </c>
      <c r="AI291" s="1">
        <f t="shared" si="204"/>
        <v>3</v>
      </c>
      <c r="AJ291" s="1">
        <f t="shared" si="205"/>
        <v>-2</v>
      </c>
      <c r="AK291" s="17">
        <f t="shared" si="206"/>
        <v>0</v>
      </c>
      <c r="AL291" s="17">
        <f t="shared" si="207"/>
        <v>0.5</v>
      </c>
      <c r="AM291" s="1">
        <f t="shared" si="208"/>
        <v>-0.33333333333333331</v>
      </c>
      <c r="AN291" s="1">
        <f t="shared" si="209"/>
        <v>-0.16666666666666666</v>
      </c>
      <c r="AO291" s="1">
        <f t="shared" si="210"/>
        <v>0.4</v>
      </c>
      <c r="AP291" s="1">
        <f t="shared" si="211"/>
        <v>-0.14285714285714285</v>
      </c>
      <c r="AQ291" s="1">
        <f t="shared" si="212"/>
        <v>0.5</v>
      </c>
      <c r="AR291" s="1">
        <f t="shared" si="213"/>
        <v>0.1111111111111111</v>
      </c>
      <c r="AS291" s="12">
        <f t="shared" si="214"/>
        <v>6.1375661375661382E-2</v>
      </c>
      <c r="AT291" s="12">
        <f t="shared" si="215"/>
        <v>-1.5873015873015872E-2</v>
      </c>
      <c r="AU291" s="1">
        <f t="shared" si="216"/>
        <v>-3</v>
      </c>
      <c r="AV291" s="1">
        <f t="shared" si="217"/>
        <v>-1</v>
      </c>
      <c r="AW291" s="1">
        <f t="shared" si="218"/>
        <v>2</v>
      </c>
      <c r="AX291" s="1">
        <f t="shared" si="219"/>
        <v>-1</v>
      </c>
      <c r="AY291" s="1">
        <f t="shared" si="220"/>
        <v>3</v>
      </c>
      <c r="AZ291" s="1">
        <f t="shared" si="221"/>
        <v>1</v>
      </c>
      <c r="BA291" s="19">
        <f t="shared" si="222"/>
        <v>0.16666666666666666</v>
      </c>
      <c r="BB291" s="19">
        <f t="shared" si="223"/>
        <v>0</v>
      </c>
      <c r="BC291" s="9">
        <f t="shared" si="224"/>
        <v>-0.33333333333333331</v>
      </c>
      <c r="BD291" s="9">
        <f t="shared" si="225"/>
        <v>0</v>
      </c>
      <c r="BE291" s="9">
        <f t="shared" si="226"/>
        <v>0</v>
      </c>
      <c r="BF291" s="9">
        <f t="shared" si="227"/>
        <v>1.5</v>
      </c>
      <c r="BG291" s="9">
        <f t="shared" si="228"/>
        <v>0</v>
      </c>
      <c r="BH291" s="9">
        <f t="shared" si="229"/>
        <v>-0.6</v>
      </c>
      <c r="BI291" s="12">
        <f t="shared" si="230"/>
        <v>9.4444444444444456E-2</v>
      </c>
      <c r="BJ291" s="13">
        <f t="shared" si="231"/>
        <v>0</v>
      </c>
      <c r="BK291" s="1">
        <f t="shared" si="232"/>
        <v>-1</v>
      </c>
      <c r="BL291" s="1">
        <f t="shared" si="233"/>
        <v>0</v>
      </c>
      <c r="BM291" s="1">
        <f t="shared" si="234"/>
        <v>0</v>
      </c>
      <c r="BN291" s="1">
        <f t="shared" si="235"/>
        <v>3</v>
      </c>
      <c r="BO291" s="1">
        <f t="shared" si="236"/>
        <v>0</v>
      </c>
      <c r="BP291" s="1">
        <f t="shared" si="237"/>
        <v>-3</v>
      </c>
      <c r="BQ291" s="19">
        <f t="shared" si="238"/>
        <v>-0.16666666666666666</v>
      </c>
      <c r="BR291" s="17">
        <f t="shared" si="239"/>
        <v>0</v>
      </c>
    </row>
    <row r="292" spans="1:70" x14ac:dyDescent="0.25">
      <c r="A292" t="s">
        <v>292</v>
      </c>
      <c r="B292">
        <v>12</v>
      </c>
      <c r="C292">
        <v>7</v>
      </c>
      <c r="D292">
        <v>4</v>
      </c>
      <c r="E292">
        <v>8</v>
      </c>
      <c r="F292">
        <v>3</v>
      </c>
      <c r="G292">
        <v>3</v>
      </c>
      <c r="H292">
        <v>12</v>
      </c>
      <c r="I292">
        <v>8</v>
      </c>
      <c r="J292">
        <v>5</v>
      </c>
      <c r="K292">
        <v>2</v>
      </c>
      <c r="L292">
        <v>5</v>
      </c>
      <c r="M292">
        <v>1</v>
      </c>
      <c r="N292">
        <v>1</v>
      </c>
      <c r="O292">
        <v>4</v>
      </c>
      <c r="P292">
        <v>4</v>
      </c>
      <c r="Q292">
        <v>2</v>
      </c>
      <c r="R292">
        <v>2</v>
      </c>
      <c r="S292">
        <v>3</v>
      </c>
      <c r="T292">
        <v>2</v>
      </c>
      <c r="U292">
        <v>2</v>
      </c>
      <c r="V292">
        <v>8</v>
      </c>
      <c r="W292" s="8">
        <f t="shared" si="192"/>
        <v>-0.41666666666666669</v>
      </c>
      <c r="X292" s="8">
        <f t="shared" si="193"/>
        <v>-0.42857142857142855</v>
      </c>
      <c r="Y292" s="8">
        <f t="shared" si="194"/>
        <v>1</v>
      </c>
      <c r="Z292" s="8">
        <f t="shared" si="195"/>
        <v>-0.625</v>
      </c>
      <c r="AA292" s="8">
        <f t="shared" si="196"/>
        <v>0</v>
      </c>
      <c r="AB292" s="8">
        <f t="shared" si="197"/>
        <v>3</v>
      </c>
      <c r="AC292" s="12">
        <f t="shared" si="198"/>
        <v>0.42162698412698413</v>
      </c>
      <c r="AD292" s="12">
        <f t="shared" si="199"/>
        <v>-0.20833333333333334</v>
      </c>
      <c r="AE292" s="1">
        <f t="shared" si="200"/>
        <v>-5</v>
      </c>
      <c r="AF292" s="1">
        <f t="shared" si="201"/>
        <v>-3</v>
      </c>
      <c r="AG292" s="1">
        <f t="shared" si="202"/>
        <v>4</v>
      </c>
      <c r="AH292" s="1">
        <f t="shared" si="203"/>
        <v>-5</v>
      </c>
      <c r="AI292" s="1">
        <f t="shared" si="204"/>
        <v>0</v>
      </c>
      <c r="AJ292" s="1">
        <f t="shared" si="205"/>
        <v>9</v>
      </c>
      <c r="AK292" s="17">
        <f t="shared" si="206"/>
        <v>0</v>
      </c>
      <c r="AL292" s="17">
        <f t="shared" si="207"/>
        <v>-1.5</v>
      </c>
      <c r="AM292" s="1">
        <f t="shared" si="208"/>
        <v>-0.375</v>
      </c>
      <c r="AN292" s="1">
        <f t="shared" si="209"/>
        <v>-0.6</v>
      </c>
      <c r="AO292" s="1">
        <f t="shared" si="210"/>
        <v>1.5</v>
      </c>
      <c r="AP292" s="1">
        <f t="shared" si="211"/>
        <v>-0.8</v>
      </c>
      <c r="AQ292" s="1">
        <f t="shared" si="212"/>
        <v>0</v>
      </c>
      <c r="AR292" s="1">
        <f t="shared" si="213"/>
        <v>3</v>
      </c>
      <c r="AS292" s="12">
        <f t="shared" si="214"/>
        <v>0.45416666666666666</v>
      </c>
      <c r="AT292" s="12">
        <f t="shared" si="215"/>
        <v>-0.1875</v>
      </c>
      <c r="AU292" s="1">
        <f t="shared" si="216"/>
        <v>-3</v>
      </c>
      <c r="AV292" s="1">
        <f t="shared" si="217"/>
        <v>-3</v>
      </c>
      <c r="AW292" s="1">
        <f t="shared" si="218"/>
        <v>3</v>
      </c>
      <c r="AX292" s="1">
        <f t="shared" si="219"/>
        <v>-4</v>
      </c>
      <c r="AY292" s="1">
        <f t="shared" si="220"/>
        <v>0</v>
      </c>
      <c r="AZ292" s="1">
        <f t="shared" si="221"/>
        <v>3</v>
      </c>
      <c r="BA292" s="19">
        <f t="shared" si="222"/>
        <v>-0.66666666666666663</v>
      </c>
      <c r="BB292" s="19">
        <f t="shared" si="223"/>
        <v>-1.5</v>
      </c>
      <c r="BC292" s="9">
        <f t="shared" si="224"/>
        <v>-0.5</v>
      </c>
      <c r="BD292" s="9">
        <f t="shared" si="225"/>
        <v>0</v>
      </c>
      <c r="BE292" s="9">
        <f t="shared" si="226"/>
        <v>0.5</v>
      </c>
      <c r="BF292" s="9">
        <f t="shared" si="227"/>
        <v>-0.33333333333333331</v>
      </c>
      <c r="BG292" s="9">
        <f t="shared" si="228"/>
        <v>0</v>
      </c>
      <c r="BH292" s="9">
        <f t="shared" si="229"/>
        <v>3</v>
      </c>
      <c r="BI292" s="12">
        <f t="shared" si="230"/>
        <v>0.44444444444444442</v>
      </c>
      <c r="BJ292" s="13">
        <f t="shared" si="231"/>
        <v>0</v>
      </c>
      <c r="BK292" s="1">
        <f t="shared" si="232"/>
        <v>-2</v>
      </c>
      <c r="BL292" s="1">
        <f t="shared" si="233"/>
        <v>0</v>
      </c>
      <c r="BM292" s="1">
        <f t="shared" si="234"/>
        <v>1</v>
      </c>
      <c r="BN292" s="1">
        <f t="shared" si="235"/>
        <v>-1</v>
      </c>
      <c r="BO292" s="1">
        <f t="shared" si="236"/>
        <v>0</v>
      </c>
      <c r="BP292" s="1">
        <f t="shared" si="237"/>
        <v>6</v>
      </c>
      <c r="BQ292" s="19">
        <f t="shared" si="238"/>
        <v>0.66666666666666663</v>
      </c>
      <c r="BR292" s="17">
        <f t="shared" si="239"/>
        <v>0</v>
      </c>
    </row>
    <row r="293" spans="1:70" x14ac:dyDescent="0.25">
      <c r="A293" t="s">
        <v>303</v>
      </c>
      <c r="B293">
        <v>10</v>
      </c>
      <c r="C293">
        <v>9</v>
      </c>
      <c r="D293">
        <v>14</v>
      </c>
      <c r="E293">
        <v>7</v>
      </c>
      <c r="F293">
        <v>13</v>
      </c>
      <c r="G293">
        <v>13</v>
      </c>
      <c r="H293">
        <v>10</v>
      </c>
      <c r="I293">
        <v>2</v>
      </c>
      <c r="J293">
        <v>6</v>
      </c>
      <c r="K293">
        <v>8</v>
      </c>
      <c r="L293">
        <v>5</v>
      </c>
      <c r="M293">
        <v>8</v>
      </c>
      <c r="N293">
        <v>9</v>
      </c>
      <c r="O293">
        <v>4</v>
      </c>
      <c r="P293">
        <v>8</v>
      </c>
      <c r="Q293">
        <v>3</v>
      </c>
      <c r="R293">
        <v>6</v>
      </c>
      <c r="S293">
        <v>2</v>
      </c>
      <c r="T293">
        <v>5</v>
      </c>
      <c r="U293">
        <v>4</v>
      </c>
      <c r="V293">
        <v>6</v>
      </c>
      <c r="W293" s="8">
        <f t="shared" si="192"/>
        <v>-0.1</v>
      </c>
      <c r="X293" s="8">
        <f t="shared" si="193"/>
        <v>0.55555555555555558</v>
      </c>
      <c r="Y293" s="8">
        <f t="shared" si="194"/>
        <v>-0.5</v>
      </c>
      <c r="Z293" s="8">
        <f t="shared" si="195"/>
        <v>0.8571428571428571</v>
      </c>
      <c r="AA293" s="8">
        <f t="shared" si="196"/>
        <v>0</v>
      </c>
      <c r="AB293" s="8">
        <f t="shared" si="197"/>
        <v>-0.23076923076923078</v>
      </c>
      <c r="AC293" s="12">
        <f t="shared" si="198"/>
        <v>9.6988196988196981E-2</v>
      </c>
      <c r="AD293" s="12">
        <f t="shared" si="199"/>
        <v>-0.05</v>
      </c>
      <c r="AE293" s="1">
        <f t="shared" si="200"/>
        <v>-1</v>
      </c>
      <c r="AF293" s="1">
        <f t="shared" si="201"/>
        <v>5</v>
      </c>
      <c r="AG293" s="1">
        <f t="shared" si="202"/>
        <v>-7</v>
      </c>
      <c r="AH293" s="1">
        <f t="shared" si="203"/>
        <v>6</v>
      </c>
      <c r="AI293" s="1">
        <f t="shared" si="204"/>
        <v>0</v>
      </c>
      <c r="AJ293" s="1">
        <f t="shared" si="205"/>
        <v>-3</v>
      </c>
      <c r="AK293" s="17">
        <f t="shared" si="206"/>
        <v>0</v>
      </c>
      <c r="AL293" s="17">
        <f t="shared" si="207"/>
        <v>-0.5</v>
      </c>
      <c r="AM293" s="1">
        <f t="shared" si="208"/>
        <v>2</v>
      </c>
      <c r="AN293" s="1">
        <f t="shared" si="209"/>
        <v>0.33333333333333331</v>
      </c>
      <c r="AO293" s="1">
        <f t="shared" si="210"/>
        <v>-0.375</v>
      </c>
      <c r="AP293" s="1">
        <f t="shared" si="211"/>
        <v>0.6</v>
      </c>
      <c r="AQ293" s="1">
        <f t="shared" si="212"/>
        <v>0.125</v>
      </c>
      <c r="AR293" s="1">
        <f t="shared" si="213"/>
        <v>-0.55555555555555558</v>
      </c>
      <c r="AS293" s="12">
        <f t="shared" si="214"/>
        <v>0.35462962962962968</v>
      </c>
      <c r="AT293" s="12">
        <f t="shared" si="215"/>
        <v>0.22916666666666666</v>
      </c>
      <c r="AU293" s="1">
        <f t="shared" si="216"/>
        <v>4</v>
      </c>
      <c r="AV293" s="1">
        <f t="shared" si="217"/>
        <v>2</v>
      </c>
      <c r="AW293" s="1">
        <f t="shared" si="218"/>
        <v>-3</v>
      </c>
      <c r="AX293" s="1">
        <f t="shared" si="219"/>
        <v>3</v>
      </c>
      <c r="AY293" s="1">
        <f t="shared" si="220"/>
        <v>1</v>
      </c>
      <c r="AZ293" s="1">
        <f t="shared" si="221"/>
        <v>-5</v>
      </c>
      <c r="BA293" s="19">
        <f t="shared" si="222"/>
        <v>0.33333333333333331</v>
      </c>
      <c r="BB293" s="19">
        <f t="shared" si="223"/>
        <v>1.5</v>
      </c>
      <c r="BC293" s="9">
        <f t="shared" si="224"/>
        <v>-0.625</v>
      </c>
      <c r="BD293" s="9">
        <f t="shared" si="225"/>
        <v>1</v>
      </c>
      <c r="BE293" s="9">
        <f t="shared" si="226"/>
        <v>-0.66666666666666663</v>
      </c>
      <c r="BF293" s="9">
        <f t="shared" si="227"/>
        <v>1.5</v>
      </c>
      <c r="BG293" s="9">
        <f t="shared" si="228"/>
        <v>-0.2</v>
      </c>
      <c r="BH293" s="9">
        <f t="shared" si="229"/>
        <v>0.5</v>
      </c>
      <c r="BI293" s="12">
        <f t="shared" si="230"/>
        <v>0.25138888888888894</v>
      </c>
      <c r="BJ293" s="13">
        <f t="shared" si="231"/>
        <v>0.14999999999999997</v>
      </c>
      <c r="BK293" s="1">
        <f t="shared" si="232"/>
        <v>-5</v>
      </c>
      <c r="BL293" s="1">
        <f t="shared" si="233"/>
        <v>3</v>
      </c>
      <c r="BM293" s="1">
        <f t="shared" si="234"/>
        <v>-4</v>
      </c>
      <c r="BN293" s="1">
        <f t="shared" si="235"/>
        <v>3</v>
      </c>
      <c r="BO293" s="1">
        <f t="shared" si="236"/>
        <v>-1</v>
      </c>
      <c r="BP293" s="1">
        <f t="shared" si="237"/>
        <v>2</v>
      </c>
      <c r="BQ293" s="19">
        <f t="shared" si="238"/>
        <v>-0.33333333333333331</v>
      </c>
      <c r="BR293" s="17">
        <f t="shared" si="239"/>
        <v>0.5</v>
      </c>
    </row>
    <row r="294" spans="1:70" x14ac:dyDescent="0.25">
      <c r="A294" t="s">
        <v>309</v>
      </c>
      <c r="B294">
        <v>10</v>
      </c>
      <c r="C294">
        <v>11</v>
      </c>
      <c r="D294">
        <v>9</v>
      </c>
      <c r="E294">
        <v>8</v>
      </c>
      <c r="F294">
        <v>8</v>
      </c>
      <c r="G294">
        <v>11</v>
      </c>
      <c r="H294">
        <v>10</v>
      </c>
      <c r="I294">
        <v>5</v>
      </c>
      <c r="J294">
        <v>7</v>
      </c>
      <c r="K294">
        <v>4</v>
      </c>
      <c r="L294">
        <v>2</v>
      </c>
      <c r="M294">
        <v>3</v>
      </c>
      <c r="N294">
        <v>7</v>
      </c>
      <c r="O294">
        <v>2</v>
      </c>
      <c r="P294">
        <v>5</v>
      </c>
      <c r="Q294">
        <v>4</v>
      </c>
      <c r="R294">
        <v>5</v>
      </c>
      <c r="S294">
        <v>6</v>
      </c>
      <c r="T294">
        <v>5</v>
      </c>
      <c r="U294">
        <v>4</v>
      </c>
      <c r="V294">
        <v>8</v>
      </c>
      <c r="W294" s="8">
        <f t="shared" si="192"/>
        <v>0.1</v>
      </c>
      <c r="X294" s="8">
        <f t="shared" si="193"/>
        <v>-0.18181818181818182</v>
      </c>
      <c r="Y294" s="8">
        <f t="shared" si="194"/>
        <v>-0.1111111111111111</v>
      </c>
      <c r="Z294" s="8">
        <f t="shared" si="195"/>
        <v>0</v>
      </c>
      <c r="AA294" s="8">
        <f t="shared" si="196"/>
        <v>0.375</v>
      </c>
      <c r="AB294" s="8">
        <f t="shared" si="197"/>
        <v>-9.0909090909090912E-2</v>
      </c>
      <c r="AC294" s="12">
        <f t="shared" si="198"/>
        <v>1.5193602693602695E-2</v>
      </c>
      <c r="AD294" s="12">
        <f t="shared" si="199"/>
        <v>-4.5454545454545456E-2</v>
      </c>
      <c r="AE294" s="1">
        <f t="shared" si="200"/>
        <v>1</v>
      </c>
      <c r="AF294" s="1">
        <f t="shared" si="201"/>
        <v>-2</v>
      </c>
      <c r="AG294" s="1">
        <f t="shared" si="202"/>
        <v>-1</v>
      </c>
      <c r="AH294" s="1">
        <f t="shared" si="203"/>
        <v>0</v>
      </c>
      <c r="AI294" s="1">
        <f t="shared" si="204"/>
        <v>3</v>
      </c>
      <c r="AJ294" s="1">
        <f t="shared" si="205"/>
        <v>-1</v>
      </c>
      <c r="AK294" s="17">
        <f t="shared" si="206"/>
        <v>0</v>
      </c>
      <c r="AL294" s="17">
        <f t="shared" si="207"/>
        <v>-0.5</v>
      </c>
      <c r="AM294" s="1">
        <f t="shared" si="208"/>
        <v>0.4</v>
      </c>
      <c r="AN294" s="1">
        <f t="shared" si="209"/>
        <v>-0.42857142857142855</v>
      </c>
      <c r="AO294" s="1">
        <f t="shared" si="210"/>
        <v>-0.5</v>
      </c>
      <c r="AP294" s="1">
        <f t="shared" si="211"/>
        <v>0.5</v>
      </c>
      <c r="AQ294" s="1">
        <f t="shared" si="212"/>
        <v>1.3333333333333333</v>
      </c>
      <c r="AR294" s="1">
        <f t="shared" si="213"/>
        <v>-0.7142857142857143</v>
      </c>
      <c r="AS294" s="12">
        <f t="shared" si="214"/>
        <v>9.841269841269841E-2</v>
      </c>
      <c r="AT294" s="12">
        <f t="shared" si="215"/>
        <v>-1.428571428571429E-2</v>
      </c>
      <c r="AU294" s="1">
        <f t="shared" si="216"/>
        <v>2</v>
      </c>
      <c r="AV294" s="1">
        <f t="shared" si="217"/>
        <v>-3</v>
      </c>
      <c r="AW294" s="1">
        <f t="shared" si="218"/>
        <v>-2</v>
      </c>
      <c r="AX294" s="1">
        <f t="shared" si="219"/>
        <v>1</v>
      </c>
      <c r="AY294" s="1">
        <f t="shared" si="220"/>
        <v>4</v>
      </c>
      <c r="AZ294" s="1">
        <f t="shared" si="221"/>
        <v>-5</v>
      </c>
      <c r="BA294" s="19">
        <f t="shared" si="222"/>
        <v>-0.5</v>
      </c>
      <c r="BB294" s="19">
        <f t="shared" si="223"/>
        <v>-0.5</v>
      </c>
      <c r="BC294" s="9">
        <f t="shared" si="224"/>
        <v>-0.2</v>
      </c>
      <c r="BD294" s="9">
        <f t="shared" si="225"/>
        <v>0.25</v>
      </c>
      <c r="BE294" s="9">
        <f t="shared" si="226"/>
        <v>0.2</v>
      </c>
      <c r="BF294" s="9">
        <f t="shared" si="227"/>
        <v>-0.16666666666666666</v>
      </c>
      <c r="BG294" s="9">
        <f t="shared" si="228"/>
        <v>-0.2</v>
      </c>
      <c r="BH294" s="9">
        <f t="shared" si="229"/>
        <v>1</v>
      </c>
      <c r="BI294" s="12">
        <f t="shared" si="230"/>
        <v>0.14722222222222223</v>
      </c>
      <c r="BJ294" s="13">
        <f t="shared" si="231"/>
        <v>1.6666666666666691E-2</v>
      </c>
      <c r="BK294" s="1">
        <f t="shared" si="232"/>
        <v>-1</v>
      </c>
      <c r="BL294" s="1">
        <f t="shared" si="233"/>
        <v>1</v>
      </c>
      <c r="BM294" s="1">
        <f t="shared" si="234"/>
        <v>1</v>
      </c>
      <c r="BN294" s="1">
        <f t="shared" si="235"/>
        <v>-1</v>
      </c>
      <c r="BO294" s="1">
        <f t="shared" si="236"/>
        <v>-1</v>
      </c>
      <c r="BP294" s="1">
        <f t="shared" si="237"/>
        <v>4</v>
      </c>
      <c r="BQ294" s="19">
        <f t="shared" si="238"/>
        <v>0.5</v>
      </c>
      <c r="BR294" s="17">
        <f t="shared" si="239"/>
        <v>0</v>
      </c>
    </row>
    <row r="295" spans="1:70" x14ac:dyDescent="0.25">
      <c r="A295" t="s">
        <v>321</v>
      </c>
      <c r="B295">
        <v>9</v>
      </c>
      <c r="C295">
        <v>5</v>
      </c>
      <c r="D295">
        <v>2</v>
      </c>
      <c r="E295">
        <v>6</v>
      </c>
      <c r="F295">
        <v>6</v>
      </c>
      <c r="G295">
        <v>4</v>
      </c>
      <c r="H295">
        <v>9</v>
      </c>
      <c r="P295">
        <v>9</v>
      </c>
      <c r="Q295">
        <v>5</v>
      </c>
      <c r="R295">
        <v>2</v>
      </c>
      <c r="S295">
        <v>6</v>
      </c>
      <c r="T295">
        <v>6</v>
      </c>
      <c r="U295">
        <v>4</v>
      </c>
      <c r="V295">
        <v>9</v>
      </c>
      <c r="W295" s="8">
        <f t="shared" si="192"/>
        <v>-0.44444444444444442</v>
      </c>
      <c r="X295" s="8">
        <f t="shared" si="193"/>
        <v>-0.6</v>
      </c>
      <c r="Y295" s="8">
        <f t="shared" si="194"/>
        <v>2</v>
      </c>
      <c r="Z295" s="8">
        <f t="shared" si="195"/>
        <v>0</v>
      </c>
      <c r="AA295" s="8">
        <f t="shared" si="196"/>
        <v>-0.33333333333333331</v>
      </c>
      <c r="AB295" s="8">
        <f t="shared" si="197"/>
        <v>1.25</v>
      </c>
      <c r="AC295" s="12">
        <f t="shared" si="198"/>
        <v>0.31203703703703706</v>
      </c>
      <c r="AD295" s="12">
        <f t="shared" si="199"/>
        <v>-0.16666666666666666</v>
      </c>
      <c r="AE295" s="1">
        <f t="shared" si="200"/>
        <v>-4</v>
      </c>
      <c r="AF295" s="1">
        <f t="shared" si="201"/>
        <v>-3</v>
      </c>
      <c r="AG295" s="1">
        <f t="shared" si="202"/>
        <v>4</v>
      </c>
      <c r="AH295" s="1">
        <f t="shared" si="203"/>
        <v>0</v>
      </c>
      <c r="AI295" s="1">
        <f t="shared" si="204"/>
        <v>-2</v>
      </c>
      <c r="AJ295" s="1">
        <f t="shared" si="205"/>
        <v>5</v>
      </c>
      <c r="AK295" s="17">
        <f t="shared" si="206"/>
        <v>0</v>
      </c>
      <c r="AL295" s="17">
        <f t="shared" si="207"/>
        <v>-1</v>
      </c>
      <c r="AM295" s="1" t="e">
        <f t="shared" si="208"/>
        <v>#DIV/0!</v>
      </c>
      <c r="AN295" s="1" t="e">
        <f t="shared" si="209"/>
        <v>#DIV/0!</v>
      </c>
      <c r="AO295" s="1" t="e">
        <f t="shared" si="210"/>
        <v>#DIV/0!</v>
      </c>
      <c r="AP295" s="1" t="e">
        <f t="shared" si="211"/>
        <v>#DIV/0!</v>
      </c>
      <c r="AQ295" s="1" t="e">
        <f t="shared" si="212"/>
        <v>#DIV/0!</v>
      </c>
      <c r="AR295" s="1" t="e">
        <f t="shared" si="213"/>
        <v>#DIV/0!</v>
      </c>
      <c r="AS295" s="12" t="e">
        <f t="shared" si="214"/>
        <v>#DIV/0!</v>
      </c>
      <c r="AT295" s="12" t="e">
        <f t="shared" si="215"/>
        <v>#DIV/0!</v>
      </c>
      <c r="AU295" s="1">
        <f t="shared" si="216"/>
        <v>0</v>
      </c>
      <c r="AV295" s="1">
        <f t="shared" si="217"/>
        <v>0</v>
      </c>
      <c r="AW295" s="1">
        <f t="shared" si="218"/>
        <v>0</v>
      </c>
      <c r="AX295" s="1">
        <f t="shared" si="219"/>
        <v>0</v>
      </c>
      <c r="AY295" s="1">
        <f t="shared" si="220"/>
        <v>0</v>
      </c>
      <c r="AZ295" s="1">
        <f t="shared" si="221"/>
        <v>0</v>
      </c>
      <c r="BA295" s="19">
        <f t="shared" si="222"/>
        <v>0</v>
      </c>
      <c r="BB295" s="19">
        <f t="shared" si="223"/>
        <v>0</v>
      </c>
      <c r="BC295" s="9">
        <f t="shared" si="224"/>
        <v>-0.44444444444444442</v>
      </c>
      <c r="BD295" s="9">
        <f t="shared" si="225"/>
        <v>-0.6</v>
      </c>
      <c r="BE295" s="9">
        <f t="shared" si="226"/>
        <v>2</v>
      </c>
      <c r="BF295" s="9">
        <f t="shared" si="227"/>
        <v>0</v>
      </c>
      <c r="BG295" s="9">
        <f t="shared" si="228"/>
        <v>-0.33333333333333331</v>
      </c>
      <c r="BH295" s="9">
        <f t="shared" si="229"/>
        <v>1.25</v>
      </c>
      <c r="BI295" s="12">
        <f t="shared" si="230"/>
        <v>0.31203703703703706</v>
      </c>
      <c r="BJ295" s="13">
        <f t="shared" si="231"/>
        <v>-0.16666666666666666</v>
      </c>
      <c r="BK295" s="1">
        <f t="shared" si="232"/>
        <v>-4</v>
      </c>
      <c r="BL295" s="1">
        <f t="shared" si="233"/>
        <v>-3</v>
      </c>
      <c r="BM295" s="1">
        <f t="shared" si="234"/>
        <v>4</v>
      </c>
      <c r="BN295" s="1">
        <f t="shared" si="235"/>
        <v>0</v>
      </c>
      <c r="BO295" s="1">
        <f t="shared" si="236"/>
        <v>-2</v>
      </c>
      <c r="BP295" s="1">
        <f t="shared" si="237"/>
        <v>5</v>
      </c>
      <c r="BQ295" s="19">
        <f t="shared" si="238"/>
        <v>0</v>
      </c>
      <c r="BR295" s="17">
        <f t="shared" si="239"/>
        <v>-1</v>
      </c>
    </row>
    <row r="296" spans="1:70" x14ac:dyDescent="0.25">
      <c r="A296" t="s">
        <v>352</v>
      </c>
      <c r="B296">
        <v>7</v>
      </c>
      <c r="C296">
        <v>8</v>
      </c>
      <c r="D296">
        <v>6</v>
      </c>
      <c r="E296">
        <v>8</v>
      </c>
      <c r="F296">
        <v>8</v>
      </c>
      <c r="G296">
        <v>4</v>
      </c>
      <c r="H296">
        <v>7</v>
      </c>
      <c r="I296">
        <v>2</v>
      </c>
      <c r="K296">
        <v>1</v>
      </c>
      <c r="L296">
        <v>2</v>
      </c>
      <c r="M296">
        <v>2</v>
      </c>
      <c r="O296">
        <v>1</v>
      </c>
      <c r="P296">
        <v>5</v>
      </c>
      <c r="Q296">
        <v>8</v>
      </c>
      <c r="R296">
        <v>5</v>
      </c>
      <c r="S296">
        <v>6</v>
      </c>
      <c r="T296">
        <v>6</v>
      </c>
      <c r="U296">
        <v>4</v>
      </c>
      <c r="V296">
        <v>6</v>
      </c>
      <c r="W296" s="8">
        <f t="shared" si="192"/>
        <v>0.14285714285714285</v>
      </c>
      <c r="X296" s="8">
        <f t="shared" si="193"/>
        <v>-0.25</v>
      </c>
      <c r="Y296" s="8">
        <f t="shared" si="194"/>
        <v>0.33333333333333331</v>
      </c>
      <c r="Z296" s="8">
        <f t="shared" si="195"/>
        <v>0</v>
      </c>
      <c r="AA296" s="8">
        <f t="shared" si="196"/>
        <v>-0.5</v>
      </c>
      <c r="AB296" s="8">
        <f t="shared" si="197"/>
        <v>0.75</v>
      </c>
      <c r="AC296" s="12">
        <f t="shared" si="198"/>
        <v>7.9365079365079361E-2</v>
      </c>
      <c r="AD296" s="12">
        <f t="shared" si="199"/>
        <v>7.1428571428571425E-2</v>
      </c>
      <c r="AE296" s="1">
        <f t="shared" si="200"/>
        <v>1</v>
      </c>
      <c r="AF296" s="1">
        <f t="shared" si="201"/>
        <v>-2</v>
      </c>
      <c r="AG296" s="1">
        <f t="shared" si="202"/>
        <v>2</v>
      </c>
      <c r="AH296" s="1">
        <f t="shared" si="203"/>
        <v>0</v>
      </c>
      <c r="AI296" s="1">
        <f t="shared" si="204"/>
        <v>-4</v>
      </c>
      <c r="AJ296" s="1">
        <f t="shared" si="205"/>
        <v>3</v>
      </c>
      <c r="AK296" s="17">
        <f t="shared" si="206"/>
        <v>0</v>
      </c>
      <c r="AL296" s="17">
        <f t="shared" si="207"/>
        <v>0.5</v>
      </c>
      <c r="AM296" s="1">
        <f t="shared" si="208"/>
        <v>-1</v>
      </c>
      <c r="AN296" s="1" t="e">
        <f t="shared" si="209"/>
        <v>#DIV/0!</v>
      </c>
      <c r="AO296" s="1">
        <f t="shared" si="210"/>
        <v>1</v>
      </c>
      <c r="AP296" s="1">
        <f t="shared" si="211"/>
        <v>0</v>
      </c>
      <c r="AQ296" s="1">
        <f t="shared" si="212"/>
        <v>-1</v>
      </c>
      <c r="AR296" s="1" t="e">
        <f t="shared" si="213"/>
        <v>#DIV/0!</v>
      </c>
      <c r="AS296" s="12" t="e">
        <f t="shared" si="214"/>
        <v>#DIV/0!</v>
      </c>
      <c r="AT296" s="12" t="e">
        <f t="shared" si="215"/>
        <v>#DIV/0!</v>
      </c>
      <c r="AU296" s="1">
        <f t="shared" si="216"/>
        <v>-2</v>
      </c>
      <c r="AV296" s="1">
        <f t="shared" si="217"/>
        <v>1</v>
      </c>
      <c r="AW296" s="1">
        <f t="shared" si="218"/>
        <v>1</v>
      </c>
      <c r="AX296" s="1">
        <f t="shared" si="219"/>
        <v>0</v>
      </c>
      <c r="AY296" s="1">
        <f t="shared" si="220"/>
        <v>-2</v>
      </c>
      <c r="AZ296" s="1">
        <f t="shared" si="221"/>
        <v>1</v>
      </c>
      <c r="BA296" s="19">
        <f t="shared" si="222"/>
        <v>-0.16666666666666666</v>
      </c>
      <c r="BB296" s="19">
        <f t="shared" si="223"/>
        <v>0.5</v>
      </c>
      <c r="BC296" s="9">
        <f t="shared" si="224"/>
        <v>0.6</v>
      </c>
      <c r="BD296" s="9">
        <f t="shared" si="225"/>
        <v>-0.375</v>
      </c>
      <c r="BE296" s="9">
        <f t="shared" si="226"/>
        <v>0.2</v>
      </c>
      <c r="BF296" s="9">
        <f t="shared" si="227"/>
        <v>0</v>
      </c>
      <c r="BG296" s="9">
        <f t="shared" si="228"/>
        <v>-0.33333333333333331</v>
      </c>
      <c r="BH296" s="9">
        <f t="shared" si="229"/>
        <v>0.5</v>
      </c>
      <c r="BI296" s="12">
        <f t="shared" si="230"/>
        <v>9.8611111111111108E-2</v>
      </c>
      <c r="BJ296" s="13">
        <f t="shared" si="231"/>
        <v>0.1</v>
      </c>
      <c r="BK296" s="1">
        <f t="shared" si="232"/>
        <v>3</v>
      </c>
      <c r="BL296" s="1">
        <f t="shared" si="233"/>
        <v>-3</v>
      </c>
      <c r="BM296" s="1">
        <f t="shared" si="234"/>
        <v>1</v>
      </c>
      <c r="BN296" s="1">
        <f t="shared" si="235"/>
        <v>0</v>
      </c>
      <c r="BO296" s="1">
        <f t="shared" si="236"/>
        <v>-2</v>
      </c>
      <c r="BP296" s="1">
        <f t="shared" si="237"/>
        <v>2</v>
      </c>
      <c r="BQ296" s="19">
        <f t="shared" si="238"/>
        <v>0.16666666666666666</v>
      </c>
      <c r="BR296" s="17">
        <f t="shared" si="239"/>
        <v>0.5</v>
      </c>
    </row>
    <row r="297" spans="1:70" x14ac:dyDescent="0.25">
      <c r="A297" t="s">
        <v>392</v>
      </c>
      <c r="B297">
        <v>4</v>
      </c>
      <c r="C297">
        <v>2</v>
      </c>
      <c r="D297">
        <v>5</v>
      </c>
      <c r="E297">
        <v>2</v>
      </c>
      <c r="F297">
        <v>2</v>
      </c>
      <c r="G297">
        <v>3</v>
      </c>
      <c r="H297">
        <v>4</v>
      </c>
      <c r="I297">
        <v>3</v>
      </c>
      <c r="J297">
        <v>1</v>
      </c>
      <c r="K297">
        <v>3</v>
      </c>
      <c r="L297">
        <v>2</v>
      </c>
      <c r="M297">
        <v>2</v>
      </c>
      <c r="N297">
        <v>1</v>
      </c>
      <c r="O297">
        <v>2</v>
      </c>
      <c r="P297">
        <v>1</v>
      </c>
      <c r="Q297">
        <v>1</v>
      </c>
      <c r="R297">
        <v>2</v>
      </c>
      <c r="U297">
        <v>2</v>
      </c>
      <c r="V297">
        <v>2</v>
      </c>
      <c r="W297" s="8">
        <f t="shared" si="192"/>
        <v>-0.5</v>
      </c>
      <c r="X297" s="8">
        <f t="shared" si="193"/>
        <v>1.5</v>
      </c>
      <c r="Y297" s="8">
        <f t="shared" si="194"/>
        <v>-0.6</v>
      </c>
      <c r="Z297" s="8">
        <f t="shared" si="195"/>
        <v>0</v>
      </c>
      <c r="AA297" s="8">
        <f t="shared" si="196"/>
        <v>0.5</v>
      </c>
      <c r="AB297" s="8">
        <f t="shared" si="197"/>
        <v>0.33333333333333331</v>
      </c>
      <c r="AC297" s="12">
        <f t="shared" si="198"/>
        <v>0.20555555555555557</v>
      </c>
      <c r="AD297" s="12">
        <f t="shared" si="199"/>
        <v>0.16666666666666666</v>
      </c>
      <c r="AE297" s="1">
        <f t="shared" si="200"/>
        <v>-2</v>
      </c>
      <c r="AF297" s="1">
        <f t="shared" si="201"/>
        <v>3</v>
      </c>
      <c r="AG297" s="1">
        <f t="shared" si="202"/>
        <v>-3</v>
      </c>
      <c r="AH297" s="1">
        <f t="shared" si="203"/>
        <v>0</v>
      </c>
      <c r="AI297" s="1">
        <f t="shared" si="204"/>
        <v>1</v>
      </c>
      <c r="AJ297" s="1">
        <f t="shared" si="205"/>
        <v>1</v>
      </c>
      <c r="AK297" s="17">
        <f t="shared" si="206"/>
        <v>0</v>
      </c>
      <c r="AL297" s="17">
        <f t="shared" si="207"/>
        <v>0.5</v>
      </c>
      <c r="AM297" s="1">
        <f t="shared" si="208"/>
        <v>-0.66666666666666663</v>
      </c>
      <c r="AN297" s="1">
        <f t="shared" si="209"/>
        <v>2</v>
      </c>
      <c r="AO297" s="1">
        <f t="shared" si="210"/>
        <v>-0.33333333333333331</v>
      </c>
      <c r="AP297" s="1">
        <f t="shared" si="211"/>
        <v>0</v>
      </c>
      <c r="AQ297" s="1">
        <f t="shared" si="212"/>
        <v>-0.5</v>
      </c>
      <c r="AR297" s="1">
        <f t="shared" si="213"/>
        <v>1</v>
      </c>
      <c r="AS297" s="12">
        <f t="shared" si="214"/>
        <v>0.25000000000000006</v>
      </c>
      <c r="AT297" s="12">
        <f t="shared" si="215"/>
        <v>-0.16666666666666666</v>
      </c>
      <c r="AU297" s="1">
        <f t="shared" si="216"/>
        <v>-2</v>
      </c>
      <c r="AV297" s="1">
        <f t="shared" si="217"/>
        <v>2</v>
      </c>
      <c r="AW297" s="1">
        <f t="shared" si="218"/>
        <v>-1</v>
      </c>
      <c r="AX297" s="1">
        <f t="shared" si="219"/>
        <v>0</v>
      </c>
      <c r="AY297" s="1">
        <f t="shared" si="220"/>
        <v>-1</v>
      </c>
      <c r="AZ297" s="1">
        <f t="shared" si="221"/>
        <v>1</v>
      </c>
      <c r="BA297" s="19">
        <f t="shared" si="222"/>
        <v>-0.16666666666666666</v>
      </c>
      <c r="BB297" s="19">
        <f t="shared" si="223"/>
        <v>-0.5</v>
      </c>
      <c r="BC297" s="9">
        <f t="shared" si="224"/>
        <v>0</v>
      </c>
      <c r="BD297" s="9">
        <f t="shared" si="225"/>
        <v>1</v>
      </c>
      <c r="BE297" s="9">
        <f t="shared" si="226"/>
        <v>-1</v>
      </c>
      <c r="BF297" s="9" t="e">
        <f t="shared" si="227"/>
        <v>#DIV/0!</v>
      </c>
      <c r="BG297" s="9" t="e">
        <f t="shared" si="228"/>
        <v>#DIV/0!</v>
      </c>
      <c r="BH297" s="9">
        <f t="shared" si="229"/>
        <v>0</v>
      </c>
      <c r="BI297" s="12" t="e">
        <f t="shared" si="230"/>
        <v>#DIV/0!</v>
      </c>
      <c r="BJ297" s="13" t="e">
        <f t="shared" si="231"/>
        <v>#DIV/0!</v>
      </c>
      <c r="BK297" s="1">
        <f t="shared" si="232"/>
        <v>0</v>
      </c>
      <c r="BL297" s="1">
        <f t="shared" si="233"/>
        <v>1</v>
      </c>
      <c r="BM297" s="1">
        <f t="shared" si="234"/>
        <v>-2</v>
      </c>
      <c r="BN297" s="1">
        <f t="shared" si="235"/>
        <v>0</v>
      </c>
      <c r="BO297" s="1">
        <f t="shared" si="236"/>
        <v>2</v>
      </c>
      <c r="BP297" s="1">
        <f t="shared" si="237"/>
        <v>0</v>
      </c>
      <c r="BQ297" s="19">
        <f t="shared" si="238"/>
        <v>0.16666666666666666</v>
      </c>
      <c r="BR297" s="17">
        <f t="shared" si="239"/>
        <v>0</v>
      </c>
    </row>
    <row r="298" spans="1:70" x14ac:dyDescent="0.25">
      <c r="A298" t="s">
        <v>406</v>
      </c>
      <c r="B298">
        <v>4</v>
      </c>
      <c r="C298">
        <v>3</v>
      </c>
      <c r="E298">
        <v>4</v>
      </c>
      <c r="F298">
        <v>5</v>
      </c>
      <c r="G298">
        <v>4</v>
      </c>
      <c r="H298">
        <v>4</v>
      </c>
      <c r="I298">
        <v>3</v>
      </c>
      <c r="J298">
        <v>2</v>
      </c>
      <c r="L298">
        <v>2</v>
      </c>
      <c r="M298">
        <v>4</v>
      </c>
      <c r="N298">
        <v>3</v>
      </c>
      <c r="O298">
        <v>1</v>
      </c>
      <c r="P298">
        <v>1</v>
      </c>
      <c r="Q298">
        <v>1</v>
      </c>
      <c r="S298">
        <v>2</v>
      </c>
      <c r="T298">
        <v>1</v>
      </c>
      <c r="U298">
        <v>1</v>
      </c>
      <c r="V298">
        <v>3</v>
      </c>
      <c r="W298" s="8">
        <f t="shared" si="192"/>
        <v>-0.25</v>
      </c>
      <c r="X298" s="8">
        <f t="shared" si="193"/>
        <v>-1</v>
      </c>
      <c r="Y298" s="8" t="e">
        <f t="shared" si="194"/>
        <v>#DIV/0!</v>
      </c>
      <c r="Z298" s="8">
        <f t="shared" si="195"/>
        <v>0.25</v>
      </c>
      <c r="AA298" s="8">
        <f t="shared" si="196"/>
        <v>-0.2</v>
      </c>
      <c r="AB298" s="8">
        <f t="shared" si="197"/>
        <v>0</v>
      </c>
      <c r="AC298" s="12" t="e">
        <f t="shared" si="198"/>
        <v>#DIV/0!</v>
      </c>
      <c r="AD298" s="12" t="e">
        <f t="shared" si="199"/>
        <v>#DIV/0!</v>
      </c>
      <c r="AE298" s="1">
        <f t="shared" si="200"/>
        <v>-1</v>
      </c>
      <c r="AF298" s="1">
        <f t="shared" si="201"/>
        <v>-3</v>
      </c>
      <c r="AG298" s="1">
        <f t="shared" si="202"/>
        <v>4</v>
      </c>
      <c r="AH298" s="1">
        <f t="shared" si="203"/>
        <v>1</v>
      </c>
      <c r="AI298" s="1">
        <f t="shared" si="204"/>
        <v>-1</v>
      </c>
      <c r="AJ298" s="1">
        <f t="shared" si="205"/>
        <v>0</v>
      </c>
      <c r="AK298" s="17">
        <f t="shared" si="206"/>
        <v>0</v>
      </c>
      <c r="AL298" s="17">
        <f t="shared" si="207"/>
        <v>-0.5</v>
      </c>
      <c r="AM298" s="1">
        <f t="shared" si="208"/>
        <v>-0.33333333333333331</v>
      </c>
      <c r="AN298" s="1">
        <f t="shared" si="209"/>
        <v>-1</v>
      </c>
      <c r="AO298" s="1" t="e">
        <f t="shared" si="210"/>
        <v>#DIV/0!</v>
      </c>
      <c r="AP298" s="1">
        <f t="shared" si="211"/>
        <v>1</v>
      </c>
      <c r="AQ298" s="1">
        <f t="shared" si="212"/>
        <v>-0.25</v>
      </c>
      <c r="AR298" s="1">
        <f t="shared" si="213"/>
        <v>-0.66666666666666663</v>
      </c>
      <c r="AS298" s="12" t="e">
        <f t="shared" si="214"/>
        <v>#DIV/0!</v>
      </c>
      <c r="AT298" s="12" t="e">
        <f t="shared" si="215"/>
        <v>#DIV/0!</v>
      </c>
      <c r="AU298" s="1">
        <f t="shared" si="216"/>
        <v>-1</v>
      </c>
      <c r="AV298" s="1">
        <f t="shared" si="217"/>
        <v>-2</v>
      </c>
      <c r="AW298" s="1">
        <f t="shared" si="218"/>
        <v>2</v>
      </c>
      <c r="AX298" s="1">
        <f t="shared" si="219"/>
        <v>2</v>
      </c>
      <c r="AY298" s="1">
        <f t="shared" si="220"/>
        <v>-1</v>
      </c>
      <c r="AZ298" s="1">
        <f t="shared" si="221"/>
        <v>-2</v>
      </c>
      <c r="BA298" s="19">
        <f t="shared" si="222"/>
        <v>-0.33333333333333331</v>
      </c>
      <c r="BB298" s="19">
        <f t="shared" si="223"/>
        <v>-1</v>
      </c>
      <c r="BC298" s="9">
        <f t="shared" si="224"/>
        <v>0</v>
      </c>
      <c r="BD298" s="9">
        <f t="shared" si="225"/>
        <v>-1</v>
      </c>
      <c r="BE298" s="9" t="e">
        <f t="shared" si="226"/>
        <v>#DIV/0!</v>
      </c>
      <c r="BF298" s="9">
        <f t="shared" si="227"/>
        <v>-0.5</v>
      </c>
      <c r="BG298" s="9">
        <f t="shared" si="228"/>
        <v>0</v>
      </c>
      <c r="BH298" s="9">
        <f t="shared" si="229"/>
        <v>2</v>
      </c>
      <c r="BI298" s="12" t="e">
        <f t="shared" si="230"/>
        <v>#DIV/0!</v>
      </c>
      <c r="BJ298" s="13" t="e">
        <f t="shared" si="231"/>
        <v>#DIV/0!</v>
      </c>
      <c r="BK298" s="1">
        <f t="shared" si="232"/>
        <v>0</v>
      </c>
      <c r="BL298" s="1">
        <f t="shared" si="233"/>
        <v>-1</v>
      </c>
      <c r="BM298" s="1">
        <f t="shared" si="234"/>
        <v>2</v>
      </c>
      <c r="BN298" s="1">
        <f t="shared" si="235"/>
        <v>-1</v>
      </c>
      <c r="BO298" s="1">
        <f t="shared" si="236"/>
        <v>0</v>
      </c>
      <c r="BP298" s="1">
        <f t="shared" si="237"/>
        <v>2</v>
      </c>
      <c r="BQ298" s="19">
        <f t="shared" si="238"/>
        <v>0.33333333333333331</v>
      </c>
      <c r="BR298" s="17">
        <f t="shared" si="239"/>
        <v>0</v>
      </c>
    </row>
    <row r="299" spans="1:70" x14ac:dyDescent="0.25">
      <c r="A299" t="s">
        <v>422</v>
      </c>
      <c r="B299">
        <v>3</v>
      </c>
      <c r="C299">
        <v>2</v>
      </c>
      <c r="E299">
        <v>5</v>
      </c>
      <c r="F299">
        <v>1</v>
      </c>
      <c r="G299">
        <v>1</v>
      </c>
      <c r="H299">
        <v>3</v>
      </c>
      <c r="I299">
        <v>3</v>
      </c>
      <c r="J299">
        <v>2</v>
      </c>
      <c r="L299">
        <v>5</v>
      </c>
      <c r="M299">
        <v>1</v>
      </c>
      <c r="N299">
        <v>1</v>
      </c>
      <c r="O299">
        <v>3</v>
      </c>
      <c r="W299" s="8">
        <f t="shared" si="192"/>
        <v>-0.33333333333333331</v>
      </c>
      <c r="X299" s="8">
        <f t="shared" si="193"/>
        <v>-1</v>
      </c>
      <c r="Y299" s="8" t="e">
        <f t="shared" si="194"/>
        <v>#DIV/0!</v>
      </c>
      <c r="Z299" s="8">
        <f t="shared" si="195"/>
        <v>-0.8</v>
      </c>
      <c r="AA299" s="8">
        <f t="shared" si="196"/>
        <v>0</v>
      </c>
      <c r="AB299" s="8">
        <f t="shared" si="197"/>
        <v>2</v>
      </c>
      <c r="AC299" s="12" t="e">
        <f t="shared" si="198"/>
        <v>#DIV/0!</v>
      </c>
      <c r="AD299" s="12" t="e">
        <f t="shared" si="199"/>
        <v>#DIV/0!</v>
      </c>
      <c r="AE299" s="1">
        <f t="shared" si="200"/>
        <v>-1</v>
      </c>
      <c r="AF299" s="1">
        <f t="shared" si="201"/>
        <v>-2</v>
      </c>
      <c r="AG299" s="1">
        <f t="shared" si="202"/>
        <v>5</v>
      </c>
      <c r="AH299" s="1">
        <f t="shared" si="203"/>
        <v>-4</v>
      </c>
      <c r="AI299" s="1">
        <f t="shared" si="204"/>
        <v>0</v>
      </c>
      <c r="AJ299" s="1">
        <f t="shared" si="205"/>
        <v>2</v>
      </c>
      <c r="AK299" s="17">
        <f t="shared" si="206"/>
        <v>0</v>
      </c>
      <c r="AL299" s="17">
        <f t="shared" si="207"/>
        <v>-0.5</v>
      </c>
      <c r="AM299" s="1">
        <f t="shared" si="208"/>
        <v>-0.33333333333333331</v>
      </c>
      <c r="AN299" s="1">
        <f t="shared" si="209"/>
        <v>-1</v>
      </c>
      <c r="AO299" s="1" t="e">
        <f t="shared" si="210"/>
        <v>#DIV/0!</v>
      </c>
      <c r="AP299" s="1">
        <f t="shared" si="211"/>
        <v>-0.8</v>
      </c>
      <c r="AQ299" s="1">
        <f t="shared" si="212"/>
        <v>0</v>
      </c>
      <c r="AR299" s="1">
        <f t="shared" si="213"/>
        <v>2</v>
      </c>
      <c r="AS299" s="12" t="e">
        <f t="shared" si="214"/>
        <v>#DIV/0!</v>
      </c>
      <c r="AT299" s="12" t="e">
        <f t="shared" si="215"/>
        <v>#DIV/0!</v>
      </c>
      <c r="AU299" s="1">
        <f t="shared" si="216"/>
        <v>-1</v>
      </c>
      <c r="AV299" s="1">
        <f t="shared" si="217"/>
        <v>-2</v>
      </c>
      <c r="AW299" s="1">
        <f t="shared" si="218"/>
        <v>5</v>
      </c>
      <c r="AX299" s="1">
        <f t="shared" si="219"/>
        <v>-4</v>
      </c>
      <c r="AY299" s="1">
        <f t="shared" si="220"/>
        <v>0</v>
      </c>
      <c r="AZ299" s="1">
        <f t="shared" si="221"/>
        <v>2</v>
      </c>
      <c r="BA299" s="19">
        <f t="shared" si="222"/>
        <v>0</v>
      </c>
      <c r="BB299" s="19">
        <f t="shared" si="223"/>
        <v>-0.5</v>
      </c>
      <c r="BC299" s="9" t="e">
        <f t="shared" si="224"/>
        <v>#DIV/0!</v>
      </c>
      <c r="BD299" s="9" t="e">
        <f t="shared" si="225"/>
        <v>#DIV/0!</v>
      </c>
      <c r="BE299" s="9" t="e">
        <f t="shared" si="226"/>
        <v>#DIV/0!</v>
      </c>
      <c r="BF299" s="9" t="e">
        <f t="shared" si="227"/>
        <v>#DIV/0!</v>
      </c>
      <c r="BG299" s="9" t="e">
        <f t="shared" si="228"/>
        <v>#DIV/0!</v>
      </c>
      <c r="BH299" s="9" t="e">
        <f t="shared" si="229"/>
        <v>#DIV/0!</v>
      </c>
      <c r="BI299" s="12" t="e">
        <f t="shared" si="230"/>
        <v>#DIV/0!</v>
      </c>
      <c r="BJ299" s="13" t="e">
        <f t="shared" si="231"/>
        <v>#DIV/0!</v>
      </c>
      <c r="BK299" s="1">
        <f t="shared" si="232"/>
        <v>0</v>
      </c>
      <c r="BL299" s="1">
        <f t="shared" si="233"/>
        <v>0</v>
      </c>
      <c r="BM299" s="1">
        <f t="shared" si="234"/>
        <v>0</v>
      </c>
      <c r="BN299" s="1">
        <f t="shared" si="235"/>
        <v>0</v>
      </c>
      <c r="BO299" s="1">
        <f t="shared" si="236"/>
        <v>0</v>
      </c>
      <c r="BP299" s="1">
        <f t="shared" si="237"/>
        <v>0</v>
      </c>
      <c r="BQ299" s="19">
        <f t="shared" si="238"/>
        <v>0</v>
      </c>
      <c r="BR299" s="17">
        <f t="shared" si="239"/>
        <v>0</v>
      </c>
    </row>
    <row r="300" spans="1:70" x14ac:dyDescent="0.25">
      <c r="A300" t="s">
        <v>428</v>
      </c>
      <c r="B300">
        <v>3</v>
      </c>
      <c r="C300">
        <v>5</v>
      </c>
      <c r="D300">
        <v>1</v>
      </c>
      <c r="E300">
        <v>4</v>
      </c>
      <c r="F300">
        <v>3</v>
      </c>
      <c r="G300">
        <v>1</v>
      </c>
      <c r="H300">
        <v>3</v>
      </c>
      <c r="I300">
        <v>2</v>
      </c>
      <c r="J300">
        <v>3</v>
      </c>
      <c r="K300">
        <v>1</v>
      </c>
      <c r="L300">
        <v>3</v>
      </c>
      <c r="M300">
        <v>2</v>
      </c>
      <c r="N300">
        <v>1</v>
      </c>
      <c r="O300">
        <v>1</v>
      </c>
      <c r="P300">
        <v>1</v>
      </c>
      <c r="Q300">
        <v>2</v>
      </c>
      <c r="S300">
        <v>1</v>
      </c>
      <c r="T300">
        <v>1</v>
      </c>
      <c r="V300">
        <v>2</v>
      </c>
      <c r="W300" s="8">
        <f t="shared" si="192"/>
        <v>0.66666666666666663</v>
      </c>
      <c r="X300" s="8">
        <f t="shared" si="193"/>
        <v>-0.8</v>
      </c>
      <c r="Y300" s="8">
        <f t="shared" si="194"/>
        <v>3</v>
      </c>
      <c r="Z300" s="8">
        <f t="shared" si="195"/>
        <v>-0.25</v>
      </c>
      <c r="AA300" s="8">
        <f t="shared" si="196"/>
        <v>-0.66666666666666663</v>
      </c>
      <c r="AB300" s="8">
        <f t="shared" si="197"/>
        <v>2</v>
      </c>
      <c r="AC300" s="12">
        <f t="shared" si="198"/>
        <v>0.65833333333333333</v>
      </c>
      <c r="AD300" s="12">
        <f t="shared" si="199"/>
        <v>0.20833333333333331</v>
      </c>
      <c r="AE300" s="1">
        <f t="shared" si="200"/>
        <v>2</v>
      </c>
      <c r="AF300" s="1">
        <f t="shared" si="201"/>
        <v>-4</v>
      </c>
      <c r="AG300" s="1">
        <f t="shared" si="202"/>
        <v>3</v>
      </c>
      <c r="AH300" s="1">
        <f t="shared" si="203"/>
        <v>-1</v>
      </c>
      <c r="AI300" s="1">
        <f t="shared" si="204"/>
        <v>-2</v>
      </c>
      <c r="AJ300" s="1">
        <f t="shared" si="205"/>
        <v>2</v>
      </c>
      <c r="AK300" s="17">
        <f t="shared" si="206"/>
        <v>0</v>
      </c>
      <c r="AL300" s="17">
        <f t="shared" si="207"/>
        <v>0.5</v>
      </c>
      <c r="AM300" s="1">
        <f t="shared" si="208"/>
        <v>0.5</v>
      </c>
      <c r="AN300" s="1">
        <f t="shared" si="209"/>
        <v>-0.66666666666666663</v>
      </c>
      <c r="AO300" s="1">
        <f t="shared" si="210"/>
        <v>2</v>
      </c>
      <c r="AP300" s="1">
        <f t="shared" si="211"/>
        <v>-0.33333333333333331</v>
      </c>
      <c r="AQ300" s="1">
        <f t="shared" si="212"/>
        <v>-0.5</v>
      </c>
      <c r="AR300" s="1">
        <f t="shared" si="213"/>
        <v>0</v>
      </c>
      <c r="AS300" s="12">
        <f t="shared" si="214"/>
        <v>0.16666666666666671</v>
      </c>
      <c r="AT300" s="12">
        <f t="shared" si="215"/>
        <v>-0.16666666666666666</v>
      </c>
      <c r="AU300" s="1">
        <f t="shared" si="216"/>
        <v>1</v>
      </c>
      <c r="AV300" s="1">
        <f t="shared" si="217"/>
        <v>-2</v>
      </c>
      <c r="AW300" s="1">
        <f t="shared" si="218"/>
        <v>2</v>
      </c>
      <c r="AX300" s="1">
        <f t="shared" si="219"/>
        <v>-1</v>
      </c>
      <c r="AY300" s="1">
        <f t="shared" si="220"/>
        <v>-1</v>
      </c>
      <c r="AZ300" s="1">
        <f t="shared" si="221"/>
        <v>0</v>
      </c>
      <c r="BA300" s="19">
        <f t="shared" si="222"/>
        <v>-0.16666666666666666</v>
      </c>
      <c r="BB300" s="19">
        <f t="shared" si="223"/>
        <v>-0.5</v>
      </c>
      <c r="BC300" s="9">
        <f t="shared" si="224"/>
        <v>1</v>
      </c>
      <c r="BD300" s="9">
        <f t="shared" si="225"/>
        <v>-1</v>
      </c>
      <c r="BE300" s="9" t="e">
        <f t="shared" si="226"/>
        <v>#DIV/0!</v>
      </c>
      <c r="BF300" s="9">
        <f t="shared" si="227"/>
        <v>0</v>
      </c>
      <c r="BG300" s="9">
        <f t="shared" si="228"/>
        <v>-1</v>
      </c>
      <c r="BH300" s="9" t="e">
        <f t="shared" si="229"/>
        <v>#DIV/0!</v>
      </c>
      <c r="BI300" s="12" t="e">
        <f t="shared" si="230"/>
        <v>#DIV/0!</v>
      </c>
      <c r="BJ300" s="13" t="e">
        <f t="shared" si="231"/>
        <v>#DIV/0!</v>
      </c>
      <c r="BK300" s="1">
        <f t="shared" si="232"/>
        <v>1</v>
      </c>
      <c r="BL300" s="1">
        <f t="shared" si="233"/>
        <v>-2</v>
      </c>
      <c r="BM300" s="1">
        <f t="shared" si="234"/>
        <v>1</v>
      </c>
      <c r="BN300" s="1">
        <f t="shared" si="235"/>
        <v>0</v>
      </c>
      <c r="BO300" s="1">
        <f t="shared" si="236"/>
        <v>-1</v>
      </c>
      <c r="BP300" s="1">
        <f t="shared" si="237"/>
        <v>2</v>
      </c>
      <c r="BQ300" s="19">
        <f t="shared" si="238"/>
        <v>0.16666666666666666</v>
      </c>
      <c r="BR300" s="17">
        <f t="shared" si="239"/>
        <v>0.5</v>
      </c>
    </row>
    <row r="301" spans="1:70" x14ac:dyDescent="0.25">
      <c r="A301" t="s">
        <v>433</v>
      </c>
      <c r="B301">
        <v>3</v>
      </c>
      <c r="C301">
        <v>6</v>
      </c>
      <c r="D301">
        <v>7</v>
      </c>
      <c r="E301">
        <v>5</v>
      </c>
      <c r="F301">
        <v>9</v>
      </c>
      <c r="G301">
        <v>6</v>
      </c>
      <c r="H301">
        <v>3</v>
      </c>
      <c r="I301">
        <v>1</v>
      </c>
      <c r="J301">
        <v>3</v>
      </c>
      <c r="K301">
        <v>5</v>
      </c>
      <c r="L301">
        <v>5</v>
      </c>
      <c r="M301">
        <v>5</v>
      </c>
      <c r="N301">
        <v>3</v>
      </c>
      <c r="O301">
        <v>2</v>
      </c>
      <c r="P301">
        <v>2</v>
      </c>
      <c r="Q301">
        <v>3</v>
      </c>
      <c r="R301">
        <v>2</v>
      </c>
      <c r="T301">
        <v>4</v>
      </c>
      <c r="U301">
        <v>3</v>
      </c>
      <c r="V301">
        <v>1</v>
      </c>
      <c r="W301" s="8">
        <f t="shared" si="192"/>
        <v>1</v>
      </c>
      <c r="X301" s="8">
        <f t="shared" si="193"/>
        <v>0.16666666666666666</v>
      </c>
      <c r="Y301" s="8">
        <f t="shared" si="194"/>
        <v>-0.2857142857142857</v>
      </c>
      <c r="Z301" s="8">
        <f t="shared" si="195"/>
        <v>0.8</v>
      </c>
      <c r="AA301" s="8">
        <f t="shared" si="196"/>
        <v>-0.33333333333333331</v>
      </c>
      <c r="AB301" s="8">
        <f t="shared" si="197"/>
        <v>-0.5</v>
      </c>
      <c r="AC301" s="12">
        <f t="shared" si="198"/>
        <v>0.14126984126984132</v>
      </c>
      <c r="AD301" s="12">
        <f t="shared" si="199"/>
        <v>-5.9523809523809534E-2</v>
      </c>
      <c r="AE301" s="1">
        <f t="shared" si="200"/>
        <v>3</v>
      </c>
      <c r="AF301" s="1">
        <f t="shared" si="201"/>
        <v>1</v>
      </c>
      <c r="AG301" s="1">
        <f t="shared" si="202"/>
        <v>-2</v>
      </c>
      <c r="AH301" s="1">
        <f t="shared" si="203"/>
        <v>4</v>
      </c>
      <c r="AI301" s="1">
        <f t="shared" si="204"/>
        <v>-3</v>
      </c>
      <c r="AJ301" s="1">
        <f t="shared" si="205"/>
        <v>-3</v>
      </c>
      <c r="AK301" s="17">
        <f t="shared" si="206"/>
        <v>0</v>
      </c>
      <c r="AL301" s="17">
        <f t="shared" si="207"/>
        <v>-0.5</v>
      </c>
      <c r="AM301" s="1">
        <f t="shared" si="208"/>
        <v>2</v>
      </c>
      <c r="AN301" s="1">
        <f t="shared" si="209"/>
        <v>0.66666666666666663</v>
      </c>
      <c r="AO301" s="1">
        <f t="shared" si="210"/>
        <v>0</v>
      </c>
      <c r="AP301" s="1">
        <f t="shared" si="211"/>
        <v>0</v>
      </c>
      <c r="AQ301" s="1">
        <f t="shared" si="212"/>
        <v>-0.4</v>
      </c>
      <c r="AR301" s="1">
        <f t="shared" si="213"/>
        <v>-0.33333333333333331</v>
      </c>
      <c r="AS301" s="12">
        <f t="shared" si="214"/>
        <v>0.32222222222222224</v>
      </c>
      <c r="AT301" s="12">
        <f t="shared" si="215"/>
        <v>0</v>
      </c>
      <c r="AU301" s="1">
        <f t="shared" si="216"/>
        <v>2</v>
      </c>
      <c r="AV301" s="1">
        <f t="shared" si="217"/>
        <v>2</v>
      </c>
      <c r="AW301" s="1">
        <f t="shared" si="218"/>
        <v>0</v>
      </c>
      <c r="AX301" s="1">
        <f t="shared" si="219"/>
        <v>0</v>
      </c>
      <c r="AY301" s="1">
        <f t="shared" si="220"/>
        <v>-2</v>
      </c>
      <c r="AZ301" s="1">
        <f t="shared" si="221"/>
        <v>-1</v>
      </c>
      <c r="BA301" s="19">
        <f t="shared" si="222"/>
        <v>0.16666666666666666</v>
      </c>
      <c r="BB301" s="19">
        <f t="shared" si="223"/>
        <v>0</v>
      </c>
      <c r="BC301" s="9">
        <f t="shared" si="224"/>
        <v>0.5</v>
      </c>
      <c r="BD301" s="9">
        <f t="shared" si="225"/>
        <v>-0.33333333333333331</v>
      </c>
      <c r="BE301" s="9">
        <f t="shared" si="226"/>
        <v>-1</v>
      </c>
      <c r="BF301" s="9" t="e">
        <f t="shared" si="227"/>
        <v>#DIV/0!</v>
      </c>
      <c r="BG301" s="9">
        <f t="shared" si="228"/>
        <v>-0.25</v>
      </c>
      <c r="BH301" s="9">
        <f t="shared" si="229"/>
        <v>-0.66666666666666663</v>
      </c>
      <c r="BI301" s="12" t="e">
        <f t="shared" si="230"/>
        <v>#DIV/0!</v>
      </c>
      <c r="BJ301" s="13" t="e">
        <f t="shared" si="231"/>
        <v>#DIV/0!</v>
      </c>
      <c r="BK301" s="1">
        <f t="shared" si="232"/>
        <v>1</v>
      </c>
      <c r="BL301" s="1">
        <f t="shared" si="233"/>
        <v>-1</v>
      </c>
      <c r="BM301" s="1">
        <f t="shared" si="234"/>
        <v>-2</v>
      </c>
      <c r="BN301" s="1">
        <f t="shared" si="235"/>
        <v>4</v>
      </c>
      <c r="BO301" s="1">
        <f t="shared" si="236"/>
        <v>-1</v>
      </c>
      <c r="BP301" s="1">
        <f t="shared" si="237"/>
        <v>-2</v>
      </c>
      <c r="BQ301" s="19">
        <f t="shared" si="238"/>
        <v>-0.16666666666666666</v>
      </c>
      <c r="BR301" s="17">
        <f t="shared" si="239"/>
        <v>-1</v>
      </c>
    </row>
    <row r="302" spans="1:70" x14ac:dyDescent="0.25">
      <c r="A302" t="s">
        <v>449</v>
      </c>
      <c r="B302">
        <v>2</v>
      </c>
      <c r="C302">
        <v>1</v>
      </c>
      <c r="D302">
        <v>3</v>
      </c>
      <c r="E302">
        <v>3</v>
      </c>
      <c r="G302">
        <v>2</v>
      </c>
      <c r="H302">
        <v>2</v>
      </c>
      <c r="I302">
        <v>1</v>
      </c>
      <c r="K302">
        <v>1</v>
      </c>
      <c r="L302">
        <v>3</v>
      </c>
      <c r="N302">
        <v>1</v>
      </c>
      <c r="O302">
        <v>1</v>
      </c>
      <c r="P302">
        <v>1</v>
      </c>
      <c r="Q302">
        <v>1</v>
      </c>
      <c r="R302">
        <v>2</v>
      </c>
      <c r="U302">
        <v>1</v>
      </c>
      <c r="V302">
        <v>1</v>
      </c>
      <c r="W302" s="8">
        <f t="shared" si="192"/>
        <v>-0.5</v>
      </c>
      <c r="X302" s="8">
        <f t="shared" si="193"/>
        <v>2</v>
      </c>
      <c r="Y302" s="8">
        <f t="shared" si="194"/>
        <v>0</v>
      </c>
      <c r="Z302" s="8">
        <f t="shared" si="195"/>
        <v>-1</v>
      </c>
      <c r="AA302" s="8" t="e">
        <f t="shared" si="196"/>
        <v>#DIV/0!</v>
      </c>
      <c r="AB302" s="8">
        <f t="shared" si="197"/>
        <v>0</v>
      </c>
      <c r="AC302" s="12" t="e">
        <f t="shared" si="198"/>
        <v>#DIV/0!</v>
      </c>
      <c r="AD302" s="12" t="e">
        <f t="shared" si="199"/>
        <v>#DIV/0!</v>
      </c>
      <c r="AE302" s="1">
        <f t="shared" si="200"/>
        <v>-1</v>
      </c>
      <c r="AF302" s="1">
        <f t="shared" si="201"/>
        <v>2</v>
      </c>
      <c r="AG302" s="1">
        <f t="shared" si="202"/>
        <v>0</v>
      </c>
      <c r="AH302" s="1">
        <f t="shared" si="203"/>
        <v>-3</v>
      </c>
      <c r="AI302" s="1">
        <f t="shared" si="204"/>
        <v>2</v>
      </c>
      <c r="AJ302" s="1">
        <f t="shared" si="205"/>
        <v>0</v>
      </c>
      <c r="AK302" s="17">
        <f t="shared" si="206"/>
        <v>0</v>
      </c>
      <c r="AL302" s="17">
        <f t="shared" si="207"/>
        <v>0</v>
      </c>
      <c r="AM302" s="1">
        <f t="shared" si="208"/>
        <v>-1</v>
      </c>
      <c r="AN302" s="1" t="e">
        <f t="shared" si="209"/>
        <v>#DIV/0!</v>
      </c>
      <c r="AO302" s="1">
        <f t="shared" si="210"/>
        <v>2</v>
      </c>
      <c r="AP302" s="1">
        <f t="shared" si="211"/>
        <v>-1</v>
      </c>
      <c r="AQ302" s="1" t="e">
        <f t="shared" si="212"/>
        <v>#DIV/0!</v>
      </c>
      <c r="AR302" s="1">
        <f t="shared" si="213"/>
        <v>0</v>
      </c>
      <c r="AS302" s="12" t="e">
        <f t="shared" si="214"/>
        <v>#DIV/0!</v>
      </c>
      <c r="AT302" s="12" t="e">
        <f t="shared" si="215"/>
        <v>#DIV/0!</v>
      </c>
      <c r="AU302" s="1">
        <f t="shared" si="216"/>
        <v>-1</v>
      </c>
      <c r="AV302" s="1">
        <f t="shared" si="217"/>
        <v>1</v>
      </c>
      <c r="AW302" s="1">
        <f t="shared" si="218"/>
        <v>2</v>
      </c>
      <c r="AX302" s="1">
        <f t="shared" si="219"/>
        <v>-3</v>
      </c>
      <c r="AY302" s="1">
        <f t="shared" si="220"/>
        <v>1</v>
      </c>
      <c r="AZ302" s="1">
        <f t="shared" si="221"/>
        <v>0</v>
      </c>
      <c r="BA302" s="19">
        <f t="shared" si="222"/>
        <v>0</v>
      </c>
      <c r="BB302" s="19">
        <f t="shared" si="223"/>
        <v>0.5</v>
      </c>
      <c r="BC302" s="9">
        <f t="shared" si="224"/>
        <v>0</v>
      </c>
      <c r="BD302" s="9">
        <f t="shared" si="225"/>
        <v>1</v>
      </c>
      <c r="BE302" s="9">
        <f t="shared" si="226"/>
        <v>-1</v>
      </c>
      <c r="BF302" s="9" t="e">
        <f t="shared" si="227"/>
        <v>#DIV/0!</v>
      </c>
      <c r="BG302" s="9" t="e">
        <f t="shared" si="228"/>
        <v>#DIV/0!</v>
      </c>
      <c r="BH302" s="9">
        <f t="shared" si="229"/>
        <v>0</v>
      </c>
      <c r="BI302" s="12" t="e">
        <f t="shared" si="230"/>
        <v>#DIV/0!</v>
      </c>
      <c r="BJ302" s="13" t="e">
        <f t="shared" si="231"/>
        <v>#DIV/0!</v>
      </c>
      <c r="BK302" s="1">
        <f t="shared" si="232"/>
        <v>0</v>
      </c>
      <c r="BL302" s="1">
        <f t="shared" si="233"/>
        <v>1</v>
      </c>
      <c r="BM302" s="1">
        <f t="shared" si="234"/>
        <v>-2</v>
      </c>
      <c r="BN302" s="1">
        <f t="shared" si="235"/>
        <v>0</v>
      </c>
      <c r="BO302" s="1">
        <f t="shared" si="236"/>
        <v>1</v>
      </c>
      <c r="BP302" s="1">
        <f t="shared" si="237"/>
        <v>0</v>
      </c>
      <c r="BQ302" s="19">
        <f t="shared" si="238"/>
        <v>0</v>
      </c>
      <c r="BR302" s="17">
        <f t="shared" si="239"/>
        <v>0</v>
      </c>
    </row>
    <row r="303" spans="1:70" x14ac:dyDescent="0.25">
      <c r="A303" t="s">
        <v>454</v>
      </c>
      <c r="B303">
        <v>2</v>
      </c>
      <c r="C303">
        <v>2</v>
      </c>
      <c r="E303">
        <v>5</v>
      </c>
      <c r="F303">
        <v>1</v>
      </c>
      <c r="G303">
        <v>3</v>
      </c>
      <c r="H303">
        <v>2</v>
      </c>
      <c r="L303">
        <v>3</v>
      </c>
      <c r="M303">
        <v>1</v>
      </c>
      <c r="N303">
        <v>3</v>
      </c>
      <c r="O303">
        <v>1</v>
      </c>
      <c r="P303">
        <v>2</v>
      </c>
      <c r="Q303">
        <v>2</v>
      </c>
      <c r="S303">
        <v>2</v>
      </c>
      <c r="V303">
        <v>1</v>
      </c>
      <c r="W303" s="8">
        <f t="shared" si="192"/>
        <v>0</v>
      </c>
      <c r="X303" s="8">
        <f t="shared" si="193"/>
        <v>-1</v>
      </c>
      <c r="Y303" s="8" t="e">
        <f t="shared" si="194"/>
        <v>#DIV/0!</v>
      </c>
      <c r="Z303" s="8">
        <f t="shared" si="195"/>
        <v>-0.8</v>
      </c>
      <c r="AA303" s="8">
        <f t="shared" si="196"/>
        <v>2</v>
      </c>
      <c r="AB303" s="8">
        <f t="shared" si="197"/>
        <v>-0.33333333333333331</v>
      </c>
      <c r="AC303" s="12" t="e">
        <f t="shared" si="198"/>
        <v>#DIV/0!</v>
      </c>
      <c r="AD303" s="12" t="e">
        <f t="shared" si="199"/>
        <v>#DIV/0!</v>
      </c>
      <c r="AE303" s="1">
        <f t="shared" si="200"/>
        <v>0</v>
      </c>
      <c r="AF303" s="1">
        <f t="shared" si="201"/>
        <v>-2</v>
      </c>
      <c r="AG303" s="1">
        <f t="shared" si="202"/>
        <v>5</v>
      </c>
      <c r="AH303" s="1">
        <f t="shared" si="203"/>
        <v>-4</v>
      </c>
      <c r="AI303" s="1">
        <f t="shared" si="204"/>
        <v>2</v>
      </c>
      <c r="AJ303" s="1">
        <f t="shared" si="205"/>
        <v>-1</v>
      </c>
      <c r="AK303" s="17">
        <f t="shared" si="206"/>
        <v>0</v>
      </c>
      <c r="AL303" s="17">
        <f t="shared" si="207"/>
        <v>-0.5</v>
      </c>
      <c r="AM303" s="1" t="e">
        <f t="shared" si="208"/>
        <v>#DIV/0!</v>
      </c>
      <c r="AN303" s="1" t="e">
        <f t="shared" si="209"/>
        <v>#DIV/0!</v>
      </c>
      <c r="AO303" s="1" t="e">
        <f t="shared" si="210"/>
        <v>#DIV/0!</v>
      </c>
      <c r="AP303" s="1">
        <f t="shared" si="211"/>
        <v>-0.66666666666666663</v>
      </c>
      <c r="AQ303" s="1">
        <f t="shared" si="212"/>
        <v>2</v>
      </c>
      <c r="AR303" s="1">
        <f t="shared" si="213"/>
        <v>-0.66666666666666663</v>
      </c>
      <c r="AS303" s="12" t="e">
        <f t="shared" si="214"/>
        <v>#DIV/0!</v>
      </c>
      <c r="AT303" s="12" t="e">
        <f t="shared" si="215"/>
        <v>#DIV/0!</v>
      </c>
      <c r="AU303" s="1">
        <f t="shared" si="216"/>
        <v>0</v>
      </c>
      <c r="AV303" s="1">
        <f t="shared" si="217"/>
        <v>0</v>
      </c>
      <c r="AW303" s="1">
        <f t="shared" si="218"/>
        <v>3</v>
      </c>
      <c r="AX303" s="1">
        <f t="shared" si="219"/>
        <v>-2</v>
      </c>
      <c r="AY303" s="1">
        <f t="shared" si="220"/>
        <v>2</v>
      </c>
      <c r="AZ303" s="1">
        <f t="shared" si="221"/>
        <v>-2</v>
      </c>
      <c r="BA303" s="19">
        <f t="shared" si="222"/>
        <v>0.16666666666666666</v>
      </c>
      <c r="BB303" s="19">
        <f t="shared" si="223"/>
        <v>0</v>
      </c>
      <c r="BC303" s="9">
        <f t="shared" si="224"/>
        <v>0</v>
      </c>
      <c r="BD303" s="9">
        <f t="shared" si="225"/>
        <v>-1</v>
      </c>
      <c r="BE303" s="9" t="e">
        <f t="shared" si="226"/>
        <v>#DIV/0!</v>
      </c>
      <c r="BF303" s="9">
        <f t="shared" si="227"/>
        <v>-1</v>
      </c>
      <c r="BG303" s="9" t="e">
        <f t="shared" si="228"/>
        <v>#DIV/0!</v>
      </c>
      <c r="BH303" s="9" t="e">
        <f t="shared" si="229"/>
        <v>#DIV/0!</v>
      </c>
      <c r="BI303" s="12" t="e">
        <f t="shared" si="230"/>
        <v>#DIV/0!</v>
      </c>
      <c r="BJ303" s="13" t="e">
        <f t="shared" si="231"/>
        <v>#DIV/0!</v>
      </c>
      <c r="BK303" s="1">
        <f t="shared" si="232"/>
        <v>0</v>
      </c>
      <c r="BL303" s="1">
        <f t="shared" si="233"/>
        <v>-2</v>
      </c>
      <c r="BM303" s="1">
        <f t="shared" si="234"/>
        <v>2</v>
      </c>
      <c r="BN303" s="1">
        <f t="shared" si="235"/>
        <v>-2</v>
      </c>
      <c r="BO303" s="1">
        <f t="shared" si="236"/>
        <v>0</v>
      </c>
      <c r="BP303" s="1">
        <f t="shared" si="237"/>
        <v>1</v>
      </c>
      <c r="BQ303" s="19">
        <f t="shared" si="238"/>
        <v>-0.16666666666666666</v>
      </c>
      <c r="BR303" s="17">
        <f t="shared" si="239"/>
        <v>0</v>
      </c>
    </row>
    <row r="304" spans="1:70" x14ac:dyDescent="0.25">
      <c r="A304" t="s">
        <v>455</v>
      </c>
      <c r="B304">
        <v>2</v>
      </c>
      <c r="D304">
        <v>4</v>
      </c>
      <c r="E304">
        <v>2</v>
      </c>
      <c r="G304">
        <v>3</v>
      </c>
      <c r="H304">
        <v>2</v>
      </c>
      <c r="I304">
        <v>2</v>
      </c>
      <c r="K304">
        <v>3</v>
      </c>
      <c r="L304">
        <v>1</v>
      </c>
      <c r="N304">
        <v>1</v>
      </c>
      <c r="O304">
        <v>1</v>
      </c>
      <c r="R304">
        <v>1</v>
      </c>
      <c r="S304">
        <v>1</v>
      </c>
      <c r="U304">
        <v>2</v>
      </c>
      <c r="V304">
        <v>1</v>
      </c>
      <c r="W304" s="8">
        <f t="shared" si="192"/>
        <v>-1</v>
      </c>
      <c r="X304" s="8" t="e">
        <f t="shared" si="193"/>
        <v>#DIV/0!</v>
      </c>
      <c r="Y304" s="8">
        <f t="shared" si="194"/>
        <v>-0.5</v>
      </c>
      <c r="Z304" s="8">
        <f t="shared" si="195"/>
        <v>-1</v>
      </c>
      <c r="AA304" s="8" t="e">
        <f t="shared" si="196"/>
        <v>#DIV/0!</v>
      </c>
      <c r="AB304" s="8">
        <f t="shared" si="197"/>
        <v>-0.33333333333333331</v>
      </c>
      <c r="AC304" s="12" t="e">
        <f t="shared" si="198"/>
        <v>#DIV/0!</v>
      </c>
      <c r="AD304" s="12" t="e">
        <f t="shared" si="199"/>
        <v>#DIV/0!</v>
      </c>
      <c r="AE304" s="1">
        <f t="shared" si="200"/>
        <v>-2</v>
      </c>
      <c r="AF304" s="1">
        <f t="shared" si="201"/>
        <v>4</v>
      </c>
      <c r="AG304" s="1">
        <f t="shared" si="202"/>
        <v>-2</v>
      </c>
      <c r="AH304" s="1">
        <f t="shared" si="203"/>
        <v>-2</v>
      </c>
      <c r="AI304" s="1">
        <f t="shared" si="204"/>
        <v>3</v>
      </c>
      <c r="AJ304" s="1">
        <f t="shared" si="205"/>
        <v>-1</v>
      </c>
      <c r="AK304" s="17">
        <f t="shared" si="206"/>
        <v>0</v>
      </c>
      <c r="AL304" s="17">
        <f t="shared" si="207"/>
        <v>-1.5</v>
      </c>
      <c r="AM304" s="1">
        <f t="shared" si="208"/>
        <v>-1</v>
      </c>
      <c r="AN304" s="1" t="e">
        <f t="shared" si="209"/>
        <v>#DIV/0!</v>
      </c>
      <c r="AO304" s="1">
        <f t="shared" si="210"/>
        <v>-0.66666666666666663</v>
      </c>
      <c r="AP304" s="1">
        <f t="shared" si="211"/>
        <v>-1</v>
      </c>
      <c r="AQ304" s="1" t="e">
        <f t="shared" si="212"/>
        <v>#DIV/0!</v>
      </c>
      <c r="AR304" s="1">
        <f t="shared" si="213"/>
        <v>0</v>
      </c>
      <c r="AS304" s="12" t="e">
        <f t="shared" si="214"/>
        <v>#DIV/0!</v>
      </c>
      <c r="AT304" s="12" t="e">
        <f t="shared" si="215"/>
        <v>#DIV/0!</v>
      </c>
      <c r="AU304" s="1">
        <f t="shared" si="216"/>
        <v>-2</v>
      </c>
      <c r="AV304" s="1">
        <f t="shared" si="217"/>
        <v>3</v>
      </c>
      <c r="AW304" s="1">
        <f t="shared" si="218"/>
        <v>-2</v>
      </c>
      <c r="AX304" s="1">
        <f t="shared" si="219"/>
        <v>-1</v>
      </c>
      <c r="AY304" s="1">
        <f t="shared" si="220"/>
        <v>1</v>
      </c>
      <c r="AZ304" s="1">
        <f t="shared" si="221"/>
        <v>0</v>
      </c>
      <c r="BA304" s="19">
        <f t="shared" si="222"/>
        <v>-0.16666666666666666</v>
      </c>
      <c r="BB304" s="19">
        <f t="shared" si="223"/>
        <v>-0.5</v>
      </c>
      <c r="BC304" s="9" t="e">
        <f t="shared" si="224"/>
        <v>#DIV/0!</v>
      </c>
      <c r="BD304" s="9" t="e">
        <f t="shared" si="225"/>
        <v>#DIV/0!</v>
      </c>
      <c r="BE304" s="9">
        <f t="shared" si="226"/>
        <v>0</v>
      </c>
      <c r="BF304" s="9">
        <f t="shared" si="227"/>
        <v>-1</v>
      </c>
      <c r="BG304" s="9" t="e">
        <f t="shared" si="228"/>
        <v>#DIV/0!</v>
      </c>
      <c r="BH304" s="9">
        <f t="shared" si="229"/>
        <v>-0.5</v>
      </c>
      <c r="BI304" s="12" t="e">
        <f t="shared" si="230"/>
        <v>#DIV/0!</v>
      </c>
      <c r="BJ304" s="13" t="e">
        <f t="shared" si="231"/>
        <v>#DIV/0!</v>
      </c>
      <c r="BK304" s="1">
        <f t="shared" si="232"/>
        <v>0</v>
      </c>
      <c r="BL304" s="1">
        <f t="shared" si="233"/>
        <v>1</v>
      </c>
      <c r="BM304" s="1">
        <f t="shared" si="234"/>
        <v>0</v>
      </c>
      <c r="BN304" s="1">
        <f t="shared" si="235"/>
        <v>-1</v>
      </c>
      <c r="BO304" s="1">
        <f t="shared" si="236"/>
        <v>2</v>
      </c>
      <c r="BP304" s="1">
        <f t="shared" si="237"/>
        <v>-1</v>
      </c>
      <c r="BQ304" s="19">
        <f t="shared" si="238"/>
        <v>0.16666666666666666</v>
      </c>
      <c r="BR304" s="17">
        <f t="shared" si="239"/>
        <v>0</v>
      </c>
    </row>
    <row r="305" spans="1:70" x14ac:dyDescent="0.25">
      <c r="A305" t="s">
        <v>460</v>
      </c>
      <c r="B305">
        <v>2</v>
      </c>
      <c r="C305">
        <v>1</v>
      </c>
      <c r="F305">
        <v>2</v>
      </c>
      <c r="G305">
        <v>4</v>
      </c>
      <c r="H305">
        <v>2</v>
      </c>
      <c r="I305">
        <v>2</v>
      </c>
      <c r="J305">
        <v>1</v>
      </c>
      <c r="M305">
        <v>2</v>
      </c>
      <c r="N305">
        <v>1</v>
      </c>
      <c r="O305">
        <v>1</v>
      </c>
      <c r="U305">
        <v>3</v>
      </c>
      <c r="V305">
        <v>1</v>
      </c>
      <c r="W305" s="8">
        <f t="shared" si="192"/>
        <v>-0.5</v>
      </c>
      <c r="X305" s="8">
        <f t="shared" si="193"/>
        <v>-1</v>
      </c>
      <c r="Y305" s="8" t="e">
        <f t="shared" si="194"/>
        <v>#DIV/0!</v>
      </c>
      <c r="Z305" s="8" t="e">
        <f t="shared" si="195"/>
        <v>#DIV/0!</v>
      </c>
      <c r="AA305" s="8">
        <f t="shared" si="196"/>
        <v>1</v>
      </c>
      <c r="AB305" s="8">
        <f t="shared" si="197"/>
        <v>-0.5</v>
      </c>
      <c r="AC305" s="12" t="e">
        <f t="shared" si="198"/>
        <v>#DIV/0!</v>
      </c>
      <c r="AD305" s="12" t="e">
        <f t="shared" si="199"/>
        <v>#DIV/0!</v>
      </c>
      <c r="AE305" s="1">
        <f t="shared" si="200"/>
        <v>-1</v>
      </c>
      <c r="AF305" s="1">
        <f t="shared" si="201"/>
        <v>-1</v>
      </c>
      <c r="AG305" s="1">
        <f t="shared" si="202"/>
        <v>0</v>
      </c>
      <c r="AH305" s="1">
        <f t="shared" si="203"/>
        <v>2</v>
      </c>
      <c r="AI305" s="1">
        <f t="shared" si="204"/>
        <v>2</v>
      </c>
      <c r="AJ305" s="1">
        <f t="shared" si="205"/>
        <v>-2</v>
      </c>
      <c r="AK305" s="17">
        <f t="shared" si="206"/>
        <v>0</v>
      </c>
      <c r="AL305" s="17">
        <f t="shared" si="207"/>
        <v>-0.5</v>
      </c>
      <c r="AM305" s="1">
        <f t="shared" si="208"/>
        <v>-0.5</v>
      </c>
      <c r="AN305" s="1">
        <f t="shared" si="209"/>
        <v>-1</v>
      </c>
      <c r="AO305" s="1" t="e">
        <f t="shared" si="210"/>
        <v>#DIV/0!</v>
      </c>
      <c r="AP305" s="1" t="e">
        <f t="shared" si="211"/>
        <v>#DIV/0!</v>
      </c>
      <c r="AQ305" s="1">
        <f t="shared" si="212"/>
        <v>-0.5</v>
      </c>
      <c r="AR305" s="1">
        <f t="shared" si="213"/>
        <v>0</v>
      </c>
      <c r="AS305" s="12" t="e">
        <f t="shared" si="214"/>
        <v>#DIV/0!</v>
      </c>
      <c r="AT305" s="12" t="e">
        <f t="shared" si="215"/>
        <v>#DIV/0!</v>
      </c>
      <c r="AU305" s="1">
        <f t="shared" si="216"/>
        <v>-1</v>
      </c>
      <c r="AV305" s="1">
        <f t="shared" si="217"/>
        <v>-1</v>
      </c>
      <c r="AW305" s="1">
        <f t="shared" si="218"/>
        <v>0</v>
      </c>
      <c r="AX305" s="1">
        <f t="shared" si="219"/>
        <v>2</v>
      </c>
      <c r="AY305" s="1">
        <f t="shared" si="220"/>
        <v>-1</v>
      </c>
      <c r="AZ305" s="1">
        <f t="shared" si="221"/>
        <v>0</v>
      </c>
      <c r="BA305" s="19">
        <f t="shared" si="222"/>
        <v>-0.16666666666666666</v>
      </c>
      <c r="BB305" s="19">
        <f t="shared" si="223"/>
        <v>-0.5</v>
      </c>
      <c r="BC305" s="9" t="e">
        <f t="shared" si="224"/>
        <v>#DIV/0!</v>
      </c>
      <c r="BD305" s="9" t="e">
        <f t="shared" si="225"/>
        <v>#DIV/0!</v>
      </c>
      <c r="BE305" s="9" t="e">
        <f t="shared" si="226"/>
        <v>#DIV/0!</v>
      </c>
      <c r="BF305" s="9" t="e">
        <f t="shared" si="227"/>
        <v>#DIV/0!</v>
      </c>
      <c r="BG305" s="9" t="e">
        <f t="shared" si="228"/>
        <v>#DIV/0!</v>
      </c>
      <c r="BH305" s="9">
        <f t="shared" si="229"/>
        <v>-0.66666666666666663</v>
      </c>
      <c r="BI305" s="12" t="e">
        <f t="shared" si="230"/>
        <v>#DIV/0!</v>
      </c>
      <c r="BJ305" s="13" t="e">
        <f t="shared" si="231"/>
        <v>#DIV/0!</v>
      </c>
      <c r="BK305" s="1">
        <f t="shared" si="232"/>
        <v>0</v>
      </c>
      <c r="BL305" s="1">
        <f t="shared" si="233"/>
        <v>0</v>
      </c>
      <c r="BM305" s="1">
        <f t="shared" si="234"/>
        <v>0</v>
      </c>
      <c r="BN305" s="1">
        <f t="shared" si="235"/>
        <v>0</v>
      </c>
      <c r="BO305" s="1">
        <f t="shared" si="236"/>
        <v>3</v>
      </c>
      <c r="BP305" s="1">
        <f t="shared" si="237"/>
        <v>-2</v>
      </c>
      <c r="BQ305" s="19">
        <f t="shared" si="238"/>
        <v>0.16666666666666666</v>
      </c>
      <c r="BR305" s="17">
        <f t="shared" si="239"/>
        <v>0</v>
      </c>
    </row>
    <row r="306" spans="1:70" x14ac:dyDescent="0.25">
      <c r="A306" t="s">
        <v>461</v>
      </c>
      <c r="B306">
        <v>2</v>
      </c>
      <c r="C306">
        <v>1</v>
      </c>
      <c r="F306">
        <v>1</v>
      </c>
      <c r="H306">
        <v>2</v>
      </c>
      <c r="I306">
        <v>1</v>
      </c>
      <c r="J306">
        <v>1</v>
      </c>
      <c r="M306">
        <v>1</v>
      </c>
      <c r="O306">
        <v>2</v>
      </c>
      <c r="P306">
        <v>1</v>
      </c>
      <c r="W306" s="8">
        <f t="shared" si="192"/>
        <v>-0.5</v>
      </c>
      <c r="X306" s="8">
        <f t="shared" si="193"/>
        <v>-1</v>
      </c>
      <c r="Y306" s="8" t="e">
        <f t="shared" si="194"/>
        <v>#DIV/0!</v>
      </c>
      <c r="Z306" s="8" t="e">
        <f t="shared" si="195"/>
        <v>#DIV/0!</v>
      </c>
      <c r="AA306" s="8">
        <f t="shared" si="196"/>
        <v>-1</v>
      </c>
      <c r="AB306" s="8" t="e">
        <f t="shared" si="197"/>
        <v>#DIV/0!</v>
      </c>
      <c r="AC306" s="12" t="e">
        <f t="shared" si="198"/>
        <v>#DIV/0!</v>
      </c>
      <c r="AD306" s="12" t="e">
        <f t="shared" si="199"/>
        <v>#DIV/0!</v>
      </c>
      <c r="AE306" s="1">
        <f t="shared" si="200"/>
        <v>-1</v>
      </c>
      <c r="AF306" s="1">
        <f t="shared" si="201"/>
        <v>-1</v>
      </c>
      <c r="AG306" s="1">
        <f t="shared" si="202"/>
        <v>0</v>
      </c>
      <c r="AH306" s="1">
        <f t="shared" si="203"/>
        <v>1</v>
      </c>
      <c r="AI306" s="1">
        <f t="shared" si="204"/>
        <v>-1</v>
      </c>
      <c r="AJ306" s="1">
        <f t="shared" si="205"/>
        <v>2</v>
      </c>
      <c r="AK306" s="17">
        <f t="shared" si="206"/>
        <v>0</v>
      </c>
      <c r="AL306" s="17">
        <f t="shared" si="207"/>
        <v>-0.5</v>
      </c>
      <c r="AM306" s="1">
        <f t="shared" si="208"/>
        <v>0</v>
      </c>
      <c r="AN306" s="1">
        <f t="shared" si="209"/>
        <v>-1</v>
      </c>
      <c r="AO306" s="1" t="e">
        <f t="shared" si="210"/>
        <v>#DIV/0!</v>
      </c>
      <c r="AP306" s="1" t="e">
        <f t="shared" si="211"/>
        <v>#DIV/0!</v>
      </c>
      <c r="AQ306" s="1">
        <f t="shared" si="212"/>
        <v>-1</v>
      </c>
      <c r="AR306" s="1" t="e">
        <f t="shared" si="213"/>
        <v>#DIV/0!</v>
      </c>
      <c r="AS306" s="12" t="e">
        <f t="shared" si="214"/>
        <v>#DIV/0!</v>
      </c>
      <c r="AT306" s="12" t="e">
        <f t="shared" si="215"/>
        <v>#DIV/0!</v>
      </c>
      <c r="AU306" s="1">
        <f t="shared" si="216"/>
        <v>0</v>
      </c>
      <c r="AV306" s="1">
        <f t="shared" si="217"/>
        <v>-1</v>
      </c>
      <c r="AW306" s="1">
        <f t="shared" si="218"/>
        <v>0</v>
      </c>
      <c r="AX306" s="1">
        <f t="shared" si="219"/>
        <v>1</v>
      </c>
      <c r="AY306" s="1">
        <f t="shared" si="220"/>
        <v>-1</v>
      </c>
      <c r="AZ306" s="1">
        <f t="shared" si="221"/>
        <v>2</v>
      </c>
      <c r="BA306" s="19">
        <f t="shared" si="222"/>
        <v>0.16666666666666666</v>
      </c>
      <c r="BB306" s="19">
        <f t="shared" si="223"/>
        <v>0</v>
      </c>
      <c r="BC306" s="9">
        <f t="shared" si="224"/>
        <v>-1</v>
      </c>
      <c r="BD306" s="9" t="e">
        <f t="shared" si="225"/>
        <v>#DIV/0!</v>
      </c>
      <c r="BE306" s="9" t="e">
        <f t="shared" si="226"/>
        <v>#DIV/0!</v>
      </c>
      <c r="BF306" s="9" t="e">
        <f t="shared" si="227"/>
        <v>#DIV/0!</v>
      </c>
      <c r="BG306" s="9" t="e">
        <f t="shared" si="228"/>
        <v>#DIV/0!</v>
      </c>
      <c r="BH306" s="9" t="e">
        <f t="shared" si="229"/>
        <v>#DIV/0!</v>
      </c>
      <c r="BI306" s="12" t="e">
        <f t="shared" si="230"/>
        <v>#DIV/0!</v>
      </c>
      <c r="BJ306" s="13" t="e">
        <f t="shared" si="231"/>
        <v>#DIV/0!</v>
      </c>
      <c r="BK306" s="1">
        <f t="shared" si="232"/>
        <v>-1</v>
      </c>
      <c r="BL306" s="1">
        <f t="shared" si="233"/>
        <v>0</v>
      </c>
      <c r="BM306" s="1">
        <f t="shared" si="234"/>
        <v>0</v>
      </c>
      <c r="BN306" s="1">
        <f t="shared" si="235"/>
        <v>0</v>
      </c>
      <c r="BO306" s="1">
        <f t="shared" si="236"/>
        <v>0</v>
      </c>
      <c r="BP306" s="1">
        <f t="shared" si="237"/>
        <v>0</v>
      </c>
      <c r="BQ306" s="19">
        <f t="shared" si="238"/>
        <v>-0.16666666666666666</v>
      </c>
      <c r="BR306" s="17">
        <f t="shared" si="239"/>
        <v>0</v>
      </c>
    </row>
    <row r="307" spans="1:70" x14ac:dyDescent="0.25">
      <c r="A307" t="s">
        <v>462</v>
      </c>
      <c r="B307">
        <v>2</v>
      </c>
      <c r="C307">
        <v>2</v>
      </c>
      <c r="E307">
        <v>3</v>
      </c>
      <c r="F307">
        <v>2</v>
      </c>
      <c r="G307">
        <v>4</v>
      </c>
      <c r="H307">
        <v>2</v>
      </c>
      <c r="I307">
        <v>2</v>
      </c>
      <c r="J307">
        <v>1</v>
      </c>
      <c r="L307">
        <v>2</v>
      </c>
      <c r="M307">
        <v>2</v>
      </c>
      <c r="N307">
        <v>3</v>
      </c>
      <c r="O307">
        <v>1</v>
      </c>
      <c r="Q307">
        <v>1</v>
      </c>
      <c r="S307">
        <v>1</v>
      </c>
      <c r="U307">
        <v>1</v>
      </c>
      <c r="V307">
        <v>1</v>
      </c>
      <c r="W307" s="8">
        <f t="shared" si="192"/>
        <v>0</v>
      </c>
      <c r="X307" s="8">
        <f t="shared" si="193"/>
        <v>-1</v>
      </c>
      <c r="Y307" s="8" t="e">
        <f t="shared" si="194"/>
        <v>#DIV/0!</v>
      </c>
      <c r="Z307" s="8">
        <f t="shared" si="195"/>
        <v>-0.33333333333333331</v>
      </c>
      <c r="AA307" s="8">
        <f t="shared" si="196"/>
        <v>1</v>
      </c>
      <c r="AB307" s="8">
        <f t="shared" si="197"/>
        <v>-0.5</v>
      </c>
      <c r="AC307" s="12" t="e">
        <f t="shared" si="198"/>
        <v>#DIV/0!</v>
      </c>
      <c r="AD307" s="12" t="e">
        <f t="shared" si="199"/>
        <v>#DIV/0!</v>
      </c>
      <c r="AE307" s="1">
        <f t="shared" si="200"/>
        <v>0</v>
      </c>
      <c r="AF307" s="1">
        <f t="shared" si="201"/>
        <v>-2</v>
      </c>
      <c r="AG307" s="1">
        <f t="shared" si="202"/>
        <v>3</v>
      </c>
      <c r="AH307" s="1">
        <f t="shared" si="203"/>
        <v>-1</v>
      </c>
      <c r="AI307" s="1">
        <f t="shared" si="204"/>
        <v>2</v>
      </c>
      <c r="AJ307" s="1">
        <f t="shared" si="205"/>
        <v>-2</v>
      </c>
      <c r="AK307" s="17">
        <f t="shared" si="206"/>
        <v>0</v>
      </c>
      <c r="AL307" s="17">
        <f t="shared" si="207"/>
        <v>-0.5</v>
      </c>
      <c r="AM307" s="1">
        <f t="shared" si="208"/>
        <v>-0.5</v>
      </c>
      <c r="AN307" s="1">
        <f t="shared" si="209"/>
        <v>-1</v>
      </c>
      <c r="AO307" s="1" t="e">
        <f t="shared" si="210"/>
        <v>#DIV/0!</v>
      </c>
      <c r="AP307" s="1">
        <f t="shared" si="211"/>
        <v>0</v>
      </c>
      <c r="AQ307" s="1">
        <f t="shared" si="212"/>
        <v>0.5</v>
      </c>
      <c r="AR307" s="1">
        <f t="shared" si="213"/>
        <v>-0.66666666666666663</v>
      </c>
      <c r="AS307" s="12" t="e">
        <f t="shared" si="214"/>
        <v>#DIV/0!</v>
      </c>
      <c r="AT307" s="12" t="e">
        <f t="shared" si="215"/>
        <v>#DIV/0!</v>
      </c>
      <c r="AU307" s="1">
        <f t="shared" si="216"/>
        <v>-1</v>
      </c>
      <c r="AV307" s="1">
        <f t="shared" si="217"/>
        <v>-1</v>
      </c>
      <c r="AW307" s="1">
        <f t="shared" si="218"/>
        <v>2</v>
      </c>
      <c r="AX307" s="1">
        <f t="shared" si="219"/>
        <v>0</v>
      </c>
      <c r="AY307" s="1">
        <f t="shared" si="220"/>
        <v>1</v>
      </c>
      <c r="AZ307" s="1">
        <f t="shared" si="221"/>
        <v>-2</v>
      </c>
      <c r="BA307" s="19">
        <f t="shared" si="222"/>
        <v>-0.16666666666666666</v>
      </c>
      <c r="BB307" s="19">
        <f t="shared" si="223"/>
        <v>-0.5</v>
      </c>
      <c r="BC307" s="9" t="e">
        <f t="shared" si="224"/>
        <v>#DIV/0!</v>
      </c>
      <c r="BD307" s="9">
        <f t="shared" si="225"/>
        <v>-1</v>
      </c>
      <c r="BE307" s="9" t="e">
        <f t="shared" si="226"/>
        <v>#DIV/0!</v>
      </c>
      <c r="BF307" s="9">
        <f t="shared" si="227"/>
        <v>-1</v>
      </c>
      <c r="BG307" s="9" t="e">
        <f t="shared" si="228"/>
        <v>#DIV/0!</v>
      </c>
      <c r="BH307" s="9">
        <f t="shared" si="229"/>
        <v>0</v>
      </c>
      <c r="BI307" s="12" t="e">
        <f t="shared" si="230"/>
        <v>#DIV/0!</v>
      </c>
      <c r="BJ307" s="13" t="e">
        <f t="shared" si="231"/>
        <v>#DIV/0!</v>
      </c>
      <c r="BK307" s="1">
        <f t="shared" si="232"/>
        <v>1</v>
      </c>
      <c r="BL307" s="1">
        <f t="shared" si="233"/>
        <v>-1</v>
      </c>
      <c r="BM307" s="1">
        <f t="shared" si="234"/>
        <v>1</v>
      </c>
      <c r="BN307" s="1">
        <f t="shared" si="235"/>
        <v>-1</v>
      </c>
      <c r="BO307" s="1">
        <f t="shared" si="236"/>
        <v>1</v>
      </c>
      <c r="BP307" s="1">
        <f t="shared" si="237"/>
        <v>0</v>
      </c>
      <c r="BQ307" s="19">
        <f t="shared" si="238"/>
        <v>0.16666666666666666</v>
      </c>
      <c r="BR307" s="17">
        <f t="shared" si="239"/>
        <v>0.5</v>
      </c>
    </row>
    <row r="308" spans="1:70" x14ac:dyDescent="0.25">
      <c r="A308" t="s">
        <v>479</v>
      </c>
      <c r="B308">
        <v>2</v>
      </c>
      <c r="C308">
        <v>8</v>
      </c>
      <c r="E308">
        <v>1</v>
      </c>
      <c r="G308">
        <v>3</v>
      </c>
      <c r="H308">
        <v>2</v>
      </c>
      <c r="J308">
        <v>4</v>
      </c>
      <c r="L308">
        <v>1</v>
      </c>
      <c r="N308">
        <v>1</v>
      </c>
      <c r="P308">
        <v>2</v>
      </c>
      <c r="Q308">
        <v>4</v>
      </c>
      <c r="U308">
        <v>2</v>
      </c>
      <c r="V308">
        <v>2</v>
      </c>
      <c r="W308" s="8">
        <f t="shared" si="192"/>
        <v>3</v>
      </c>
      <c r="X308" s="8">
        <f t="shared" si="193"/>
        <v>-1</v>
      </c>
      <c r="Y308" s="8" t="e">
        <f t="shared" si="194"/>
        <v>#DIV/0!</v>
      </c>
      <c r="Z308" s="8">
        <f t="shared" si="195"/>
        <v>-1</v>
      </c>
      <c r="AA308" s="8" t="e">
        <f t="shared" si="196"/>
        <v>#DIV/0!</v>
      </c>
      <c r="AB308" s="8">
        <f t="shared" si="197"/>
        <v>-0.33333333333333331</v>
      </c>
      <c r="AC308" s="12" t="e">
        <f t="shared" si="198"/>
        <v>#DIV/0!</v>
      </c>
      <c r="AD308" s="12" t="e">
        <f t="shared" si="199"/>
        <v>#DIV/0!</v>
      </c>
      <c r="AE308" s="1">
        <f t="shared" si="200"/>
        <v>6</v>
      </c>
      <c r="AF308" s="1">
        <f t="shared" si="201"/>
        <v>-8</v>
      </c>
      <c r="AG308" s="1">
        <f t="shared" si="202"/>
        <v>1</v>
      </c>
      <c r="AH308" s="1">
        <f t="shared" si="203"/>
        <v>-1</v>
      </c>
      <c r="AI308" s="1">
        <f t="shared" si="204"/>
        <v>3</v>
      </c>
      <c r="AJ308" s="1">
        <f t="shared" si="205"/>
        <v>-1</v>
      </c>
      <c r="AK308" s="17">
        <f t="shared" si="206"/>
        <v>0</v>
      </c>
      <c r="AL308" s="17">
        <f t="shared" si="207"/>
        <v>0</v>
      </c>
      <c r="AM308" s="1" t="e">
        <f t="shared" si="208"/>
        <v>#DIV/0!</v>
      </c>
      <c r="AN308" s="1">
        <f t="shared" si="209"/>
        <v>-1</v>
      </c>
      <c r="AO308" s="1" t="e">
        <f t="shared" si="210"/>
        <v>#DIV/0!</v>
      </c>
      <c r="AP308" s="1">
        <f t="shared" si="211"/>
        <v>-1</v>
      </c>
      <c r="AQ308" s="1" t="e">
        <f t="shared" si="212"/>
        <v>#DIV/0!</v>
      </c>
      <c r="AR308" s="1">
        <f t="shared" si="213"/>
        <v>-1</v>
      </c>
      <c r="AS308" s="12" t="e">
        <f t="shared" si="214"/>
        <v>#DIV/0!</v>
      </c>
      <c r="AT308" s="12" t="e">
        <f t="shared" si="215"/>
        <v>#DIV/0!</v>
      </c>
      <c r="AU308" s="1">
        <f t="shared" si="216"/>
        <v>4</v>
      </c>
      <c r="AV308" s="1">
        <f t="shared" si="217"/>
        <v>-4</v>
      </c>
      <c r="AW308" s="1">
        <f t="shared" si="218"/>
        <v>1</v>
      </c>
      <c r="AX308" s="1">
        <f t="shared" si="219"/>
        <v>-1</v>
      </c>
      <c r="AY308" s="1">
        <f t="shared" si="220"/>
        <v>1</v>
      </c>
      <c r="AZ308" s="1">
        <f t="shared" si="221"/>
        <v>-1</v>
      </c>
      <c r="BA308" s="19">
        <f t="shared" si="222"/>
        <v>0</v>
      </c>
      <c r="BB308" s="19">
        <f t="shared" si="223"/>
        <v>0</v>
      </c>
      <c r="BC308" s="9">
        <f t="shared" si="224"/>
        <v>1</v>
      </c>
      <c r="BD308" s="9">
        <f t="shared" si="225"/>
        <v>-1</v>
      </c>
      <c r="BE308" s="9" t="e">
        <f t="shared" si="226"/>
        <v>#DIV/0!</v>
      </c>
      <c r="BF308" s="9" t="e">
        <f t="shared" si="227"/>
        <v>#DIV/0!</v>
      </c>
      <c r="BG308" s="9" t="e">
        <f t="shared" si="228"/>
        <v>#DIV/0!</v>
      </c>
      <c r="BH308" s="9">
        <f t="shared" si="229"/>
        <v>0</v>
      </c>
      <c r="BI308" s="12" t="e">
        <f t="shared" si="230"/>
        <v>#DIV/0!</v>
      </c>
      <c r="BJ308" s="13" t="e">
        <f t="shared" si="231"/>
        <v>#DIV/0!</v>
      </c>
      <c r="BK308" s="1">
        <f t="shared" si="232"/>
        <v>2</v>
      </c>
      <c r="BL308" s="1">
        <f t="shared" si="233"/>
        <v>-4</v>
      </c>
      <c r="BM308" s="1">
        <f t="shared" si="234"/>
        <v>0</v>
      </c>
      <c r="BN308" s="1">
        <f t="shared" si="235"/>
        <v>0</v>
      </c>
      <c r="BO308" s="1">
        <f t="shared" si="236"/>
        <v>2</v>
      </c>
      <c r="BP308" s="1">
        <f t="shared" si="237"/>
        <v>0</v>
      </c>
      <c r="BQ308" s="19">
        <f t="shared" si="238"/>
        <v>0</v>
      </c>
      <c r="BR308" s="17">
        <f t="shared" si="239"/>
        <v>0</v>
      </c>
    </row>
    <row r="309" spans="1:70" x14ac:dyDescent="0.25">
      <c r="A309" t="s">
        <v>491</v>
      </c>
      <c r="B309">
        <v>1</v>
      </c>
      <c r="E309">
        <v>1</v>
      </c>
      <c r="G309">
        <v>1</v>
      </c>
      <c r="H309">
        <v>1</v>
      </c>
      <c r="I309">
        <v>1</v>
      </c>
      <c r="N309">
        <v>1</v>
      </c>
      <c r="O309">
        <v>1</v>
      </c>
      <c r="S309">
        <v>1</v>
      </c>
      <c r="W309" s="8">
        <f t="shared" si="192"/>
        <v>-1</v>
      </c>
      <c r="X309" s="8" t="e">
        <f t="shared" si="193"/>
        <v>#DIV/0!</v>
      </c>
      <c r="Y309" s="8" t="e">
        <f t="shared" si="194"/>
        <v>#DIV/0!</v>
      </c>
      <c r="Z309" s="8">
        <f t="shared" si="195"/>
        <v>-1</v>
      </c>
      <c r="AA309" s="8" t="e">
        <f t="shared" si="196"/>
        <v>#DIV/0!</v>
      </c>
      <c r="AB309" s="8">
        <f t="shared" si="197"/>
        <v>0</v>
      </c>
      <c r="AC309" s="12" t="e">
        <f t="shared" si="198"/>
        <v>#DIV/0!</v>
      </c>
      <c r="AD309" s="12" t="e">
        <f t="shared" si="199"/>
        <v>#DIV/0!</v>
      </c>
      <c r="AE309" s="1">
        <f t="shared" si="200"/>
        <v>-1</v>
      </c>
      <c r="AF309" s="1">
        <f t="shared" si="201"/>
        <v>0</v>
      </c>
      <c r="AG309" s="1">
        <f t="shared" si="202"/>
        <v>1</v>
      </c>
      <c r="AH309" s="1">
        <f t="shared" si="203"/>
        <v>-1</v>
      </c>
      <c r="AI309" s="1">
        <f t="shared" si="204"/>
        <v>1</v>
      </c>
      <c r="AJ309" s="1">
        <f t="shared" si="205"/>
        <v>0</v>
      </c>
      <c r="AK309" s="17">
        <f t="shared" si="206"/>
        <v>0</v>
      </c>
      <c r="AL309" s="17">
        <f t="shared" si="207"/>
        <v>0</v>
      </c>
      <c r="AM309" s="1">
        <f t="shared" si="208"/>
        <v>-1</v>
      </c>
      <c r="AN309" s="1" t="e">
        <f t="shared" si="209"/>
        <v>#DIV/0!</v>
      </c>
      <c r="AO309" s="1" t="e">
        <f t="shared" si="210"/>
        <v>#DIV/0!</v>
      </c>
      <c r="AP309" s="1" t="e">
        <f t="shared" si="211"/>
        <v>#DIV/0!</v>
      </c>
      <c r="AQ309" s="1" t="e">
        <f t="shared" si="212"/>
        <v>#DIV/0!</v>
      </c>
      <c r="AR309" s="1">
        <f t="shared" si="213"/>
        <v>0</v>
      </c>
      <c r="AS309" s="12" t="e">
        <f t="shared" si="214"/>
        <v>#DIV/0!</v>
      </c>
      <c r="AT309" s="12" t="e">
        <f t="shared" si="215"/>
        <v>#DIV/0!</v>
      </c>
      <c r="AU309" s="1">
        <f t="shared" si="216"/>
        <v>-1</v>
      </c>
      <c r="AV309" s="1">
        <f t="shared" si="217"/>
        <v>0</v>
      </c>
      <c r="AW309" s="1">
        <f t="shared" si="218"/>
        <v>0</v>
      </c>
      <c r="AX309" s="1">
        <f t="shared" si="219"/>
        <v>0</v>
      </c>
      <c r="AY309" s="1">
        <f t="shared" si="220"/>
        <v>1</v>
      </c>
      <c r="AZ309" s="1">
        <f t="shared" si="221"/>
        <v>0</v>
      </c>
      <c r="BA309" s="19">
        <f t="shared" si="222"/>
        <v>0</v>
      </c>
      <c r="BB309" s="19">
        <f t="shared" si="223"/>
        <v>0</v>
      </c>
      <c r="BC309" s="9" t="e">
        <f t="shared" si="224"/>
        <v>#DIV/0!</v>
      </c>
      <c r="BD309" s="9" t="e">
        <f t="shared" si="225"/>
        <v>#DIV/0!</v>
      </c>
      <c r="BE309" s="9" t="e">
        <f t="shared" si="226"/>
        <v>#DIV/0!</v>
      </c>
      <c r="BF309" s="9">
        <f t="shared" si="227"/>
        <v>-1</v>
      </c>
      <c r="BG309" s="9" t="e">
        <f t="shared" si="228"/>
        <v>#DIV/0!</v>
      </c>
      <c r="BH309" s="9" t="e">
        <f t="shared" si="229"/>
        <v>#DIV/0!</v>
      </c>
      <c r="BI309" s="12" t="e">
        <f t="shared" si="230"/>
        <v>#DIV/0!</v>
      </c>
      <c r="BJ309" s="13" t="e">
        <f t="shared" si="231"/>
        <v>#DIV/0!</v>
      </c>
      <c r="BK309" s="1">
        <f t="shared" si="232"/>
        <v>0</v>
      </c>
      <c r="BL309" s="1">
        <f t="shared" si="233"/>
        <v>0</v>
      </c>
      <c r="BM309" s="1">
        <f t="shared" si="234"/>
        <v>1</v>
      </c>
      <c r="BN309" s="1">
        <f t="shared" si="235"/>
        <v>-1</v>
      </c>
      <c r="BO309" s="1">
        <f t="shared" si="236"/>
        <v>0</v>
      </c>
      <c r="BP309" s="1">
        <f t="shared" si="237"/>
        <v>0</v>
      </c>
      <c r="BQ309" s="19">
        <f t="shared" si="238"/>
        <v>0</v>
      </c>
      <c r="BR309" s="17">
        <f t="shared" si="239"/>
        <v>0</v>
      </c>
    </row>
    <row r="310" spans="1:70" x14ac:dyDescent="0.25">
      <c r="A310" t="s">
        <v>497</v>
      </c>
      <c r="B310">
        <v>1</v>
      </c>
      <c r="E310">
        <v>1</v>
      </c>
      <c r="F310">
        <v>1</v>
      </c>
      <c r="H310">
        <v>1</v>
      </c>
      <c r="M310">
        <v>1</v>
      </c>
      <c r="O310">
        <v>1</v>
      </c>
      <c r="P310">
        <v>1</v>
      </c>
      <c r="S310">
        <v>1</v>
      </c>
      <c r="W310" s="8">
        <f t="shared" si="192"/>
        <v>-1</v>
      </c>
      <c r="X310" s="8" t="e">
        <f t="shared" si="193"/>
        <v>#DIV/0!</v>
      </c>
      <c r="Y310" s="8" t="e">
        <f t="shared" si="194"/>
        <v>#DIV/0!</v>
      </c>
      <c r="Z310" s="8">
        <f t="shared" si="195"/>
        <v>0</v>
      </c>
      <c r="AA310" s="8">
        <f t="shared" si="196"/>
        <v>-1</v>
      </c>
      <c r="AB310" s="8" t="e">
        <f t="shared" si="197"/>
        <v>#DIV/0!</v>
      </c>
      <c r="AC310" s="12" t="e">
        <f t="shared" si="198"/>
        <v>#DIV/0!</v>
      </c>
      <c r="AD310" s="12" t="e">
        <f t="shared" si="199"/>
        <v>#DIV/0!</v>
      </c>
      <c r="AE310" s="1">
        <f t="shared" si="200"/>
        <v>-1</v>
      </c>
      <c r="AF310" s="1">
        <f t="shared" si="201"/>
        <v>0</v>
      </c>
      <c r="AG310" s="1">
        <f t="shared" si="202"/>
        <v>1</v>
      </c>
      <c r="AH310" s="1">
        <f t="shared" si="203"/>
        <v>0</v>
      </c>
      <c r="AI310" s="1">
        <f t="shared" si="204"/>
        <v>-1</v>
      </c>
      <c r="AJ310" s="1">
        <f t="shared" si="205"/>
        <v>1</v>
      </c>
      <c r="AK310" s="17">
        <f t="shared" si="206"/>
        <v>0</v>
      </c>
      <c r="AL310" s="17">
        <f t="shared" si="207"/>
        <v>0</v>
      </c>
      <c r="AM310" s="1" t="e">
        <f t="shared" si="208"/>
        <v>#DIV/0!</v>
      </c>
      <c r="AN310" s="1" t="e">
        <f t="shared" si="209"/>
        <v>#DIV/0!</v>
      </c>
      <c r="AO310" s="1" t="e">
        <f t="shared" si="210"/>
        <v>#DIV/0!</v>
      </c>
      <c r="AP310" s="1" t="e">
        <f t="shared" si="211"/>
        <v>#DIV/0!</v>
      </c>
      <c r="AQ310" s="1">
        <f t="shared" si="212"/>
        <v>-1</v>
      </c>
      <c r="AR310" s="1" t="e">
        <f t="shared" si="213"/>
        <v>#DIV/0!</v>
      </c>
      <c r="AS310" s="12" t="e">
        <f t="shared" si="214"/>
        <v>#DIV/0!</v>
      </c>
      <c r="AT310" s="12" t="e">
        <f t="shared" si="215"/>
        <v>#DIV/0!</v>
      </c>
      <c r="AU310" s="1">
        <f t="shared" si="216"/>
        <v>0</v>
      </c>
      <c r="AV310" s="1">
        <f t="shared" si="217"/>
        <v>0</v>
      </c>
      <c r="AW310" s="1">
        <f t="shared" si="218"/>
        <v>0</v>
      </c>
      <c r="AX310" s="1">
        <f t="shared" si="219"/>
        <v>1</v>
      </c>
      <c r="AY310" s="1">
        <f t="shared" si="220"/>
        <v>-1</v>
      </c>
      <c r="AZ310" s="1">
        <f t="shared" si="221"/>
        <v>1</v>
      </c>
      <c r="BA310" s="19">
        <f t="shared" si="222"/>
        <v>0.16666666666666666</v>
      </c>
      <c r="BB310" s="19">
        <f t="shared" si="223"/>
        <v>0</v>
      </c>
      <c r="BC310" s="9">
        <f t="shared" si="224"/>
        <v>-1</v>
      </c>
      <c r="BD310" s="9" t="e">
        <f t="shared" si="225"/>
        <v>#DIV/0!</v>
      </c>
      <c r="BE310" s="9" t="e">
        <f t="shared" si="226"/>
        <v>#DIV/0!</v>
      </c>
      <c r="BF310" s="9">
        <f t="shared" si="227"/>
        <v>-1</v>
      </c>
      <c r="BG310" s="9" t="e">
        <f t="shared" si="228"/>
        <v>#DIV/0!</v>
      </c>
      <c r="BH310" s="9" t="e">
        <f t="shared" si="229"/>
        <v>#DIV/0!</v>
      </c>
      <c r="BI310" s="12" t="e">
        <f t="shared" si="230"/>
        <v>#DIV/0!</v>
      </c>
      <c r="BJ310" s="13" t="e">
        <f t="shared" si="231"/>
        <v>#DIV/0!</v>
      </c>
      <c r="BK310" s="1">
        <f t="shared" si="232"/>
        <v>-1</v>
      </c>
      <c r="BL310" s="1">
        <f t="shared" si="233"/>
        <v>0</v>
      </c>
      <c r="BM310" s="1">
        <f t="shared" si="234"/>
        <v>1</v>
      </c>
      <c r="BN310" s="1">
        <f t="shared" si="235"/>
        <v>-1</v>
      </c>
      <c r="BO310" s="1">
        <f t="shared" si="236"/>
        <v>0</v>
      </c>
      <c r="BP310" s="1">
        <f t="shared" si="237"/>
        <v>0</v>
      </c>
      <c r="BQ310" s="19">
        <f t="shared" si="238"/>
        <v>-0.16666666666666666</v>
      </c>
      <c r="BR310" s="17">
        <f t="shared" si="239"/>
        <v>0</v>
      </c>
    </row>
    <row r="311" spans="1:70" x14ac:dyDescent="0.25">
      <c r="A311" t="s">
        <v>498</v>
      </c>
      <c r="B311">
        <v>1</v>
      </c>
      <c r="C311">
        <v>1</v>
      </c>
      <c r="D311">
        <v>1</v>
      </c>
      <c r="E311">
        <v>2</v>
      </c>
      <c r="F311">
        <v>1</v>
      </c>
      <c r="H311">
        <v>1</v>
      </c>
      <c r="L311">
        <v>2</v>
      </c>
      <c r="O311">
        <v>1</v>
      </c>
      <c r="P311">
        <v>1</v>
      </c>
      <c r="Q311">
        <v>1</v>
      </c>
      <c r="R311">
        <v>1</v>
      </c>
      <c r="T311">
        <v>1</v>
      </c>
      <c r="W311" s="8">
        <f t="shared" si="192"/>
        <v>0</v>
      </c>
      <c r="X311" s="8">
        <f t="shared" si="193"/>
        <v>0</v>
      </c>
      <c r="Y311" s="8">
        <f t="shared" si="194"/>
        <v>1</v>
      </c>
      <c r="Z311" s="8">
        <f t="shared" si="195"/>
        <v>-0.5</v>
      </c>
      <c r="AA311" s="8">
        <f t="shared" si="196"/>
        <v>-1</v>
      </c>
      <c r="AB311" s="8" t="e">
        <f t="shared" si="197"/>
        <v>#DIV/0!</v>
      </c>
      <c r="AC311" s="12" t="e">
        <f t="shared" si="198"/>
        <v>#DIV/0!</v>
      </c>
      <c r="AD311" s="12" t="e">
        <f t="shared" si="199"/>
        <v>#DIV/0!</v>
      </c>
      <c r="AE311" s="1">
        <f t="shared" si="200"/>
        <v>0</v>
      </c>
      <c r="AF311" s="1">
        <f t="shared" si="201"/>
        <v>0</v>
      </c>
      <c r="AG311" s="1">
        <f t="shared" si="202"/>
        <v>1</v>
      </c>
      <c r="AH311" s="1">
        <f t="shared" si="203"/>
        <v>-1</v>
      </c>
      <c r="AI311" s="1">
        <f t="shared" si="204"/>
        <v>-1</v>
      </c>
      <c r="AJ311" s="1">
        <f t="shared" si="205"/>
        <v>1</v>
      </c>
      <c r="AK311" s="17">
        <f t="shared" si="206"/>
        <v>0</v>
      </c>
      <c r="AL311" s="17">
        <f t="shared" si="207"/>
        <v>0</v>
      </c>
      <c r="AM311" s="1" t="e">
        <f t="shared" si="208"/>
        <v>#DIV/0!</v>
      </c>
      <c r="AN311" s="1" t="e">
        <f t="shared" si="209"/>
        <v>#DIV/0!</v>
      </c>
      <c r="AO311" s="1" t="e">
        <f t="shared" si="210"/>
        <v>#DIV/0!</v>
      </c>
      <c r="AP311" s="1">
        <f t="shared" si="211"/>
        <v>-1</v>
      </c>
      <c r="AQ311" s="1" t="e">
        <f t="shared" si="212"/>
        <v>#DIV/0!</v>
      </c>
      <c r="AR311" s="1" t="e">
        <f t="shared" si="213"/>
        <v>#DIV/0!</v>
      </c>
      <c r="AS311" s="12" t="e">
        <f t="shared" si="214"/>
        <v>#DIV/0!</v>
      </c>
      <c r="AT311" s="12" t="e">
        <f t="shared" si="215"/>
        <v>#DIV/0!</v>
      </c>
      <c r="AU311" s="1">
        <f t="shared" si="216"/>
        <v>0</v>
      </c>
      <c r="AV311" s="1">
        <f t="shared" si="217"/>
        <v>0</v>
      </c>
      <c r="AW311" s="1">
        <f t="shared" si="218"/>
        <v>2</v>
      </c>
      <c r="AX311" s="1">
        <f t="shared" si="219"/>
        <v>-2</v>
      </c>
      <c r="AY311" s="1">
        <f t="shared" si="220"/>
        <v>0</v>
      </c>
      <c r="AZ311" s="1">
        <f t="shared" si="221"/>
        <v>1</v>
      </c>
      <c r="BA311" s="19">
        <f t="shared" si="222"/>
        <v>0.16666666666666666</v>
      </c>
      <c r="BB311" s="19">
        <f t="shared" si="223"/>
        <v>0</v>
      </c>
      <c r="BC311" s="9">
        <f t="shared" si="224"/>
        <v>0</v>
      </c>
      <c r="BD311" s="9">
        <f t="shared" si="225"/>
        <v>0</v>
      </c>
      <c r="BE311" s="9">
        <f t="shared" si="226"/>
        <v>-1</v>
      </c>
      <c r="BF311" s="9" t="e">
        <f t="shared" si="227"/>
        <v>#DIV/0!</v>
      </c>
      <c r="BG311" s="9">
        <f t="shared" si="228"/>
        <v>-1</v>
      </c>
      <c r="BH311" s="9" t="e">
        <f t="shared" si="229"/>
        <v>#DIV/0!</v>
      </c>
      <c r="BI311" s="12" t="e">
        <f t="shared" si="230"/>
        <v>#DIV/0!</v>
      </c>
      <c r="BJ311" s="13" t="e">
        <f t="shared" si="231"/>
        <v>#DIV/0!</v>
      </c>
      <c r="BK311" s="1">
        <f t="shared" si="232"/>
        <v>0</v>
      </c>
      <c r="BL311" s="1">
        <f t="shared" si="233"/>
        <v>0</v>
      </c>
      <c r="BM311" s="1">
        <f t="shared" si="234"/>
        <v>-1</v>
      </c>
      <c r="BN311" s="1">
        <f t="shared" si="235"/>
        <v>1</v>
      </c>
      <c r="BO311" s="1">
        <f t="shared" si="236"/>
        <v>-1</v>
      </c>
      <c r="BP311" s="1">
        <f t="shared" si="237"/>
        <v>0</v>
      </c>
      <c r="BQ311" s="19">
        <f t="shared" si="238"/>
        <v>-0.16666666666666666</v>
      </c>
      <c r="BR311" s="17">
        <f t="shared" si="239"/>
        <v>0</v>
      </c>
    </row>
    <row r="312" spans="1:70" x14ac:dyDescent="0.25">
      <c r="A312" t="s">
        <v>500</v>
      </c>
      <c r="B312">
        <v>1</v>
      </c>
      <c r="D312">
        <v>1</v>
      </c>
      <c r="H312">
        <v>1</v>
      </c>
      <c r="I312">
        <v>1</v>
      </c>
      <c r="K312">
        <v>1</v>
      </c>
      <c r="O312">
        <v>1</v>
      </c>
      <c r="W312" s="8">
        <f t="shared" si="192"/>
        <v>-1</v>
      </c>
      <c r="X312" s="8" t="e">
        <f t="shared" si="193"/>
        <v>#DIV/0!</v>
      </c>
      <c r="Y312" s="8">
        <f t="shared" si="194"/>
        <v>-1</v>
      </c>
      <c r="Z312" s="8" t="e">
        <f t="shared" si="195"/>
        <v>#DIV/0!</v>
      </c>
      <c r="AA312" s="8" t="e">
        <f t="shared" si="196"/>
        <v>#DIV/0!</v>
      </c>
      <c r="AB312" s="8" t="e">
        <f t="shared" si="197"/>
        <v>#DIV/0!</v>
      </c>
      <c r="AC312" s="12" t="e">
        <f t="shared" si="198"/>
        <v>#DIV/0!</v>
      </c>
      <c r="AD312" s="12" t="e">
        <f t="shared" si="199"/>
        <v>#DIV/0!</v>
      </c>
      <c r="AE312" s="1">
        <f t="shared" si="200"/>
        <v>-1</v>
      </c>
      <c r="AF312" s="1">
        <f t="shared" si="201"/>
        <v>1</v>
      </c>
      <c r="AG312" s="1">
        <f t="shared" si="202"/>
        <v>-1</v>
      </c>
      <c r="AH312" s="1">
        <f t="shared" si="203"/>
        <v>0</v>
      </c>
      <c r="AI312" s="1">
        <f t="shared" si="204"/>
        <v>0</v>
      </c>
      <c r="AJ312" s="1">
        <f t="shared" si="205"/>
        <v>1</v>
      </c>
      <c r="AK312" s="17">
        <f t="shared" si="206"/>
        <v>0</v>
      </c>
      <c r="AL312" s="17">
        <f t="shared" si="207"/>
        <v>0</v>
      </c>
      <c r="AM312" s="1">
        <f t="shared" si="208"/>
        <v>-1</v>
      </c>
      <c r="AN312" s="1" t="e">
        <f t="shared" si="209"/>
        <v>#DIV/0!</v>
      </c>
      <c r="AO312" s="1">
        <f t="shared" si="210"/>
        <v>-1</v>
      </c>
      <c r="AP312" s="1" t="e">
        <f t="shared" si="211"/>
        <v>#DIV/0!</v>
      </c>
      <c r="AQ312" s="1" t="e">
        <f t="shared" si="212"/>
        <v>#DIV/0!</v>
      </c>
      <c r="AR312" s="1" t="e">
        <f t="shared" si="213"/>
        <v>#DIV/0!</v>
      </c>
      <c r="AS312" s="12" t="e">
        <f t="shared" si="214"/>
        <v>#DIV/0!</v>
      </c>
      <c r="AT312" s="12" t="e">
        <f t="shared" si="215"/>
        <v>#DIV/0!</v>
      </c>
      <c r="AU312" s="1">
        <f t="shared" si="216"/>
        <v>-1</v>
      </c>
      <c r="AV312" s="1">
        <f t="shared" si="217"/>
        <v>1</v>
      </c>
      <c r="AW312" s="1">
        <f t="shared" si="218"/>
        <v>-1</v>
      </c>
      <c r="AX312" s="1">
        <f t="shared" si="219"/>
        <v>0</v>
      </c>
      <c r="AY312" s="1">
        <f t="shared" si="220"/>
        <v>0</v>
      </c>
      <c r="AZ312" s="1">
        <f t="shared" si="221"/>
        <v>1</v>
      </c>
      <c r="BA312" s="19">
        <f t="shared" si="222"/>
        <v>0</v>
      </c>
      <c r="BB312" s="19">
        <f t="shared" si="223"/>
        <v>0</v>
      </c>
      <c r="BC312" s="9" t="e">
        <f t="shared" si="224"/>
        <v>#DIV/0!</v>
      </c>
      <c r="BD312" s="9" t="e">
        <f t="shared" si="225"/>
        <v>#DIV/0!</v>
      </c>
      <c r="BE312" s="9" t="e">
        <f t="shared" si="226"/>
        <v>#DIV/0!</v>
      </c>
      <c r="BF312" s="9" t="e">
        <f t="shared" si="227"/>
        <v>#DIV/0!</v>
      </c>
      <c r="BG312" s="9" t="e">
        <f t="shared" si="228"/>
        <v>#DIV/0!</v>
      </c>
      <c r="BH312" s="9" t="e">
        <f t="shared" si="229"/>
        <v>#DIV/0!</v>
      </c>
      <c r="BI312" s="12" t="e">
        <f t="shared" si="230"/>
        <v>#DIV/0!</v>
      </c>
      <c r="BJ312" s="13" t="e">
        <f t="shared" si="231"/>
        <v>#DIV/0!</v>
      </c>
      <c r="BK312" s="1">
        <f t="shared" si="232"/>
        <v>0</v>
      </c>
      <c r="BL312" s="1">
        <f t="shared" si="233"/>
        <v>0</v>
      </c>
      <c r="BM312" s="1">
        <f t="shared" si="234"/>
        <v>0</v>
      </c>
      <c r="BN312" s="1">
        <f t="shared" si="235"/>
        <v>0</v>
      </c>
      <c r="BO312" s="1">
        <f t="shared" si="236"/>
        <v>0</v>
      </c>
      <c r="BP312" s="1">
        <f t="shared" si="237"/>
        <v>0</v>
      </c>
      <c r="BQ312" s="19">
        <f t="shared" si="238"/>
        <v>0</v>
      </c>
      <c r="BR312" s="17">
        <f t="shared" si="239"/>
        <v>0</v>
      </c>
    </row>
    <row r="313" spans="1:70" x14ac:dyDescent="0.25">
      <c r="A313" t="s">
        <v>520</v>
      </c>
      <c r="B313">
        <v>1</v>
      </c>
      <c r="C313">
        <v>1</v>
      </c>
      <c r="D313">
        <v>2</v>
      </c>
      <c r="E313">
        <v>2</v>
      </c>
      <c r="F313">
        <v>3</v>
      </c>
      <c r="G313">
        <v>1</v>
      </c>
      <c r="H313">
        <v>1</v>
      </c>
      <c r="I313">
        <v>1</v>
      </c>
      <c r="K313">
        <v>2</v>
      </c>
      <c r="L313">
        <v>1</v>
      </c>
      <c r="M313">
        <v>2</v>
      </c>
      <c r="N313">
        <v>1</v>
      </c>
      <c r="O313">
        <v>1</v>
      </c>
      <c r="Q313">
        <v>1</v>
      </c>
      <c r="S313">
        <v>1</v>
      </c>
      <c r="T313">
        <v>1</v>
      </c>
      <c r="W313" s="8">
        <f t="shared" si="192"/>
        <v>0</v>
      </c>
      <c r="X313" s="8">
        <f t="shared" si="193"/>
        <v>1</v>
      </c>
      <c r="Y313" s="8">
        <f t="shared" si="194"/>
        <v>0</v>
      </c>
      <c r="Z313" s="8">
        <f t="shared" si="195"/>
        <v>0.5</v>
      </c>
      <c r="AA313" s="8">
        <f t="shared" si="196"/>
        <v>-0.66666666666666663</v>
      </c>
      <c r="AB313" s="8">
        <f t="shared" si="197"/>
        <v>0</v>
      </c>
      <c r="AC313" s="12">
        <f t="shared" si="198"/>
        <v>0.1388888888888889</v>
      </c>
      <c r="AD313" s="12">
        <f t="shared" si="199"/>
        <v>0</v>
      </c>
      <c r="AE313" s="1">
        <f t="shared" si="200"/>
        <v>0</v>
      </c>
      <c r="AF313" s="1">
        <f t="shared" si="201"/>
        <v>1</v>
      </c>
      <c r="AG313" s="1">
        <f t="shared" si="202"/>
        <v>0</v>
      </c>
      <c r="AH313" s="1">
        <f t="shared" si="203"/>
        <v>1</v>
      </c>
      <c r="AI313" s="1">
        <f t="shared" si="204"/>
        <v>-2</v>
      </c>
      <c r="AJ313" s="1">
        <f t="shared" si="205"/>
        <v>0</v>
      </c>
      <c r="AK313" s="17">
        <f t="shared" si="206"/>
        <v>0</v>
      </c>
      <c r="AL313" s="17">
        <f t="shared" si="207"/>
        <v>0</v>
      </c>
      <c r="AM313" s="1">
        <f t="shared" si="208"/>
        <v>-1</v>
      </c>
      <c r="AN313" s="1" t="e">
        <f t="shared" si="209"/>
        <v>#DIV/0!</v>
      </c>
      <c r="AO313" s="1">
        <f t="shared" si="210"/>
        <v>-0.5</v>
      </c>
      <c r="AP313" s="1">
        <f t="shared" si="211"/>
        <v>1</v>
      </c>
      <c r="AQ313" s="1">
        <f t="shared" si="212"/>
        <v>-0.5</v>
      </c>
      <c r="AR313" s="1">
        <f t="shared" si="213"/>
        <v>0</v>
      </c>
      <c r="AS313" s="12" t="e">
        <f t="shared" si="214"/>
        <v>#DIV/0!</v>
      </c>
      <c r="AT313" s="12" t="e">
        <f t="shared" si="215"/>
        <v>#DIV/0!</v>
      </c>
      <c r="AU313" s="1">
        <f t="shared" si="216"/>
        <v>-1</v>
      </c>
      <c r="AV313" s="1">
        <f t="shared" si="217"/>
        <v>2</v>
      </c>
      <c r="AW313" s="1">
        <f t="shared" si="218"/>
        <v>-1</v>
      </c>
      <c r="AX313" s="1">
        <f t="shared" si="219"/>
        <v>1</v>
      </c>
      <c r="AY313" s="1">
        <f t="shared" si="220"/>
        <v>-1</v>
      </c>
      <c r="AZ313" s="1">
        <f t="shared" si="221"/>
        <v>0</v>
      </c>
      <c r="BA313" s="19">
        <f t="shared" si="222"/>
        <v>0</v>
      </c>
      <c r="BB313" s="19">
        <f t="shared" si="223"/>
        <v>-0.5</v>
      </c>
      <c r="BC313" s="9" t="e">
        <f t="shared" si="224"/>
        <v>#DIV/0!</v>
      </c>
      <c r="BD313" s="9">
        <f t="shared" si="225"/>
        <v>-1</v>
      </c>
      <c r="BE313" s="9" t="e">
        <f t="shared" si="226"/>
        <v>#DIV/0!</v>
      </c>
      <c r="BF313" s="9">
        <f t="shared" si="227"/>
        <v>0</v>
      </c>
      <c r="BG313" s="9">
        <f t="shared" si="228"/>
        <v>-1</v>
      </c>
      <c r="BH313" s="9" t="e">
        <f t="shared" si="229"/>
        <v>#DIV/0!</v>
      </c>
      <c r="BI313" s="12" t="e">
        <f t="shared" si="230"/>
        <v>#DIV/0!</v>
      </c>
      <c r="BJ313" s="13" t="e">
        <f t="shared" si="231"/>
        <v>#DIV/0!</v>
      </c>
      <c r="BK313" s="1">
        <f t="shared" si="232"/>
        <v>1</v>
      </c>
      <c r="BL313" s="1">
        <f t="shared" si="233"/>
        <v>-1</v>
      </c>
      <c r="BM313" s="1">
        <f t="shared" si="234"/>
        <v>1</v>
      </c>
      <c r="BN313" s="1">
        <f t="shared" si="235"/>
        <v>0</v>
      </c>
      <c r="BO313" s="1">
        <f t="shared" si="236"/>
        <v>-1</v>
      </c>
      <c r="BP313" s="1">
        <f t="shared" si="237"/>
        <v>0</v>
      </c>
      <c r="BQ313" s="19">
        <f t="shared" si="238"/>
        <v>0</v>
      </c>
      <c r="BR313" s="17">
        <f t="shared" si="239"/>
        <v>0</v>
      </c>
    </row>
    <row r="314" spans="1:70" x14ac:dyDescent="0.25">
      <c r="A314" t="s">
        <v>525</v>
      </c>
      <c r="B314">
        <v>1</v>
      </c>
      <c r="C314">
        <v>1</v>
      </c>
      <c r="G314">
        <v>1</v>
      </c>
      <c r="H314">
        <v>1</v>
      </c>
      <c r="J314">
        <v>1</v>
      </c>
      <c r="P314">
        <v>1</v>
      </c>
      <c r="U314">
        <v>1</v>
      </c>
      <c r="V314">
        <v>1</v>
      </c>
      <c r="W314" s="8">
        <f t="shared" si="192"/>
        <v>0</v>
      </c>
      <c r="X314" s="8">
        <f t="shared" si="193"/>
        <v>-1</v>
      </c>
      <c r="Y314" s="8" t="e">
        <f t="shared" si="194"/>
        <v>#DIV/0!</v>
      </c>
      <c r="Z314" s="8" t="e">
        <f t="shared" si="195"/>
        <v>#DIV/0!</v>
      </c>
      <c r="AA314" s="8" t="e">
        <f t="shared" si="196"/>
        <v>#DIV/0!</v>
      </c>
      <c r="AB314" s="8">
        <f t="shared" si="197"/>
        <v>0</v>
      </c>
      <c r="AC314" s="12" t="e">
        <f t="shared" si="198"/>
        <v>#DIV/0!</v>
      </c>
      <c r="AD314" s="12" t="e">
        <f t="shared" si="199"/>
        <v>#DIV/0!</v>
      </c>
      <c r="AE314" s="1">
        <f t="shared" si="200"/>
        <v>0</v>
      </c>
      <c r="AF314" s="1">
        <f t="shared" si="201"/>
        <v>-1</v>
      </c>
      <c r="AG314" s="1">
        <f t="shared" si="202"/>
        <v>0</v>
      </c>
      <c r="AH314" s="1">
        <f t="shared" si="203"/>
        <v>0</v>
      </c>
      <c r="AI314" s="1">
        <f t="shared" si="204"/>
        <v>1</v>
      </c>
      <c r="AJ314" s="1">
        <f t="shared" si="205"/>
        <v>0</v>
      </c>
      <c r="AK314" s="17">
        <f t="shared" si="206"/>
        <v>0</v>
      </c>
      <c r="AL314" s="17">
        <f t="shared" si="207"/>
        <v>0</v>
      </c>
      <c r="AM314" s="1" t="e">
        <f t="shared" si="208"/>
        <v>#DIV/0!</v>
      </c>
      <c r="AN314" s="1">
        <f t="shared" si="209"/>
        <v>-1</v>
      </c>
      <c r="AO314" s="1" t="e">
        <f t="shared" si="210"/>
        <v>#DIV/0!</v>
      </c>
      <c r="AP314" s="1" t="e">
        <f t="shared" si="211"/>
        <v>#DIV/0!</v>
      </c>
      <c r="AQ314" s="1" t="e">
        <f t="shared" si="212"/>
        <v>#DIV/0!</v>
      </c>
      <c r="AR314" s="1" t="e">
        <f t="shared" si="213"/>
        <v>#DIV/0!</v>
      </c>
      <c r="AS314" s="12" t="e">
        <f t="shared" si="214"/>
        <v>#DIV/0!</v>
      </c>
      <c r="AT314" s="12" t="e">
        <f t="shared" si="215"/>
        <v>#DIV/0!</v>
      </c>
      <c r="AU314" s="1">
        <f t="shared" si="216"/>
        <v>1</v>
      </c>
      <c r="AV314" s="1">
        <f t="shared" si="217"/>
        <v>-1</v>
      </c>
      <c r="AW314" s="1">
        <f t="shared" si="218"/>
        <v>0</v>
      </c>
      <c r="AX314" s="1">
        <f t="shared" si="219"/>
        <v>0</v>
      </c>
      <c r="AY314" s="1">
        <f t="shared" si="220"/>
        <v>0</v>
      </c>
      <c r="AZ314" s="1">
        <f t="shared" si="221"/>
        <v>0</v>
      </c>
      <c r="BA314" s="19">
        <f t="shared" si="222"/>
        <v>0</v>
      </c>
      <c r="BB314" s="19">
        <f t="shared" si="223"/>
        <v>0</v>
      </c>
      <c r="BC314" s="9">
        <f t="shared" si="224"/>
        <v>-1</v>
      </c>
      <c r="BD314" s="9" t="e">
        <f t="shared" si="225"/>
        <v>#DIV/0!</v>
      </c>
      <c r="BE314" s="9" t="e">
        <f t="shared" si="226"/>
        <v>#DIV/0!</v>
      </c>
      <c r="BF314" s="9" t="e">
        <f t="shared" si="227"/>
        <v>#DIV/0!</v>
      </c>
      <c r="BG314" s="9" t="e">
        <f t="shared" si="228"/>
        <v>#DIV/0!</v>
      </c>
      <c r="BH314" s="9">
        <f t="shared" si="229"/>
        <v>0</v>
      </c>
      <c r="BI314" s="12" t="e">
        <f t="shared" si="230"/>
        <v>#DIV/0!</v>
      </c>
      <c r="BJ314" s="13" t="e">
        <f t="shared" si="231"/>
        <v>#DIV/0!</v>
      </c>
      <c r="BK314" s="1">
        <f t="shared" si="232"/>
        <v>-1</v>
      </c>
      <c r="BL314" s="1">
        <f t="shared" si="233"/>
        <v>0</v>
      </c>
      <c r="BM314" s="1">
        <f t="shared" si="234"/>
        <v>0</v>
      </c>
      <c r="BN314" s="1">
        <f t="shared" si="235"/>
        <v>0</v>
      </c>
      <c r="BO314" s="1">
        <f t="shared" si="236"/>
        <v>1</v>
      </c>
      <c r="BP314" s="1">
        <f t="shared" si="237"/>
        <v>0</v>
      </c>
      <c r="BQ314" s="19">
        <f t="shared" si="238"/>
        <v>0</v>
      </c>
      <c r="BR314" s="17">
        <f t="shared" si="239"/>
        <v>0</v>
      </c>
    </row>
    <row r="315" spans="1:70" x14ac:dyDescent="0.25">
      <c r="A315" t="s">
        <v>529</v>
      </c>
      <c r="B315">
        <v>1</v>
      </c>
      <c r="C315">
        <v>2</v>
      </c>
      <c r="D315">
        <v>4</v>
      </c>
      <c r="F315">
        <v>1</v>
      </c>
      <c r="G315">
        <v>1</v>
      </c>
      <c r="H315">
        <v>1</v>
      </c>
      <c r="J315">
        <v>1</v>
      </c>
      <c r="K315">
        <v>3</v>
      </c>
      <c r="M315">
        <v>1</v>
      </c>
      <c r="N315">
        <v>1</v>
      </c>
      <c r="P315">
        <v>1</v>
      </c>
      <c r="Q315">
        <v>1</v>
      </c>
      <c r="R315">
        <v>1</v>
      </c>
      <c r="V315">
        <v>1</v>
      </c>
      <c r="W315" s="8">
        <f t="shared" si="192"/>
        <v>1</v>
      </c>
      <c r="X315" s="8">
        <f t="shared" si="193"/>
        <v>1</v>
      </c>
      <c r="Y315" s="8">
        <f t="shared" si="194"/>
        <v>-1</v>
      </c>
      <c r="Z315" s="8" t="e">
        <f t="shared" si="195"/>
        <v>#DIV/0!</v>
      </c>
      <c r="AA315" s="8">
        <f t="shared" si="196"/>
        <v>0</v>
      </c>
      <c r="AB315" s="8">
        <f t="shared" si="197"/>
        <v>0</v>
      </c>
      <c r="AC315" s="12" t="e">
        <f t="shared" si="198"/>
        <v>#DIV/0!</v>
      </c>
      <c r="AD315" s="12" t="e">
        <f t="shared" si="199"/>
        <v>#DIV/0!</v>
      </c>
      <c r="AE315" s="1">
        <f t="shared" si="200"/>
        <v>1</v>
      </c>
      <c r="AF315" s="1">
        <f t="shared" si="201"/>
        <v>2</v>
      </c>
      <c r="AG315" s="1">
        <f t="shared" si="202"/>
        <v>-4</v>
      </c>
      <c r="AH315" s="1">
        <f t="shared" si="203"/>
        <v>1</v>
      </c>
      <c r="AI315" s="1">
        <f t="shared" si="204"/>
        <v>0</v>
      </c>
      <c r="AJ315" s="1">
        <f t="shared" si="205"/>
        <v>0</v>
      </c>
      <c r="AK315" s="17">
        <f t="shared" si="206"/>
        <v>0</v>
      </c>
      <c r="AL315" s="17">
        <f t="shared" si="207"/>
        <v>0.5</v>
      </c>
      <c r="AM315" s="1" t="e">
        <f t="shared" si="208"/>
        <v>#DIV/0!</v>
      </c>
      <c r="AN315" s="1">
        <f t="shared" si="209"/>
        <v>2</v>
      </c>
      <c r="AO315" s="1">
        <f t="shared" si="210"/>
        <v>-1</v>
      </c>
      <c r="AP315" s="1" t="e">
        <f t="shared" si="211"/>
        <v>#DIV/0!</v>
      </c>
      <c r="AQ315" s="1">
        <f t="shared" si="212"/>
        <v>0</v>
      </c>
      <c r="AR315" s="1">
        <f t="shared" si="213"/>
        <v>-1</v>
      </c>
      <c r="AS315" s="12" t="e">
        <f t="shared" si="214"/>
        <v>#DIV/0!</v>
      </c>
      <c r="AT315" s="12" t="e">
        <f t="shared" si="215"/>
        <v>#DIV/0!</v>
      </c>
      <c r="AU315" s="1">
        <f t="shared" si="216"/>
        <v>1</v>
      </c>
      <c r="AV315" s="1">
        <f t="shared" si="217"/>
        <v>2</v>
      </c>
      <c r="AW315" s="1">
        <f t="shared" si="218"/>
        <v>-3</v>
      </c>
      <c r="AX315" s="1">
        <f t="shared" si="219"/>
        <v>1</v>
      </c>
      <c r="AY315" s="1">
        <f t="shared" si="220"/>
        <v>0</v>
      </c>
      <c r="AZ315" s="1">
        <f t="shared" si="221"/>
        <v>-1</v>
      </c>
      <c r="BA315" s="19">
        <f t="shared" si="222"/>
        <v>0</v>
      </c>
      <c r="BB315" s="19">
        <f t="shared" si="223"/>
        <v>0.5</v>
      </c>
      <c r="BC315" s="9">
        <f t="shared" si="224"/>
        <v>0</v>
      </c>
      <c r="BD315" s="9">
        <f t="shared" si="225"/>
        <v>0</v>
      </c>
      <c r="BE315" s="9">
        <f t="shared" si="226"/>
        <v>-1</v>
      </c>
      <c r="BF315" s="9" t="e">
        <f t="shared" si="227"/>
        <v>#DIV/0!</v>
      </c>
      <c r="BG315" s="9" t="e">
        <f t="shared" si="228"/>
        <v>#DIV/0!</v>
      </c>
      <c r="BH315" s="9" t="e">
        <f t="shared" si="229"/>
        <v>#DIV/0!</v>
      </c>
      <c r="BI315" s="12" t="e">
        <f t="shared" si="230"/>
        <v>#DIV/0!</v>
      </c>
      <c r="BJ315" s="13" t="e">
        <f t="shared" si="231"/>
        <v>#DIV/0!</v>
      </c>
      <c r="BK315" s="1">
        <f t="shared" si="232"/>
        <v>0</v>
      </c>
      <c r="BL315" s="1">
        <f t="shared" si="233"/>
        <v>0</v>
      </c>
      <c r="BM315" s="1">
        <f t="shared" si="234"/>
        <v>-1</v>
      </c>
      <c r="BN315" s="1">
        <f t="shared" si="235"/>
        <v>0</v>
      </c>
      <c r="BO315" s="1">
        <f t="shared" si="236"/>
        <v>0</v>
      </c>
      <c r="BP315" s="1">
        <f t="shared" si="237"/>
        <v>1</v>
      </c>
      <c r="BQ315" s="19">
        <f t="shared" si="238"/>
        <v>0</v>
      </c>
      <c r="BR315" s="17">
        <f t="shared" si="239"/>
        <v>0</v>
      </c>
    </row>
    <row r="316" spans="1:70" x14ac:dyDescent="0.25">
      <c r="A316" t="s">
        <v>530</v>
      </c>
      <c r="B316">
        <v>1</v>
      </c>
      <c r="D316">
        <v>2</v>
      </c>
      <c r="E316">
        <v>1</v>
      </c>
      <c r="F316">
        <v>1</v>
      </c>
      <c r="H316">
        <v>1</v>
      </c>
      <c r="K316">
        <v>2</v>
      </c>
      <c r="L316">
        <v>1</v>
      </c>
      <c r="O316">
        <v>1</v>
      </c>
      <c r="P316">
        <v>1</v>
      </c>
      <c r="T316">
        <v>1</v>
      </c>
      <c r="W316" s="8">
        <f t="shared" si="192"/>
        <v>-1</v>
      </c>
      <c r="X316" s="8" t="e">
        <f t="shared" si="193"/>
        <v>#DIV/0!</v>
      </c>
      <c r="Y316" s="8">
        <f t="shared" si="194"/>
        <v>-0.5</v>
      </c>
      <c r="Z316" s="8">
        <f t="shared" si="195"/>
        <v>0</v>
      </c>
      <c r="AA316" s="8">
        <f t="shared" si="196"/>
        <v>-1</v>
      </c>
      <c r="AB316" s="8" t="e">
        <f t="shared" si="197"/>
        <v>#DIV/0!</v>
      </c>
      <c r="AC316" s="12" t="e">
        <f t="shared" si="198"/>
        <v>#DIV/0!</v>
      </c>
      <c r="AD316" s="12" t="e">
        <f t="shared" si="199"/>
        <v>#DIV/0!</v>
      </c>
      <c r="AE316" s="1">
        <f t="shared" si="200"/>
        <v>-1</v>
      </c>
      <c r="AF316" s="1">
        <f t="shared" si="201"/>
        <v>2</v>
      </c>
      <c r="AG316" s="1">
        <f t="shared" si="202"/>
        <v>-1</v>
      </c>
      <c r="AH316" s="1">
        <f t="shared" si="203"/>
        <v>0</v>
      </c>
      <c r="AI316" s="1">
        <f t="shared" si="204"/>
        <v>-1</v>
      </c>
      <c r="AJ316" s="1">
        <f t="shared" si="205"/>
        <v>1</v>
      </c>
      <c r="AK316" s="17">
        <f t="shared" si="206"/>
        <v>0</v>
      </c>
      <c r="AL316" s="17">
        <f t="shared" si="207"/>
        <v>-0.5</v>
      </c>
      <c r="AM316" s="1" t="e">
        <f t="shared" si="208"/>
        <v>#DIV/0!</v>
      </c>
      <c r="AN316" s="1" t="e">
        <f t="shared" si="209"/>
        <v>#DIV/0!</v>
      </c>
      <c r="AO316" s="1">
        <f t="shared" si="210"/>
        <v>-0.5</v>
      </c>
      <c r="AP316" s="1">
        <f t="shared" si="211"/>
        <v>-1</v>
      </c>
      <c r="AQ316" s="1" t="e">
        <f t="shared" si="212"/>
        <v>#DIV/0!</v>
      </c>
      <c r="AR316" s="1" t="e">
        <f t="shared" si="213"/>
        <v>#DIV/0!</v>
      </c>
      <c r="AS316" s="12" t="e">
        <f t="shared" si="214"/>
        <v>#DIV/0!</v>
      </c>
      <c r="AT316" s="12" t="e">
        <f t="shared" si="215"/>
        <v>#DIV/0!</v>
      </c>
      <c r="AU316" s="1">
        <f t="shared" si="216"/>
        <v>0</v>
      </c>
      <c r="AV316" s="1">
        <f t="shared" si="217"/>
        <v>2</v>
      </c>
      <c r="AW316" s="1">
        <f t="shared" si="218"/>
        <v>-1</v>
      </c>
      <c r="AX316" s="1">
        <f t="shared" si="219"/>
        <v>-1</v>
      </c>
      <c r="AY316" s="1">
        <f t="shared" si="220"/>
        <v>0</v>
      </c>
      <c r="AZ316" s="1">
        <f t="shared" si="221"/>
        <v>1</v>
      </c>
      <c r="BA316" s="19">
        <f t="shared" si="222"/>
        <v>0.16666666666666666</v>
      </c>
      <c r="BB316" s="19">
        <f t="shared" si="223"/>
        <v>0</v>
      </c>
      <c r="BC316" s="9">
        <f t="shared" si="224"/>
        <v>-1</v>
      </c>
      <c r="BD316" s="9" t="e">
        <f t="shared" si="225"/>
        <v>#DIV/0!</v>
      </c>
      <c r="BE316" s="9" t="e">
        <f t="shared" si="226"/>
        <v>#DIV/0!</v>
      </c>
      <c r="BF316" s="9" t="e">
        <f t="shared" si="227"/>
        <v>#DIV/0!</v>
      </c>
      <c r="BG316" s="9">
        <f t="shared" si="228"/>
        <v>-1</v>
      </c>
      <c r="BH316" s="9" t="e">
        <f t="shared" si="229"/>
        <v>#DIV/0!</v>
      </c>
      <c r="BI316" s="12" t="e">
        <f t="shared" si="230"/>
        <v>#DIV/0!</v>
      </c>
      <c r="BJ316" s="13" t="e">
        <f t="shared" si="231"/>
        <v>#DIV/0!</v>
      </c>
      <c r="BK316" s="1">
        <f t="shared" si="232"/>
        <v>-1</v>
      </c>
      <c r="BL316" s="1">
        <f t="shared" si="233"/>
        <v>0</v>
      </c>
      <c r="BM316" s="1">
        <f t="shared" si="234"/>
        <v>0</v>
      </c>
      <c r="BN316" s="1">
        <f t="shared" si="235"/>
        <v>1</v>
      </c>
      <c r="BO316" s="1">
        <f t="shared" si="236"/>
        <v>-1</v>
      </c>
      <c r="BP316" s="1">
        <f t="shared" si="237"/>
        <v>0</v>
      </c>
      <c r="BQ316" s="19">
        <f t="shared" si="238"/>
        <v>-0.16666666666666666</v>
      </c>
      <c r="BR316" s="17">
        <f t="shared" si="239"/>
        <v>0</v>
      </c>
    </row>
    <row r="317" spans="1:70" x14ac:dyDescent="0.25">
      <c r="A317" t="s">
        <v>537</v>
      </c>
      <c r="B317">
        <v>1</v>
      </c>
      <c r="C317">
        <v>2</v>
      </c>
      <c r="D317">
        <v>2</v>
      </c>
      <c r="H317">
        <v>1</v>
      </c>
      <c r="J317">
        <v>1</v>
      </c>
      <c r="K317">
        <v>2</v>
      </c>
      <c r="O317">
        <v>1</v>
      </c>
      <c r="P317">
        <v>1</v>
      </c>
      <c r="Q317">
        <v>1</v>
      </c>
      <c r="W317" s="8">
        <f t="shared" si="192"/>
        <v>1</v>
      </c>
      <c r="X317" s="8">
        <f t="shared" si="193"/>
        <v>0</v>
      </c>
      <c r="Y317" s="8">
        <f t="shared" si="194"/>
        <v>-1</v>
      </c>
      <c r="Z317" s="8" t="e">
        <f t="shared" si="195"/>
        <v>#DIV/0!</v>
      </c>
      <c r="AA317" s="8" t="e">
        <f t="shared" si="196"/>
        <v>#DIV/0!</v>
      </c>
      <c r="AB317" s="8" t="e">
        <f t="shared" si="197"/>
        <v>#DIV/0!</v>
      </c>
      <c r="AC317" s="12" t="e">
        <f t="shared" si="198"/>
        <v>#DIV/0!</v>
      </c>
      <c r="AD317" s="12" t="e">
        <f t="shared" si="199"/>
        <v>#DIV/0!</v>
      </c>
      <c r="AE317" s="1">
        <f t="shared" si="200"/>
        <v>1</v>
      </c>
      <c r="AF317" s="1">
        <f t="shared" si="201"/>
        <v>0</v>
      </c>
      <c r="AG317" s="1">
        <f t="shared" si="202"/>
        <v>-2</v>
      </c>
      <c r="AH317" s="1">
        <f t="shared" si="203"/>
        <v>0</v>
      </c>
      <c r="AI317" s="1">
        <f t="shared" si="204"/>
        <v>0</v>
      </c>
      <c r="AJ317" s="1">
        <f t="shared" si="205"/>
        <v>1</v>
      </c>
      <c r="AK317" s="17">
        <f t="shared" si="206"/>
        <v>0</v>
      </c>
      <c r="AL317" s="17">
        <f t="shared" si="207"/>
        <v>0</v>
      </c>
      <c r="AM317" s="1" t="e">
        <f t="shared" si="208"/>
        <v>#DIV/0!</v>
      </c>
      <c r="AN317" s="1">
        <f t="shared" si="209"/>
        <v>1</v>
      </c>
      <c r="AO317" s="1">
        <f t="shared" si="210"/>
        <v>-1</v>
      </c>
      <c r="AP317" s="1" t="e">
        <f t="shared" si="211"/>
        <v>#DIV/0!</v>
      </c>
      <c r="AQ317" s="1" t="e">
        <f t="shared" si="212"/>
        <v>#DIV/0!</v>
      </c>
      <c r="AR317" s="1" t="e">
        <f t="shared" si="213"/>
        <v>#DIV/0!</v>
      </c>
      <c r="AS317" s="12" t="e">
        <f t="shared" si="214"/>
        <v>#DIV/0!</v>
      </c>
      <c r="AT317" s="12" t="e">
        <f t="shared" si="215"/>
        <v>#DIV/0!</v>
      </c>
      <c r="AU317" s="1">
        <f t="shared" si="216"/>
        <v>1</v>
      </c>
      <c r="AV317" s="1">
        <f t="shared" si="217"/>
        <v>1</v>
      </c>
      <c r="AW317" s="1">
        <f t="shared" si="218"/>
        <v>-2</v>
      </c>
      <c r="AX317" s="1">
        <f t="shared" si="219"/>
        <v>0</v>
      </c>
      <c r="AY317" s="1">
        <f t="shared" si="220"/>
        <v>0</v>
      </c>
      <c r="AZ317" s="1">
        <f t="shared" si="221"/>
        <v>1</v>
      </c>
      <c r="BA317" s="19">
        <f t="shared" si="222"/>
        <v>0.16666666666666666</v>
      </c>
      <c r="BB317" s="19">
        <f t="shared" si="223"/>
        <v>0.5</v>
      </c>
      <c r="BC317" s="9">
        <f t="shared" si="224"/>
        <v>0</v>
      </c>
      <c r="BD317" s="9">
        <f t="shared" si="225"/>
        <v>-1</v>
      </c>
      <c r="BE317" s="9" t="e">
        <f t="shared" si="226"/>
        <v>#DIV/0!</v>
      </c>
      <c r="BF317" s="9" t="e">
        <f t="shared" si="227"/>
        <v>#DIV/0!</v>
      </c>
      <c r="BG317" s="9" t="e">
        <f t="shared" si="228"/>
        <v>#DIV/0!</v>
      </c>
      <c r="BH317" s="9" t="e">
        <f t="shared" si="229"/>
        <v>#DIV/0!</v>
      </c>
      <c r="BI317" s="12" t="e">
        <f t="shared" si="230"/>
        <v>#DIV/0!</v>
      </c>
      <c r="BJ317" s="13" t="e">
        <f t="shared" si="231"/>
        <v>#DIV/0!</v>
      </c>
      <c r="BK317" s="1">
        <f t="shared" si="232"/>
        <v>0</v>
      </c>
      <c r="BL317" s="1">
        <f t="shared" si="233"/>
        <v>-1</v>
      </c>
      <c r="BM317" s="1">
        <f t="shared" si="234"/>
        <v>0</v>
      </c>
      <c r="BN317" s="1">
        <f t="shared" si="235"/>
        <v>0</v>
      </c>
      <c r="BO317" s="1">
        <f t="shared" si="236"/>
        <v>0</v>
      </c>
      <c r="BP317" s="1">
        <f t="shared" si="237"/>
        <v>0</v>
      </c>
      <c r="BQ317" s="19">
        <f t="shared" si="238"/>
        <v>-0.16666666666666666</v>
      </c>
      <c r="BR317" s="17">
        <f t="shared" si="239"/>
        <v>0</v>
      </c>
    </row>
    <row r="318" spans="1:70" x14ac:dyDescent="0.25">
      <c r="A318" t="s">
        <v>544</v>
      </c>
      <c r="B318">
        <v>1</v>
      </c>
      <c r="C318">
        <v>1</v>
      </c>
      <c r="D318">
        <v>1</v>
      </c>
      <c r="F318">
        <v>1</v>
      </c>
      <c r="H318">
        <v>1</v>
      </c>
      <c r="I318">
        <v>1</v>
      </c>
      <c r="J318">
        <v>1</v>
      </c>
      <c r="K318">
        <v>1</v>
      </c>
      <c r="T318">
        <v>1</v>
      </c>
      <c r="V318">
        <v>1</v>
      </c>
      <c r="W318" s="8">
        <f t="shared" si="192"/>
        <v>0</v>
      </c>
      <c r="X318" s="8">
        <f t="shared" si="193"/>
        <v>0</v>
      </c>
      <c r="Y318" s="8">
        <f t="shared" si="194"/>
        <v>-1</v>
      </c>
      <c r="Z318" s="8" t="e">
        <f t="shared" si="195"/>
        <v>#DIV/0!</v>
      </c>
      <c r="AA318" s="8">
        <f t="shared" si="196"/>
        <v>-1</v>
      </c>
      <c r="AB318" s="8" t="e">
        <f t="shared" si="197"/>
        <v>#DIV/0!</v>
      </c>
      <c r="AC318" s="12" t="e">
        <f t="shared" si="198"/>
        <v>#DIV/0!</v>
      </c>
      <c r="AD318" s="12" t="e">
        <f t="shared" si="199"/>
        <v>#DIV/0!</v>
      </c>
      <c r="AE318" s="1">
        <f t="shared" si="200"/>
        <v>0</v>
      </c>
      <c r="AF318" s="1">
        <f t="shared" si="201"/>
        <v>0</v>
      </c>
      <c r="AG318" s="1">
        <f t="shared" si="202"/>
        <v>-1</v>
      </c>
      <c r="AH318" s="1">
        <f t="shared" si="203"/>
        <v>1</v>
      </c>
      <c r="AI318" s="1">
        <f t="shared" si="204"/>
        <v>-1</v>
      </c>
      <c r="AJ318" s="1">
        <f t="shared" si="205"/>
        <v>1</v>
      </c>
      <c r="AK318" s="17">
        <f t="shared" si="206"/>
        <v>0</v>
      </c>
      <c r="AL318" s="17">
        <f t="shared" si="207"/>
        <v>0</v>
      </c>
      <c r="AM318" s="1">
        <f t="shared" si="208"/>
        <v>0</v>
      </c>
      <c r="AN318" s="1">
        <f t="shared" si="209"/>
        <v>0</v>
      </c>
      <c r="AO318" s="1">
        <f t="shared" si="210"/>
        <v>-1</v>
      </c>
      <c r="AP318" s="1" t="e">
        <f t="shared" si="211"/>
        <v>#DIV/0!</v>
      </c>
      <c r="AQ318" s="1" t="e">
        <f t="shared" si="212"/>
        <v>#DIV/0!</v>
      </c>
      <c r="AR318" s="1" t="e">
        <f t="shared" si="213"/>
        <v>#DIV/0!</v>
      </c>
      <c r="AS318" s="12" t="e">
        <f t="shared" si="214"/>
        <v>#DIV/0!</v>
      </c>
      <c r="AT318" s="12" t="e">
        <f t="shared" si="215"/>
        <v>#DIV/0!</v>
      </c>
      <c r="AU318" s="1">
        <f t="shared" si="216"/>
        <v>0</v>
      </c>
      <c r="AV318" s="1">
        <f t="shared" si="217"/>
        <v>0</v>
      </c>
      <c r="AW318" s="1">
        <f t="shared" si="218"/>
        <v>-1</v>
      </c>
      <c r="AX318" s="1">
        <f t="shared" si="219"/>
        <v>0</v>
      </c>
      <c r="AY318" s="1">
        <f t="shared" si="220"/>
        <v>0</v>
      </c>
      <c r="AZ318" s="1">
        <f t="shared" si="221"/>
        <v>0</v>
      </c>
      <c r="BA318" s="19">
        <f t="shared" si="222"/>
        <v>-0.16666666666666666</v>
      </c>
      <c r="BB318" s="19">
        <f t="shared" si="223"/>
        <v>0</v>
      </c>
      <c r="BC318" s="9" t="e">
        <f t="shared" si="224"/>
        <v>#DIV/0!</v>
      </c>
      <c r="BD318" s="9" t="e">
        <f t="shared" si="225"/>
        <v>#DIV/0!</v>
      </c>
      <c r="BE318" s="9" t="e">
        <f t="shared" si="226"/>
        <v>#DIV/0!</v>
      </c>
      <c r="BF318" s="9" t="e">
        <f t="shared" si="227"/>
        <v>#DIV/0!</v>
      </c>
      <c r="BG318" s="9">
        <f t="shared" si="228"/>
        <v>-1</v>
      </c>
      <c r="BH318" s="9" t="e">
        <f t="shared" si="229"/>
        <v>#DIV/0!</v>
      </c>
      <c r="BI318" s="12" t="e">
        <f t="shared" si="230"/>
        <v>#DIV/0!</v>
      </c>
      <c r="BJ318" s="13" t="e">
        <f t="shared" si="231"/>
        <v>#DIV/0!</v>
      </c>
      <c r="BK318" s="1">
        <f t="shared" si="232"/>
        <v>0</v>
      </c>
      <c r="BL318" s="1">
        <f t="shared" si="233"/>
        <v>0</v>
      </c>
      <c r="BM318" s="1">
        <f t="shared" si="234"/>
        <v>0</v>
      </c>
      <c r="BN318" s="1">
        <f t="shared" si="235"/>
        <v>1</v>
      </c>
      <c r="BO318" s="1">
        <f t="shared" si="236"/>
        <v>-1</v>
      </c>
      <c r="BP318" s="1">
        <f t="shared" si="237"/>
        <v>1</v>
      </c>
      <c r="BQ318" s="19">
        <f t="shared" si="238"/>
        <v>0.16666666666666666</v>
      </c>
      <c r="BR318" s="17">
        <f t="shared" si="239"/>
        <v>0</v>
      </c>
    </row>
    <row r="319" spans="1:70" x14ac:dyDescent="0.25">
      <c r="A319" t="s">
        <v>548</v>
      </c>
      <c r="B319">
        <v>1</v>
      </c>
      <c r="D319">
        <v>2</v>
      </c>
      <c r="F319">
        <v>4</v>
      </c>
      <c r="G319">
        <v>1</v>
      </c>
      <c r="H319">
        <v>1</v>
      </c>
      <c r="K319">
        <v>1</v>
      </c>
      <c r="M319">
        <v>2</v>
      </c>
      <c r="P319">
        <v>1</v>
      </c>
      <c r="R319">
        <v>1</v>
      </c>
      <c r="T319">
        <v>2</v>
      </c>
      <c r="U319">
        <v>1</v>
      </c>
      <c r="V319">
        <v>1</v>
      </c>
      <c r="W319" s="8">
        <f t="shared" si="192"/>
        <v>-1</v>
      </c>
      <c r="X319" s="8" t="e">
        <f t="shared" si="193"/>
        <v>#DIV/0!</v>
      </c>
      <c r="Y319" s="8">
        <f t="shared" si="194"/>
        <v>-1</v>
      </c>
      <c r="Z319" s="8" t="e">
        <f t="shared" si="195"/>
        <v>#DIV/0!</v>
      </c>
      <c r="AA319" s="8">
        <f t="shared" si="196"/>
        <v>-0.75</v>
      </c>
      <c r="AB319" s="8">
        <f t="shared" si="197"/>
        <v>0</v>
      </c>
      <c r="AC319" s="12" t="e">
        <f t="shared" si="198"/>
        <v>#DIV/0!</v>
      </c>
      <c r="AD319" s="12" t="e">
        <f t="shared" si="199"/>
        <v>#DIV/0!</v>
      </c>
      <c r="AE319" s="1">
        <f t="shared" si="200"/>
        <v>-1</v>
      </c>
      <c r="AF319" s="1">
        <f t="shared" si="201"/>
        <v>2</v>
      </c>
      <c r="AG319" s="1">
        <f t="shared" si="202"/>
        <v>-2</v>
      </c>
      <c r="AH319" s="1">
        <f t="shared" si="203"/>
        <v>4</v>
      </c>
      <c r="AI319" s="1">
        <f t="shared" si="204"/>
        <v>-3</v>
      </c>
      <c r="AJ319" s="1">
        <f t="shared" si="205"/>
        <v>0</v>
      </c>
      <c r="AK319" s="17">
        <f t="shared" si="206"/>
        <v>0</v>
      </c>
      <c r="AL319" s="17">
        <f t="shared" si="207"/>
        <v>-0.5</v>
      </c>
      <c r="AM319" s="1" t="e">
        <f t="shared" si="208"/>
        <v>#DIV/0!</v>
      </c>
      <c r="AN319" s="1" t="e">
        <f t="shared" si="209"/>
        <v>#DIV/0!</v>
      </c>
      <c r="AO319" s="1">
        <f t="shared" si="210"/>
        <v>-1</v>
      </c>
      <c r="AP319" s="1" t="e">
        <f t="shared" si="211"/>
        <v>#DIV/0!</v>
      </c>
      <c r="AQ319" s="1">
        <f t="shared" si="212"/>
        <v>-1</v>
      </c>
      <c r="AR319" s="1" t="e">
        <f t="shared" si="213"/>
        <v>#DIV/0!</v>
      </c>
      <c r="AS319" s="12" t="e">
        <f t="shared" si="214"/>
        <v>#DIV/0!</v>
      </c>
      <c r="AT319" s="12" t="e">
        <f t="shared" si="215"/>
        <v>#DIV/0!</v>
      </c>
      <c r="AU319" s="1">
        <f t="shared" si="216"/>
        <v>0</v>
      </c>
      <c r="AV319" s="1">
        <f t="shared" si="217"/>
        <v>1</v>
      </c>
      <c r="AW319" s="1">
        <f t="shared" si="218"/>
        <v>-1</v>
      </c>
      <c r="AX319" s="1">
        <f t="shared" si="219"/>
        <v>2</v>
      </c>
      <c r="AY319" s="1">
        <f t="shared" si="220"/>
        <v>-2</v>
      </c>
      <c r="AZ319" s="1">
        <f t="shared" si="221"/>
        <v>0</v>
      </c>
      <c r="BA319" s="19">
        <f t="shared" si="222"/>
        <v>0</v>
      </c>
      <c r="BB319" s="19">
        <f t="shared" si="223"/>
        <v>0</v>
      </c>
      <c r="BC319" s="9">
        <f t="shared" si="224"/>
        <v>-1</v>
      </c>
      <c r="BD319" s="9" t="e">
        <f t="shared" si="225"/>
        <v>#DIV/0!</v>
      </c>
      <c r="BE319" s="9">
        <f t="shared" si="226"/>
        <v>-1</v>
      </c>
      <c r="BF319" s="9" t="e">
        <f t="shared" si="227"/>
        <v>#DIV/0!</v>
      </c>
      <c r="BG319" s="9">
        <f t="shared" si="228"/>
        <v>-0.5</v>
      </c>
      <c r="BH319" s="9">
        <f t="shared" si="229"/>
        <v>0</v>
      </c>
      <c r="BI319" s="12" t="e">
        <f t="shared" si="230"/>
        <v>#DIV/0!</v>
      </c>
      <c r="BJ319" s="13" t="e">
        <f t="shared" si="231"/>
        <v>#DIV/0!</v>
      </c>
      <c r="BK319" s="1">
        <f t="shared" si="232"/>
        <v>-1</v>
      </c>
      <c r="BL319" s="1">
        <f t="shared" si="233"/>
        <v>1</v>
      </c>
      <c r="BM319" s="1">
        <f t="shared" si="234"/>
        <v>-1</v>
      </c>
      <c r="BN319" s="1">
        <f t="shared" si="235"/>
        <v>2</v>
      </c>
      <c r="BO319" s="1">
        <f t="shared" si="236"/>
        <v>-1</v>
      </c>
      <c r="BP319" s="1">
        <f t="shared" si="237"/>
        <v>0</v>
      </c>
      <c r="BQ319" s="19">
        <f t="shared" si="238"/>
        <v>0</v>
      </c>
      <c r="BR319" s="17">
        <f t="shared" si="239"/>
        <v>-0.5</v>
      </c>
    </row>
    <row r="320" spans="1:70" x14ac:dyDescent="0.25">
      <c r="A320" t="s">
        <v>553</v>
      </c>
      <c r="B320">
        <v>1</v>
      </c>
      <c r="C320">
        <v>1</v>
      </c>
      <c r="D320">
        <v>1</v>
      </c>
      <c r="E320">
        <v>1</v>
      </c>
      <c r="H320">
        <v>1</v>
      </c>
      <c r="I320">
        <v>1</v>
      </c>
      <c r="L320">
        <v>1</v>
      </c>
      <c r="Q320">
        <v>1</v>
      </c>
      <c r="R320">
        <v>1</v>
      </c>
      <c r="V320">
        <v>1</v>
      </c>
      <c r="W320" s="8">
        <f t="shared" si="192"/>
        <v>0</v>
      </c>
      <c r="X320" s="8">
        <f t="shared" si="193"/>
        <v>0</v>
      </c>
      <c r="Y320" s="8">
        <f t="shared" si="194"/>
        <v>0</v>
      </c>
      <c r="Z320" s="8">
        <f t="shared" si="195"/>
        <v>-1</v>
      </c>
      <c r="AA320" s="8" t="e">
        <f t="shared" si="196"/>
        <v>#DIV/0!</v>
      </c>
      <c r="AB320" s="8" t="e">
        <f t="shared" si="197"/>
        <v>#DIV/0!</v>
      </c>
      <c r="AC320" s="12" t="e">
        <f t="shared" si="198"/>
        <v>#DIV/0!</v>
      </c>
      <c r="AD320" s="12" t="e">
        <f t="shared" si="199"/>
        <v>#DIV/0!</v>
      </c>
      <c r="AE320" s="1">
        <f t="shared" si="200"/>
        <v>0</v>
      </c>
      <c r="AF320" s="1">
        <f t="shared" si="201"/>
        <v>0</v>
      </c>
      <c r="AG320" s="1">
        <f t="shared" si="202"/>
        <v>0</v>
      </c>
      <c r="AH320" s="1">
        <f t="shared" si="203"/>
        <v>-1</v>
      </c>
      <c r="AI320" s="1">
        <f t="shared" si="204"/>
        <v>0</v>
      </c>
      <c r="AJ320" s="1">
        <f t="shared" si="205"/>
        <v>1</v>
      </c>
      <c r="AK320" s="17">
        <f t="shared" si="206"/>
        <v>0</v>
      </c>
      <c r="AL320" s="17">
        <f t="shared" si="207"/>
        <v>0</v>
      </c>
      <c r="AM320" s="1">
        <f t="shared" si="208"/>
        <v>-1</v>
      </c>
      <c r="AN320" s="1" t="e">
        <f t="shared" si="209"/>
        <v>#DIV/0!</v>
      </c>
      <c r="AO320" s="1" t="e">
        <f t="shared" si="210"/>
        <v>#DIV/0!</v>
      </c>
      <c r="AP320" s="1">
        <f t="shared" si="211"/>
        <v>-1</v>
      </c>
      <c r="AQ320" s="1" t="e">
        <f t="shared" si="212"/>
        <v>#DIV/0!</v>
      </c>
      <c r="AR320" s="1" t="e">
        <f t="shared" si="213"/>
        <v>#DIV/0!</v>
      </c>
      <c r="AS320" s="12" t="e">
        <f t="shared" si="214"/>
        <v>#DIV/0!</v>
      </c>
      <c r="AT320" s="12" t="e">
        <f t="shared" si="215"/>
        <v>#DIV/0!</v>
      </c>
      <c r="AU320" s="1">
        <f t="shared" si="216"/>
        <v>-1</v>
      </c>
      <c r="AV320" s="1">
        <f t="shared" si="217"/>
        <v>0</v>
      </c>
      <c r="AW320" s="1">
        <f t="shared" si="218"/>
        <v>1</v>
      </c>
      <c r="AX320" s="1">
        <f t="shared" si="219"/>
        <v>-1</v>
      </c>
      <c r="AY320" s="1">
        <f t="shared" si="220"/>
        <v>0</v>
      </c>
      <c r="AZ320" s="1">
        <f t="shared" si="221"/>
        <v>0</v>
      </c>
      <c r="BA320" s="19">
        <f t="shared" si="222"/>
        <v>-0.16666666666666666</v>
      </c>
      <c r="BB320" s="19">
        <f t="shared" si="223"/>
        <v>0</v>
      </c>
      <c r="BC320" s="9" t="e">
        <f t="shared" si="224"/>
        <v>#DIV/0!</v>
      </c>
      <c r="BD320" s="9">
        <f t="shared" si="225"/>
        <v>0</v>
      </c>
      <c r="BE320" s="9">
        <f t="shared" si="226"/>
        <v>-1</v>
      </c>
      <c r="BF320" s="9" t="e">
        <f t="shared" si="227"/>
        <v>#DIV/0!</v>
      </c>
      <c r="BG320" s="9" t="e">
        <f t="shared" si="228"/>
        <v>#DIV/0!</v>
      </c>
      <c r="BH320" s="9" t="e">
        <f t="shared" si="229"/>
        <v>#DIV/0!</v>
      </c>
      <c r="BI320" s="12" t="e">
        <f t="shared" si="230"/>
        <v>#DIV/0!</v>
      </c>
      <c r="BJ320" s="13" t="e">
        <f t="shared" si="231"/>
        <v>#DIV/0!</v>
      </c>
      <c r="BK320" s="1">
        <f t="shared" si="232"/>
        <v>1</v>
      </c>
      <c r="BL320" s="1">
        <f t="shared" si="233"/>
        <v>0</v>
      </c>
      <c r="BM320" s="1">
        <f t="shared" si="234"/>
        <v>-1</v>
      </c>
      <c r="BN320" s="1">
        <f t="shared" si="235"/>
        <v>0</v>
      </c>
      <c r="BO320" s="1">
        <f t="shared" si="236"/>
        <v>0</v>
      </c>
      <c r="BP320" s="1">
        <f t="shared" si="237"/>
        <v>1</v>
      </c>
      <c r="BQ320" s="19">
        <f t="shared" si="238"/>
        <v>0.16666666666666666</v>
      </c>
      <c r="BR320" s="17">
        <f t="shared" si="239"/>
        <v>0</v>
      </c>
    </row>
    <row r="321" spans="1:70" x14ac:dyDescent="0.25">
      <c r="A321" t="s">
        <v>554</v>
      </c>
      <c r="B321">
        <v>1</v>
      </c>
      <c r="C321">
        <v>2</v>
      </c>
      <c r="D321">
        <v>1</v>
      </c>
      <c r="E321">
        <v>2</v>
      </c>
      <c r="G321">
        <v>1</v>
      </c>
      <c r="H321">
        <v>1</v>
      </c>
      <c r="K321">
        <v>1</v>
      </c>
      <c r="L321">
        <v>2</v>
      </c>
      <c r="N321">
        <v>1</v>
      </c>
      <c r="O321">
        <v>1</v>
      </c>
      <c r="P321">
        <v>1</v>
      </c>
      <c r="Q321">
        <v>2</v>
      </c>
      <c r="W321" s="8">
        <f t="shared" si="192"/>
        <v>1</v>
      </c>
      <c r="X321" s="8">
        <f t="shared" si="193"/>
        <v>-0.5</v>
      </c>
      <c r="Y321" s="8">
        <f t="shared" si="194"/>
        <v>1</v>
      </c>
      <c r="Z321" s="8">
        <f t="shared" si="195"/>
        <v>-1</v>
      </c>
      <c r="AA321" s="8" t="e">
        <f t="shared" si="196"/>
        <v>#DIV/0!</v>
      </c>
      <c r="AB321" s="8">
        <f t="shared" si="197"/>
        <v>0</v>
      </c>
      <c r="AC321" s="12" t="e">
        <f t="shared" si="198"/>
        <v>#DIV/0!</v>
      </c>
      <c r="AD321" s="12" t="e">
        <f t="shared" si="199"/>
        <v>#DIV/0!</v>
      </c>
      <c r="AE321" s="1">
        <f t="shared" si="200"/>
        <v>1</v>
      </c>
      <c r="AF321" s="1">
        <f t="shared" si="201"/>
        <v>-1</v>
      </c>
      <c r="AG321" s="1">
        <f t="shared" si="202"/>
        <v>1</v>
      </c>
      <c r="AH321" s="1">
        <f t="shared" si="203"/>
        <v>-2</v>
      </c>
      <c r="AI321" s="1">
        <f t="shared" si="204"/>
        <v>1</v>
      </c>
      <c r="AJ321" s="1">
        <f t="shared" si="205"/>
        <v>0</v>
      </c>
      <c r="AK321" s="17">
        <f t="shared" si="206"/>
        <v>0</v>
      </c>
      <c r="AL321" s="17">
        <f t="shared" si="207"/>
        <v>0.5</v>
      </c>
      <c r="AM321" s="1" t="e">
        <f t="shared" si="208"/>
        <v>#DIV/0!</v>
      </c>
      <c r="AN321" s="1" t="e">
        <f t="shared" si="209"/>
        <v>#DIV/0!</v>
      </c>
      <c r="AO321" s="1">
        <f t="shared" si="210"/>
        <v>1</v>
      </c>
      <c r="AP321" s="1">
        <f t="shared" si="211"/>
        <v>-1</v>
      </c>
      <c r="AQ321" s="1" t="e">
        <f t="shared" si="212"/>
        <v>#DIV/0!</v>
      </c>
      <c r="AR321" s="1">
        <f t="shared" si="213"/>
        <v>0</v>
      </c>
      <c r="AS321" s="12" t="e">
        <f t="shared" si="214"/>
        <v>#DIV/0!</v>
      </c>
      <c r="AT321" s="12" t="e">
        <f t="shared" si="215"/>
        <v>#DIV/0!</v>
      </c>
      <c r="AU321" s="1">
        <f t="shared" si="216"/>
        <v>0</v>
      </c>
      <c r="AV321" s="1">
        <f t="shared" si="217"/>
        <v>1</v>
      </c>
      <c r="AW321" s="1">
        <f t="shared" si="218"/>
        <v>1</v>
      </c>
      <c r="AX321" s="1">
        <f t="shared" si="219"/>
        <v>-2</v>
      </c>
      <c r="AY321" s="1">
        <f t="shared" si="220"/>
        <v>1</v>
      </c>
      <c r="AZ321" s="1">
        <f t="shared" si="221"/>
        <v>0</v>
      </c>
      <c r="BA321" s="19">
        <f t="shared" si="222"/>
        <v>0.16666666666666666</v>
      </c>
      <c r="BB321" s="19">
        <f t="shared" si="223"/>
        <v>0.5</v>
      </c>
      <c r="BC321" s="9">
        <f t="shared" si="224"/>
        <v>1</v>
      </c>
      <c r="BD321" s="9">
        <f t="shared" si="225"/>
        <v>-1</v>
      </c>
      <c r="BE321" s="9" t="e">
        <f t="shared" si="226"/>
        <v>#DIV/0!</v>
      </c>
      <c r="BF321" s="9" t="e">
        <f t="shared" si="227"/>
        <v>#DIV/0!</v>
      </c>
      <c r="BG321" s="9" t="e">
        <f t="shared" si="228"/>
        <v>#DIV/0!</v>
      </c>
      <c r="BH321" s="9" t="e">
        <f t="shared" si="229"/>
        <v>#DIV/0!</v>
      </c>
      <c r="BI321" s="12" t="e">
        <f t="shared" si="230"/>
        <v>#DIV/0!</v>
      </c>
      <c r="BJ321" s="13" t="e">
        <f t="shared" si="231"/>
        <v>#DIV/0!</v>
      </c>
      <c r="BK321" s="1">
        <f t="shared" si="232"/>
        <v>1</v>
      </c>
      <c r="BL321" s="1">
        <f t="shared" si="233"/>
        <v>-2</v>
      </c>
      <c r="BM321" s="1">
        <f t="shared" si="234"/>
        <v>0</v>
      </c>
      <c r="BN321" s="1">
        <f t="shared" si="235"/>
        <v>0</v>
      </c>
      <c r="BO321" s="1">
        <f t="shared" si="236"/>
        <v>0</v>
      </c>
      <c r="BP321" s="1">
        <f t="shared" si="237"/>
        <v>0</v>
      </c>
      <c r="BQ321" s="19">
        <f t="shared" si="238"/>
        <v>-0.16666666666666666</v>
      </c>
      <c r="BR321" s="17">
        <f t="shared" si="239"/>
        <v>0</v>
      </c>
    </row>
    <row r="322" spans="1:70" x14ac:dyDescent="0.25">
      <c r="A322" t="s">
        <v>555</v>
      </c>
      <c r="B322">
        <v>1</v>
      </c>
      <c r="C322">
        <v>2</v>
      </c>
      <c r="D322">
        <v>2</v>
      </c>
      <c r="E322">
        <v>1</v>
      </c>
      <c r="F322">
        <v>3</v>
      </c>
      <c r="G322">
        <v>11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3</v>
      </c>
      <c r="N322">
        <v>11</v>
      </c>
      <c r="O322">
        <v>1</v>
      </c>
      <c r="W322" s="8">
        <f t="shared" ref="W322:W385" si="240">+(C322-B322)/B322</f>
        <v>1</v>
      </c>
      <c r="X322" s="8">
        <f t="shared" ref="X322:X385" si="241">+(D322-C322)/C322</f>
        <v>0</v>
      </c>
      <c r="Y322" s="8">
        <f t="shared" ref="Y322:Y385" si="242">+(E322-D322)/D322</f>
        <v>-0.5</v>
      </c>
      <c r="Z322" s="8">
        <f t="shared" ref="Z322:Z385" si="243">+(F322-E322)/E322</f>
        <v>2</v>
      </c>
      <c r="AA322" s="8">
        <f t="shared" ref="AA322:AA385" si="244">+(G322-F322)/F322</f>
        <v>2.6666666666666665</v>
      </c>
      <c r="AB322" s="8">
        <f t="shared" ref="AB322:AB385" si="245">+(H322-G322)/G322</f>
        <v>-0.90909090909090906</v>
      </c>
      <c r="AC322" s="12">
        <f t="shared" ref="AC322:AC385" si="246">+AVERAGE(W322:AB322)</f>
        <v>0.70959595959595945</v>
      </c>
      <c r="AD322" s="12">
        <f t="shared" ref="AD322:AD385" si="247">MEDIAN(W322:AB322)</f>
        <v>0.5</v>
      </c>
      <c r="AE322" s="1">
        <f t="shared" ref="AE322:AE385" si="248">C322-B322</f>
        <v>1</v>
      </c>
      <c r="AF322" s="1">
        <f t="shared" ref="AF322:AF385" si="249">D322-C322</f>
        <v>0</v>
      </c>
      <c r="AG322" s="1">
        <f t="shared" ref="AG322:AG385" si="250">E322-D322</f>
        <v>-1</v>
      </c>
      <c r="AH322" s="1">
        <f t="shared" ref="AH322:AH385" si="251">F322-E322</f>
        <v>2</v>
      </c>
      <c r="AI322" s="1">
        <f t="shared" ref="AI322:AI385" si="252">G322-F322</f>
        <v>8</v>
      </c>
      <c r="AJ322" s="1">
        <f t="shared" ref="AJ322:AJ385" si="253">H322-G322</f>
        <v>-10</v>
      </c>
      <c r="AK322" s="17">
        <f t="shared" ref="AK322:AK385" si="254">+AVERAGE(AE322:AJ322)</f>
        <v>0</v>
      </c>
      <c r="AL322" s="17">
        <f t="shared" ref="AL322:AL385" si="255">+MEDIAN(AE322:AJ322)</f>
        <v>0.5</v>
      </c>
      <c r="AM322" s="1">
        <f t="shared" ref="AM322:AM385" si="256">+(J322-I322)/I322</f>
        <v>1</v>
      </c>
      <c r="AN322" s="1">
        <f t="shared" ref="AN322:AN385" si="257">+(K322-J322)/J322</f>
        <v>0</v>
      </c>
      <c r="AO322" s="1">
        <f t="shared" ref="AO322:AO385" si="258">+(L322-K322)/K322</f>
        <v>-0.5</v>
      </c>
      <c r="AP322" s="1">
        <f t="shared" ref="AP322:AP385" si="259">+(M322-L322)/L322</f>
        <v>2</v>
      </c>
      <c r="AQ322" s="1">
        <f t="shared" ref="AQ322:AQ385" si="260">+(N322-M322)/M322</f>
        <v>2.6666666666666665</v>
      </c>
      <c r="AR322" s="1">
        <f t="shared" ref="AR322:AR385" si="261">+(O322-N322)/N322</f>
        <v>-0.90909090909090906</v>
      </c>
      <c r="AS322" s="12">
        <f t="shared" ref="AS322:AS385" si="262">+AVERAGE(AM322:AR322)</f>
        <v>0.70959595959595945</v>
      </c>
      <c r="AT322" s="12">
        <f t="shared" ref="AT322:AT385" si="263">+MEDIAN(AM322:AR322)</f>
        <v>0.5</v>
      </c>
      <c r="AU322" s="1">
        <f t="shared" ref="AU322:AU385" si="264">J322-I322</f>
        <v>1</v>
      </c>
      <c r="AV322" s="1">
        <f t="shared" ref="AV322:AV385" si="265">K322-J322</f>
        <v>0</v>
      </c>
      <c r="AW322" s="1">
        <f t="shared" ref="AW322:AW385" si="266">L322-K322</f>
        <v>-1</v>
      </c>
      <c r="AX322" s="1">
        <f t="shared" ref="AX322:AX385" si="267">M322-L322</f>
        <v>2</v>
      </c>
      <c r="AY322" s="1">
        <f t="shared" ref="AY322:AY385" si="268">N322-M322</f>
        <v>8</v>
      </c>
      <c r="AZ322" s="1">
        <f t="shared" ref="AZ322:AZ385" si="269">O322-N322</f>
        <v>-10</v>
      </c>
      <c r="BA322" s="19">
        <f t="shared" ref="BA322:BA385" si="270">+AVERAGE(AU322:AZ322)</f>
        <v>0</v>
      </c>
      <c r="BB322" s="19">
        <f t="shared" ref="BB322:BB385" si="271">MEDIAN(AU322:AZ322)</f>
        <v>0.5</v>
      </c>
      <c r="BC322" s="9" t="e">
        <f t="shared" ref="BC322:BC385" si="272">+(Q322-P322)/P322</f>
        <v>#DIV/0!</v>
      </c>
      <c r="BD322" s="9" t="e">
        <f t="shared" ref="BD322:BD385" si="273">+(R322-Q322)/Q322</f>
        <v>#DIV/0!</v>
      </c>
      <c r="BE322" s="9" t="e">
        <f t="shared" ref="BE322:BE385" si="274">+(S322-R322)/R322</f>
        <v>#DIV/0!</v>
      </c>
      <c r="BF322" s="9" t="e">
        <f t="shared" ref="BF322:BF385" si="275">+(T322-S322)/S322</f>
        <v>#DIV/0!</v>
      </c>
      <c r="BG322" s="9" t="e">
        <f t="shared" ref="BG322:BG385" si="276">+(U322-T322)/T322</f>
        <v>#DIV/0!</v>
      </c>
      <c r="BH322" s="9" t="e">
        <f t="shared" ref="BH322:BH385" si="277">+(V322-U322)/U322</f>
        <v>#DIV/0!</v>
      </c>
      <c r="BI322" s="12" t="e">
        <f t="shared" ref="BI322:BI385" si="278">+AVERAGE(BC322:BH322)</f>
        <v>#DIV/0!</v>
      </c>
      <c r="BJ322" s="13" t="e">
        <f t="shared" ref="BJ322:BJ385" si="279">MEDIAN(BC322:BH322)</f>
        <v>#DIV/0!</v>
      </c>
      <c r="BK322" s="1">
        <f t="shared" ref="BK322:BK385" si="280">+Q322-P322</f>
        <v>0</v>
      </c>
      <c r="BL322" s="1">
        <f t="shared" ref="BL322:BL385" si="281">+R322-Q322</f>
        <v>0</v>
      </c>
      <c r="BM322" s="1">
        <f t="shared" ref="BM322:BM385" si="282">+S322-R322</f>
        <v>0</v>
      </c>
      <c r="BN322" s="1">
        <f t="shared" ref="BN322:BN385" si="283">+T322-S322</f>
        <v>0</v>
      </c>
      <c r="BO322" s="1">
        <f t="shared" ref="BO322:BO385" si="284">+U322-T322</f>
        <v>0</v>
      </c>
      <c r="BP322" s="1">
        <f t="shared" ref="BP322:BP385" si="285">+V322-U322</f>
        <v>0</v>
      </c>
      <c r="BQ322" s="19">
        <f t="shared" ref="BQ322:BQ385" si="286">+AVERAGE(BK322:BP322)</f>
        <v>0</v>
      </c>
      <c r="BR322" s="17">
        <f t="shared" ref="BR322:BR385" si="287">MEDIAN(BK322:BP322)</f>
        <v>0</v>
      </c>
    </row>
    <row r="323" spans="1:70" x14ac:dyDescent="0.25">
      <c r="A323" t="s">
        <v>561</v>
      </c>
      <c r="B323">
        <v>1</v>
      </c>
      <c r="D323">
        <v>2</v>
      </c>
      <c r="E323">
        <v>1</v>
      </c>
      <c r="F323">
        <v>1</v>
      </c>
      <c r="G323">
        <v>3</v>
      </c>
      <c r="H323">
        <v>1</v>
      </c>
      <c r="P323">
        <v>1</v>
      </c>
      <c r="R323">
        <v>2</v>
      </c>
      <c r="S323">
        <v>1</v>
      </c>
      <c r="T323">
        <v>1</v>
      </c>
      <c r="U323">
        <v>3</v>
      </c>
      <c r="V323">
        <v>1</v>
      </c>
      <c r="W323" s="8">
        <f t="shared" si="240"/>
        <v>-1</v>
      </c>
      <c r="X323" s="8" t="e">
        <f t="shared" si="241"/>
        <v>#DIV/0!</v>
      </c>
      <c r="Y323" s="8">
        <f t="shared" si="242"/>
        <v>-0.5</v>
      </c>
      <c r="Z323" s="8">
        <f t="shared" si="243"/>
        <v>0</v>
      </c>
      <c r="AA323" s="8">
        <f t="shared" si="244"/>
        <v>2</v>
      </c>
      <c r="AB323" s="8">
        <f t="shared" si="245"/>
        <v>-0.66666666666666663</v>
      </c>
      <c r="AC323" s="12" t="e">
        <f t="shared" si="246"/>
        <v>#DIV/0!</v>
      </c>
      <c r="AD323" s="12" t="e">
        <f t="shared" si="247"/>
        <v>#DIV/0!</v>
      </c>
      <c r="AE323" s="1">
        <f t="shared" si="248"/>
        <v>-1</v>
      </c>
      <c r="AF323" s="1">
        <f t="shared" si="249"/>
        <v>2</v>
      </c>
      <c r="AG323" s="1">
        <f t="shared" si="250"/>
        <v>-1</v>
      </c>
      <c r="AH323" s="1">
        <f t="shared" si="251"/>
        <v>0</v>
      </c>
      <c r="AI323" s="1">
        <f t="shared" si="252"/>
        <v>2</v>
      </c>
      <c r="AJ323" s="1">
        <f t="shared" si="253"/>
        <v>-2</v>
      </c>
      <c r="AK323" s="17">
        <f t="shared" si="254"/>
        <v>0</v>
      </c>
      <c r="AL323" s="17">
        <f t="shared" si="255"/>
        <v>-0.5</v>
      </c>
      <c r="AM323" s="1" t="e">
        <f t="shared" si="256"/>
        <v>#DIV/0!</v>
      </c>
      <c r="AN323" s="1" t="e">
        <f t="shared" si="257"/>
        <v>#DIV/0!</v>
      </c>
      <c r="AO323" s="1" t="e">
        <f t="shared" si="258"/>
        <v>#DIV/0!</v>
      </c>
      <c r="AP323" s="1" t="e">
        <f t="shared" si="259"/>
        <v>#DIV/0!</v>
      </c>
      <c r="AQ323" s="1" t="e">
        <f t="shared" si="260"/>
        <v>#DIV/0!</v>
      </c>
      <c r="AR323" s="1" t="e">
        <f t="shared" si="261"/>
        <v>#DIV/0!</v>
      </c>
      <c r="AS323" s="12" t="e">
        <f t="shared" si="262"/>
        <v>#DIV/0!</v>
      </c>
      <c r="AT323" s="12" t="e">
        <f t="shared" si="263"/>
        <v>#DIV/0!</v>
      </c>
      <c r="AU323" s="1">
        <f t="shared" si="264"/>
        <v>0</v>
      </c>
      <c r="AV323" s="1">
        <f t="shared" si="265"/>
        <v>0</v>
      </c>
      <c r="AW323" s="1">
        <f t="shared" si="266"/>
        <v>0</v>
      </c>
      <c r="AX323" s="1">
        <f t="shared" si="267"/>
        <v>0</v>
      </c>
      <c r="AY323" s="1">
        <f t="shared" si="268"/>
        <v>0</v>
      </c>
      <c r="AZ323" s="1">
        <f t="shared" si="269"/>
        <v>0</v>
      </c>
      <c r="BA323" s="19">
        <f t="shared" si="270"/>
        <v>0</v>
      </c>
      <c r="BB323" s="19">
        <f t="shared" si="271"/>
        <v>0</v>
      </c>
      <c r="BC323" s="9">
        <f t="shared" si="272"/>
        <v>-1</v>
      </c>
      <c r="BD323" s="9" t="e">
        <f t="shared" si="273"/>
        <v>#DIV/0!</v>
      </c>
      <c r="BE323" s="9">
        <f t="shared" si="274"/>
        <v>-0.5</v>
      </c>
      <c r="BF323" s="9">
        <f t="shared" si="275"/>
        <v>0</v>
      </c>
      <c r="BG323" s="9">
        <f t="shared" si="276"/>
        <v>2</v>
      </c>
      <c r="BH323" s="9">
        <f t="shared" si="277"/>
        <v>-0.66666666666666663</v>
      </c>
      <c r="BI323" s="12" t="e">
        <f t="shared" si="278"/>
        <v>#DIV/0!</v>
      </c>
      <c r="BJ323" s="13" t="e">
        <f t="shared" si="279"/>
        <v>#DIV/0!</v>
      </c>
      <c r="BK323" s="1">
        <f t="shared" si="280"/>
        <v>-1</v>
      </c>
      <c r="BL323" s="1">
        <f t="shared" si="281"/>
        <v>2</v>
      </c>
      <c r="BM323" s="1">
        <f t="shared" si="282"/>
        <v>-1</v>
      </c>
      <c r="BN323" s="1">
        <f t="shared" si="283"/>
        <v>0</v>
      </c>
      <c r="BO323" s="1">
        <f t="shared" si="284"/>
        <v>2</v>
      </c>
      <c r="BP323" s="1">
        <f t="shared" si="285"/>
        <v>-2</v>
      </c>
      <c r="BQ323" s="19">
        <f t="shared" si="286"/>
        <v>0</v>
      </c>
      <c r="BR323" s="17">
        <f t="shared" si="287"/>
        <v>-0.5</v>
      </c>
    </row>
    <row r="324" spans="1:70" x14ac:dyDescent="0.25">
      <c r="A324" t="s">
        <v>572</v>
      </c>
      <c r="B324">
        <v>1</v>
      </c>
      <c r="D324">
        <v>1</v>
      </c>
      <c r="E324">
        <v>1</v>
      </c>
      <c r="F324">
        <v>2</v>
      </c>
      <c r="H324">
        <v>1</v>
      </c>
      <c r="P324">
        <v>1</v>
      </c>
      <c r="R324">
        <v>1</v>
      </c>
      <c r="S324">
        <v>1</v>
      </c>
      <c r="T324">
        <v>2</v>
      </c>
      <c r="V324">
        <v>1</v>
      </c>
      <c r="W324" s="8">
        <f t="shared" si="240"/>
        <v>-1</v>
      </c>
      <c r="X324" s="8" t="e">
        <f t="shared" si="241"/>
        <v>#DIV/0!</v>
      </c>
      <c r="Y324" s="8">
        <f t="shared" si="242"/>
        <v>0</v>
      </c>
      <c r="Z324" s="8">
        <f t="shared" si="243"/>
        <v>1</v>
      </c>
      <c r="AA324" s="8">
        <f t="shared" si="244"/>
        <v>-1</v>
      </c>
      <c r="AB324" s="8" t="e">
        <f t="shared" si="245"/>
        <v>#DIV/0!</v>
      </c>
      <c r="AC324" s="12" t="e">
        <f t="shared" si="246"/>
        <v>#DIV/0!</v>
      </c>
      <c r="AD324" s="12" t="e">
        <f t="shared" si="247"/>
        <v>#DIV/0!</v>
      </c>
      <c r="AE324" s="1">
        <f t="shared" si="248"/>
        <v>-1</v>
      </c>
      <c r="AF324" s="1">
        <f t="shared" si="249"/>
        <v>1</v>
      </c>
      <c r="AG324" s="1">
        <f t="shared" si="250"/>
        <v>0</v>
      </c>
      <c r="AH324" s="1">
        <f t="shared" si="251"/>
        <v>1</v>
      </c>
      <c r="AI324" s="1">
        <f t="shared" si="252"/>
        <v>-2</v>
      </c>
      <c r="AJ324" s="1">
        <f t="shared" si="253"/>
        <v>1</v>
      </c>
      <c r="AK324" s="17">
        <f t="shared" si="254"/>
        <v>0</v>
      </c>
      <c r="AL324" s="17">
        <f t="shared" si="255"/>
        <v>0.5</v>
      </c>
      <c r="AM324" s="1" t="e">
        <f t="shared" si="256"/>
        <v>#DIV/0!</v>
      </c>
      <c r="AN324" s="1" t="e">
        <f t="shared" si="257"/>
        <v>#DIV/0!</v>
      </c>
      <c r="AO324" s="1" t="e">
        <f t="shared" si="258"/>
        <v>#DIV/0!</v>
      </c>
      <c r="AP324" s="1" t="e">
        <f t="shared" si="259"/>
        <v>#DIV/0!</v>
      </c>
      <c r="AQ324" s="1" t="e">
        <f t="shared" si="260"/>
        <v>#DIV/0!</v>
      </c>
      <c r="AR324" s="1" t="e">
        <f t="shared" si="261"/>
        <v>#DIV/0!</v>
      </c>
      <c r="AS324" s="12" t="e">
        <f t="shared" si="262"/>
        <v>#DIV/0!</v>
      </c>
      <c r="AT324" s="12" t="e">
        <f t="shared" si="263"/>
        <v>#DIV/0!</v>
      </c>
      <c r="AU324" s="1">
        <f t="shared" si="264"/>
        <v>0</v>
      </c>
      <c r="AV324" s="1">
        <f t="shared" si="265"/>
        <v>0</v>
      </c>
      <c r="AW324" s="1">
        <f t="shared" si="266"/>
        <v>0</v>
      </c>
      <c r="AX324" s="1">
        <f t="shared" si="267"/>
        <v>0</v>
      </c>
      <c r="AY324" s="1">
        <f t="shared" si="268"/>
        <v>0</v>
      </c>
      <c r="AZ324" s="1">
        <f t="shared" si="269"/>
        <v>0</v>
      </c>
      <c r="BA324" s="19">
        <f t="shared" si="270"/>
        <v>0</v>
      </c>
      <c r="BB324" s="19">
        <f t="shared" si="271"/>
        <v>0</v>
      </c>
      <c r="BC324" s="9">
        <f t="shared" si="272"/>
        <v>-1</v>
      </c>
      <c r="BD324" s="9" t="e">
        <f t="shared" si="273"/>
        <v>#DIV/0!</v>
      </c>
      <c r="BE324" s="9">
        <f t="shared" si="274"/>
        <v>0</v>
      </c>
      <c r="BF324" s="9">
        <f t="shared" si="275"/>
        <v>1</v>
      </c>
      <c r="BG324" s="9">
        <f t="shared" si="276"/>
        <v>-1</v>
      </c>
      <c r="BH324" s="9" t="e">
        <f t="shared" si="277"/>
        <v>#DIV/0!</v>
      </c>
      <c r="BI324" s="12" t="e">
        <f t="shared" si="278"/>
        <v>#DIV/0!</v>
      </c>
      <c r="BJ324" s="13" t="e">
        <f t="shared" si="279"/>
        <v>#DIV/0!</v>
      </c>
      <c r="BK324" s="1">
        <f t="shared" si="280"/>
        <v>-1</v>
      </c>
      <c r="BL324" s="1">
        <f t="shared" si="281"/>
        <v>1</v>
      </c>
      <c r="BM324" s="1">
        <f t="shared" si="282"/>
        <v>0</v>
      </c>
      <c r="BN324" s="1">
        <f t="shared" si="283"/>
        <v>1</v>
      </c>
      <c r="BO324" s="1">
        <f t="shared" si="284"/>
        <v>-2</v>
      </c>
      <c r="BP324" s="1">
        <f t="shared" si="285"/>
        <v>1</v>
      </c>
      <c r="BQ324" s="19">
        <f t="shared" si="286"/>
        <v>0</v>
      </c>
      <c r="BR324" s="17">
        <f t="shared" si="287"/>
        <v>0.5</v>
      </c>
    </row>
    <row r="325" spans="1:70" x14ac:dyDescent="0.25">
      <c r="A325" t="s">
        <v>578</v>
      </c>
      <c r="C325">
        <v>2</v>
      </c>
      <c r="D325">
        <v>2</v>
      </c>
      <c r="J325">
        <v>2</v>
      </c>
      <c r="K325">
        <v>1</v>
      </c>
      <c r="R325">
        <v>1</v>
      </c>
      <c r="W325" s="8" t="e">
        <f t="shared" si="240"/>
        <v>#DIV/0!</v>
      </c>
      <c r="X325" s="8">
        <f t="shared" si="241"/>
        <v>0</v>
      </c>
      <c r="Y325" s="8">
        <f t="shared" si="242"/>
        <v>-1</v>
      </c>
      <c r="Z325" s="8" t="e">
        <f t="shared" si="243"/>
        <v>#DIV/0!</v>
      </c>
      <c r="AA325" s="8" t="e">
        <f t="shared" si="244"/>
        <v>#DIV/0!</v>
      </c>
      <c r="AB325" s="8" t="e">
        <f t="shared" si="245"/>
        <v>#DIV/0!</v>
      </c>
      <c r="AC325" s="12" t="e">
        <f t="shared" si="246"/>
        <v>#DIV/0!</v>
      </c>
      <c r="AD325" s="12" t="e">
        <f t="shared" si="247"/>
        <v>#DIV/0!</v>
      </c>
      <c r="AE325" s="1">
        <f t="shared" si="248"/>
        <v>2</v>
      </c>
      <c r="AF325" s="1">
        <f t="shared" si="249"/>
        <v>0</v>
      </c>
      <c r="AG325" s="1">
        <f t="shared" si="250"/>
        <v>-2</v>
      </c>
      <c r="AH325" s="1">
        <f t="shared" si="251"/>
        <v>0</v>
      </c>
      <c r="AI325" s="1">
        <f t="shared" si="252"/>
        <v>0</v>
      </c>
      <c r="AJ325" s="1">
        <f t="shared" si="253"/>
        <v>0</v>
      </c>
      <c r="AK325" s="17">
        <f t="shared" si="254"/>
        <v>0</v>
      </c>
      <c r="AL325" s="17">
        <f t="shared" si="255"/>
        <v>0</v>
      </c>
      <c r="AM325" s="1" t="e">
        <f t="shared" si="256"/>
        <v>#DIV/0!</v>
      </c>
      <c r="AN325" s="1">
        <f t="shared" si="257"/>
        <v>-0.5</v>
      </c>
      <c r="AO325" s="1">
        <f t="shared" si="258"/>
        <v>-1</v>
      </c>
      <c r="AP325" s="1" t="e">
        <f t="shared" si="259"/>
        <v>#DIV/0!</v>
      </c>
      <c r="AQ325" s="1" t="e">
        <f t="shared" si="260"/>
        <v>#DIV/0!</v>
      </c>
      <c r="AR325" s="1" t="e">
        <f t="shared" si="261"/>
        <v>#DIV/0!</v>
      </c>
      <c r="AS325" s="12" t="e">
        <f t="shared" si="262"/>
        <v>#DIV/0!</v>
      </c>
      <c r="AT325" s="12" t="e">
        <f t="shared" si="263"/>
        <v>#DIV/0!</v>
      </c>
      <c r="AU325" s="1">
        <f t="shared" si="264"/>
        <v>2</v>
      </c>
      <c r="AV325" s="1">
        <f t="shared" si="265"/>
        <v>-1</v>
      </c>
      <c r="AW325" s="1">
        <f t="shared" si="266"/>
        <v>-1</v>
      </c>
      <c r="AX325" s="1">
        <f t="shared" si="267"/>
        <v>0</v>
      </c>
      <c r="AY325" s="1">
        <f t="shared" si="268"/>
        <v>0</v>
      </c>
      <c r="AZ325" s="1">
        <f t="shared" si="269"/>
        <v>0</v>
      </c>
      <c r="BA325" s="19">
        <f t="shared" si="270"/>
        <v>0</v>
      </c>
      <c r="BB325" s="19">
        <f t="shared" si="271"/>
        <v>0</v>
      </c>
      <c r="BC325" s="9" t="e">
        <f t="shared" si="272"/>
        <v>#DIV/0!</v>
      </c>
      <c r="BD325" s="9" t="e">
        <f t="shared" si="273"/>
        <v>#DIV/0!</v>
      </c>
      <c r="BE325" s="9">
        <f t="shared" si="274"/>
        <v>-1</v>
      </c>
      <c r="BF325" s="9" t="e">
        <f t="shared" si="275"/>
        <v>#DIV/0!</v>
      </c>
      <c r="BG325" s="9" t="e">
        <f t="shared" si="276"/>
        <v>#DIV/0!</v>
      </c>
      <c r="BH325" s="9" t="e">
        <f t="shared" si="277"/>
        <v>#DIV/0!</v>
      </c>
      <c r="BI325" s="12" t="e">
        <f t="shared" si="278"/>
        <v>#DIV/0!</v>
      </c>
      <c r="BJ325" s="13" t="e">
        <f t="shared" si="279"/>
        <v>#DIV/0!</v>
      </c>
      <c r="BK325" s="1">
        <f t="shared" si="280"/>
        <v>0</v>
      </c>
      <c r="BL325" s="1">
        <f t="shared" si="281"/>
        <v>1</v>
      </c>
      <c r="BM325" s="1">
        <f t="shared" si="282"/>
        <v>-1</v>
      </c>
      <c r="BN325" s="1">
        <f t="shared" si="283"/>
        <v>0</v>
      </c>
      <c r="BO325" s="1">
        <f t="shared" si="284"/>
        <v>0</v>
      </c>
      <c r="BP325" s="1">
        <f t="shared" si="285"/>
        <v>0</v>
      </c>
      <c r="BQ325" s="19">
        <f t="shared" si="286"/>
        <v>0</v>
      </c>
      <c r="BR325" s="17">
        <f t="shared" si="287"/>
        <v>0</v>
      </c>
    </row>
    <row r="326" spans="1:70" x14ac:dyDescent="0.25">
      <c r="A326" t="s">
        <v>580</v>
      </c>
      <c r="C326">
        <v>2</v>
      </c>
      <c r="Q326">
        <v>2</v>
      </c>
      <c r="W326" s="8" t="e">
        <f t="shared" si="240"/>
        <v>#DIV/0!</v>
      </c>
      <c r="X326" s="8">
        <f t="shared" si="241"/>
        <v>-1</v>
      </c>
      <c r="Y326" s="8" t="e">
        <f t="shared" si="242"/>
        <v>#DIV/0!</v>
      </c>
      <c r="Z326" s="8" t="e">
        <f t="shared" si="243"/>
        <v>#DIV/0!</v>
      </c>
      <c r="AA326" s="8" t="e">
        <f t="shared" si="244"/>
        <v>#DIV/0!</v>
      </c>
      <c r="AB326" s="8" t="e">
        <f t="shared" si="245"/>
        <v>#DIV/0!</v>
      </c>
      <c r="AC326" s="12" t="e">
        <f t="shared" si="246"/>
        <v>#DIV/0!</v>
      </c>
      <c r="AD326" s="12" t="e">
        <f t="shared" si="247"/>
        <v>#DIV/0!</v>
      </c>
      <c r="AE326" s="1">
        <f t="shared" si="248"/>
        <v>2</v>
      </c>
      <c r="AF326" s="1">
        <f t="shared" si="249"/>
        <v>-2</v>
      </c>
      <c r="AG326" s="1">
        <f t="shared" si="250"/>
        <v>0</v>
      </c>
      <c r="AH326" s="1">
        <f t="shared" si="251"/>
        <v>0</v>
      </c>
      <c r="AI326" s="1">
        <f t="shared" si="252"/>
        <v>0</v>
      </c>
      <c r="AJ326" s="1">
        <f t="shared" si="253"/>
        <v>0</v>
      </c>
      <c r="AK326" s="17">
        <f t="shared" si="254"/>
        <v>0</v>
      </c>
      <c r="AL326" s="17">
        <f t="shared" si="255"/>
        <v>0</v>
      </c>
      <c r="AM326" s="1" t="e">
        <f t="shared" si="256"/>
        <v>#DIV/0!</v>
      </c>
      <c r="AN326" s="1" t="e">
        <f t="shared" si="257"/>
        <v>#DIV/0!</v>
      </c>
      <c r="AO326" s="1" t="e">
        <f t="shared" si="258"/>
        <v>#DIV/0!</v>
      </c>
      <c r="AP326" s="1" t="e">
        <f t="shared" si="259"/>
        <v>#DIV/0!</v>
      </c>
      <c r="AQ326" s="1" t="e">
        <f t="shared" si="260"/>
        <v>#DIV/0!</v>
      </c>
      <c r="AR326" s="1" t="e">
        <f t="shared" si="261"/>
        <v>#DIV/0!</v>
      </c>
      <c r="AS326" s="12" t="e">
        <f t="shared" si="262"/>
        <v>#DIV/0!</v>
      </c>
      <c r="AT326" s="12" t="e">
        <f t="shared" si="263"/>
        <v>#DIV/0!</v>
      </c>
      <c r="AU326" s="1">
        <f t="shared" si="264"/>
        <v>0</v>
      </c>
      <c r="AV326" s="1">
        <f t="shared" si="265"/>
        <v>0</v>
      </c>
      <c r="AW326" s="1">
        <f t="shared" si="266"/>
        <v>0</v>
      </c>
      <c r="AX326" s="1">
        <f t="shared" si="267"/>
        <v>0</v>
      </c>
      <c r="AY326" s="1">
        <f t="shared" si="268"/>
        <v>0</v>
      </c>
      <c r="AZ326" s="1">
        <f t="shared" si="269"/>
        <v>0</v>
      </c>
      <c r="BA326" s="19">
        <f t="shared" si="270"/>
        <v>0</v>
      </c>
      <c r="BB326" s="19">
        <f t="shared" si="271"/>
        <v>0</v>
      </c>
      <c r="BC326" s="9" t="e">
        <f t="shared" si="272"/>
        <v>#DIV/0!</v>
      </c>
      <c r="BD326" s="9">
        <f t="shared" si="273"/>
        <v>-1</v>
      </c>
      <c r="BE326" s="9" t="e">
        <f t="shared" si="274"/>
        <v>#DIV/0!</v>
      </c>
      <c r="BF326" s="9" t="e">
        <f t="shared" si="275"/>
        <v>#DIV/0!</v>
      </c>
      <c r="BG326" s="9" t="e">
        <f t="shared" si="276"/>
        <v>#DIV/0!</v>
      </c>
      <c r="BH326" s="9" t="e">
        <f t="shared" si="277"/>
        <v>#DIV/0!</v>
      </c>
      <c r="BI326" s="12" t="e">
        <f t="shared" si="278"/>
        <v>#DIV/0!</v>
      </c>
      <c r="BJ326" s="13" t="e">
        <f t="shared" si="279"/>
        <v>#DIV/0!</v>
      </c>
      <c r="BK326" s="1">
        <f t="shared" si="280"/>
        <v>2</v>
      </c>
      <c r="BL326" s="1">
        <f t="shared" si="281"/>
        <v>-2</v>
      </c>
      <c r="BM326" s="1">
        <f t="shared" si="282"/>
        <v>0</v>
      </c>
      <c r="BN326" s="1">
        <f t="shared" si="283"/>
        <v>0</v>
      </c>
      <c r="BO326" s="1">
        <f t="shared" si="284"/>
        <v>0</v>
      </c>
      <c r="BP326" s="1">
        <f t="shared" si="285"/>
        <v>0</v>
      </c>
      <c r="BQ326" s="19">
        <f t="shared" si="286"/>
        <v>0</v>
      </c>
      <c r="BR326" s="17">
        <f t="shared" si="287"/>
        <v>0</v>
      </c>
    </row>
    <row r="327" spans="1:70" x14ac:dyDescent="0.25">
      <c r="A327" t="s">
        <v>582</v>
      </c>
      <c r="C327">
        <v>2</v>
      </c>
      <c r="J327">
        <v>1</v>
      </c>
      <c r="Q327">
        <v>1</v>
      </c>
      <c r="W327" s="8" t="e">
        <f t="shared" si="240"/>
        <v>#DIV/0!</v>
      </c>
      <c r="X327" s="8">
        <f t="shared" si="241"/>
        <v>-1</v>
      </c>
      <c r="Y327" s="8" t="e">
        <f t="shared" si="242"/>
        <v>#DIV/0!</v>
      </c>
      <c r="Z327" s="8" t="e">
        <f t="shared" si="243"/>
        <v>#DIV/0!</v>
      </c>
      <c r="AA327" s="8" t="e">
        <f t="shared" si="244"/>
        <v>#DIV/0!</v>
      </c>
      <c r="AB327" s="8" t="e">
        <f t="shared" si="245"/>
        <v>#DIV/0!</v>
      </c>
      <c r="AC327" s="12" t="e">
        <f t="shared" si="246"/>
        <v>#DIV/0!</v>
      </c>
      <c r="AD327" s="12" t="e">
        <f t="shared" si="247"/>
        <v>#DIV/0!</v>
      </c>
      <c r="AE327" s="1">
        <f t="shared" si="248"/>
        <v>2</v>
      </c>
      <c r="AF327" s="1">
        <f t="shared" si="249"/>
        <v>-2</v>
      </c>
      <c r="AG327" s="1">
        <f t="shared" si="250"/>
        <v>0</v>
      </c>
      <c r="AH327" s="1">
        <f t="shared" si="251"/>
        <v>0</v>
      </c>
      <c r="AI327" s="1">
        <f t="shared" si="252"/>
        <v>0</v>
      </c>
      <c r="AJ327" s="1">
        <f t="shared" si="253"/>
        <v>0</v>
      </c>
      <c r="AK327" s="17">
        <f t="shared" si="254"/>
        <v>0</v>
      </c>
      <c r="AL327" s="17">
        <f t="shared" si="255"/>
        <v>0</v>
      </c>
      <c r="AM327" s="1" t="e">
        <f t="shared" si="256"/>
        <v>#DIV/0!</v>
      </c>
      <c r="AN327" s="1">
        <f t="shared" si="257"/>
        <v>-1</v>
      </c>
      <c r="AO327" s="1" t="e">
        <f t="shared" si="258"/>
        <v>#DIV/0!</v>
      </c>
      <c r="AP327" s="1" t="e">
        <f t="shared" si="259"/>
        <v>#DIV/0!</v>
      </c>
      <c r="AQ327" s="1" t="e">
        <f t="shared" si="260"/>
        <v>#DIV/0!</v>
      </c>
      <c r="AR327" s="1" t="e">
        <f t="shared" si="261"/>
        <v>#DIV/0!</v>
      </c>
      <c r="AS327" s="12" t="e">
        <f t="shared" si="262"/>
        <v>#DIV/0!</v>
      </c>
      <c r="AT327" s="12" t="e">
        <f t="shared" si="263"/>
        <v>#DIV/0!</v>
      </c>
      <c r="AU327" s="1">
        <f t="shared" si="264"/>
        <v>1</v>
      </c>
      <c r="AV327" s="1">
        <f t="shared" si="265"/>
        <v>-1</v>
      </c>
      <c r="AW327" s="1">
        <f t="shared" si="266"/>
        <v>0</v>
      </c>
      <c r="AX327" s="1">
        <f t="shared" si="267"/>
        <v>0</v>
      </c>
      <c r="AY327" s="1">
        <f t="shared" si="268"/>
        <v>0</v>
      </c>
      <c r="AZ327" s="1">
        <f t="shared" si="269"/>
        <v>0</v>
      </c>
      <c r="BA327" s="19">
        <f t="shared" si="270"/>
        <v>0</v>
      </c>
      <c r="BB327" s="19">
        <f t="shared" si="271"/>
        <v>0</v>
      </c>
      <c r="BC327" s="9" t="e">
        <f t="shared" si="272"/>
        <v>#DIV/0!</v>
      </c>
      <c r="BD327" s="9">
        <f t="shared" si="273"/>
        <v>-1</v>
      </c>
      <c r="BE327" s="9" t="e">
        <f t="shared" si="274"/>
        <v>#DIV/0!</v>
      </c>
      <c r="BF327" s="9" t="e">
        <f t="shared" si="275"/>
        <v>#DIV/0!</v>
      </c>
      <c r="BG327" s="9" t="e">
        <f t="shared" si="276"/>
        <v>#DIV/0!</v>
      </c>
      <c r="BH327" s="9" t="e">
        <f t="shared" si="277"/>
        <v>#DIV/0!</v>
      </c>
      <c r="BI327" s="12" t="e">
        <f t="shared" si="278"/>
        <v>#DIV/0!</v>
      </c>
      <c r="BJ327" s="13" t="e">
        <f t="shared" si="279"/>
        <v>#DIV/0!</v>
      </c>
      <c r="BK327" s="1">
        <f t="shared" si="280"/>
        <v>1</v>
      </c>
      <c r="BL327" s="1">
        <f t="shared" si="281"/>
        <v>-1</v>
      </c>
      <c r="BM327" s="1">
        <f t="shared" si="282"/>
        <v>0</v>
      </c>
      <c r="BN327" s="1">
        <f t="shared" si="283"/>
        <v>0</v>
      </c>
      <c r="BO327" s="1">
        <f t="shared" si="284"/>
        <v>0</v>
      </c>
      <c r="BP327" s="1">
        <f t="shared" si="285"/>
        <v>0</v>
      </c>
      <c r="BQ327" s="19">
        <f t="shared" si="286"/>
        <v>0</v>
      </c>
      <c r="BR327" s="17">
        <f t="shared" si="287"/>
        <v>0</v>
      </c>
    </row>
    <row r="328" spans="1:70" x14ac:dyDescent="0.25">
      <c r="A328" t="s">
        <v>583</v>
      </c>
      <c r="C328">
        <v>2</v>
      </c>
      <c r="Q328">
        <v>2</v>
      </c>
      <c r="W328" s="8" t="e">
        <f t="shared" si="240"/>
        <v>#DIV/0!</v>
      </c>
      <c r="X328" s="8">
        <f t="shared" si="241"/>
        <v>-1</v>
      </c>
      <c r="Y328" s="8" t="e">
        <f t="shared" si="242"/>
        <v>#DIV/0!</v>
      </c>
      <c r="Z328" s="8" t="e">
        <f t="shared" si="243"/>
        <v>#DIV/0!</v>
      </c>
      <c r="AA328" s="8" t="e">
        <f t="shared" si="244"/>
        <v>#DIV/0!</v>
      </c>
      <c r="AB328" s="8" t="e">
        <f t="shared" si="245"/>
        <v>#DIV/0!</v>
      </c>
      <c r="AC328" s="12" t="e">
        <f t="shared" si="246"/>
        <v>#DIV/0!</v>
      </c>
      <c r="AD328" s="12" t="e">
        <f t="shared" si="247"/>
        <v>#DIV/0!</v>
      </c>
      <c r="AE328" s="1">
        <f t="shared" si="248"/>
        <v>2</v>
      </c>
      <c r="AF328" s="1">
        <f t="shared" si="249"/>
        <v>-2</v>
      </c>
      <c r="AG328" s="1">
        <f t="shared" si="250"/>
        <v>0</v>
      </c>
      <c r="AH328" s="1">
        <f t="shared" si="251"/>
        <v>0</v>
      </c>
      <c r="AI328" s="1">
        <f t="shared" si="252"/>
        <v>0</v>
      </c>
      <c r="AJ328" s="1">
        <f t="shared" si="253"/>
        <v>0</v>
      </c>
      <c r="AK328" s="17">
        <f t="shared" si="254"/>
        <v>0</v>
      </c>
      <c r="AL328" s="17">
        <f t="shared" si="255"/>
        <v>0</v>
      </c>
      <c r="AM328" s="1" t="e">
        <f t="shared" si="256"/>
        <v>#DIV/0!</v>
      </c>
      <c r="AN328" s="1" t="e">
        <f t="shared" si="257"/>
        <v>#DIV/0!</v>
      </c>
      <c r="AO328" s="1" t="e">
        <f t="shared" si="258"/>
        <v>#DIV/0!</v>
      </c>
      <c r="AP328" s="1" t="e">
        <f t="shared" si="259"/>
        <v>#DIV/0!</v>
      </c>
      <c r="AQ328" s="1" t="e">
        <f t="shared" si="260"/>
        <v>#DIV/0!</v>
      </c>
      <c r="AR328" s="1" t="e">
        <f t="shared" si="261"/>
        <v>#DIV/0!</v>
      </c>
      <c r="AS328" s="12" t="e">
        <f t="shared" si="262"/>
        <v>#DIV/0!</v>
      </c>
      <c r="AT328" s="12" t="e">
        <f t="shared" si="263"/>
        <v>#DIV/0!</v>
      </c>
      <c r="AU328" s="1">
        <f t="shared" si="264"/>
        <v>0</v>
      </c>
      <c r="AV328" s="1">
        <f t="shared" si="265"/>
        <v>0</v>
      </c>
      <c r="AW328" s="1">
        <f t="shared" si="266"/>
        <v>0</v>
      </c>
      <c r="AX328" s="1">
        <f t="shared" si="267"/>
        <v>0</v>
      </c>
      <c r="AY328" s="1">
        <f t="shared" si="268"/>
        <v>0</v>
      </c>
      <c r="AZ328" s="1">
        <f t="shared" si="269"/>
        <v>0</v>
      </c>
      <c r="BA328" s="19">
        <f t="shared" si="270"/>
        <v>0</v>
      </c>
      <c r="BB328" s="19">
        <f t="shared" si="271"/>
        <v>0</v>
      </c>
      <c r="BC328" s="9" t="e">
        <f t="shared" si="272"/>
        <v>#DIV/0!</v>
      </c>
      <c r="BD328" s="9">
        <f t="shared" si="273"/>
        <v>-1</v>
      </c>
      <c r="BE328" s="9" t="e">
        <f t="shared" si="274"/>
        <v>#DIV/0!</v>
      </c>
      <c r="BF328" s="9" t="e">
        <f t="shared" si="275"/>
        <v>#DIV/0!</v>
      </c>
      <c r="BG328" s="9" t="e">
        <f t="shared" si="276"/>
        <v>#DIV/0!</v>
      </c>
      <c r="BH328" s="9" t="e">
        <f t="shared" si="277"/>
        <v>#DIV/0!</v>
      </c>
      <c r="BI328" s="12" t="e">
        <f t="shared" si="278"/>
        <v>#DIV/0!</v>
      </c>
      <c r="BJ328" s="13" t="e">
        <f t="shared" si="279"/>
        <v>#DIV/0!</v>
      </c>
      <c r="BK328" s="1">
        <f t="shared" si="280"/>
        <v>2</v>
      </c>
      <c r="BL328" s="1">
        <f t="shared" si="281"/>
        <v>-2</v>
      </c>
      <c r="BM328" s="1">
        <f t="shared" si="282"/>
        <v>0</v>
      </c>
      <c r="BN328" s="1">
        <f t="shared" si="283"/>
        <v>0</v>
      </c>
      <c r="BO328" s="1">
        <f t="shared" si="284"/>
        <v>0</v>
      </c>
      <c r="BP328" s="1">
        <f t="shared" si="285"/>
        <v>0</v>
      </c>
      <c r="BQ328" s="19">
        <f t="shared" si="286"/>
        <v>0</v>
      </c>
      <c r="BR328" s="17">
        <f t="shared" si="287"/>
        <v>0</v>
      </c>
    </row>
    <row r="329" spans="1:70" x14ac:dyDescent="0.25">
      <c r="A329" t="s">
        <v>586</v>
      </c>
      <c r="C329">
        <v>2</v>
      </c>
      <c r="E329">
        <v>2</v>
      </c>
      <c r="G329">
        <v>1</v>
      </c>
      <c r="J329">
        <v>2</v>
      </c>
      <c r="L329">
        <v>2</v>
      </c>
      <c r="N329">
        <v>1</v>
      </c>
      <c r="W329" s="8" t="e">
        <f t="shared" si="240"/>
        <v>#DIV/0!</v>
      </c>
      <c r="X329" s="8">
        <f t="shared" si="241"/>
        <v>-1</v>
      </c>
      <c r="Y329" s="8" t="e">
        <f t="shared" si="242"/>
        <v>#DIV/0!</v>
      </c>
      <c r="Z329" s="8">
        <f t="shared" si="243"/>
        <v>-1</v>
      </c>
      <c r="AA329" s="8" t="e">
        <f t="shared" si="244"/>
        <v>#DIV/0!</v>
      </c>
      <c r="AB329" s="8">
        <f t="shared" si="245"/>
        <v>-1</v>
      </c>
      <c r="AC329" s="12" t="e">
        <f t="shared" si="246"/>
        <v>#DIV/0!</v>
      </c>
      <c r="AD329" s="12" t="e">
        <f t="shared" si="247"/>
        <v>#DIV/0!</v>
      </c>
      <c r="AE329" s="1">
        <f t="shared" si="248"/>
        <v>2</v>
      </c>
      <c r="AF329" s="1">
        <f t="shared" si="249"/>
        <v>-2</v>
      </c>
      <c r="AG329" s="1">
        <f t="shared" si="250"/>
        <v>2</v>
      </c>
      <c r="AH329" s="1">
        <f t="shared" si="251"/>
        <v>-2</v>
      </c>
      <c r="AI329" s="1">
        <f t="shared" si="252"/>
        <v>1</v>
      </c>
      <c r="AJ329" s="1">
        <f t="shared" si="253"/>
        <v>-1</v>
      </c>
      <c r="AK329" s="17">
        <f t="shared" si="254"/>
        <v>0</v>
      </c>
      <c r="AL329" s="17">
        <f t="shared" si="255"/>
        <v>0</v>
      </c>
      <c r="AM329" s="1" t="e">
        <f t="shared" si="256"/>
        <v>#DIV/0!</v>
      </c>
      <c r="AN329" s="1">
        <f t="shared" si="257"/>
        <v>-1</v>
      </c>
      <c r="AO329" s="1" t="e">
        <f t="shared" si="258"/>
        <v>#DIV/0!</v>
      </c>
      <c r="AP329" s="1">
        <f t="shared" si="259"/>
        <v>-1</v>
      </c>
      <c r="AQ329" s="1" t="e">
        <f t="shared" si="260"/>
        <v>#DIV/0!</v>
      </c>
      <c r="AR329" s="1">
        <f t="shared" si="261"/>
        <v>-1</v>
      </c>
      <c r="AS329" s="12" t="e">
        <f t="shared" si="262"/>
        <v>#DIV/0!</v>
      </c>
      <c r="AT329" s="12" t="e">
        <f t="shared" si="263"/>
        <v>#DIV/0!</v>
      </c>
      <c r="AU329" s="1">
        <f t="shared" si="264"/>
        <v>2</v>
      </c>
      <c r="AV329" s="1">
        <f t="shared" si="265"/>
        <v>-2</v>
      </c>
      <c r="AW329" s="1">
        <f t="shared" si="266"/>
        <v>2</v>
      </c>
      <c r="AX329" s="1">
        <f t="shared" si="267"/>
        <v>-2</v>
      </c>
      <c r="AY329" s="1">
        <f t="shared" si="268"/>
        <v>1</v>
      </c>
      <c r="AZ329" s="1">
        <f t="shared" si="269"/>
        <v>-1</v>
      </c>
      <c r="BA329" s="19">
        <f t="shared" si="270"/>
        <v>0</v>
      </c>
      <c r="BB329" s="19">
        <f t="shared" si="271"/>
        <v>0</v>
      </c>
      <c r="BC329" s="9" t="e">
        <f t="shared" si="272"/>
        <v>#DIV/0!</v>
      </c>
      <c r="BD329" s="9" t="e">
        <f t="shared" si="273"/>
        <v>#DIV/0!</v>
      </c>
      <c r="BE329" s="9" t="e">
        <f t="shared" si="274"/>
        <v>#DIV/0!</v>
      </c>
      <c r="BF329" s="9" t="e">
        <f t="shared" si="275"/>
        <v>#DIV/0!</v>
      </c>
      <c r="BG329" s="9" t="e">
        <f t="shared" si="276"/>
        <v>#DIV/0!</v>
      </c>
      <c r="BH329" s="9" t="e">
        <f t="shared" si="277"/>
        <v>#DIV/0!</v>
      </c>
      <c r="BI329" s="12" t="e">
        <f t="shared" si="278"/>
        <v>#DIV/0!</v>
      </c>
      <c r="BJ329" s="13" t="e">
        <f t="shared" si="279"/>
        <v>#DIV/0!</v>
      </c>
      <c r="BK329" s="1">
        <f t="shared" si="280"/>
        <v>0</v>
      </c>
      <c r="BL329" s="1">
        <f t="shared" si="281"/>
        <v>0</v>
      </c>
      <c r="BM329" s="1">
        <f t="shared" si="282"/>
        <v>0</v>
      </c>
      <c r="BN329" s="1">
        <f t="shared" si="283"/>
        <v>0</v>
      </c>
      <c r="BO329" s="1">
        <f t="shared" si="284"/>
        <v>0</v>
      </c>
      <c r="BP329" s="1">
        <f t="shared" si="285"/>
        <v>0</v>
      </c>
      <c r="BQ329" s="19">
        <f t="shared" si="286"/>
        <v>0</v>
      </c>
      <c r="BR329" s="17">
        <f t="shared" si="287"/>
        <v>0</v>
      </c>
    </row>
    <row r="330" spans="1:70" x14ac:dyDescent="0.25">
      <c r="A330" t="s">
        <v>588</v>
      </c>
      <c r="C330">
        <v>1</v>
      </c>
      <c r="D330">
        <v>2</v>
      </c>
      <c r="E330">
        <v>1</v>
      </c>
      <c r="F330">
        <v>1</v>
      </c>
      <c r="J330">
        <v>1</v>
      </c>
      <c r="M330">
        <v>1</v>
      </c>
      <c r="R330">
        <v>2</v>
      </c>
      <c r="S330">
        <v>1</v>
      </c>
      <c r="W330" s="8" t="e">
        <f t="shared" si="240"/>
        <v>#DIV/0!</v>
      </c>
      <c r="X330" s="8">
        <f t="shared" si="241"/>
        <v>1</v>
      </c>
      <c r="Y330" s="8">
        <f t="shared" si="242"/>
        <v>-0.5</v>
      </c>
      <c r="Z330" s="8">
        <f t="shared" si="243"/>
        <v>0</v>
      </c>
      <c r="AA330" s="8">
        <f t="shared" si="244"/>
        <v>-1</v>
      </c>
      <c r="AB330" s="8" t="e">
        <f t="shared" si="245"/>
        <v>#DIV/0!</v>
      </c>
      <c r="AC330" s="12" t="e">
        <f t="shared" si="246"/>
        <v>#DIV/0!</v>
      </c>
      <c r="AD330" s="12" t="e">
        <f t="shared" si="247"/>
        <v>#DIV/0!</v>
      </c>
      <c r="AE330" s="1">
        <f t="shared" si="248"/>
        <v>1</v>
      </c>
      <c r="AF330" s="1">
        <f t="shared" si="249"/>
        <v>1</v>
      </c>
      <c r="AG330" s="1">
        <f t="shared" si="250"/>
        <v>-1</v>
      </c>
      <c r="AH330" s="1">
        <f t="shared" si="251"/>
        <v>0</v>
      </c>
      <c r="AI330" s="1">
        <f t="shared" si="252"/>
        <v>-1</v>
      </c>
      <c r="AJ330" s="1">
        <f t="shared" si="253"/>
        <v>0</v>
      </c>
      <c r="AK330" s="17">
        <f t="shared" si="254"/>
        <v>0</v>
      </c>
      <c r="AL330" s="17">
        <f t="shared" si="255"/>
        <v>0</v>
      </c>
      <c r="AM330" s="1" t="e">
        <f t="shared" si="256"/>
        <v>#DIV/0!</v>
      </c>
      <c r="AN330" s="1">
        <f t="shared" si="257"/>
        <v>-1</v>
      </c>
      <c r="AO330" s="1" t="e">
        <f t="shared" si="258"/>
        <v>#DIV/0!</v>
      </c>
      <c r="AP330" s="1" t="e">
        <f t="shared" si="259"/>
        <v>#DIV/0!</v>
      </c>
      <c r="AQ330" s="1">
        <f t="shared" si="260"/>
        <v>-1</v>
      </c>
      <c r="AR330" s="1" t="e">
        <f t="shared" si="261"/>
        <v>#DIV/0!</v>
      </c>
      <c r="AS330" s="12" t="e">
        <f t="shared" si="262"/>
        <v>#DIV/0!</v>
      </c>
      <c r="AT330" s="12" t="e">
        <f t="shared" si="263"/>
        <v>#DIV/0!</v>
      </c>
      <c r="AU330" s="1">
        <f t="shared" si="264"/>
        <v>1</v>
      </c>
      <c r="AV330" s="1">
        <f t="shared" si="265"/>
        <v>-1</v>
      </c>
      <c r="AW330" s="1">
        <f t="shared" si="266"/>
        <v>0</v>
      </c>
      <c r="AX330" s="1">
        <f t="shared" si="267"/>
        <v>1</v>
      </c>
      <c r="AY330" s="1">
        <f t="shared" si="268"/>
        <v>-1</v>
      </c>
      <c r="AZ330" s="1">
        <f t="shared" si="269"/>
        <v>0</v>
      </c>
      <c r="BA330" s="19">
        <f t="shared" si="270"/>
        <v>0</v>
      </c>
      <c r="BB330" s="19">
        <f t="shared" si="271"/>
        <v>0</v>
      </c>
      <c r="BC330" s="9" t="e">
        <f t="shared" si="272"/>
        <v>#DIV/0!</v>
      </c>
      <c r="BD330" s="9" t="e">
        <f t="shared" si="273"/>
        <v>#DIV/0!</v>
      </c>
      <c r="BE330" s="9">
        <f t="shared" si="274"/>
        <v>-0.5</v>
      </c>
      <c r="BF330" s="9">
        <f t="shared" si="275"/>
        <v>-1</v>
      </c>
      <c r="BG330" s="9" t="e">
        <f t="shared" si="276"/>
        <v>#DIV/0!</v>
      </c>
      <c r="BH330" s="9" t="e">
        <f t="shared" si="277"/>
        <v>#DIV/0!</v>
      </c>
      <c r="BI330" s="12" t="e">
        <f t="shared" si="278"/>
        <v>#DIV/0!</v>
      </c>
      <c r="BJ330" s="13" t="e">
        <f t="shared" si="279"/>
        <v>#DIV/0!</v>
      </c>
      <c r="BK330" s="1">
        <f t="shared" si="280"/>
        <v>0</v>
      </c>
      <c r="BL330" s="1">
        <f t="shared" si="281"/>
        <v>2</v>
      </c>
      <c r="BM330" s="1">
        <f t="shared" si="282"/>
        <v>-1</v>
      </c>
      <c r="BN330" s="1">
        <f t="shared" si="283"/>
        <v>-1</v>
      </c>
      <c r="BO330" s="1">
        <f t="shared" si="284"/>
        <v>0</v>
      </c>
      <c r="BP330" s="1">
        <f t="shared" si="285"/>
        <v>0</v>
      </c>
      <c r="BQ330" s="19">
        <f t="shared" si="286"/>
        <v>0</v>
      </c>
      <c r="BR330" s="17">
        <f t="shared" si="287"/>
        <v>0</v>
      </c>
    </row>
    <row r="331" spans="1:70" x14ac:dyDescent="0.25">
      <c r="A331" t="s">
        <v>589</v>
      </c>
      <c r="C331">
        <v>1</v>
      </c>
      <c r="Q331">
        <v>1</v>
      </c>
      <c r="W331" s="8" t="e">
        <f t="shared" si="240"/>
        <v>#DIV/0!</v>
      </c>
      <c r="X331" s="8">
        <f t="shared" si="241"/>
        <v>-1</v>
      </c>
      <c r="Y331" s="8" t="e">
        <f t="shared" si="242"/>
        <v>#DIV/0!</v>
      </c>
      <c r="Z331" s="8" t="e">
        <f t="shared" si="243"/>
        <v>#DIV/0!</v>
      </c>
      <c r="AA331" s="8" t="e">
        <f t="shared" si="244"/>
        <v>#DIV/0!</v>
      </c>
      <c r="AB331" s="8" t="e">
        <f t="shared" si="245"/>
        <v>#DIV/0!</v>
      </c>
      <c r="AC331" s="12" t="e">
        <f t="shared" si="246"/>
        <v>#DIV/0!</v>
      </c>
      <c r="AD331" s="12" t="e">
        <f t="shared" si="247"/>
        <v>#DIV/0!</v>
      </c>
      <c r="AE331" s="1">
        <f t="shared" si="248"/>
        <v>1</v>
      </c>
      <c r="AF331" s="1">
        <f t="shared" si="249"/>
        <v>-1</v>
      </c>
      <c r="AG331" s="1">
        <f t="shared" si="250"/>
        <v>0</v>
      </c>
      <c r="AH331" s="1">
        <f t="shared" si="251"/>
        <v>0</v>
      </c>
      <c r="AI331" s="1">
        <f t="shared" si="252"/>
        <v>0</v>
      </c>
      <c r="AJ331" s="1">
        <f t="shared" si="253"/>
        <v>0</v>
      </c>
      <c r="AK331" s="17">
        <f t="shared" si="254"/>
        <v>0</v>
      </c>
      <c r="AL331" s="17">
        <f t="shared" si="255"/>
        <v>0</v>
      </c>
      <c r="AM331" s="1" t="e">
        <f t="shared" si="256"/>
        <v>#DIV/0!</v>
      </c>
      <c r="AN331" s="1" t="e">
        <f t="shared" si="257"/>
        <v>#DIV/0!</v>
      </c>
      <c r="AO331" s="1" t="e">
        <f t="shared" si="258"/>
        <v>#DIV/0!</v>
      </c>
      <c r="AP331" s="1" t="e">
        <f t="shared" si="259"/>
        <v>#DIV/0!</v>
      </c>
      <c r="AQ331" s="1" t="e">
        <f t="shared" si="260"/>
        <v>#DIV/0!</v>
      </c>
      <c r="AR331" s="1" t="e">
        <f t="shared" si="261"/>
        <v>#DIV/0!</v>
      </c>
      <c r="AS331" s="12" t="e">
        <f t="shared" si="262"/>
        <v>#DIV/0!</v>
      </c>
      <c r="AT331" s="12" t="e">
        <f t="shared" si="263"/>
        <v>#DIV/0!</v>
      </c>
      <c r="AU331" s="1">
        <f t="shared" si="264"/>
        <v>0</v>
      </c>
      <c r="AV331" s="1">
        <f t="shared" si="265"/>
        <v>0</v>
      </c>
      <c r="AW331" s="1">
        <f t="shared" si="266"/>
        <v>0</v>
      </c>
      <c r="AX331" s="1">
        <f t="shared" si="267"/>
        <v>0</v>
      </c>
      <c r="AY331" s="1">
        <f t="shared" si="268"/>
        <v>0</v>
      </c>
      <c r="AZ331" s="1">
        <f t="shared" si="269"/>
        <v>0</v>
      </c>
      <c r="BA331" s="19">
        <f t="shared" si="270"/>
        <v>0</v>
      </c>
      <c r="BB331" s="19">
        <f t="shared" si="271"/>
        <v>0</v>
      </c>
      <c r="BC331" s="9" t="e">
        <f t="shared" si="272"/>
        <v>#DIV/0!</v>
      </c>
      <c r="BD331" s="9">
        <f t="shared" si="273"/>
        <v>-1</v>
      </c>
      <c r="BE331" s="9" t="e">
        <f t="shared" si="274"/>
        <v>#DIV/0!</v>
      </c>
      <c r="BF331" s="9" t="e">
        <f t="shared" si="275"/>
        <v>#DIV/0!</v>
      </c>
      <c r="BG331" s="9" t="e">
        <f t="shared" si="276"/>
        <v>#DIV/0!</v>
      </c>
      <c r="BH331" s="9" t="e">
        <f t="shared" si="277"/>
        <v>#DIV/0!</v>
      </c>
      <c r="BI331" s="12" t="e">
        <f t="shared" si="278"/>
        <v>#DIV/0!</v>
      </c>
      <c r="BJ331" s="13" t="e">
        <f t="shared" si="279"/>
        <v>#DIV/0!</v>
      </c>
      <c r="BK331" s="1">
        <f t="shared" si="280"/>
        <v>1</v>
      </c>
      <c r="BL331" s="1">
        <f t="shared" si="281"/>
        <v>-1</v>
      </c>
      <c r="BM331" s="1">
        <f t="shared" si="282"/>
        <v>0</v>
      </c>
      <c r="BN331" s="1">
        <f t="shared" si="283"/>
        <v>0</v>
      </c>
      <c r="BO331" s="1">
        <f t="shared" si="284"/>
        <v>0</v>
      </c>
      <c r="BP331" s="1">
        <f t="shared" si="285"/>
        <v>0</v>
      </c>
      <c r="BQ331" s="19">
        <f t="shared" si="286"/>
        <v>0</v>
      </c>
      <c r="BR331" s="17">
        <f t="shared" si="287"/>
        <v>0</v>
      </c>
    </row>
    <row r="332" spans="1:70" x14ac:dyDescent="0.25">
      <c r="A332" t="s">
        <v>591</v>
      </c>
      <c r="C332">
        <v>1</v>
      </c>
      <c r="F332">
        <v>1</v>
      </c>
      <c r="J332">
        <v>1</v>
      </c>
      <c r="M332">
        <v>1</v>
      </c>
      <c r="W332" s="8" t="e">
        <f t="shared" si="240"/>
        <v>#DIV/0!</v>
      </c>
      <c r="X332" s="8">
        <f t="shared" si="241"/>
        <v>-1</v>
      </c>
      <c r="Y332" s="8" t="e">
        <f t="shared" si="242"/>
        <v>#DIV/0!</v>
      </c>
      <c r="Z332" s="8" t="e">
        <f t="shared" si="243"/>
        <v>#DIV/0!</v>
      </c>
      <c r="AA332" s="8">
        <f t="shared" si="244"/>
        <v>-1</v>
      </c>
      <c r="AB332" s="8" t="e">
        <f t="shared" si="245"/>
        <v>#DIV/0!</v>
      </c>
      <c r="AC332" s="12" t="e">
        <f t="shared" si="246"/>
        <v>#DIV/0!</v>
      </c>
      <c r="AD332" s="12" t="e">
        <f t="shared" si="247"/>
        <v>#DIV/0!</v>
      </c>
      <c r="AE332" s="1">
        <f t="shared" si="248"/>
        <v>1</v>
      </c>
      <c r="AF332" s="1">
        <f t="shared" si="249"/>
        <v>-1</v>
      </c>
      <c r="AG332" s="1">
        <f t="shared" si="250"/>
        <v>0</v>
      </c>
      <c r="AH332" s="1">
        <f t="shared" si="251"/>
        <v>1</v>
      </c>
      <c r="AI332" s="1">
        <f t="shared" si="252"/>
        <v>-1</v>
      </c>
      <c r="AJ332" s="1">
        <f t="shared" si="253"/>
        <v>0</v>
      </c>
      <c r="AK332" s="17">
        <f t="shared" si="254"/>
        <v>0</v>
      </c>
      <c r="AL332" s="17">
        <f t="shared" si="255"/>
        <v>0</v>
      </c>
      <c r="AM332" s="1" t="e">
        <f t="shared" si="256"/>
        <v>#DIV/0!</v>
      </c>
      <c r="AN332" s="1">
        <f t="shared" si="257"/>
        <v>-1</v>
      </c>
      <c r="AO332" s="1" t="e">
        <f t="shared" si="258"/>
        <v>#DIV/0!</v>
      </c>
      <c r="AP332" s="1" t="e">
        <f t="shared" si="259"/>
        <v>#DIV/0!</v>
      </c>
      <c r="AQ332" s="1">
        <f t="shared" si="260"/>
        <v>-1</v>
      </c>
      <c r="AR332" s="1" t="e">
        <f t="shared" si="261"/>
        <v>#DIV/0!</v>
      </c>
      <c r="AS332" s="12" t="e">
        <f t="shared" si="262"/>
        <v>#DIV/0!</v>
      </c>
      <c r="AT332" s="12" t="e">
        <f t="shared" si="263"/>
        <v>#DIV/0!</v>
      </c>
      <c r="AU332" s="1">
        <f t="shared" si="264"/>
        <v>1</v>
      </c>
      <c r="AV332" s="1">
        <f t="shared" si="265"/>
        <v>-1</v>
      </c>
      <c r="AW332" s="1">
        <f t="shared" si="266"/>
        <v>0</v>
      </c>
      <c r="AX332" s="1">
        <f t="shared" si="267"/>
        <v>1</v>
      </c>
      <c r="AY332" s="1">
        <f t="shared" si="268"/>
        <v>-1</v>
      </c>
      <c r="AZ332" s="1">
        <f t="shared" si="269"/>
        <v>0</v>
      </c>
      <c r="BA332" s="19">
        <f t="shared" si="270"/>
        <v>0</v>
      </c>
      <c r="BB332" s="19">
        <f t="shared" si="271"/>
        <v>0</v>
      </c>
      <c r="BC332" s="9" t="e">
        <f t="shared" si="272"/>
        <v>#DIV/0!</v>
      </c>
      <c r="BD332" s="9" t="e">
        <f t="shared" si="273"/>
        <v>#DIV/0!</v>
      </c>
      <c r="BE332" s="9" t="e">
        <f t="shared" si="274"/>
        <v>#DIV/0!</v>
      </c>
      <c r="BF332" s="9" t="e">
        <f t="shared" si="275"/>
        <v>#DIV/0!</v>
      </c>
      <c r="BG332" s="9" t="e">
        <f t="shared" si="276"/>
        <v>#DIV/0!</v>
      </c>
      <c r="BH332" s="9" t="e">
        <f t="shared" si="277"/>
        <v>#DIV/0!</v>
      </c>
      <c r="BI332" s="12" t="e">
        <f t="shared" si="278"/>
        <v>#DIV/0!</v>
      </c>
      <c r="BJ332" s="13" t="e">
        <f t="shared" si="279"/>
        <v>#DIV/0!</v>
      </c>
      <c r="BK332" s="1">
        <f t="shared" si="280"/>
        <v>0</v>
      </c>
      <c r="BL332" s="1">
        <f t="shared" si="281"/>
        <v>0</v>
      </c>
      <c r="BM332" s="1">
        <f t="shared" si="282"/>
        <v>0</v>
      </c>
      <c r="BN332" s="1">
        <f t="shared" si="283"/>
        <v>0</v>
      </c>
      <c r="BO332" s="1">
        <f t="shared" si="284"/>
        <v>0</v>
      </c>
      <c r="BP332" s="1">
        <f t="shared" si="285"/>
        <v>0</v>
      </c>
      <c r="BQ332" s="19">
        <f t="shared" si="286"/>
        <v>0</v>
      </c>
      <c r="BR332" s="17">
        <f t="shared" si="287"/>
        <v>0</v>
      </c>
    </row>
    <row r="333" spans="1:70" x14ac:dyDescent="0.25">
      <c r="A333" t="s">
        <v>593</v>
      </c>
      <c r="C333">
        <v>1</v>
      </c>
      <c r="F333">
        <v>1</v>
      </c>
      <c r="J333">
        <v>1</v>
      </c>
      <c r="M333">
        <v>1</v>
      </c>
      <c r="W333" s="8" t="e">
        <f t="shared" si="240"/>
        <v>#DIV/0!</v>
      </c>
      <c r="X333" s="8">
        <f t="shared" si="241"/>
        <v>-1</v>
      </c>
      <c r="Y333" s="8" t="e">
        <f t="shared" si="242"/>
        <v>#DIV/0!</v>
      </c>
      <c r="Z333" s="8" t="e">
        <f t="shared" si="243"/>
        <v>#DIV/0!</v>
      </c>
      <c r="AA333" s="8">
        <f t="shared" si="244"/>
        <v>-1</v>
      </c>
      <c r="AB333" s="8" t="e">
        <f t="shared" si="245"/>
        <v>#DIV/0!</v>
      </c>
      <c r="AC333" s="12" t="e">
        <f t="shared" si="246"/>
        <v>#DIV/0!</v>
      </c>
      <c r="AD333" s="12" t="e">
        <f t="shared" si="247"/>
        <v>#DIV/0!</v>
      </c>
      <c r="AE333" s="1">
        <f t="shared" si="248"/>
        <v>1</v>
      </c>
      <c r="AF333" s="1">
        <f t="shared" si="249"/>
        <v>-1</v>
      </c>
      <c r="AG333" s="1">
        <f t="shared" si="250"/>
        <v>0</v>
      </c>
      <c r="AH333" s="1">
        <f t="shared" si="251"/>
        <v>1</v>
      </c>
      <c r="AI333" s="1">
        <f t="shared" si="252"/>
        <v>-1</v>
      </c>
      <c r="AJ333" s="1">
        <f t="shared" si="253"/>
        <v>0</v>
      </c>
      <c r="AK333" s="17">
        <f t="shared" si="254"/>
        <v>0</v>
      </c>
      <c r="AL333" s="17">
        <f t="shared" si="255"/>
        <v>0</v>
      </c>
      <c r="AM333" s="1" t="e">
        <f t="shared" si="256"/>
        <v>#DIV/0!</v>
      </c>
      <c r="AN333" s="1">
        <f t="shared" si="257"/>
        <v>-1</v>
      </c>
      <c r="AO333" s="1" t="e">
        <f t="shared" si="258"/>
        <v>#DIV/0!</v>
      </c>
      <c r="AP333" s="1" t="e">
        <f t="shared" si="259"/>
        <v>#DIV/0!</v>
      </c>
      <c r="AQ333" s="1">
        <f t="shared" si="260"/>
        <v>-1</v>
      </c>
      <c r="AR333" s="1" t="e">
        <f t="shared" si="261"/>
        <v>#DIV/0!</v>
      </c>
      <c r="AS333" s="12" t="e">
        <f t="shared" si="262"/>
        <v>#DIV/0!</v>
      </c>
      <c r="AT333" s="12" t="e">
        <f t="shared" si="263"/>
        <v>#DIV/0!</v>
      </c>
      <c r="AU333" s="1">
        <f t="shared" si="264"/>
        <v>1</v>
      </c>
      <c r="AV333" s="1">
        <f t="shared" si="265"/>
        <v>-1</v>
      </c>
      <c r="AW333" s="1">
        <f t="shared" si="266"/>
        <v>0</v>
      </c>
      <c r="AX333" s="1">
        <f t="shared" si="267"/>
        <v>1</v>
      </c>
      <c r="AY333" s="1">
        <f t="shared" si="268"/>
        <v>-1</v>
      </c>
      <c r="AZ333" s="1">
        <f t="shared" si="269"/>
        <v>0</v>
      </c>
      <c r="BA333" s="19">
        <f t="shared" si="270"/>
        <v>0</v>
      </c>
      <c r="BB333" s="19">
        <f t="shared" si="271"/>
        <v>0</v>
      </c>
      <c r="BC333" s="9" t="e">
        <f t="shared" si="272"/>
        <v>#DIV/0!</v>
      </c>
      <c r="BD333" s="9" t="e">
        <f t="shared" si="273"/>
        <v>#DIV/0!</v>
      </c>
      <c r="BE333" s="9" t="e">
        <f t="shared" si="274"/>
        <v>#DIV/0!</v>
      </c>
      <c r="BF333" s="9" t="e">
        <f t="shared" si="275"/>
        <v>#DIV/0!</v>
      </c>
      <c r="BG333" s="9" t="e">
        <f t="shared" si="276"/>
        <v>#DIV/0!</v>
      </c>
      <c r="BH333" s="9" t="e">
        <f t="shared" si="277"/>
        <v>#DIV/0!</v>
      </c>
      <c r="BI333" s="12" t="e">
        <f t="shared" si="278"/>
        <v>#DIV/0!</v>
      </c>
      <c r="BJ333" s="13" t="e">
        <f t="shared" si="279"/>
        <v>#DIV/0!</v>
      </c>
      <c r="BK333" s="1">
        <f t="shared" si="280"/>
        <v>0</v>
      </c>
      <c r="BL333" s="1">
        <f t="shared" si="281"/>
        <v>0</v>
      </c>
      <c r="BM333" s="1">
        <f t="shared" si="282"/>
        <v>0</v>
      </c>
      <c r="BN333" s="1">
        <f t="shared" si="283"/>
        <v>0</v>
      </c>
      <c r="BO333" s="1">
        <f t="shared" si="284"/>
        <v>0</v>
      </c>
      <c r="BP333" s="1">
        <f t="shared" si="285"/>
        <v>0</v>
      </c>
      <c r="BQ333" s="19">
        <f t="shared" si="286"/>
        <v>0</v>
      </c>
      <c r="BR333" s="17">
        <f t="shared" si="287"/>
        <v>0</v>
      </c>
    </row>
    <row r="334" spans="1:70" x14ac:dyDescent="0.25">
      <c r="A334" t="s">
        <v>594</v>
      </c>
      <c r="C334">
        <v>1</v>
      </c>
      <c r="E334">
        <v>1</v>
      </c>
      <c r="G334">
        <v>1</v>
      </c>
      <c r="J334">
        <v>1</v>
      </c>
      <c r="S334">
        <v>1</v>
      </c>
      <c r="U334">
        <v>1</v>
      </c>
      <c r="W334" s="8" t="e">
        <f t="shared" si="240"/>
        <v>#DIV/0!</v>
      </c>
      <c r="X334" s="8">
        <f t="shared" si="241"/>
        <v>-1</v>
      </c>
      <c r="Y334" s="8" t="e">
        <f t="shared" si="242"/>
        <v>#DIV/0!</v>
      </c>
      <c r="Z334" s="8">
        <f t="shared" si="243"/>
        <v>-1</v>
      </c>
      <c r="AA334" s="8" t="e">
        <f t="shared" si="244"/>
        <v>#DIV/0!</v>
      </c>
      <c r="AB334" s="8">
        <f t="shared" si="245"/>
        <v>-1</v>
      </c>
      <c r="AC334" s="12" t="e">
        <f t="shared" si="246"/>
        <v>#DIV/0!</v>
      </c>
      <c r="AD334" s="12" t="e">
        <f t="shared" si="247"/>
        <v>#DIV/0!</v>
      </c>
      <c r="AE334" s="1">
        <f t="shared" si="248"/>
        <v>1</v>
      </c>
      <c r="AF334" s="1">
        <f t="shared" si="249"/>
        <v>-1</v>
      </c>
      <c r="AG334" s="1">
        <f t="shared" si="250"/>
        <v>1</v>
      </c>
      <c r="AH334" s="1">
        <f t="shared" si="251"/>
        <v>-1</v>
      </c>
      <c r="AI334" s="1">
        <f t="shared" si="252"/>
        <v>1</v>
      </c>
      <c r="AJ334" s="1">
        <f t="shared" si="253"/>
        <v>-1</v>
      </c>
      <c r="AK334" s="17">
        <f t="shared" si="254"/>
        <v>0</v>
      </c>
      <c r="AL334" s="17">
        <f t="shared" si="255"/>
        <v>0</v>
      </c>
      <c r="AM334" s="1" t="e">
        <f t="shared" si="256"/>
        <v>#DIV/0!</v>
      </c>
      <c r="AN334" s="1">
        <f t="shared" si="257"/>
        <v>-1</v>
      </c>
      <c r="AO334" s="1" t="e">
        <f t="shared" si="258"/>
        <v>#DIV/0!</v>
      </c>
      <c r="AP334" s="1" t="e">
        <f t="shared" si="259"/>
        <v>#DIV/0!</v>
      </c>
      <c r="AQ334" s="1" t="e">
        <f t="shared" si="260"/>
        <v>#DIV/0!</v>
      </c>
      <c r="AR334" s="1" t="e">
        <f t="shared" si="261"/>
        <v>#DIV/0!</v>
      </c>
      <c r="AS334" s="12" t="e">
        <f t="shared" si="262"/>
        <v>#DIV/0!</v>
      </c>
      <c r="AT334" s="12" t="e">
        <f t="shared" si="263"/>
        <v>#DIV/0!</v>
      </c>
      <c r="AU334" s="1">
        <f t="shared" si="264"/>
        <v>1</v>
      </c>
      <c r="AV334" s="1">
        <f t="shared" si="265"/>
        <v>-1</v>
      </c>
      <c r="AW334" s="1">
        <f t="shared" si="266"/>
        <v>0</v>
      </c>
      <c r="AX334" s="1">
        <f t="shared" si="267"/>
        <v>0</v>
      </c>
      <c r="AY334" s="1">
        <f t="shared" si="268"/>
        <v>0</v>
      </c>
      <c r="AZ334" s="1">
        <f t="shared" si="269"/>
        <v>0</v>
      </c>
      <c r="BA334" s="19">
        <f t="shared" si="270"/>
        <v>0</v>
      </c>
      <c r="BB334" s="19">
        <f t="shared" si="271"/>
        <v>0</v>
      </c>
      <c r="BC334" s="9" t="e">
        <f t="shared" si="272"/>
        <v>#DIV/0!</v>
      </c>
      <c r="BD334" s="9" t="e">
        <f t="shared" si="273"/>
        <v>#DIV/0!</v>
      </c>
      <c r="BE334" s="9" t="e">
        <f t="shared" si="274"/>
        <v>#DIV/0!</v>
      </c>
      <c r="BF334" s="9">
        <f t="shared" si="275"/>
        <v>-1</v>
      </c>
      <c r="BG334" s="9" t="e">
        <f t="shared" si="276"/>
        <v>#DIV/0!</v>
      </c>
      <c r="BH334" s="9">
        <f t="shared" si="277"/>
        <v>-1</v>
      </c>
      <c r="BI334" s="12" t="e">
        <f t="shared" si="278"/>
        <v>#DIV/0!</v>
      </c>
      <c r="BJ334" s="13" t="e">
        <f t="shared" si="279"/>
        <v>#DIV/0!</v>
      </c>
      <c r="BK334" s="1">
        <f t="shared" si="280"/>
        <v>0</v>
      </c>
      <c r="BL334" s="1">
        <f t="shared" si="281"/>
        <v>0</v>
      </c>
      <c r="BM334" s="1">
        <f t="shared" si="282"/>
        <v>1</v>
      </c>
      <c r="BN334" s="1">
        <f t="shared" si="283"/>
        <v>-1</v>
      </c>
      <c r="BO334" s="1">
        <f t="shared" si="284"/>
        <v>1</v>
      </c>
      <c r="BP334" s="1">
        <f t="shared" si="285"/>
        <v>-1</v>
      </c>
      <c r="BQ334" s="19">
        <f t="shared" si="286"/>
        <v>0</v>
      </c>
      <c r="BR334" s="17">
        <f t="shared" si="287"/>
        <v>0</v>
      </c>
    </row>
    <row r="335" spans="1:70" x14ac:dyDescent="0.25">
      <c r="A335" t="s">
        <v>595</v>
      </c>
      <c r="C335">
        <v>1</v>
      </c>
      <c r="J335">
        <v>1</v>
      </c>
      <c r="W335" s="8" t="e">
        <f t="shared" si="240"/>
        <v>#DIV/0!</v>
      </c>
      <c r="X335" s="8">
        <f t="shared" si="241"/>
        <v>-1</v>
      </c>
      <c r="Y335" s="8" t="e">
        <f t="shared" si="242"/>
        <v>#DIV/0!</v>
      </c>
      <c r="Z335" s="8" t="e">
        <f t="shared" si="243"/>
        <v>#DIV/0!</v>
      </c>
      <c r="AA335" s="8" t="e">
        <f t="shared" si="244"/>
        <v>#DIV/0!</v>
      </c>
      <c r="AB335" s="8" t="e">
        <f t="shared" si="245"/>
        <v>#DIV/0!</v>
      </c>
      <c r="AC335" s="12" t="e">
        <f t="shared" si="246"/>
        <v>#DIV/0!</v>
      </c>
      <c r="AD335" s="12" t="e">
        <f t="shared" si="247"/>
        <v>#DIV/0!</v>
      </c>
      <c r="AE335" s="1">
        <f t="shared" si="248"/>
        <v>1</v>
      </c>
      <c r="AF335" s="1">
        <f t="shared" si="249"/>
        <v>-1</v>
      </c>
      <c r="AG335" s="1">
        <f t="shared" si="250"/>
        <v>0</v>
      </c>
      <c r="AH335" s="1">
        <f t="shared" si="251"/>
        <v>0</v>
      </c>
      <c r="AI335" s="1">
        <f t="shared" si="252"/>
        <v>0</v>
      </c>
      <c r="AJ335" s="1">
        <f t="shared" si="253"/>
        <v>0</v>
      </c>
      <c r="AK335" s="17">
        <f t="shared" si="254"/>
        <v>0</v>
      </c>
      <c r="AL335" s="17">
        <f t="shared" si="255"/>
        <v>0</v>
      </c>
      <c r="AM335" s="1" t="e">
        <f t="shared" si="256"/>
        <v>#DIV/0!</v>
      </c>
      <c r="AN335" s="1">
        <f t="shared" si="257"/>
        <v>-1</v>
      </c>
      <c r="AO335" s="1" t="e">
        <f t="shared" si="258"/>
        <v>#DIV/0!</v>
      </c>
      <c r="AP335" s="1" t="e">
        <f t="shared" si="259"/>
        <v>#DIV/0!</v>
      </c>
      <c r="AQ335" s="1" t="e">
        <f t="shared" si="260"/>
        <v>#DIV/0!</v>
      </c>
      <c r="AR335" s="1" t="e">
        <f t="shared" si="261"/>
        <v>#DIV/0!</v>
      </c>
      <c r="AS335" s="12" t="e">
        <f t="shared" si="262"/>
        <v>#DIV/0!</v>
      </c>
      <c r="AT335" s="12" t="e">
        <f t="shared" si="263"/>
        <v>#DIV/0!</v>
      </c>
      <c r="AU335" s="1">
        <f t="shared" si="264"/>
        <v>1</v>
      </c>
      <c r="AV335" s="1">
        <f t="shared" si="265"/>
        <v>-1</v>
      </c>
      <c r="AW335" s="1">
        <f t="shared" si="266"/>
        <v>0</v>
      </c>
      <c r="AX335" s="1">
        <f t="shared" si="267"/>
        <v>0</v>
      </c>
      <c r="AY335" s="1">
        <f t="shared" si="268"/>
        <v>0</v>
      </c>
      <c r="AZ335" s="1">
        <f t="shared" si="269"/>
        <v>0</v>
      </c>
      <c r="BA335" s="19">
        <f t="shared" si="270"/>
        <v>0</v>
      </c>
      <c r="BB335" s="19">
        <f t="shared" si="271"/>
        <v>0</v>
      </c>
      <c r="BC335" s="9" t="e">
        <f t="shared" si="272"/>
        <v>#DIV/0!</v>
      </c>
      <c r="BD335" s="9" t="e">
        <f t="shared" si="273"/>
        <v>#DIV/0!</v>
      </c>
      <c r="BE335" s="9" t="e">
        <f t="shared" si="274"/>
        <v>#DIV/0!</v>
      </c>
      <c r="BF335" s="9" t="e">
        <f t="shared" si="275"/>
        <v>#DIV/0!</v>
      </c>
      <c r="BG335" s="9" t="e">
        <f t="shared" si="276"/>
        <v>#DIV/0!</v>
      </c>
      <c r="BH335" s="9" t="e">
        <f t="shared" si="277"/>
        <v>#DIV/0!</v>
      </c>
      <c r="BI335" s="12" t="e">
        <f t="shared" si="278"/>
        <v>#DIV/0!</v>
      </c>
      <c r="BJ335" s="13" t="e">
        <f t="shared" si="279"/>
        <v>#DIV/0!</v>
      </c>
      <c r="BK335" s="1">
        <f t="shared" si="280"/>
        <v>0</v>
      </c>
      <c r="BL335" s="1">
        <f t="shared" si="281"/>
        <v>0</v>
      </c>
      <c r="BM335" s="1">
        <f t="shared" si="282"/>
        <v>0</v>
      </c>
      <c r="BN335" s="1">
        <f t="shared" si="283"/>
        <v>0</v>
      </c>
      <c r="BO335" s="1">
        <f t="shared" si="284"/>
        <v>0</v>
      </c>
      <c r="BP335" s="1">
        <f t="shared" si="285"/>
        <v>0</v>
      </c>
      <c r="BQ335" s="19">
        <f t="shared" si="286"/>
        <v>0</v>
      </c>
      <c r="BR335" s="17">
        <f t="shared" si="287"/>
        <v>0</v>
      </c>
    </row>
    <row r="336" spans="1:70" x14ac:dyDescent="0.25">
      <c r="A336" t="s">
        <v>596</v>
      </c>
      <c r="C336">
        <v>1</v>
      </c>
      <c r="J336">
        <v>1</v>
      </c>
      <c r="W336" s="8" t="e">
        <f t="shared" si="240"/>
        <v>#DIV/0!</v>
      </c>
      <c r="X336" s="8">
        <f t="shared" si="241"/>
        <v>-1</v>
      </c>
      <c r="Y336" s="8" t="e">
        <f t="shared" si="242"/>
        <v>#DIV/0!</v>
      </c>
      <c r="Z336" s="8" t="e">
        <f t="shared" si="243"/>
        <v>#DIV/0!</v>
      </c>
      <c r="AA336" s="8" t="e">
        <f t="shared" si="244"/>
        <v>#DIV/0!</v>
      </c>
      <c r="AB336" s="8" t="e">
        <f t="shared" si="245"/>
        <v>#DIV/0!</v>
      </c>
      <c r="AC336" s="12" t="e">
        <f t="shared" si="246"/>
        <v>#DIV/0!</v>
      </c>
      <c r="AD336" s="12" t="e">
        <f t="shared" si="247"/>
        <v>#DIV/0!</v>
      </c>
      <c r="AE336" s="1">
        <f t="shared" si="248"/>
        <v>1</v>
      </c>
      <c r="AF336" s="1">
        <f t="shared" si="249"/>
        <v>-1</v>
      </c>
      <c r="AG336" s="1">
        <f t="shared" si="250"/>
        <v>0</v>
      </c>
      <c r="AH336" s="1">
        <f t="shared" si="251"/>
        <v>0</v>
      </c>
      <c r="AI336" s="1">
        <f t="shared" si="252"/>
        <v>0</v>
      </c>
      <c r="AJ336" s="1">
        <f t="shared" si="253"/>
        <v>0</v>
      </c>
      <c r="AK336" s="17">
        <f t="shared" si="254"/>
        <v>0</v>
      </c>
      <c r="AL336" s="17">
        <f t="shared" si="255"/>
        <v>0</v>
      </c>
      <c r="AM336" s="1" t="e">
        <f t="shared" si="256"/>
        <v>#DIV/0!</v>
      </c>
      <c r="AN336" s="1">
        <f t="shared" si="257"/>
        <v>-1</v>
      </c>
      <c r="AO336" s="1" t="e">
        <f t="shared" si="258"/>
        <v>#DIV/0!</v>
      </c>
      <c r="AP336" s="1" t="e">
        <f t="shared" si="259"/>
        <v>#DIV/0!</v>
      </c>
      <c r="AQ336" s="1" t="e">
        <f t="shared" si="260"/>
        <v>#DIV/0!</v>
      </c>
      <c r="AR336" s="1" t="e">
        <f t="shared" si="261"/>
        <v>#DIV/0!</v>
      </c>
      <c r="AS336" s="12" t="e">
        <f t="shared" si="262"/>
        <v>#DIV/0!</v>
      </c>
      <c r="AT336" s="12" t="e">
        <f t="shared" si="263"/>
        <v>#DIV/0!</v>
      </c>
      <c r="AU336" s="1">
        <f t="shared" si="264"/>
        <v>1</v>
      </c>
      <c r="AV336" s="1">
        <f t="shared" si="265"/>
        <v>-1</v>
      </c>
      <c r="AW336" s="1">
        <f t="shared" si="266"/>
        <v>0</v>
      </c>
      <c r="AX336" s="1">
        <f t="shared" si="267"/>
        <v>0</v>
      </c>
      <c r="AY336" s="1">
        <f t="shared" si="268"/>
        <v>0</v>
      </c>
      <c r="AZ336" s="1">
        <f t="shared" si="269"/>
        <v>0</v>
      </c>
      <c r="BA336" s="19">
        <f t="shared" si="270"/>
        <v>0</v>
      </c>
      <c r="BB336" s="19">
        <f t="shared" si="271"/>
        <v>0</v>
      </c>
      <c r="BC336" s="9" t="e">
        <f t="shared" si="272"/>
        <v>#DIV/0!</v>
      </c>
      <c r="BD336" s="9" t="e">
        <f t="shared" si="273"/>
        <v>#DIV/0!</v>
      </c>
      <c r="BE336" s="9" t="e">
        <f t="shared" si="274"/>
        <v>#DIV/0!</v>
      </c>
      <c r="BF336" s="9" t="e">
        <f t="shared" si="275"/>
        <v>#DIV/0!</v>
      </c>
      <c r="BG336" s="9" t="e">
        <f t="shared" si="276"/>
        <v>#DIV/0!</v>
      </c>
      <c r="BH336" s="9" t="e">
        <f t="shared" si="277"/>
        <v>#DIV/0!</v>
      </c>
      <c r="BI336" s="12" t="e">
        <f t="shared" si="278"/>
        <v>#DIV/0!</v>
      </c>
      <c r="BJ336" s="13" t="e">
        <f t="shared" si="279"/>
        <v>#DIV/0!</v>
      </c>
      <c r="BK336" s="1">
        <f t="shared" si="280"/>
        <v>0</v>
      </c>
      <c r="BL336" s="1">
        <f t="shared" si="281"/>
        <v>0</v>
      </c>
      <c r="BM336" s="1">
        <f t="shared" si="282"/>
        <v>0</v>
      </c>
      <c r="BN336" s="1">
        <f t="shared" si="283"/>
        <v>0</v>
      </c>
      <c r="BO336" s="1">
        <f t="shared" si="284"/>
        <v>0</v>
      </c>
      <c r="BP336" s="1">
        <f t="shared" si="285"/>
        <v>0</v>
      </c>
      <c r="BQ336" s="19">
        <f t="shared" si="286"/>
        <v>0</v>
      </c>
      <c r="BR336" s="17">
        <f t="shared" si="287"/>
        <v>0</v>
      </c>
    </row>
    <row r="337" spans="1:70" x14ac:dyDescent="0.25">
      <c r="A337" t="s">
        <v>599</v>
      </c>
      <c r="C337">
        <v>1</v>
      </c>
      <c r="D337">
        <v>2</v>
      </c>
      <c r="E337">
        <v>1</v>
      </c>
      <c r="J337">
        <v>1</v>
      </c>
      <c r="L337">
        <v>1</v>
      </c>
      <c r="R337">
        <v>2</v>
      </c>
      <c r="W337" s="8" t="e">
        <f t="shared" si="240"/>
        <v>#DIV/0!</v>
      </c>
      <c r="X337" s="8">
        <f t="shared" si="241"/>
        <v>1</v>
      </c>
      <c r="Y337" s="8">
        <f t="shared" si="242"/>
        <v>-0.5</v>
      </c>
      <c r="Z337" s="8">
        <f t="shared" si="243"/>
        <v>-1</v>
      </c>
      <c r="AA337" s="8" t="e">
        <f t="shared" si="244"/>
        <v>#DIV/0!</v>
      </c>
      <c r="AB337" s="8" t="e">
        <f t="shared" si="245"/>
        <v>#DIV/0!</v>
      </c>
      <c r="AC337" s="12" t="e">
        <f t="shared" si="246"/>
        <v>#DIV/0!</v>
      </c>
      <c r="AD337" s="12" t="e">
        <f t="shared" si="247"/>
        <v>#DIV/0!</v>
      </c>
      <c r="AE337" s="1">
        <f t="shared" si="248"/>
        <v>1</v>
      </c>
      <c r="AF337" s="1">
        <f t="shared" si="249"/>
        <v>1</v>
      </c>
      <c r="AG337" s="1">
        <f t="shared" si="250"/>
        <v>-1</v>
      </c>
      <c r="AH337" s="1">
        <f t="shared" si="251"/>
        <v>-1</v>
      </c>
      <c r="AI337" s="1">
        <f t="shared" si="252"/>
        <v>0</v>
      </c>
      <c r="AJ337" s="1">
        <f t="shared" si="253"/>
        <v>0</v>
      </c>
      <c r="AK337" s="17">
        <f t="shared" si="254"/>
        <v>0</v>
      </c>
      <c r="AL337" s="17">
        <f t="shared" si="255"/>
        <v>0</v>
      </c>
      <c r="AM337" s="1" t="e">
        <f t="shared" si="256"/>
        <v>#DIV/0!</v>
      </c>
      <c r="AN337" s="1">
        <f t="shared" si="257"/>
        <v>-1</v>
      </c>
      <c r="AO337" s="1" t="e">
        <f t="shared" si="258"/>
        <v>#DIV/0!</v>
      </c>
      <c r="AP337" s="1">
        <f t="shared" si="259"/>
        <v>-1</v>
      </c>
      <c r="AQ337" s="1" t="e">
        <f t="shared" si="260"/>
        <v>#DIV/0!</v>
      </c>
      <c r="AR337" s="1" t="e">
        <f t="shared" si="261"/>
        <v>#DIV/0!</v>
      </c>
      <c r="AS337" s="12" t="e">
        <f t="shared" si="262"/>
        <v>#DIV/0!</v>
      </c>
      <c r="AT337" s="12" t="e">
        <f t="shared" si="263"/>
        <v>#DIV/0!</v>
      </c>
      <c r="AU337" s="1">
        <f t="shared" si="264"/>
        <v>1</v>
      </c>
      <c r="AV337" s="1">
        <f t="shared" si="265"/>
        <v>-1</v>
      </c>
      <c r="AW337" s="1">
        <f t="shared" si="266"/>
        <v>1</v>
      </c>
      <c r="AX337" s="1">
        <f t="shared" si="267"/>
        <v>-1</v>
      </c>
      <c r="AY337" s="1">
        <f t="shared" si="268"/>
        <v>0</v>
      </c>
      <c r="AZ337" s="1">
        <f t="shared" si="269"/>
        <v>0</v>
      </c>
      <c r="BA337" s="19">
        <f t="shared" si="270"/>
        <v>0</v>
      </c>
      <c r="BB337" s="19">
        <f t="shared" si="271"/>
        <v>0</v>
      </c>
      <c r="BC337" s="9" t="e">
        <f t="shared" si="272"/>
        <v>#DIV/0!</v>
      </c>
      <c r="BD337" s="9" t="e">
        <f t="shared" si="273"/>
        <v>#DIV/0!</v>
      </c>
      <c r="BE337" s="9">
        <f t="shared" si="274"/>
        <v>-1</v>
      </c>
      <c r="BF337" s="9" t="e">
        <f t="shared" si="275"/>
        <v>#DIV/0!</v>
      </c>
      <c r="BG337" s="9" t="e">
        <f t="shared" si="276"/>
        <v>#DIV/0!</v>
      </c>
      <c r="BH337" s="9" t="e">
        <f t="shared" si="277"/>
        <v>#DIV/0!</v>
      </c>
      <c r="BI337" s="12" t="e">
        <f t="shared" si="278"/>
        <v>#DIV/0!</v>
      </c>
      <c r="BJ337" s="13" t="e">
        <f t="shared" si="279"/>
        <v>#DIV/0!</v>
      </c>
      <c r="BK337" s="1">
        <f t="shared" si="280"/>
        <v>0</v>
      </c>
      <c r="BL337" s="1">
        <f t="shared" si="281"/>
        <v>2</v>
      </c>
      <c r="BM337" s="1">
        <f t="shared" si="282"/>
        <v>-2</v>
      </c>
      <c r="BN337" s="1">
        <f t="shared" si="283"/>
        <v>0</v>
      </c>
      <c r="BO337" s="1">
        <f t="shared" si="284"/>
        <v>0</v>
      </c>
      <c r="BP337" s="1">
        <f t="shared" si="285"/>
        <v>0</v>
      </c>
      <c r="BQ337" s="19">
        <f t="shared" si="286"/>
        <v>0</v>
      </c>
      <c r="BR337" s="17">
        <f t="shared" si="287"/>
        <v>0</v>
      </c>
    </row>
    <row r="338" spans="1:70" x14ac:dyDescent="0.25">
      <c r="A338" t="s">
        <v>600</v>
      </c>
      <c r="C338">
        <v>1</v>
      </c>
      <c r="E338">
        <v>1</v>
      </c>
      <c r="J338">
        <v>1</v>
      </c>
      <c r="S338">
        <v>1</v>
      </c>
      <c r="W338" s="8" t="e">
        <f t="shared" si="240"/>
        <v>#DIV/0!</v>
      </c>
      <c r="X338" s="8">
        <f t="shared" si="241"/>
        <v>-1</v>
      </c>
      <c r="Y338" s="8" t="e">
        <f t="shared" si="242"/>
        <v>#DIV/0!</v>
      </c>
      <c r="Z338" s="8">
        <f t="shared" si="243"/>
        <v>-1</v>
      </c>
      <c r="AA338" s="8" t="e">
        <f t="shared" si="244"/>
        <v>#DIV/0!</v>
      </c>
      <c r="AB338" s="8" t="e">
        <f t="shared" si="245"/>
        <v>#DIV/0!</v>
      </c>
      <c r="AC338" s="12" t="e">
        <f t="shared" si="246"/>
        <v>#DIV/0!</v>
      </c>
      <c r="AD338" s="12" t="e">
        <f t="shared" si="247"/>
        <v>#DIV/0!</v>
      </c>
      <c r="AE338" s="1">
        <f t="shared" si="248"/>
        <v>1</v>
      </c>
      <c r="AF338" s="1">
        <f t="shared" si="249"/>
        <v>-1</v>
      </c>
      <c r="AG338" s="1">
        <f t="shared" si="250"/>
        <v>1</v>
      </c>
      <c r="AH338" s="1">
        <f t="shared" si="251"/>
        <v>-1</v>
      </c>
      <c r="AI338" s="1">
        <f t="shared" si="252"/>
        <v>0</v>
      </c>
      <c r="AJ338" s="1">
        <f t="shared" si="253"/>
        <v>0</v>
      </c>
      <c r="AK338" s="17">
        <f t="shared" si="254"/>
        <v>0</v>
      </c>
      <c r="AL338" s="17">
        <f t="shared" si="255"/>
        <v>0</v>
      </c>
      <c r="AM338" s="1" t="e">
        <f t="shared" si="256"/>
        <v>#DIV/0!</v>
      </c>
      <c r="AN338" s="1">
        <f t="shared" si="257"/>
        <v>-1</v>
      </c>
      <c r="AO338" s="1" t="e">
        <f t="shared" si="258"/>
        <v>#DIV/0!</v>
      </c>
      <c r="AP338" s="1" t="e">
        <f t="shared" si="259"/>
        <v>#DIV/0!</v>
      </c>
      <c r="AQ338" s="1" t="e">
        <f t="shared" si="260"/>
        <v>#DIV/0!</v>
      </c>
      <c r="AR338" s="1" t="e">
        <f t="shared" si="261"/>
        <v>#DIV/0!</v>
      </c>
      <c r="AS338" s="12" t="e">
        <f t="shared" si="262"/>
        <v>#DIV/0!</v>
      </c>
      <c r="AT338" s="12" t="e">
        <f t="shared" si="263"/>
        <v>#DIV/0!</v>
      </c>
      <c r="AU338" s="1">
        <f t="shared" si="264"/>
        <v>1</v>
      </c>
      <c r="AV338" s="1">
        <f t="shared" si="265"/>
        <v>-1</v>
      </c>
      <c r="AW338" s="1">
        <f t="shared" si="266"/>
        <v>0</v>
      </c>
      <c r="AX338" s="1">
        <f t="shared" si="267"/>
        <v>0</v>
      </c>
      <c r="AY338" s="1">
        <f t="shared" si="268"/>
        <v>0</v>
      </c>
      <c r="AZ338" s="1">
        <f t="shared" si="269"/>
        <v>0</v>
      </c>
      <c r="BA338" s="19">
        <f t="shared" si="270"/>
        <v>0</v>
      </c>
      <c r="BB338" s="19">
        <f t="shared" si="271"/>
        <v>0</v>
      </c>
      <c r="BC338" s="9" t="e">
        <f t="shared" si="272"/>
        <v>#DIV/0!</v>
      </c>
      <c r="BD338" s="9" t="e">
        <f t="shared" si="273"/>
        <v>#DIV/0!</v>
      </c>
      <c r="BE338" s="9" t="e">
        <f t="shared" si="274"/>
        <v>#DIV/0!</v>
      </c>
      <c r="BF338" s="9">
        <f t="shared" si="275"/>
        <v>-1</v>
      </c>
      <c r="BG338" s="9" t="e">
        <f t="shared" si="276"/>
        <v>#DIV/0!</v>
      </c>
      <c r="BH338" s="9" t="e">
        <f t="shared" si="277"/>
        <v>#DIV/0!</v>
      </c>
      <c r="BI338" s="12" t="e">
        <f t="shared" si="278"/>
        <v>#DIV/0!</v>
      </c>
      <c r="BJ338" s="13" t="e">
        <f t="shared" si="279"/>
        <v>#DIV/0!</v>
      </c>
      <c r="BK338" s="1">
        <f t="shared" si="280"/>
        <v>0</v>
      </c>
      <c r="BL338" s="1">
        <f t="shared" si="281"/>
        <v>0</v>
      </c>
      <c r="BM338" s="1">
        <f t="shared" si="282"/>
        <v>1</v>
      </c>
      <c r="BN338" s="1">
        <f t="shared" si="283"/>
        <v>-1</v>
      </c>
      <c r="BO338" s="1">
        <f t="shared" si="284"/>
        <v>0</v>
      </c>
      <c r="BP338" s="1">
        <f t="shared" si="285"/>
        <v>0</v>
      </c>
      <c r="BQ338" s="19">
        <f t="shared" si="286"/>
        <v>0</v>
      </c>
      <c r="BR338" s="17">
        <f t="shared" si="287"/>
        <v>0</v>
      </c>
    </row>
    <row r="339" spans="1:70" x14ac:dyDescent="0.25">
      <c r="A339" t="s">
        <v>603</v>
      </c>
      <c r="C339">
        <v>1</v>
      </c>
      <c r="D339">
        <v>1</v>
      </c>
      <c r="G339">
        <v>1</v>
      </c>
      <c r="Q339">
        <v>1</v>
      </c>
      <c r="R339">
        <v>1</v>
      </c>
      <c r="U339">
        <v>1</v>
      </c>
      <c r="W339" s="8" t="e">
        <f t="shared" si="240"/>
        <v>#DIV/0!</v>
      </c>
      <c r="X339" s="8">
        <f t="shared" si="241"/>
        <v>0</v>
      </c>
      <c r="Y339" s="8">
        <f t="shared" si="242"/>
        <v>-1</v>
      </c>
      <c r="Z339" s="8" t="e">
        <f t="shared" si="243"/>
        <v>#DIV/0!</v>
      </c>
      <c r="AA339" s="8" t="e">
        <f t="shared" si="244"/>
        <v>#DIV/0!</v>
      </c>
      <c r="AB339" s="8">
        <f t="shared" si="245"/>
        <v>-1</v>
      </c>
      <c r="AC339" s="12" t="e">
        <f t="shared" si="246"/>
        <v>#DIV/0!</v>
      </c>
      <c r="AD339" s="12" t="e">
        <f t="shared" si="247"/>
        <v>#DIV/0!</v>
      </c>
      <c r="AE339" s="1">
        <f t="shared" si="248"/>
        <v>1</v>
      </c>
      <c r="AF339" s="1">
        <f t="shared" si="249"/>
        <v>0</v>
      </c>
      <c r="AG339" s="1">
        <f t="shared" si="250"/>
        <v>-1</v>
      </c>
      <c r="AH339" s="1">
        <f t="shared" si="251"/>
        <v>0</v>
      </c>
      <c r="AI339" s="1">
        <f t="shared" si="252"/>
        <v>1</v>
      </c>
      <c r="AJ339" s="1">
        <f t="shared" si="253"/>
        <v>-1</v>
      </c>
      <c r="AK339" s="17">
        <f t="shared" si="254"/>
        <v>0</v>
      </c>
      <c r="AL339" s="17">
        <f t="shared" si="255"/>
        <v>0</v>
      </c>
      <c r="AM339" s="1" t="e">
        <f t="shared" si="256"/>
        <v>#DIV/0!</v>
      </c>
      <c r="AN339" s="1" t="e">
        <f t="shared" si="257"/>
        <v>#DIV/0!</v>
      </c>
      <c r="AO339" s="1" t="e">
        <f t="shared" si="258"/>
        <v>#DIV/0!</v>
      </c>
      <c r="AP339" s="1" t="e">
        <f t="shared" si="259"/>
        <v>#DIV/0!</v>
      </c>
      <c r="AQ339" s="1" t="e">
        <f t="shared" si="260"/>
        <v>#DIV/0!</v>
      </c>
      <c r="AR339" s="1" t="e">
        <f t="shared" si="261"/>
        <v>#DIV/0!</v>
      </c>
      <c r="AS339" s="12" t="e">
        <f t="shared" si="262"/>
        <v>#DIV/0!</v>
      </c>
      <c r="AT339" s="12" t="e">
        <f t="shared" si="263"/>
        <v>#DIV/0!</v>
      </c>
      <c r="AU339" s="1">
        <f t="shared" si="264"/>
        <v>0</v>
      </c>
      <c r="AV339" s="1">
        <f t="shared" si="265"/>
        <v>0</v>
      </c>
      <c r="AW339" s="1">
        <f t="shared" si="266"/>
        <v>0</v>
      </c>
      <c r="AX339" s="1">
        <f t="shared" si="267"/>
        <v>0</v>
      </c>
      <c r="AY339" s="1">
        <f t="shared" si="268"/>
        <v>0</v>
      </c>
      <c r="AZ339" s="1">
        <f t="shared" si="269"/>
        <v>0</v>
      </c>
      <c r="BA339" s="19">
        <f t="shared" si="270"/>
        <v>0</v>
      </c>
      <c r="BB339" s="19">
        <f t="shared" si="271"/>
        <v>0</v>
      </c>
      <c r="BC339" s="9" t="e">
        <f t="shared" si="272"/>
        <v>#DIV/0!</v>
      </c>
      <c r="BD339" s="9">
        <f t="shared" si="273"/>
        <v>0</v>
      </c>
      <c r="BE339" s="9">
        <f t="shared" si="274"/>
        <v>-1</v>
      </c>
      <c r="BF339" s="9" t="e">
        <f t="shared" si="275"/>
        <v>#DIV/0!</v>
      </c>
      <c r="BG339" s="9" t="e">
        <f t="shared" si="276"/>
        <v>#DIV/0!</v>
      </c>
      <c r="BH339" s="9">
        <f t="shared" si="277"/>
        <v>-1</v>
      </c>
      <c r="BI339" s="12" t="e">
        <f t="shared" si="278"/>
        <v>#DIV/0!</v>
      </c>
      <c r="BJ339" s="13" t="e">
        <f t="shared" si="279"/>
        <v>#DIV/0!</v>
      </c>
      <c r="BK339" s="1">
        <f t="shared" si="280"/>
        <v>1</v>
      </c>
      <c r="BL339" s="1">
        <f t="shared" si="281"/>
        <v>0</v>
      </c>
      <c r="BM339" s="1">
        <f t="shared" si="282"/>
        <v>-1</v>
      </c>
      <c r="BN339" s="1">
        <f t="shared" si="283"/>
        <v>0</v>
      </c>
      <c r="BO339" s="1">
        <f t="shared" si="284"/>
        <v>1</v>
      </c>
      <c r="BP339" s="1">
        <f t="shared" si="285"/>
        <v>-1</v>
      </c>
      <c r="BQ339" s="19">
        <f t="shared" si="286"/>
        <v>0</v>
      </c>
      <c r="BR339" s="17">
        <f t="shared" si="287"/>
        <v>0</v>
      </c>
    </row>
    <row r="340" spans="1:70" x14ac:dyDescent="0.25">
      <c r="A340" t="s">
        <v>607</v>
      </c>
      <c r="C340">
        <v>1</v>
      </c>
      <c r="D340">
        <v>1</v>
      </c>
      <c r="G340">
        <v>1</v>
      </c>
      <c r="N340">
        <v>1</v>
      </c>
      <c r="Q340">
        <v>1</v>
      </c>
      <c r="R340">
        <v>1</v>
      </c>
      <c r="W340" s="8" t="e">
        <f t="shared" si="240"/>
        <v>#DIV/0!</v>
      </c>
      <c r="X340" s="8">
        <f t="shared" si="241"/>
        <v>0</v>
      </c>
      <c r="Y340" s="8">
        <f t="shared" si="242"/>
        <v>-1</v>
      </c>
      <c r="Z340" s="8" t="e">
        <f t="shared" si="243"/>
        <v>#DIV/0!</v>
      </c>
      <c r="AA340" s="8" t="e">
        <f t="shared" si="244"/>
        <v>#DIV/0!</v>
      </c>
      <c r="AB340" s="8">
        <f t="shared" si="245"/>
        <v>-1</v>
      </c>
      <c r="AC340" s="12" t="e">
        <f t="shared" si="246"/>
        <v>#DIV/0!</v>
      </c>
      <c r="AD340" s="12" t="e">
        <f t="shared" si="247"/>
        <v>#DIV/0!</v>
      </c>
      <c r="AE340" s="1">
        <f t="shared" si="248"/>
        <v>1</v>
      </c>
      <c r="AF340" s="1">
        <f t="shared" si="249"/>
        <v>0</v>
      </c>
      <c r="AG340" s="1">
        <f t="shared" si="250"/>
        <v>-1</v>
      </c>
      <c r="AH340" s="1">
        <f t="shared" si="251"/>
        <v>0</v>
      </c>
      <c r="AI340" s="1">
        <f t="shared" si="252"/>
        <v>1</v>
      </c>
      <c r="AJ340" s="1">
        <f t="shared" si="253"/>
        <v>-1</v>
      </c>
      <c r="AK340" s="17">
        <f t="shared" si="254"/>
        <v>0</v>
      </c>
      <c r="AL340" s="17">
        <f t="shared" si="255"/>
        <v>0</v>
      </c>
      <c r="AM340" s="1" t="e">
        <f t="shared" si="256"/>
        <v>#DIV/0!</v>
      </c>
      <c r="AN340" s="1" t="e">
        <f t="shared" si="257"/>
        <v>#DIV/0!</v>
      </c>
      <c r="AO340" s="1" t="e">
        <f t="shared" si="258"/>
        <v>#DIV/0!</v>
      </c>
      <c r="AP340" s="1" t="e">
        <f t="shared" si="259"/>
        <v>#DIV/0!</v>
      </c>
      <c r="AQ340" s="1" t="e">
        <f t="shared" si="260"/>
        <v>#DIV/0!</v>
      </c>
      <c r="AR340" s="1">
        <f t="shared" si="261"/>
        <v>-1</v>
      </c>
      <c r="AS340" s="12" t="e">
        <f t="shared" si="262"/>
        <v>#DIV/0!</v>
      </c>
      <c r="AT340" s="12" t="e">
        <f t="shared" si="263"/>
        <v>#DIV/0!</v>
      </c>
      <c r="AU340" s="1">
        <f t="shared" si="264"/>
        <v>0</v>
      </c>
      <c r="AV340" s="1">
        <f t="shared" si="265"/>
        <v>0</v>
      </c>
      <c r="AW340" s="1">
        <f t="shared" si="266"/>
        <v>0</v>
      </c>
      <c r="AX340" s="1">
        <f t="shared" si="267"/>
        <v>0</v>
      </c>
      <c r="AY340" s="1">
        <f t="shared" si="268"/>
        <v>1</v>
      </c>
      <c r="AZ340" s="1">
        <f t="shared" si="269"/>
        <v>-1</v>
      </c>
      <c r="BA340" s="19">
        <f t="shared" si="270"/>
        <v>0</v>
      </c>
      <c r="BB340" s="19">
        <f t="shared" si="271"/>
        <v>0</v>
      </c>
      <c r="BC340" s="9" t="e">
        <f t="shared" si="272"/>
        <v>#DIV/0!</v>
      </c>
      <c r="BD340" s="9">
        <f t="shared" si="273"/>
        <v>0</v>
      </c>
      <c r="BE340" s="9">
        <f t="shared" si="274"/>
        <v>-1</v>
      </c>
      <c r="BF340" s="9" t="e">
        <f t="shared" si="275"/>
        <v>#DIV/0!</v>
      </c>
      <c r="BG340" s="9" t="e">
        <f t="shared" si="276"/>
        <v>#DIV/0!</v>
      </c>
      <c r="BH340" s="9" t="e">
        <f t="shared" si="277"/>
        <v>#DIV/0!</v>
      </c>
      <c r="BI340" s="12" t="e">
        <f t="shared" si="278"/>
        <v>#DIV/0!</v>
      </c>
      <c r="BJ340" s="13" t="e">
        <f t="shared" si="279"/>
        <v>#DIV/0!</v>
      </c>
      <c r="BK340" s="1">
        <f t="shared" si="280"/>
        <v>1</v>
      </c>
      <c r="BL340" s="1">
        <f t="shared" si="281"/>
        <v>0</v>
      </c>
      <c r="BM340" s="1">
        <f t="shared" si="282"/>
        <v>-1</v>
      </c>
      <c r="BN340" s="1">
        <f t="shared" si="283"/>
        <v>0</v>
      </c>
      <c r="BO340" s="1">
        <f t="shared" si="284"/>
        <v>0</v>
      </c>
      <c r="BP340" s="1">
        <f t="shared" si="285"/>
        <v>0</v>
      </c>
      <c r="BQ340" s="19">
        <f t="shared" si="286"/>
        <v>0</v>
      </c>
      <c r="BR340" s="17">
        <f t="shared" si="287"/>
        <v>0</v>
      </c>
    </row>
    <row r="341" spans="1:70" x14ac:dyDescent="0.25">
      <c r="A341" t="s">
        <v>608</v>
      </c>
      <c r="C341">
        <v>1</v>
      </c>
      <c r="E341">
        <v>1</v>
      </c>
      <c r="F341">
        <v>2</v>
      </c>
      <c r="L341">
        <v>1</v>
      </c>
      <c r="Q341">
        <v>1</v>
      </c>
      <c r="T341">
        <v>2</v>
      </c>
      <c r="W341" s="8" t="e">
        <f t="shared" si="240"/>
        <v>#DIV/0!</v>
      </c>
      <c r="X341" s="8">
        <f t="shared" si="241"/>
        <v>-1</v>
      </c>
      <c r="Y341" s="8" t="e">
        <f t="shared" si="242"/>
        <v>#DIV/0!</v>
      </c>
      <c r="Z341" s="8">
        <f t="shared" si="243"/>
        <v>1</v>
      </c>
      <c r="AA341" s="8">
        <f t="shared" si="244"/>
        <v>-1</v>
      </c>
      <c r="AB341" s="8" t="e">
        <f t="shared" si="245"/>
        <v>#DIV/0!</v>
      </c>
      <c r="AC341" s="12" t="e">
        <f t="shared" si="246"/>
        <v>#DIV/0!</v>
      </c>
      <c r="AD341" s="12" t="e">
        <f t="shared" si="247"/>
        <v>#DIV/0!</v>
      </c>
      <c r="AE341" s="1">
        <f t="shared" si="248"/>
        <v>1</v>
      </c>
      <c r="AF341" s="1">
        <f t="shared" si="249"/>
        <v>-1</v>
      </c>
      <c r="AG341" s="1">
        <f t="shared" si="250"/>
        <v>1</v>
      </c>
      <c r="AH341" s="1">
        <f t="shared" si="251"/>
        <v>1</v>
      </c>
      <c r="AI341" s="1">
        <f t="shared" si="252"/>
        <v>-2</v>
      </c>
      <c r="AJ341" s="1">
        <f t="shared" si="253"/>
        <v>0</v>
      </c>
      <c r="AK341" s="17">
        <f t="shared" si="254"/>
        <v>0</v>
      </c>
      <c r="AL341" s="17">
        <f t="shared" si="255"/>
        <v>0.5</v>
      </c>
      <c r="AM341" s="1" t="e">
        <f t="shared" si="256"/>
        <v>#DIV/0!</v>
      </c>
      <c r="AN341" s="1" t="e">
        <f t="shared" si="257"/>
        <v>#DIV/0!</v>
      </c>
      <c r="AO341" s="1" t="e">
        <f t="shared" si="258"/>
        <v>#DIV/0!</v>
      </c>
      <c r="AP341" s="1">
        <f t="shared" si="259"/>
        <v>-1</v>
      </c>
      <c r="AQ341" s="1" t="e">
        <f t="shared" si="260"/>
        <v>#DIV/0!</v>
      </c>
      <c r="AR341" s="1" t="e">
        <f t="shared" si="261"/>
        <v>#DIV/0!</v>
      </c>
      <c r="AS341" s="12" t="e">
        <f t="shared" si="262"/>
        <v>#DIV/0!</v>
      </c>
      <c r="AT341" s="12" t="e">
        <f t="shared" si="263"/>
        <v>#DIV/0!</v>
      </c>
      <c r="AU341" s="1">
        <f t="shared" si="264"/>
        <v>0</v>
      </c>
      <c r="AV341" s="1">
        <f t="shared" si="265"/>
        <v>0</v>
      </c>
      <c r="AW341" s="1">
        <f t="shared" si="266"/>
        <v>1</v>
      </c>
      <c r="AX341" s="1">
        <f t="shared" si="267"/>
        <v>-1</v>
      </c>
      <c r="AY341" s="1">
        <f t="shared" si="268"/>
        <v>0</v>
      </c>
      <c r="AZ341" s="1">
        <f t="shared" si="269"/>
        <v>0</v>
      </c>
      <c r="BA341" s="19">
        <f t="shared" si="270"/>
        <v>0</v>
      </c>
      <c r="BB341" s="19">
        <f t="shared" si="271"/>
        <v>0</v>
      </c>
      <c r="BC341" s="9" t="e">
        <f t="shared" si="272"/>
        <v>#DIV/0!</v>
      </c>
      <c r="BD341" s="9">
        <f t="shared" si="273"/>
        <v>-1</v>
      </c>
      <c r="BE341" s="9" t="e">
        <f t="shared" si="274"/>
        <v>#DIV/0!</v>
      </c>
      <c r="BF341" s="9" t="e">
        <f t="shared" si="275"/>
        <v>#DIV/0!</v>
      </c>
      <c r="BG341" s="9">
        <f t="shared" si="276"/>
        <v>-1</v>
      </c>
      <c r="BH341" s="9" t="e">
        <f t="shared" si="277"/>
        <v>#DIV/0!</v>
      </c>
      <c r="BI341" s="12" t="e">
        <f t="shared" si="278"/>
        <v>#DIV/0!</v>
      </c>
      <c r="BJ341" s="13" t="e">
        <f t="shared" si="279"/>
        <v>#DIV/0!</v>
      </c>
      <c r="BK341" s="1">
        <f t="shared" si="280"/>
        <v>1</v>
      </c>
      <c r="BL341" s="1">
        <f t="shared" si="281"/>
        <v>-1</v>
      </c>
      <c r="BM341" s="1">
        <f t="shared" si="282"/>
        <v>0</v>
      </c>
      <c r="BN341" s="1">
        <f t="shared" si="283"/>
        <v>2</v>
      </c>
      <c r="BO341" s="1">
        <f t="shared" si="284"/>
        <v>-2</v>
      </c>
      <c r="BP341" s="1">
        <f t="shared" si="285"/>
        <v>0</v>
      </c>
      <c r="BQ341" s="19">
        <f t="shared" si="286"/>
        <v>0</v>
      </c>
      <c r="BR341" s="17">
        <f t="shared" si="287"/>
        <v>0</v>
      </c>
    </row>
    <row r="342" spans="1:70" x14ac:dyDescent="0.25">
      <c r="A342" t="s">
        <v>609</v>
      </c>
      <c r="C342">
        <v>1</v>
      </c>
      <c r="Q342">
        <v>1</v>
      </c>
      <c r="W342" s="8" t="e">
        <f t="shared" si="240"/>
        <v>#DIV/0!</v>
      </c>
      <c r="X342" s="8">
        <f t="shared" si="241"/>
        <v>-1</v>
      </c>
      <c r="Y342" s="8" t="e">
        <f t="shared" si="242"/>
        <v>#DIV/0!</v>
      </c>
      <c r="Z342" s="8" t="e">
        <f t="shared" si="243"/>
        <v>#DIV/0!</v>
      </c>
      <c r="AA342" s="8" t="e">
        <f t="shared" si="244"/>
        <v>#DIV/0!</v>
      </c>
      <c r="AB342" s="8" t="e">
        <f t="shared" si="245"/>
        <v>#DIV/0!</v>
      </c>
      <c r="AC342" s="12" t="e">
        <f t="shared" si="246"/>
        <v>#DIV/0!</v>
      </c>
      <c r="AD342" s="12" t="e">
        <f t="shared" si="247"/>
        <v>#DIV/0!</v>
      </c>
      <c r="AE342" s="1">
        <f t="shared" si="248"/>
        <v>1</v>
      </c>
      <c r="AF342" s="1">
        <f t="shared" si="249"/>
        <v>-1</v>
      </c>
      <c r="AG342" s="1">
        <f t="shared" si="250"/>
        <v>0</v>
      </c>
      <c r="AH342" s="1">
        <f t="shared" si="251"/>
        <v>0</v>
      </c>
      <c r="AI342" s="1">
        <f t="shared" si="252"/>
        <v>0</v>
      </c>
      <c r="AJ342" s="1">
        <f t="shared" si="253"/>
        <v>0</v>
      </c>
      <c r="AK342" s="17">
        <f t="shared" si="254"/>
        <v>0</v>
      </c>
      <c r="AL342" s="17">
        <f t="shared" si="255"/>
        <v>0</v>
      </c>
      <c r="AM342" s="1" t="e">
        <f t="shared" si="256"/>
        <v>#DIV/0!</v>
      </c>
      <c r="AN342" s="1" t="e">
        <f t="shared" si="257"/>
        <v>#DIV/0!</v>
      </c>
      <c r="AO342" s="1" t="e">
        <f t="shared" si="258"/>
        <v>#DIV/0!</v>
      </c>
      <c r="AP342" s="1" t="e">
        <f t="shared" si="259"/>
        <v>#DIV/0!</v>
      </c>
      <c r="AQ342" s="1" t="e">
        <f t="shared" si="260"/>
        <v>#DIV/0!</v>
      </c>
      <c r="AR342" s="1" t="e">
        <f t="shared" si="261"/>
        <v>#DIV/0!</v>
      </c>
      <c r="AS342" s="12" t="e">
        <f t="shared" si="262"/>
        <v>#DIV/0!</v>
      </c>
      <c r="AT342" s="12" t="e">
        <f t="shared" si="263"/>
        <v>#DIV/0!</v>
      </c>
      <c r="AU342" s="1">
        <f t="shared" si="264"/>
        <v>0</v>
      </c>
      <c r="AV342" s="1">
        <f t="shared" si="265"/>
        <v>0</v>
      </c>
      <c r="AW342" s="1">
        <f t="shared" si="266"/>
        <v>0</v>
      </c>
      <c r="AX342" s="1">
        <f t="shared" si="267"/>
        <v>0</v>
      </c>
      <c r="AY342" s="1">
        <f t="shared" si="268"/>
        <v>0</v>
      </c>
      <c r="AZ342" s="1">
        <f t="shared" si="269"/>
        <v>0</v>
      </c>
      <c r="BA342" s="19">
        <f t="shared" si="270"/>
        <v>0</v>
      </c>
      <c r="BB342" s="19">
        <f t="shared" si="271"/>
        <v>0</v>
      </c>
      <c r="BC342" s="9" t="e">
        <f t="shared" si="272"/>
        <v>#DIV/0!</v>
      </c>
      <c r="BD342" s="9">
        <f t="shared" si="273"/>
        <v>-1</v>
      </c>
      <c r="BE342" s="9" t="e">
        <f t="shared" si="274"/>
        <v>#DIV/0!</v>
      </c>
      <c r="BF342" s="9" t="e">
        <f t="shared" si="275"/>
        <v>#DIV/0!</v>
      </c>
      <c r="BG342" s="9" t="e">
        <f t="shared" si="276"/>
        <v>#DIV/0!</v>
      </c>
      <c r="BH342" s="9" t="e">
        <f t="shared" si="277"/>
        <v>#DIV/0!</v>
      </c>
      <c r="BI342" s="12" t="e">
        <f t="shared" si="278"/>
        <v>#DIV/0!</v>
      </c>
      <c r="BJ342" s="13" t="e">
        <f t="shared" si="279"/>
        <v>#DIV/0!</v>
      </c>
      <c r="BK342" s="1">
        <f t="shared" si="280"/>
        <v>1</v>
      </c>
      <c r="BL342" s="1">
        <f t="shared" si="281"/>
        <v>-1</v>
      </c>
      <c r="BM342" s="1">
        <f t="shared" si="282"/>
        <v>0</v>
      </c>
      <c r="BN342" s="1">
        <f t="shared" si="283"/>
        <v>0</v>
      </c>
      <c r="BO342" s="1">
        <f t="shared" si="284"/>
        <v>0</v>
      </c>
      <c r="BP342" s="1">
        <f t="shared" si="285"/>
        <v>0</v>
      </c>
      <c r="BQ342" s="19">
        <f t="shared" si="286"/>
        <v>0</v>
      </c>
      <c r="BR342" s="17">
        <f t="shared" si="287"/>
        <v>0</v>
      </c>
    </row>
    <row r="343" spans="1:70" x14ac:dyDescent="0.25">
      <c r="A343" t="s">
        <v>611</v>
      </c>
      <c r="C343">
        <v>1</v>
      </c>
      <c r="E343">
        <v>2</v>
      </c>
      <c r="G343">
        <v>1</v>
      </c>
      <c r="J343">
        <v>1</v>
      </c>
      <c r="L343">
        <v>2</v>
      </c>
      <c r="N343">
        <v>1</v>
      </c>
      <c r="W343" s="8" t="e">
        <f t="shared" si="240"/>
        <v>#DIV/0!</v>
      </c>
      <c r="X343" s="8">
        <f t="shared" si="241"/>
        <v>-1</v>
      </c>
      <c r="Y343" s="8" t="e">
        <f t="shared" si="242"/>
        <v>#DIV/0!</v>
      </c>
      <c r="Z343" s="8">
        <f t="shared" si="243"/>
        <v>-1</v>
      </c>
      <c r="AA343" s="8" t="e">
        <f t="shared" si="244"/>
        <v>#DIV/0!</v>
      </c>
      <c r="AB343" s="8">
        <f t="shared" si="245"/>
        <v>-1</v>
      </c>
      <c r="AC343" s="12" t="e">
        <f t="shared" si="246"/>
        <v>#DIV/0!</v>
      </c>
      <c r="AD343" s="12" t="e">
        <f t="shared" si="247"/>
        <v>#DIV/0!</v>
      </c>
      <c r="AE343" s="1">
        <f t="shared" si="248"/>
        <v>1</v>
      </c>
      <c r="AF343" s="1">
        <f t="shared" si="249"/>
        <v>-1</v>
      </c>
      <c r="AG343" s="1">
        <f t="shared" si="250"/>
        <v>2</v>
      </c>
      <c r="AH343" s="1">
        <f t="shared" si="251"/>
        <v>-2</v>
      </c>
      <c r="AI343" s="1">
        <f t="shared" si="252"/>
        <v>1</v>
      </c>
      <c r="AJ343" s="1">
        <f t="shared" si="253"/>
        <v>-1</v>
      </c>
      <c r="AK343" s="17">
        <f t="shared" si="254"/>
        <v>0</v>
      </c>
      <c r="AL343" s="17">
        <f t="shared" si="255"/>
        <v>0</v>
      </c>
      <c r="AM343" s="1" t="e">
        <f t="shared" si="256"/>
        <v>#DIV/0!</v>
      </c>
      <c r="AN343" s="1">
        <f t="shared" si="257"/>
        <v>-1</v>
      </c>
      <c r="AO343" s="1" t="e">
        <f t="shared" si="258"/>
        <v>#DIV/0!</v>
      </c>
      <c r="AP343" s="1">
        <f t="shared" si="259"/>
        <v>-1</v>
      </c>
      <c r="AQ343" s="1" t="e">
        <f t="shared" si="260"/>
        <v>#DIV/0!</v>
      </c>
      <c r="AR343" s="1">
        <f t="shared" si="261"/>
        <v>-1</v>
      </c>
      <c r="AS343" s="12" t="e">
        <f t="shared" si="262"/>
        <v>#DIV/0!</v>
      </c>
      <c r="AT343" s="12" t="e">
        <f t="shared" si="263"/>
        <v>#DIV/0!</v>
      </c>
      <c r="AU343" s="1">
        <f t="shared" si="264"/>
        <v>1</v>
      </c>
      <c r="AV343" s="1">
        <f t="shared" si="265"/>
        <v>-1</v>
      </c>
      <c r="AW343" s="1">
        <f t="shared" si="266"/>
        <v>2</v>
      </c>
      <c r="AX343" s="1">
        <f t="shared" si="267"/>
        <v>-2</v>
      </c>
      <c r="AY343" s="1">
        <f t="shared" si="268"/>
        <v>1</v>
      </c>
      <c r="AZ343" s="1">
        <f t="shared" si="269"/>
        <v>-1</v>
      </c>
      <c r="BA343" s="19">
        <f t="shared" si="270"/>
        <v>0</v>
      </c>
      <c r="BB343" s="19">
        <f t="shared" si="271"/>
        <v>0</v>
      </c>
      <c r="BC343" s="9" t="e">
        <f t="shared" si="272"/>
        <v>#DIV/0!</v>
      </c>
      <c r="BD343" s="9" t="e">
        <f t="shared" si="273"/>
        <v>#DIV/0!</v>
      </c>
      <c r="BE343" s="9" t="e">
        <f t="shared" si="274"/>
        <v>#DIV/0!</v>
      </c>
      <c r="BF343" s="9" t="e">
        <f t="shared" si="275"/>
        <v>#DIV/0!</v>
      </c>
      <c r="BG343" s="9" t="e">
        <f t="shared" si="276"/>
        <v>#DIV/0!</v>
      </c>
      <c r="BH343" s="9" t="e">
        <f t="shared" si="277"/>
        <v>#DIV/0!</v>
      </c>
      <c r="BI343" s="12" t="e">
        <f t="shared" si="278"/>
        <v>#DIV/0!</v>
      </c>
      <c r="BJ343" s="13" t="e">
        <f t="shared" si="279"/>
        <v>#DIV/0!</v>
      </c>
      <c r="BK343" s="1">
        <f t="shared" si="280"/>
        <v>0</v>
      </c>
      <c r="BL343" s="1">
        <f t="shared" si="281"/>
        <v>0</v>
      </c>
      <c r="BM343" s="1">
        <f t="shared" si="282"/>
        <v>0</v>
      </c>
      <c r="BN343" s="1">
        <f t="shared" si="283"/>
        <v>0</v>
      </c>
      <c r="BO343" s="1">
        <f t="shared" si="284"/>
        <v>0</v>
      </c>
      <c r="BP343" s="1">
        <f t="shared" si="285"/>
        <v>0</v>
      </c>
      <c r="BQ343" s="19">
        <f t="shared" si="286"/>
        <v>0</v>
      </c>
      <c r="BR343" s="17">
        <f t="shared" si="287"/>
        <v>0</v>
      </c>
    </row>
    <row r="344" spans="1:70" x14ac:dyDescent="0.25">
      <c r="A344" t="s">
        <v>612</v>
      </c>
      <c r="C344">
        <v>1</v>
      </c>
      <c r="Q344">
        <v>1</v>
      </c>
      <c r="W344" s="8" t="e">
        <f t="shared" si="240"/>
        <v>#DIV/0!</v>
      </c>
      <c r="X344" s="8">
        <f t="shared" si="241"/>
        <v>-1</v>
      </c>
      <c r="Y344" s="8" t="e">
        <f t="shared" si="242"/>
        <v>#DIV/0!</v>
      </c>
      <c r="Z344" s="8" t="e">
        <f t="shared" si="243"/>
        <v>#DIV/0!</v>
      </c>
      <c r="AA344" s="8" t="e">
        <f t="shared" si="244"/>
        <v>#DIV/0!</v>
      </c>
      <c r="AB344" s="8" t="e">
        <f t="shared" si="245"/>
        <v>#DIV/0!</v>
      </c>
      <c r="AC344" s="12" t="e">
        <f t="shared" si="246"/>
        <v>#DIV/0!</v>
      </c>
      <c r="AD344" s="12" t="e">
        <f t="shared" si="247"/>
        <v>#DIV/0!</v>
      </c>
      <c r="AE344" s="1">
        <f t="shared" si="248"/>
        <v>1</v>
      </c>
      <c r="AF344" s="1">
        <f t="shared" si="249"/>
        <v>-1</v>
      </c>
      <c r="AG344" s="1">
        <f t="shared" si="250"/>
        <v>0</v>
      </c>
      <c r="AH344" s="1">
        <f t="shared" si="251"/>
        <v>0</v>
      </c>
      <c r="AI344" s="1">
        <f t="shared" si="252"/>
        <v>0</v>
      </c>
      <c r="AJ344" s="1">
        <f t="shared" si="253"/>
        <v>0</v>
      </c>
      <c r="AK344" s="17">
        <f t="shared" si="254"/>
        <v>0</v>
      </c>
      <c r="AL344" s="17">
        <f t="shared" si="255"/>
        <v>0</v>
      </c>
      <c r="AM344" s="1" t="e">
        <f t="shared" si="256"/>
        <v>#DIV/0!</v>
      </c>
      <c r="AN344" s="1" t="e">
        <f t="shared" si="257"/>
        <v>#DIV/0!</v>
      </c>
      <c r="AO344" s="1" t="e">
        <f t="shared" si="258"/>
        <v>#DIV/0!</v>
      </c>
      <c r="AP344" s="1" t="e">
        <f t="shared" si="259"/>
        <v>#DIV/0!</v>
      </c>
      <c r="AQ344" s="1" t="e">
        <f t="shared" si="260"/>
        <v>#DIV/0!</v>
      </c>
      <c r="AR344" s="1" t="e">
        <f t="shared" si="261"/>
        <v>#DIV/0!</v>
      </c>
      <c r="AS344" s="12" t="e">
        <f t="shared" si="262"/>
        <v>#DIV/0!</v>
      </c>
      <c r="AT344" s="12" t="e">
        <f t="shared" si="263"/>
        <v>#DIV/0!</v>
      </c>
      <c r="AU344" s="1">
        <f t="shared" si="264"/>
        <v>0</v>
      </c>
      <c r="AV344" s="1">
        <f t="shared" si="265"/>
        <v>0</v>
      </c>
      <c r="AW344" s="1">
        <f t="shared" si="266"/>
        <v>0</v>
      </c>
      <c r="AX344" s="1">
        <f t="shared" si="267"/>
        <v>0</v>
      </c>
      <c r="AY344" s="1">
        <f t="shared" si="268"/>
        <v>0</v>
      </c>
      <c r="AZ344" s="1">
        <f t="shared" si="269"/>
        <v>0</v>
      </c>
      <c r="BA344" s="19">
        <f t="shared" si="270"/>
        <v>0</v>
      </c>
      <c r="BB344" s="19">
        <f t="shared" si="271"/>
        <v>0</v>
      </c>
      <c r="BC344" s="9" t="e">
        <f t="shared" si="272"/>
        <v>#DIV/0!</v>
      </c>
      <c r="BD344" s="9">
        <f t="shared" si="273"/>
        <v>-1</v>
      </c>
      <c r="BE344" s="9" t="e">
        <f t="shared" si="274"/>
        <v>#DIV/0!</v>
      </c>
      <c r="BF344" s="9" t="e">
        <f t="shared" si="275"/>
        <v>#DIV/0!</v>
      </c>
      <c r="BG344" s="9" t="e">
        <f t="shared" si="276"/>
        <v>#DIV/0!</v>
      </c>
      <c r="BH344" s="9" t="e">
        <f t="shared" si="277"/>
        <v>#DIV/0!</v>
      </c>
      <c r="BI344" s="12" t="e">
        <f t="shared" si="278"/>
        <v>#DIV/0!</v>
      </c>
      <c r="BJ344" s="13" t="e">
        <f t="shared" si="279"/>
        <v>#DIV/0!</v>
      </c>
      <c r="BK344" s="1">
        <f t="shared" si="280"/>
        <v>1</v>
      </c>
      <c r="BL344" s="1">
        <f t="shared" si="281"/>
        <v>-1</v>
      </c>
      <c r="BM344" s="1">
        <f t="shared" si="282"/>
        <v>0</v>
      </c>
      <c r="BN344" s="1">
        <f t="shared" si="283"/>
        <v>0</v>
      </c>
      <c r="BO344" s="1">
        <f t="shared" si="284"/>
        <v>0</v>
      </c>
      <c r="BP344" s="1">
        <f t="shared" si="285"/>
        <v>0</v>
      </c>
      <c r="BQ344" s="19">
        <f t="shared" si="286"/>
        <v>0</v>
      </c>
      <c r="BR344" s="17">
        <f t="shared" si="287"/>
        <v>0</v>
      </c>
    </row>
    <row r="345" spans="1:70" x14ac:dyDescent="0.25">
      <c r="A345" t="s">
        <v>615</v>
      </c>
      <c r="C345">
        <v>1</v>
      </c>
      <c r="Q345">
        <v>1</v>
      </c>
      <c r="W345" s="8" t="e">
        <f t="shared" si="240"/>
        <v>#DIV/0!</v>
      </c>
      <c r="X345" s="8">
        <f t="shared" si="241"/>
        <v>-1</v>
      </c>
      <c r="Y345" s="8" t="e">
        <f t="shared" si="242"/>
        <v>#DIV/0!</v>
      </c>
      <c r="Z345" s="8" t="e">
        <f t="shared" si="243"/>
        <v>#DIV/0!</v>
      </c>
      <c r="AA345" s="8" t="e">
        <f t="shared" si="244"/>
        <v>#DIV/0!</v>
      </c>
      <c r="AB345" s="8" t="e">
        <f t="shared" si="245"/>
        <v>#DIV/0!</v>
      </c>
      <c r="AC345" s="12" t="e">
        <f t="shared" si="246"/>
        <v>#DIV/0!</v>
      </c>
      <c r="AD345" s="12" t="e">
        <f t="shared" si="247"/>
        <v>#DIV/0!</v>
      </c>
      <c r="AE345" s="1">
        <f t="shared" si="248"/>
        <v>1</v>
      </c>
      <c r="AF345" s="1">
        <f t="shared" si="249"/>
        <v>-1</v>
      </c>
      <c r="AG345" s="1">
        <f t="shared" si="250"/>
        <v>0</v>
      </c>
      <c r="AH345" s="1">
        <f t="shared" si="251"/>
        <v>0</v>
      </c>
      <c r="AI345" s="1">
        <f t="shared" si="252"/>
        <v>0</v>
      </c>
      <c r="AJ345" s="1">
        <f t="shared" si="253"/>
        <v>0</v>
      </c>
      <c r="AK345" s="17">
        <f t="shared" si="254"/>
        <v>0</v>
      </c>
      <c r="AL345" s="17">
        <f t="shared" si="255"/>
        <v>0</v>
      </c>
      <c r="AM345" s="1" t="e">
        <f t="shared" si="256"/>
        <v>#DIV/0!</v>
      </c>
      <c r="AN345" s="1" t="e">
        <f t="shared" si="257"/>
        <v>#DIV/0!</v>
      </c>
      <c r="AO345" s="1" t="e">
        <f t="shared" si="258"/>
        <v>#DIV/0!</v>
      </c>
      <c r="AP345" s="1" t="e">
        <f t="shared" si="259"/>
        <v>#DIV/0!</v>
      </c>
      <c r="AQ345" s="1" t="e">
        <f t="shared" si="260"/>
        <v>#DIV/0!</v>
      </c>
      <c r="AR345" s="1" t="e">
        <f t="shared" si="261"/>
        <v>#DIV/0!</v>
      </c>
      <c r="AS345" s="12" t="e">
        <f t="shared" si="262"/>
        <v>#DIV/0!</v>
      </c>
      <c r="AT345" s="12" t="e">
        <f t="shared" si="263"/>
        <v>#DIV/0!</v>
      </c>
      <c r="AU345" s="1">
        <f t="shared" si="264"/>
        <v>0</v>
      </c>
      <c r="AV345" s="1">
        <f t="shared" si="265"/>
        <v>0</v>
      </c>
      <c r="AW345" s="1">
        <f t="shared" si="266"/>
        <v>0</v>
      </c>
      <c r="AX345" s="1">
        <f t="shared" si="267"/>
        <v>0</v>
      </c>
      <c r="AY345" s="1">
        <f t="shared" si="268"/>
        <v>0</v>
      </c>
      <c r="AZ345" s="1">
        <f t="shared" si="269"/>
        <v>0</v>
      </c>
      <c r="BA345" s="19">
        <f t="shared" si="270"/>
        <v>0</v>
      </c>
      <c r="BB345" s="19">
        <f t="shared" si="271"/>
        <v>0</v>
      </c>
      <c r="BC345" s="9" t="e">
        <f t="shared" si="272"/>
        <v>#DIV/0!</v>
      </c>
      <c r="BD345" s="9">
        <f t="shared" si="273"/>
        <v>-1</v>
      </c>
      <c r="BE345" s="9" t="e">
        <f t="shared" si="274"/>
        <v>#DIV/0!</v>
      </c>
      <c r="BF345" s="9" t="e">
        <f t="shared" si="275"/>
        <v>#DIV/0!</v>
      </c>
      <c r="BG345" s="9" t="e">
        <f t="shared" si="276"/>
        <v>#DIV/0!</v>
      </c>
      <c r="BH345" s="9" t="e">
        <f t="shared" si="277"/>
        <v>#DIV/0!</v>
      </c>
      <c r="BI345" s="12" t="e">
        <f t="shared" si="278"/>
        <v>#DIV/0!</v>
      </c>
      <c r="BJ345" s="13" t="e">
        <f t="shared" si="279"/>
        <v>#DIV/0!</v>
      </c>
      <c r="BK345" s="1">
        <f t="shared" si="280"/>
        <v>1</v>
      </c>
      <c r="BL345" s="1">
        <f t="shared" si="281"/>
        <v>-1</v>
      </c>
      <c r="BM345" s="1">
        <f t="shared" si="282"/>
        <v>0</v>
      </c>
      <c r="BN345" s="1">
        <f t="shared" si="283"/>
        <v>0</v>
      </c>
      <c r="BO345" s="1">
        <f t="shared" si="284"/>
        <v>0</v>
      </c>
      <c r="BP345" s="1">
        <f t="shared" si="285"/>
        <v>0</v>
      </c>
      <c r="BQ345" s="19">
        <f t="shared" si="286"/>
        <v>0</v>
      </c>
      <c r="BR345" s="17">
        <f t="shared" si="287"/>
        <v>0</v>
      </c>
    </row>
    <row r="346" spans="1:70" x14ac:dyDescent="0.25">
      <c r="A346" t="s">
        <v>616</v>
      </c>
      <c r="D346">
        <v>2</v>
      </c>
      <c r="F346">
        <v>3</v>
      </c>
      <c r="K346">
        <v>2</v>
      </c>
      <c r="M346">
        <v>2</v>
      </c>
      <c r="T346">
        <v>1</v>
      </c>
      <c r="W346" s="8" t="e">
        <f t="shared" si="240"/>
        <v>#DIV/0!</v>
      </c>
      <c r="X346" s="8" t="e">
        <f t="shared" si="241"/>
        <v>#DIV/0!</v>
      </c>
      <c r="Y346" s="8">
        <f t="shared" si="242"/>
        <v>-1</v>
      </c>
      <c r="Z346" s="8" t="e">
        <f t="shared" si="243"/>
        <v>#DIV/0!</v>
      </c>
      <c r="AA346" s="8">
        <f t="shared" si="244"/>
        <v>-1</v>
      </c>
      <c r="AB346" s="8" t="e">
        <f t="shared" si="245"/>
        <v>#DIV/0!</v>
      </c>
      <c r="AC346" s="12" t="e">
        <f t="shared" si="246"/>
        <v>#DIV/0!</v>
      </c>
      <c r="AD346" s="12" t="e">
        <f t="shared" si="247"/>
        <v>#DIV/0!</v>
      </c>
      <c r="AE346" s="1">
        <f t="shared" si="248"/>
        <v>0</v>
      </c>
      <c r="AF346" s="1">
        <f t="shared" si="249"/>
        <v>2</v>
      </c>
      <c r="AG346" s="1">
        <f t="shared" si="250"/>
        <v>-2</v>
      </c>
      <c r="AH346" s="1">
        <f t="shared" si="251"/>
        <v>3</v>
      </c>
      <c r="AI346" s="1">
        <f t="shared" si="252"/>
        <v>-3</v>
      </c>
      <c r="AJ346" s="1">
        <f t="shared" si="253"/>
        <v>0</v>
      </c>
      <c r="AK346" s="17">
        <f t="shared" si="254"/>
        <v>0</v>
      </c>
      <c r="AL346" s="17">
        <f t="shared" si="255"/>
        <v>0</v>
      </c>
      <c r="AM346" s="1" t="e">
        <f t="shared" si="256"/>
        <v>#DIV/0!</v>
      </c>
      <c r="AN346" s="1" t="e">
        <f t="shared" si="257"/>
        <v>#DIV/0!</v>
      </c>
      <c r="AO346" s="1">
        <f t="shared" si="258"/>
        <v>-1</v>
      </c>
      <c r="AP346" s="1" t="e">
        <f t="shared" si="259"/>
        <v>#DIV/0!</v>
      </c>
      <c r="AQ346" s="1">
        <f t="shared" si="260"/>
        <v>-1</v>
      </c>
      <c r="AR346" s="1" t="e">
        <f t="shared" si="261"/>
        <v>#DIV/0!</v>
      </c>
      <c r="AS346" s="12" t="e">
        <f t="shared" si="262"/>
        <v>#DIV/0!</v>
      </c>
      <c r="AT346" s="12" t="e">
        <f t="shared" si="263"/>
        <v>#DIV/0!</v>
      </c>
      <c r="AU346" s="1">
        <f t="shared" si="264"/>
        <v>0</v>
      </c>
      <c r="AV346" s="1">
        <f t="shared" si="265"/>
        <v>2</v>
      </c>
      <c r="AW346" s="1">
        <f t="shared" si="266"/>
        <v>-2</v>
      </c>
      <c r="AX346" s="1">
        <f t="shared" si="267"/>
        <v>2</v>
      </c>
      <c r="AY346" s="1">
        <f t="shared" si="268"/>
        <v>-2</v>
      </c>
      <c r="AZ346" s="1">
        <f t="shared" si="269"/>
        <v>0</v>
      </c>
      <c r="BA346" s="19">
        <f t="shared" si="270"/>
        <v>0</v>
      </c>
      <c r="BB346" s="19">
        <f t="shared" si="271"/>
        <v>0</v>
      </c>
      <c r="BC346" s="9" t="e">
        <f t="shared" si="272"/>
        <v>#DIV/0!</v>
      </c>
      <c r="BD346" s="9" t="e">
        <f t="shared" si="273"/>
        <v>#DIV/0!</v>
      </c>
      <c r="BE346" s="9" t="e">
        <f t="shared" si="274"/>
        <v>#DIV/0!</v>
      </c>
      <c r="BF346" s="9" t="e">
        <f t="shared" si="275"/>
        <v>#DIV/0!</v>
      </c>
      <c r="BG346" s="9">
        <f t="shared" si="276"/>
        <v>-1</v>
      </c>
      <c r="BH346" s="9" t="e">
        <f t="shared" si="277"/>
        <v>#DIV/0!</v>
      </c>
      <c r="BI346" s="12" t="e">
        <f t="shared" si="278"/>
        <v>#DIV/0!</v>
      </c>
      <c r="BJ346" s="13" t="e">
        <f t="shared" si="279"/>
        <v>#DIV/0!</v>
      </c>
      <c r="BK346" s="1">
        <f t="shared" si="280"/>
        <v>0</v>
      </c>
      <c r="BL346" s="1">
        <f t="shared" si="281"/>
        <v>0</v>
      </c>
      <c r="BM346" s="1">
        <f t="shared" si="282"/>
        <v>0</v>
      </c>
      <c r="BN346" s="1">
        <f t="shared" si="283"/>
        <v>1</v>
      </c>
      <c r="BO346" s="1">
        <f t="shared" si="284"/>
        <v>-1</v>
      </c>
      <c r="BP346" s="1">
        <f t="shared" si="285"/>
        <v>0</v>
      </c>
      <c r="BQ346" s="19">
        <f t="shared" si="286"/>
        <v>0</v>
      </c>
      <c r="BR346" s="17">
        <f t="shared" si="287"/>
        <v>0</v>
      </c>
    </row>
    <row r="347" spans="1:70" x14ac:dyDescent="0.25">
      <c r="A347" t="s">
        <v>617</v>
      </c>
      <c r="D347">
        <v>2</v>
      </c>
      <c r="E347">
        <v>1</v>
      </c>
      <c r="K347">
        <v>1</v>
      </c>
      <c r="L347">
        <v>1</v>
      </c>
      <c r="R347">
        <v>1</v>
      </c>
      <c r="W347" s="8" t="e">
        <f t="shared" si="240"/>
        <v>#DIV/0!</v>
      </c>
      <c r="X347" s="8" t="e">
        <f t="shared" si="241"/>
        <v>#DIV/0!</v>
      </c>
      <c r="Y347" s="8">
        <f t="shared" si="242"/>
        <v>-0.5</v>
      </c>
      <c r="Z347" s="8">
        <f t="shared" si="243"/>
        <v>-1</v>
      </c>
      <c r="AA347" s="8" t="e">
        <f t="shared" si="244"/>
        <v>#DIV/0!</v>
      </c>
      <c r="AB347" s="8" t="e">
        <f t="shared" si="245"/>
        <v>#DIV/0!</v>
      </c>
      <c r="AC347" s="12" t="e">
        <f t="shared" si="246"/>
        <v>#DIV/0!</v>
      </c>
      <c r="AD347" s="12" t="e">
        <f t="shared" si="247"/>
        <v>#DIV/0!</v>
      </c>
      <c r="AE347" s="1">
        <f t="shared" si="248"/>
        <v>0</v>
      </c>
      <c r="AF347" s="1">
        <f t="shared" si="249"/>
        <v>2</v>
      </c>
      <c r="AG347" s="1">
        <f t="shared" si="250"/>
        <v>-1</v>
      </c>
      <c r="AH347" s="1">
        <f t="shared" si="251"/>
        <v>-1</v>
      </c>
      <c r="AI347" s="1">
        <f t="shared" si="252"/>
        <v>0</v>
      </c>
      <c r="AJ347" s="1">
        <f t="shared" si="253"/>
        <v>0</v>
      </c>
      <c r="AK347" s="17">
        <f t="shared" si="254"/>
        <v>0</v>
      </c>
      <c r="AL347" s="17">
        <f t="shared" si="255"/>
        <v>0</v>
      </c>
      <c r="AM347" s="1" t="e">
        <f t="shared" si="256"/>
        <v>#DIV/0!</v>
      </c>
      <c r="AN347" s="1" t="e">
        <f t="shared" si="257"/>
        <v>#DIV/0!</v>
      </c>
      <c r="AO347" s="1">
        <f t="shared" si="258"/>
        <v>0</v>
      </c>
      <c r="AP347" s="1">
        <f t="shared" si="259"/>
        <v>-1</v>
      </c>
      <c r="AQ347" s="1" t="e">
        <f t="shared" si="260"/>
        <v>#DIV/0!</v>
      </c>
      <c r="AR347" s="1" t="e">
        <f t="shared" si="261"/>
        <v>#DIV/0!</v>
      </c>
      <c r="AS347" s="12" t="e">
        <f t="shared" si="262"/>
        <v>#DIV/0!</v>
      </c>
      <c r="AT347" s="12" t="e">
        <f t="shared" si="263"/>
        <v>#DIV/0!</v>
      </c>
      <c r="AU347" s="1">
        <f t="shared" si="264"/>
        <v>0</v>
      </c>
      <c r="AV347" s="1">
        <f t="shared" si="265"/>
        <v>1</v>
      </c>
      <c r="AW347" s="1">
        <f t="shared" si="266"/>
        <v>0</v>
      </c>
      <c r="AX347" s="1">
        <f t="shared" si="267"/>
        <v>-1</v>
      </c>
      <c r="AY347" s="1">
        <f t="shared" si="268"/>
        <v>0</v>
      </c>
      <c r="AZ347" s="1">
        <f t="shared" si="269"/>
        <v>0</v>
      </c>
      <c r="BA347" s="19">
        <f t="shared" si="270"/>
        <v>0</v>
      </c>
      <c r="BB347" s="19">
        <f t="shared" si="271"/>
        <v>0</v>
      </c>
      <c r="BC347" s="9" t="e">
        <f t="shared" si="272"/>
        <v>#DIV/0!</v>
      </c>
      <c r="BD347" s="9" t="e">
        <f t="shared" si="273"/>
        <v>#DIV/0!</v>
      </c>
      <c r="BE347" s="9">
        <f t="shared" si="274"/>
        <v>-1</v>
      </c>
      <c r="BF347" s="9" t="e">
        <f t="shared" si="275"/>
        <v>#DIV/0!</v>
      </c>
      <c r="BG347" s="9" t="e">
        <f t="shared" si="276"/>
        <v>#DIV/0!</v>
      </c>
      <c r="BH347" s="9" t="e">
        <f t="shared" si="277"/>
        <v>#DIV/0!</v>
      </c>
      <c r="BI347" s="12" t="e">
        <f t="shared" si="278"/>
        <v>#DIV/0!</v>
      </c>
      <c r="BJ347" s="13" t="e">
        <f t="shared" si="279"/>
        <v>#DIV/0!</v>
      </c>
      <c r="BK347" s="1">
        <f t="shared" si="280"/>
        <v>0</v>
      </c>
      <c r="BL347" s="1">
        <f t="shared" si="281"/>
        <v>1</v>
      </c>
      <c r="BM347" s="1">
        <f t="shared" si="282"/>
        <v>-1</v>
      </c>
      <c r="BN347" s="1">
        <f t="shared" si="283"/>
        <v>0</v>
      </c>
      <c r="BO347" s="1">
        <f t="shared" si="284"/>
        <v>0</v>
      </c>
      <c r="BP347" s="1">
        <f t="shared" si="285"/>
        <v>0</v>
      </c>
      <c r="BQ347" s="19">
        <f t="shared" si="286"/>
        <v>0</v>
      </c>
      <c r="BR347" s="17">
        <f t="shared" si="287"/>
        <v>0</v>
      </c>
    </row>
    <row r="348" spans="1:70" x14ac:dyDescent="0.25">
      <c r="A348" t="s">
        <v>618</v>
      </c>
      <c r="D348">
        <v>1</v>
      </c>
      <c r="E348">
        <v>1</v>
      </c>
      <c r="F348">
        <v>1</v>
      </c>
      <c r="R348">
        <v>1</v>
      </c>
      <c r="S348">
        <v>1</v>
      </c>
      <c r="T348">
        <v>1</v>
      </c>
      <c r="W348" s="8" t="e">
        <f t="shared" si="240"/>
        <v>#DIV/0!</v>
      </c>
      <c r="X348" s="8" t="e">
        <f t="shared" si="241"/>
        <v>#DIV/0!</v>
      </c>
      <c r="Y348" s="8">
        <f t="shared" si="242"/>
        <v>0</v>
      </c>
      <c r="Z348" s="8">
        <f t="shared" si="243"/>
        <v>0</v>
      </c>
      <c r="AA348" s="8">
        <f t="shared" si="244"/>
        <v>-1</v>
      </c>
      <c r="AB348" s="8" t="e">
        <f t="shared" si="245"/>
        <v>#DIV/0!</v>
      </c>
      <c r="AC348" s="12" t="e">
        <f t="shared" si="246"/>
        <v>#DIV/0!</v>
      </c>
      <c r="AD348" s="12" t="e">
        <f t="shared" si="247"/>
        <v>#DIV/0!</v>
      </c>
      <c r="AE348" s="1">
        <f t="shared" si="248"/>
        <v>0</v>
      </c>
      <c r="AF348" s="1">
        <f t="shared" si="249"/>
        <v>1</v>
      </c>
      <c r="AG348" s="1">
        <f t="shared" si="250"/>
        <v>0</v>
      </c>
      <c r="AH348" s="1">
        <f t="shared" si="251"/>
        <v>0</v>
      </c>
      <c r="AI348" s="1">
        <f t="shared" si="252"/>
        <v>-1</v>
      </c>
      <c r="AJ348" s="1">
        <f t="shared" si="253"/>
        <v>0</v>
      </c>
      <c r="AK348" s="17">
        <f t="shared" si="254"/>
        <v>0</v>
      </c>
      <c r="AL348" s="17">
        <f t="shared" si="255"/>
        <v>0</v>
      </c>
      <c r="AM348" s="1" t="e">
        <f t="shared" si="256"/>
        <v>#DIV/0!</v>
      </c>
      <c r="AN348" s="1" t="e">
        <f t="shared" si="257"/>
        <v>#DIV/0!</v>
      </c>
      <c r="AO348" s="1" t="e">
        <f t="shared" si="258"/>
        <v>#DIV/0!</v>
      </c>
      <c r="AP348" s="1" t="e">
        <f t="shared" si="259"/>
        <v>#DIV/0!</v>
      </c>
      <c r="AQ348" s="1" t="e">
        <f t="shared" si="260"/>
        <v>#DIV/0!</v>
      </c>
      <c r="AR348" s="1" t="e">
        <f t="shared" si="261"/>
        <v>#DIV/0!</v>
      </c>
      <c r="AS348" s="12" t="e">
        <f t="shared" si="262"/>
        <v>#DIV/0!</v>
      </c>
      <c r="AT348" s="12" t="e">
        <f t="shared" si="263"/>
        <v>#DIV/0!</v>
      </c>
      <c r="AU348" s="1">
        <f t="shared" si="264"/>
        <v>0</v>
      </c>
      <c r="AV348" s="1">
        <f t="shared" si="265"/>
        <v>0</v>
      </c>
      <c r="AW348" s="1">
        <f t="shared" si="266"/>
        <v>0</v>
      </c>
      <c r="AX348" s="1">
        <f t="shared" si="267"/>
        <v>0</v>
      </c>
      <c r="AY348" s="1">
        <f t="shared" si="268"/>
        <v>0</v>
      </c>
      <c r="AZ348" s="1">
        <f t="shared" si="269"/>
        <v>0</v>
      </c>
      <c r="BA348" s="19">
        <f t="shared" si="270"/>
        <v>0</v>
      </c>
      <c r="BB348" s="19">
        <f t="shared" si="271"/>
        <v>0</v>
      </c>
      <c r="BC348" s="9" t="e">
        <f t="shared" si="272"/>
        <v>#DIV/0!</v>
      </c>
      <c r="BD348" s="9" t="e">
        <f t="shared" si="273"/>
        <v>#DIV/0!</v>
      </c>
      <c r="BE348" s="9">
        <f t="shared" si="274"/>
        <v>0</v>
      </c>
      <c r="BF348" s="9">
        <f t="shared" si="275"/>
        <v>0</v>
      </c>
      <c r="BG348" s="9">
        <f t="shared" si="276"/>
        <v>-1</v>
      </c>
      <c r="BH348" s="9" t="e">
        <f t="shared" si="277"/>
        <v>#DIV/0!</v>
      </c>
      <c r="BI348" s="12" t="e">
        <f t="shared" si="278"/>
        <v>#DIV/0!</v>
      </c>
      <c r="BJ348" s="13" t="e">
        <f t="shared" si="279"/>
        <v>#DIV/0!</v>
      </c>
      <c r="BK348" s="1">
        <f t="shared" si="280"/>
        <v>0</v>
      </c>
      <c r="BL348" s="1">
        <f t="shared" si="281"/>
        <v>1</v>
      </c>
      <c r="BM348" s="1">
        <f t="shared" si="282"/>
        <v>0</v>
      </c>
      <c r="BN348" s="1">
        <f t="shared" si="283"/>
        <v>0</v>
      </c>
      <c r="BO348" s="1">
        <f t="shared" si="284"/>
        <v>-1</v>
      </c>
      <c r="BP348" s="1">
        <f t="shared" si="285"/>
        <v>0</v>
      </c>
      <c r="BQ348" s="19">
        <f t="shared" si="286"/>
        <v>0</v>
      </c>
      <c r="BR348" s="17">
        <f t="shared" si="287"/>
        <v>0</v>
      </c>
    </row>
    <row r="349" spans="1:70" x14ac:dyDescent="0.25">
      <c r="A349" t="s">
        <v>620</v>
      </c>
      <c r="D349">
        <v>1</v>
      </c>
      <c r="F349">
        <v>1</v>
      </c>
      <c r="G349">
        <v>2</v>
      </c>
      <c r="N349">
        <v>2</v>
      </c>
      <c r="R349">
        <v>1</v>
      </c>
      <c r="T349">
        <v>1</v>
      </c>
      <c r="W349" s="8" t="e">
        <f t="shared" si="240"/>
        <v>#DIV/0!</v>
      </c>
      <c r="X349" s="8" t="e">
        <f t="shared" si="241"/>
        <v>#DIV/0!</v>
      </c>
      <c r="Y349" s="8">
        <f t="shared" si="242"/>
        <v>-1</v>
      </c>
      <c r="Z349" s="8" t="e">
        <f t="shared" si="243"/>
        <v>#DIV/0!</v>
      </c>
      <c r="AA349" s="8">
        <f t="shared" si="244"/>
        <v>1</v>
      </c>
      <c r="AB349" s="8">
        <f t="shared" si="245"/>
        <v>-1</v>
      </c>
      <c r="AC349" s="12" t="e">
        <f t="shared" si="246"/>
        <v>#DIV/0!</v>
      </c>
      <c r="AD349" s="12" t="e">
        <f t="shared" si="247"/>
        <v>#DIV/0!</v>
      </c>
      <c r="AE349" s="1">
        <f t="shared" si="248"/>
        <v>0</v>
      </c>
      <c r="AF349" s="1">
        <f t="shared" si="249"/>
        <v>1</v>
      </c>
      <c r="AG349" s="1">
        <f t="shared" si="250"/>
        <v>-1</v>
      </c>
      <c r="AH349" s="1">
        <f t="shared" si="251"/>
        <v>1</v>
      </c>
      <c r="AI349" s="1">
        <f t="shared" si="252"/>
        <v>1</v>
      </c>
      <c r="AJ349" s="1">
        <f t="shared" si="253"/>
        <v>-2</v>
      </c>
      <c r="AK349" s="17">
        <f t="shared" si="254"/>
        <v>0</v>
      </c>
      <c r="AL349" s="17">
        <f t="shared" si="255"/>
        <v>0.5</v>
      </c>
      <c r="AM349" s="1" t="e">
        <f t="shared" si="256"/>
        <v>#DIV/0!</v>
      </c>
      <c r="AN349" s="1" t="e">
        <f t="shared" si="257"/>
        <v>#DIV/0!</v>
      </c>
      <c r="AO349" s="1" t="e">
        <f t="shared" si="258"/>
        <v>#DIV/0!</v>
      </c>
      <c r="AP349" s="1" t="e">
        <f t="shared" si="259"/>
        <v>#DIV/0!</v>
      </c>
      <c r="AQ349" s="1" t="e">
        <f t="shared" si="260"/>
        <v>#DIV/0!</v>
      </c>
      <c r="AR349" s="1">
        <f t="shared" si="261"/>
        <v>-1</v>
      </c>
      <c r="AS349" s="12" t="e">
        <f t="shared" si="262"/>
        <v>#DIV/0!</v>
      </c>
      <c r="AT349" s="12" t="e">
        <f t="shared" si="263"/>
        <v>#DIV/0!</v>
      </c>
      <c r="AU349" s="1">
        <f t="shared" si="264"/>
        <v>0</v>
      </c>
      <c r="AV349" s="1">
        <f t="shared" si="265"/>
        <v>0</v>
      </c>
      <c r="AW349" s="1">
        <f t="shared" si="266"/>
        <v>0</v>
      </c>
      <c r="AX349" s="1">
        <f t="shared" si="267"/>
        <v>0</v>
      </c>
      <c r="AY349" s="1">
        <f t="shared" si="268"/>
        <v>2</v>
      </c>
      <c r="AZ349" s="1">
        <f t="shared" si="269"/>
        <v>-2</v>
      </c>
      <c r="BA349" s="19">
        <f t="shared" si="270"/>
        <v>0</v>
      </c>
      <c r="BB349" s="19">
        <f t="shared" si="271"/>
        <v>0</v>
      </c>
      <c r="BC349" s="9" t="e">
        <f t="shared" si="272"/>
        <v>#DIV/0!</v>
      </c>
      <c r="BD349" s="9" t="e">
        <f t="shared" si="273"/>
        <v>#DIV/0!</v>
      </c>
      <c r="BE349" s="9">
        <f t="shared" si="274"/>
        <v>-1</v>
      </c>
      <c r="BF349" s="9" t="e">
        <f t="shared" si="275"/>
        <v>#DIV/0!</v>
      </c>
      <c r="BG349" s="9">
        <f t="shared" si="276"/>
        <v>-1</v>
      </c>
      <c r="BH349" s="9" t="e">
        <f t="shared" si="277"/>
        <v>#DIV/0!</v>
      </c>
      <c r="BI349" s="12" t="e">
        <f t="shared" si="278"/>
        <v>#DIV/0!</v>
      </c>
      <c r="BJ349" s="13" t="e">
        <f t="shared" si="279"/>
        <v>#DIV/0!</v>
      </c>
      <c r="BK349" s="1">
        <f t="shared" si="280"/>
        <v>0</v>
      </c>
      <c r="BL349" s="1">
        <f t="shared" si="281"/>
        <v>1</v>
      </c>
      <c r="BM349" s="1">
        <f t="shared" si="282"/>
        <v>-1</v>
      </c>
      <c r="BN349" s="1">
        <f t="shared" si="283"/>
        <v>1</v>
      </c>
      <c r="BO349" s="1">
        <f t="shared" si="284"/>
        <v>-1</v>
      </c>
      <c r="BP349" s="1">
        <f t="shared" si="285"/>
        <v>0</v>
      </c>
      <c r="BQ349" s="19">
        <f t="shared" si="286"/>
        <v>0</v>
      </c>
      <c r="BR349" s="17">
        <f t="shared" si="287"/>
        <v>0</v>
      </c>
    </row>
    <row r="350" spans="1:70" x14ac:dyDescent="0.25">
      <c r="A350" t="s">
        <v>624</v>
      </c>
      <c r="D350">
        <v>1</v>
      </c>
      <c r="R350">
        <v>1</v>
      </c>
      <c r="W350" s="8" t="e">
        <f t="shared" si="240"/>
        <v>#DIV/0!</v>
      </c>
      <c r="X350" s="8" t="e">
        <f t="shared" si="241"/>
        <v>#DIV/0!</v>
      </c>
      <c r="Y350" s="8">
        <f t="shared" si="242"/>
        <v>-1</v>
      </c>
      <c r="Z350" s="8" t="e">
        <f t="shared" si="243"/>
        <v>#DIV/0!</v>
      </c>
      <c r="AA350" s="8" t="e">
        <f t="shared" si="244"/>
        <v>#DIV/0!</v>
      </c>
      <c r="AB350" s="8" t="e">
        <f t="shared" si="245"/>
        <v>#DIV/0!</v>
      </c>
      <c r="AC350" s="12" t="e">
        <f t="shared" si="246"/>
        <v>#DIV/0!</v>
      </c>
      <c r="AD350" s="12" t="e">
        <f t="shared" si="247"/>
        <v>#DIV/0!</v>
      </c>
      <c r="AE350" s="1">
        <f t="shared" si="248"/>
        <v>0</v>
      </c>
      <c r="AF350" s="1">
        <f t="shared" si="249"/>
        <v>1</v>
      </c>
      <c r="AG350" s="1">
        <f t="shared" si="250"/>
        <v>-1</v>
      </c>
      <c r="AH350" s="1">
        <f t="shared" si="251"/>
        <v>0</v>
      </c>
      <c r="AI350" s="1">
        <f t="shared" si="252"/>
        <v>0</v>
      </c>
      <c r="AJ350" s="1">
        <f t="shared" si="253"/>
        <v>0</v>
      </c>
      <c r="AK350" s="17">
        <f t="shared" si="254"/>
        <v>0</v>
      </c>
      <c r="AL350" s="17">
        <f t="shared" si="255"/>
        <v>0</v>
      </c>
      <c r="AM350" s="1" t="e">
        <f t="shared" si="256"/>
        <v>#DIV/0!</v>
      </c>
      <c r="AN350" s="1" t="e">
        <f t="shared" si="257"/>
        <v>#DIV/0!</v>
      </c>
      <c r="AO350" s="1" t="e">
        <f t="shared" si="258"/>
        <v>#DIV/0!</v>
      </c>
      <c r="AP350" s="1" t="e">
        <f t="shared" si="259"/>
        <v>#DIV/0!</v>
      </c>
      <c r="AQ350" s="1" t="e">
        <f t="shared" si="260"/>
        <v>#DIV/0!</v>
      </c>
      <c r="AR350" s="1" t="e">
        <f t="shared" si="261"/>
        <v>#DIV/0!</v>
      </c>
      <c r="AS350" s="12" t="e">
        <f t="shared" si="262"/>
        <v>#DIV/0!</v>
      </c>
      <c r="AT350" s="12" t="e">
        <f t="shared" si="263"/>
        <v>#DIV/0!</v>
      </c>
      <c r="AU350" s="1">
        <f t="shared" si="264"/>
        <v>0</v>
      </c>
      <c r="AV350" s="1">
        <f t="shared" si="265"/>
        <v>0</v>
      </c>
      <c r="AW350" s="1">
        <f t="shared" si="266"/>
        <v>0</v>
      </c>
      <c r="AX350" s="1">
        <f t="shared" si="267"/>
        <v>0</v>
      </c>
      <c r="AY350" s="1">
        <f t="shared" si="268"/>
        <v>0</v>
      </c>
      <c r="AZ350" s="1">
        <f t="shared" si="269"/>
        <v>0</v>
      </c>
      <c r="BA350" s="19">
        <f t="shared" si="270"/>
        <v>0</v>
      </c>
      <c r="BB350" s="19">
        <f t="shared" si="271"/>
        <v>0</v>
      </c>
      <c r="BC350" s="9" t="e">
        <f t="shared" si="272"/>
        <v>#DIV/0!</v>
      </c>
      <c r="BD350" s="9" t="e">
        <f t="shared" si="273"/>
        <v>#DIV/0!</v>
      </c>
      <c r="BE350" s="9">
        <f t="shared" si="274"/>
        <v>-1</v>
      </c>
      <c r="BF350" s="9" t="e">
        <f t="shared" si="275"/>
        <v>#DIV/0!</v>
      </c>
      <c r="BG350" s="9" t="e">
        <f t="shared" si="276"/>
        <v>#DIV/0!</v>
      </c>
      <c r="BH350" s="9" t="e">
        <f t="shared" si="277"/>
        <v>#DIV/0!</v>
      </c>
      <c r="BI350" s="12" t="e">
        <f t="shared" si="278"/>
        <v>#DIV/0!</v>
      </c>
      <c r="BJ350" s="13" t="e">
        <f t="shared" si="279"/>
        <v>#DIV/0!</v>
      </c>
      <c r="BK350" s="1">
        <f t="shared" si="280"/>
        <v>0</v>
      </c>
      <c r="BL350" s="1">
        <f t="shared" si="281"/>
        <v>1</v>
      </c>
      <c r="BM350" s="1">
        <f t="shared" si="282"/>
        <v>-1</v>
      </c>
      <c r="BN350" s="1">
        <f t="shared" si="283"/>
        <v>0</v>
      </c>
      <c r="BO350" s="1">
        <f t="shared" si="284"/>
        <v>0</v>
      </c>
      <c r="BP350" s="1">
        <f t="shared" si="285"/>
        <v>0</v>
      </c>
      <c r="BQ350" s="19">
        <f t="shared" si="286"/>
        <v>0</v>
      </c>
      <c r="BR350" s="17">
        <f t="shared" si="287"/>
        <v>0</v>
      </c>
    </row>
    <row r="351" spans="1:70" x14ac:dyDescent="0.25">
      <c r="A351" t="s">
        <v>625</v>
      </c>
      <c r="D351">
        <v>1</v>
      </c>
      <c r="F351">
        <v>1</v>
      </c>
      <c r="M351">
        <v>1</v>
      </c>
      <c r="R351">
        <v>1</v>
      </c>
      <c r="W351" s="8" t="e">
        <f t="shared" si="240"/>
        <v>#DIV/0!</v>
      </c>
      <c r="X351" s="8" t="e">
        <f t="shared" si="241"/>
        <v>#DIV/0!</v>
      </c>
      <c r="Y351" s="8">
        <f t="shared" si="242"/>
        <v>-1</v>
      </c>
      <c r="Z351" s="8" t="e">
        <f t="shared" si="243"/>
        <v>#DIV/0!</v>
      </c>
      <c r="AA351" s="8">
        <f t="shared" si="244"/>
        <v>-1</v>
      </c>
      <c r="AB351" s="8" t="e">
        <f t="shared" si="245"/>
        <v>#DIV/0!</v>
      </c>
      <c r="AC351" s="12" t="e">
        <f t="shared" si="246"/>
        <v>#DIV/0!</v>
      </c>
      <c r="AD351" s="12" t="e">
        <f t="shared" si="247"/>
        <v>#DIV/0!</v>
      </c>
      <c r="AE351" s="1">
        <f t="shared" si="248"/>
        <v>0</v>
      </c>
      <c r="AF351" s="1">
        <f t="shared" si="249"/>
        <v>1</v>
      </c>
      <c r="AG351" s="1">
        <f t="shared" si="250"/>
        <v>-1</v>
      </c>
      <c r="AH351" s="1">
        <f t="shared" si="251"/>
        <v>1</v>
      </c>
      <c r="AI351" s="1">
        <f t="shared" si="252"/>
        <v>-1</v>
      </c>
      <c r="AJ351" s="1">
        <f t="shared" si="253"/>
        <v>0</v>
      </c>
      <c r="AK351" s="17">
        <f t="shared" si="254"/>
        <v>0</v>
      </c>
      <c r="AL351" s="17">
        <f t="shared" si="255"/>
        <v>0</v>
      </c>
      <c r="AM351" s="1" t="e">
        <f t="shared" si="256"/>
        <v>#DIV/0!</v>
      </c>
      <c r="AN351" s="1" t="e">
        <f t="shared" si="257"/>
        <v>#DIV/0!</v>
      </c>
      <c r="AO351" s="1" t="e">
        <f t="shared" si="258"/>
        <v>#DIV/0!</v>
      </c>
      <c r="AP351" s="1" t="e">
        <f t="shared" si="259"/>
        <v>#DIV/0!</v>
      </c>
      <c r="AQ351" s="1">
        <f t="shared" si="260"/>
        <v>-1</v>
      </c>
      <c r="AR351" s="1" t="e">
        <f t="shared" si="261"/>
        <v>#DIV/0!</v>
      </c>
      <c r="AS351" s="12" t="e">
        <f t="shared" si="262"/>
        <v>#DIV/0!</v>
      </c>
      <c r="AT351" s="12" t="e">
        <f t="shared" si="263"/>
        <v>#DIV/0!</v>
      </c>
      <c r="AU351" s="1">
        <f t="shared" si="264"/>
        <v>0</v>
      </c>
      <c r="AV351" s="1">
        <f t="shared" si="265"/>
        <v>0</v>
      </c>
      <c r="AW351" s="1">
        <f t="shared" si="266"/>
        <v>0</v>
      </c>
      <c r="AX351" s="1">
        <f t="shared" si="267"/>
        <v>1</v>
      </c>
      <c r="AY351" s="1">
        <f t="shared" si="268"/>
        <v>-1</v>
      </c>
      <c r="AZ351" s="1">
        <f t="shared" si="269"/>
        <v>0</v>
      </c>
      <c r="BA351" s="19">
        <f t="shared" si="270"/>
        <v>0</v>
      </c>
      <c r="BB351" s="19">
        <f t="shared" si="271"/>
        <v>0</v>
      </c>
      <c r="BC351" s="9" t="e">
        <f t="shared" si="272"/>
        <v>#DIV/0!</v>
      </c>
      <c r="BD351" s="9" t="e">
        <f t="shared" si="273"/>
        <v>#DIV/0!</v>
      </c>
      <c r="BE351" s="9">
        <f t="shared" si="274"/>
        <v>-1</v>
      </c>
      <c r="BF351" s="9" t="e">
        <f t="shared" si="275"/>
        <v>#DIV/0!</v>
      </c>
      <c r="BG351" s="9" t="e">
        <f t="shared" si="276"/>
        <v>#DIV/0!</v>
      </c>
      <c r="BH351" s="9" t="e">
        <f t="shared" si="277"/>
        <v>#DIV/0!</v>
      </c>
      <c r="BI351" s="12" t="e">
        <f t="shared" si="278"/>
        <v>#DIV/0!</v>
      </c>
      <c r="BJ351" s="13" t="e">
        <f t="shared" si="279"/>
        <v>#DIV/0!</v>
      </c>
      <c r="BK351" s="1">
        <f t="shared" si="280"/>
        <v>0</v>
      </c>
      <c r="BL351" s="1">
        <f t="shared" si="281"/>
        <v>1</v>
      </c>
      <c r="BM351" s="1">
        <f t="shared" si="282"/>
        <v>-1</v>
      </c>
      <c r="BN351" s="1">
        <f t="shared" si="283"/>
        <v>0</v>
      </c>
      <c r="BO351" s="1">
        <f t="shared" si="284"/>
        <v>0</v>
      </c>
      <c r="BP351" s="1">
        <f t="shared" si="285"/>
        <v>0</v>
      </c>
      <c r="BQ351" s="19">
        <f t="shared" si="286"/>
        <v>0</v>
      </c>
      <c r="BR351" s="17">
        <f t="shared" si="287"/>
        <v>0</v>
      </c>
    </row>
    <row r="352" spans="1:70" x14ac:dyDescent="0.25">
      <c r="A352" t="s">
        <v>626</v>
      </c>
      <c r="D352">
        <v>1</v>
      </c>
      <c r="R352">
        <v>1</v>
      </c>
      <c r="W352" s="8" t="e">
        <f t="shared" si="240"/>
        <v>#DIV/0!</v>
      </c>
      <c r="X352" s="8" t="e">
        <f t="shared" si="241"/>
        <v>#DIV/0!</v>
      </c>
      <c r="Y352" s="8">
        <f t="shared" si="242"/>
        <v>-1</v>
      </c>
      <c r="Z352" s="8" t="e">
        <f t="shared" si="243"/>
        <v>#DIV/0!</v>
      </c>
      <c r="AA352" s="8" t="e">
        <f t="shared" si="244"/>
        <v>#DIV/0!</v>
      </c>
      <c r="AB352" s="8" t="e">
        <f t="shared" si="245"/>
        <v>#DIV/0!</v>
      </c>
      <c r="AC352" s="12" t="e">
        <f t="shared" si="246"/>
        <v>#DIV/0!</v>
      </c>
      <c r="AD352" s="12" t="e">
        <f t="shared" si="247"/>
        <v>#DIV/0!</v>
      </c>
      <c r="AE352" s="1">
        <f t="shared" si="248"/>
        <v>0</v>
      </c>
      <c r="AF352" s="1">
        <f t="shared" si="249"/>
        <v>1</v>
      </c>
      <c r="AG352" s="1">
        <f t="shared" si="250"/>
        <v>-1</v>
      </c>
      <c r="AH352" s="1">
        <f t="shared" si="251"/>
        <v>0</v>
      </c>
      <c r="AI352" s="1">
        <f t="shared" si="252"/>
        <v>0</v>
      </c>
      <c r="AJ352" s="1">
        <f t="shared" si="253"/>
        <v>0</v>
      </c>
      <c r="AK352" s="17">
        <f t="shared" si="254"/>
        <v>0</v>
      </c>
      <c r="AL352" s="17">
        <f t="shared" si="255"/>
        <v>0</v>
      </c>
      <c r="AM352" s="1" t="e">
        <f t="shared" si="256"/>
        <v>#DIV/0!</v>
      </c>
      <c r="AN352" s="1" t="e">
        <f t="shared" si="257"/>
        <v>#DIV/0!</v>
      </c>
      <c r="AO352" s="1" t="e">
        <f t="shared" si="258"/>
        <v>#DIV/0!</v>
      </c>
      <c r="AP352" s="1" t="e">
        <f t="shared" si="259"/>
        <v>#DIV/0!</v>
      </c>
      <c r="AQ352" s="1" t="e">
        <f t="shared" si="260"/>
        <v>#DIV/0!</v>
      </c>
      <c r="AR352" s="1" t="e">
        <f t="shared" si="261"/>
        <v>#DIV/0!</v>
      </c>
      <c r="AS352" s="12" t="e">
        <f t="shared" si="262"/>
        <v>#DIV/0!</v>
      </c>
      <c r="AT352" s="12" t="e">
        <f t="shared" si="263"/>
        <v>#DIV/0!</v>
      </c>
      <c r="AU352" s="1">
        <f t="shared" si="264"/>
        <v>0</v>
      </c>
      <c r="AV352" s="1">
        <f t="shared" si="265"/>
        <v>0</v>
      </c>
      <c r="AW352" s="1">
        <f t="shared" si="266"/>
        <v>0</v>
      </c>
      <c r="AX352" s="1">
        <f t="shared" si="267"/>
        <v>0</v>
      </c>
      <c r="AY352" s="1">
        <f t="shared" si="268"/>
        <v>0</v>
      </c>
      <c r="AZ352" s="1">
        <f t="shared" si="269"/>
        <v>0</v>
      </c>
      <c r="BA352" s="19">
        <f t="shared" si="270"/>
        <v>0</v>
      </c>
      <c r="BB352" s="19">
        <f t="shared" si="271"/>
        <v>0</v>
      </c>
      <c r="BC352" s="9" t="e">
        <f t="shared" si="272"/>
        <v>#DIV/0!</v>
      </c>
      <c r="BD352" s="9" t="e">
        <f t="shared" si="273"/>
        <v>#DIV/0!</v>
      </c>
      <c r="BE352" s="9">
        <f t="shared" si="274"/>
        <v>-1</v>
      </c>
      <c r="BF352" s="9" t="e">
        <f t="shared" si="275"/>
        <v>#DIV/0!</v>
      </c>
      <c r="BG352" s="9" t="e">
        <f t="shared" si="276"/>
        <v>#DIV/0!</v>
      </c>
      <c r="BH352" s="9" t="e">
        <f t="shared" si="277"/>
        <v>#DIV/0!</v>
      </c>
      <c r="BI352" s="12" t="e">
        <f t="shared" si="278"/>
        <v>#DIV/0!</v>
      </c>
      <c r="BJ352" s="13" t="e">
        <f t="shared" si="279"/>
        <v>#DIV/0!</v>
      </c>
      <c r="BK352" s="1">
        <f t="shared" si="280"/>
        <v>0</v>
      </c>
      <c r="BL352" s="1">
        <f t="shared" si="281"/>
        <v>1</v>
      </c>
      <c r="BM352" s="1">
        <f t="shared" si="282"/>
        <v>-1</v>
      </c>
      <c r="BN352" s="1">
        <f t="shared" si="283"/>
        <v>0</v>
      </c>
      <c r="BO352" s="1">
        <f t="shared" si="284"/>
        <v>0</v>
      </c>
      <c r="BP352" s="1">
        <f t="shared" si="285"/>
        <v>0</v>
      </c>
      <c r="BQ352" s="19">
        <f t="shared" si="286"/>
        <v>0</v>
      </c>
      <c r="BR352" s="17">
        <f t="shared" si="287"/>
        <v>0</v>
      </c>
    </row>
    <row r="353" spans="1:70" x14ac:dyDescent="0.25">
      <c r="A353" t="s">
        <v>629</v>
      </c>
      <c r="D353">
        <v>1</v>
      </c>
      <c r="R353">
        <v>1</v>
      </c>
      <c r="W353" s="8" t="e">
        <f t="shared" si="240"/>
        <v>#DIV/0!</v>
      </c>
      <c r="X353" s="8" t="e">
        <f t="shared" si="241"/>
        <v>#DIV/0!</v>
      </c>
      <c r="Y353" s="8">
        <f t="shared" si="242"/>
        <v>-1</v>
      </c>
      <c r="Z353" s="8" t="e">
        <f t="shared" si="243"/>
        <v>#DIV/0!</v>
      </c>
      <c r="AA353" s="8" t="e">
        <f t="shared" si="244"/>
        <v>#DIV/0!</v>
      </c>
      <c r="AB353" s="8" t="e">
        <f t="shared" si="245"/>
        <v>#DIV/0!</v>
      </c>
      <c r="AC353" s="12" t="e">
        <f t="shared" si="246"/>
        <v>#DIV/0!</v>
      </c>
      <c r="AD353" s="12" t="e">
        <f t="shared" si="247"/>
        <v>#DIV/0!</v>
      </c>
      <c r="AE353" s="1">
        <f t="shared" si="248"/>
        <v>0</v>
      </c>
      <c r="AF353" s="1">
        <f t="shared" si="249"/>
        <v>1</v>
      </c>
      <c r="AG353" s="1">
        <f t="shared" si="250"/>
        <v>-1</v>
      </c>
      <c r="AH353" s="1">
        <f t="shared" si="251"/>
        <v>0</v>
      </c>
      <c r="AI353" s="1">
        <f t="shared" si="252"/>
        <v>0</v>
      </c>
      <c r="AJ353" s="1">
        <f t="shared" si="253"/>
        <v>0</v>
      </c>
      <c r="AK353" s="17">
        <f t="shared" si="254"/>
        <v>0</v>
      </c>
      <c r="AL353" s="17">
        <f t="shared" si="255"/>
        <v>0</v>
      </c>
      <c r="AM353" s="1" t="e">
        <f t="shared" si="256"/>
        <v>#DIV/0!</v>
      </c>
      <c r="AN353" s="1" t="e">
        <f t="shared" si="257"/>
        <v>#DIV/0!</v>
      </c>
      <c r="AO353" s="1" t="e">
        <f t="shared" si="258"/>
        <v>#DIV/0!</v>
      </c>
      <c r="AP353" s="1" t="e">
        <f t="shared" si="259"/>
        <v>#DIV/0!</v>
      </c>
      <c r="AQ353" s="1" t="e">
        <f t="shared" si="260"/>
        <v>#DIV/0!</v>
      </c>
      <c r="AR353" s="1" t="e">
        <f t="shared" si="261"/>
        <v>#DIV/0!</v>
      </c>
      <c r="AS353" s="12" t="e">
        <f t="shared" si="262"/>
        <v>#DIV/0!</v>
      </c>
      <c r="AT353" s="12" t="e">
        <f t="shared" si="263"/>
        <v>#DIV/0!</v>
      </c>
      <c r="AU353" s="1">
        <f t="shared" si="264"/>
        <v>0</v>
      </c>
      <c r="AV353" s="1">
        <f t="shared" si="265"/>
        <v>0</v>
      </c>
      <c r="AW353" s="1">
        <f t="shared" si="266"/>
        <v>0</v>
      </c>
      <c r="AX353" s="1">
        <f t="shared" si="267"/>
        <v>0</v>
      </c>
      <c r="AY353" s="1">
        <f t="shared" si="268"/>
        <v>0</v>
      </c>
      <c r="AZ353" s="1">
        <f t="shared" si="269"/>
        <v>0</v>
      </c>
      <c r="BA353" s="19">
        <f t="shared" si="270"/>
        <v>0</v>
      </c>
      <c r="BB353" s="19">
        <f t="shared" si="271"/>
        <v>0</v>
      </c>
      <c r="BC353" s="9" t="e">
        <f t="shared" si="272"/>
        <v>#DIV/0!</v>
      </c>
      <c r="BD353" s="9" t="e">
        <f t="shared" si="273"/>
        <v>#DIV/0!</v>
      </c>
      <c r="BE353" s="9">
        <f t="shared" si="274"/>
        <v>-1</v>
      </c>
      <c r="BF353" s="9" t="e">
        <f t="shared" si="275"/>
        <v>#DIV/0!</v>
      </c>
      <c r="BG353" s="9" t="e">
        <f t="shared" si="276"/>
        <v>#DIV/0!</v>
      </c>
      <c r="BH353" s="9" t="e">
        <f t="shared" si="277"/>
        <v>#DIV/0!</v>
      </c>
      <c r="BI353" s="12" t="e">
        <f t="shared" si="278"/>
        <v>#DIV/0!</v>
      </c>
      <c r="BJ353" s="13" t="e">
        <f t="shared" si="279"/>
        <v>#DIV/0!</v>
      </c>
      <c r="BK353" s="1">
        <f t="shared" si="280"/>
        <v>0</v>
      </c>
      <c r="BL353" s="1">
        <f t="shared" si="281"/>
        <v>1</v>
      </c>
      <c r="BM353" s="1">
        <f t="shared" si="282"/>
        <v>-1</v>
      </c>
      <c r="BN353" s="1">
        <f t="shared" si="283"/>
        <v>0</v>
      </c>
      <c r="BO353" s="1">
        <f t="shared" si="284"/>
        <v>0</v>
      </c>
      <c r="BP353" s="1">
        <f t="shared" si="285"/>
        <v>0</v>
      </c>
      <c r="BQ353" s="19">
        <f t="shared" si="286"/>
        <v>0</v>
      </c>
      <c r="BR353" s="17">
        <f t="shared" si="287"/>
        <v>0</v>
      </c>
    </row>
    <row r="354" spans="1:70" x14ac:dyDescent="0.25">
      <c r="A354" t="s">
        <v>630</v>
      </c>
      <c r="D354">
        <v>1</v>
      </c>
      <c r="F354">
        <v>1</v>
      </c>
      <c r="R354">
        <v>1</v>
      </c>
      <c r="T354">
        <v>1</v>
      </c>
      <c r="W354" s="8" t="e">
        <f t="shared" si="240"/>
        <v>#DIV/0!</v>
      </c>
      <c r="X354" s="8" t="e">
        <f t="shared" si="241"/>
        <v>#DIV/0!</v>
      </c>
      <c r="Y354" s="8">
        <f t="shared" si="242"/>
        <v>-1</v>
      </c>
      <c r="Z354" s="8" t="e">
        <f t="shared" si="243"/>
        <v>#DIV/0!</v>
      </c>
      <c r="AA354" s="8">
        <f t="shared" si="244"/>
        <v>-1</v>
      </c>
      <c r="AB354" s="8" t="e">
        <f t="shared" si="245"/>
        <v>#DIV/0!</v>
      </c>
      <c r="AC354" s="12" t="e">
        <f t="shared" si="246"/>
        <v>#DIV/0!</v>
      </c>
      <c r="AD354" s="12" t="e">
        <f t="shared" si="247"/>
        <v>#DIV/0!</v>
      </c>
      <c r="AE354" s="1">
        <f t="shared" si="248"/>
        <v>0</v>
      </c>
      <c r="AF354" s="1">
        <f t="shared" si="249"/>
        <v>1</v>
      </c>
      <c r="AG354" s="1">
        <f t="shared" si="250"/>
        <v>-1</v>
      </c>
      <c r="AH354" s="1">
        <f t="shared" si="251"/>
        <v>1</v>
      </c>
      <c r="AI354" s="1">
        <f t="shared" si="252"/>
        <v>-1</v>
      </c>
      <c r="AJ354" s="1">
        <f t="shared" si="253"/>
        <v>0</v>
      </c>
      <c r="AK354" s="17">
        <f t="shared" si="254"/>
        <v>0</v>
      </c>
      <c r="AL354" s="17">
        <f t="shared" si="255"/>
        <v>0</v>
      </c>
      <c r="AM354" s="1" t="e">
        <f t="shared" si="256"/>
        <v>#DIV/0!</v>
      </c>
      <c r="AN354" s="1" t="e">
        <f t="shared" si="257"/>
        <v>#DIV/0!</v>
      </c>
      <c r="AO354" s="1" t="e">
        <f t="shared" si="258"/>
        <v>#DIV/0!</v>
      </c>
      <c r="AP354" s="1" t="e">
        <f t="shared" si="259"/>
        <v>#DIV/0!</v>
      </c>
      <c r="AQ354" s="1" t="e">
        <f t="shared" si="260"/>
        <v>#DIV/0!</v>
      </c>
      <c r="AR354" s="1" t="e">
        <f t="shared" si="261"/>
        <v>#DIV/0!</v>
      </c>
      <c r="AS354" s="12" t="e">
        <f t="shared" si="262"/>
        <v>#DIV/0!</v>
      </c>
      <c r="AT354" s="12" t="e">
        <f t="shared" si="263"/>
        <v>#DIV/0!</v>
      </c>
      <c r="AU354" s="1">
        <f t="shared" si="264"/>
        <v>0</v>
      </c>
      <c r="AV354" s="1">
        <f t="shared" si="265"/>
        <v>0</v>
      </c>
      <c r="AW354" s="1">
        <f t="shared" si="266"/>
        <v>0</v>
      </c>
      <c r="AX354" s="1">
        <f t="shared" si="267"/>
        <v>0</v>
      </c>
      <c r="AY354" s="1">
        <f t="shared" si="268"/>
        <v>0</v>
      </c>
      <c r="AZ354" s="1">
        <f t="shared" si="269"/>
        <v>0</v>
      </c>
      <c r="BA354" s="19">
        <f t="shared" si="270"/>
        <v>0</v>
      </c>
      <c r="BB354" s="19">
        <f t="shared" si="271"/>
        <v>0</v>
      </c>
      <c r="BC354" s="9" t="e">
        <f t="shared" si="272"/>
        <v>#DIV/0!</v>
      </c>
      <c r="BD354" s="9" t="e">
        <f t="shared" si="273"/>
        <v>#DIV/0!</v>
      </c>
      <c r="BE354" s="9">
        <f t="shared" si="274"/>
        <v>-1</v>
      </c>
      <c r="BF354" s="9" t="e">
        <f t="shared" si="275"/>
        <v>#DIV/0!</v>
      </c>
      <c r="BG354" s="9">
        <f t="shared" si="276"/>
        <v>-1</v>
      </c>
      <c r="BH354" s="9" t="e">
        <f t="shared" si="277"/>
        <v>#DIV/0!</v>
      </c>
      <c r="BI354" s="12" t="e">
        <f t="shared" si="278"/>
        <v>#DIV/0!</v>
      </c>
      <c r="BJ354" s="13" t="e">
        <f t="shared" si="279"/>
        <v>#DIV/0!</v>
      </c>
      <c r="BK354" s="1">
        <f t="shared" si="280"/>
        <v>0</v>
      </c>
      <c r="BL354" s="1">
        <f t="shared" si="281"/>
        <v>1</v>
      </c>
      <c r="BM354" s="1">
        <f t="shared" si="282"/>
        <v>-1</v>
      </c>
      <c r="BN354" s="1">
        <f t="shared" si="283"/>
        <v>1</v>
      </c>
      <c r="BO354" s="1">
        <f t="shared" si="284"/>
        <v>-1</v>
      </c>
      <c r="BP354" s="1">
        <f t="shared" si="285"/>
        <v>0</v>
      </c>
      <c r="BQ354" s="19">
        <f t="shared" si="286"/>
        <v>0</v>
      </c>
      <c r="BR354" s="17">
        <f t="shared" si="287"/>
        <v>0</v>
      </c>
    </row>
    <row r="355" spans="1:70" x14ac:dyDescent="0.25">
      <c r="A355" t="s">
        <v>631</v>
      </c>
      <c r="D355">
        <v>1</v>
      </c>
      <c r="E355">
        <v>1</v>
      </c>
      <c r="F355">
        <v>1</v>
      </c>
      <c r="K355">
        <v>1</v>
      </c>
      <c r="M355">
        <v>1</v>
      </c>
      <c r="S355">
        <v>1</v>
      </c>
      <c r="W355" s="8" t="e">
        <f t="shared" si="240"/>
        <v>#DIV/0!</v>
      </c>
      <c r="X355" s="8" t="e">
        <f t="shared" si="241"/>
        <v>#DIV/0!</v>
      </c>
      <c r="Y355" s="8">
        <f t="shared" si="242"/>
        <v>0</v>
      </c>
      <c r="Z355" s="8">
        <f t="shared" si="243"/>
        <v>0</v>
      </c>
      <c r="AA355" s="8">
        <f t="shared" si="244"/>
        <v>-1</v>
      </c>
      <c r="AB355" s="8" t="e">
        <f t="shared" si="245"/>
        <v>#DIV/0!</v>
      </c>
      <c r="AC355" s="12" t="e">
        <f t="shared" si="246"/>
        <v>#DIV/0!</v>
      </c>
      <c r="AD355" s="12" t="e">
        <f t="shared" si="247"/>
        <v>#DIV/0!</v>
      </c>
      <c r="AE355" s="1">
        <f t="shared" si="248"/>
        <v>0</v>
      </c>
      <c r="AF355" s="1">
        <f t="shared" si="249"/>
        <v>1</v>
      </c>
      <c r="AG355" s="1">
        <f t="shared" si="250"/>
        <v>0</v>
      </c>
      <c r="AH355" s="1">
        <f t="shared" si="251"/>
        <v>0</v>
      </c>
      <c r="AI355" s="1">
        <f t="shared" si="252"/>
        <v>-1</v>
      </c>
      <c r="AJ355" s="1">
        <f t="shared" si="253"/>
        <v>0</v>
      </c>
      <c r="AK355" s="17">
        <f t="shared" si="254"/>
        <v>0</v>
      </c>
      <c r="AL355" s="17">
        <f t="shared" si="255"/>
        <v>0</v>
      </c>
      <c r="AM355" s="1" t="e">
        <f t="shared" si="256"/>
        <v>#DIV/0!</v>
      </c>
      <c r="AN355" s="1" t="e">
        <f t="shared" si="257"/>
        <v>#DIV/0!</v>
      </c>
      <c r="AO355" s="1">
        <f t="shared" si="258"/>
        <v>-1</v>
      </c>
      <c r="AP355" s="1" t="e">
        <f t="shared" si="259"/>
        <v>#DIV/0!</v>
      </c>
      <c r="AQ355" s="1">
        <f t="shared" si="260"/>
        <v>-1</v>
      </c>
      <c r="AR355" s="1" t="e">
        <f t="shared" si="261"/>
        <v>#DIV/0!</v>
      </c>
      <c r="AS355" s="12" t="e">
        <f t="shared" si="262"/>
        <v>#DIV/0!</v>
      </c>
      <c r="AT355" s="12" t="e">
        <f t="shared" si="263"/>
        <v>#DIV/0!</v>
      </c>
      <c r="AU355" s="1">
        <f t="shared" si="264"/>
        <v>0</v>
      </c>
      <c r="AV355" s="1">
        <f t="shared" si="265"/>
        <v>1</v>
      </c>
      <c r="AW355" s="1">
        <f t="shared" si="266"/>
        <v>-1</v>
      </c>
      <c r="AX355" s="1">
        <f t="shared" si="267"/>
        <v>1</v>
      </c>
      <c r="AY355" s="1">
        <f t="shared" si="268"/>
        <v>-1</v>
      </c>
      <c r="AZ355" s="1">
        <f t="shared" si="269"/>
        <v>0</v>
      </c>
      <c r="BA355" s="19">
        <f t="shared" si="270"/>
        <v>0</v>
      </c>
      <c r="BB355" s="19">
        <f t="shared" si="271"/>
        <v>0</v>
      </c>
      <c r="BC355" s="9" t="e">
        <f t="shared" si="272"/>
        <v>#DIV/0!</v>
      </c>
      <c r="BD355" s="9" t="e">
        <f t="shared" si="273"/>
        <v>#DIV/0!</v>
      </c>
      <c r="BE355" s="9" t="e">
        <f t="shared" si="274"/>
        <v>#DIV/0!</v>
      </c>
      <c r="BF355" s="9">
        <f t="shared" si="275"/>
        <v>-1</v>
      </c>
      <c r="BG355" s="9" t="e">
        <f t="shared" si="276"/>
        <v>#DIV/0!</v>
      </c>
      <c r="BH355" s="9" t="e">
        <f t="shared" si="277"/>
        <v>#DIV/0!</v>
      </c>
      <c r="BI355" s="12" t="e">
        <f t="shared" si="278"/>
        <v>#DIV/0!</v>
      </c>
      <c r="BJ355" s="13" t="e">
        <f t="shared" si="279"/>
        <v>#DIV/0!</v>
      </c>
      <c r="BK355" s="1">
        <f t="shared" si="280"/>
        <v>0</v>
      </c>
      <c r="BL355" s="1">
        <f t="shared" si="281"/>
        <v>0</v>
      </c>
      <c r="BM355" s="1">
        <f t="shared" si="282"/>
        <v>1</v>
      </c>
      <c r="BN355" s="1">
        <f t="shared" si="283"/>
        <v>-1</v>
      </c>
      <c r="BO355" s="1">
        <f t="shared" si="284"/>
        <v>0</v>
      </c>
      <c r="BP355" s="1">
        <f t="shared" si="285"/>
        <v>0</v>
      </c>
      <c r="BQ355" s="19">
        <f t="shared" si="286"/>
        <v>0</v>
      </c>
      <c r="BR355" s="17">
        <f t="shared" si="287"/>
        <v>0</v>
      </c>
    </row>
    <row r="356" spans="1:70" x14ac:dyDescent="0.25">
      <c r="A356" t="s">
        <v>632</v>
      </c>
      <c r="D356">
        <v>1</v>
      </c>
      <c r="G356">
        <v>1</v>
      </c>
      <c r="K356">
        <v>1</v>
      </c>
      <c r="N356">
        <v>1</v>
      </c>
      <c r="W356" s="8" t="e">
        <f t="shared" si="240"/>
        <v>#DIV/0!</v>
      </c>
      <c r="X356" s="8" t="e">
        <f t="shared" si="241"/>
        <v>#DIV/0!</v>
      </c>
      <c r="Y356" s="8">
        <f t="shared" si="242"/>
        <v>-1</v>
      </c>
      <c r="Z356" s="8" t="e">
        <f t="shared" si="243"/>
        <v>#DIV/0!</v>
      </c>
      <c r="AA356" s="8" t="e">
        <f t="shared" si="244"/>
        <v>#DIV/0!</v>
      </c>
      <c r="AB356" s="8">
        <f t="shared" si="245"/>
        <v>-1</v>
      </c>
      <c r="AC356" s="12" t="e">
        <f t="shared" si="246"/>
        <v>#DIV/0!</v>
      </c>
      <c r="AD356" s="12" t="e">
        <f t="shared" si="247"/>
        <v>#DIV/0!</v>
      </c>
      <c r="AE356" s="1">
        <f t="shared" si="248"/>
        <v>0</v>
      </c>
      <c r="AF356" s="1">
        <f t="shared" si="249"/>
        <v>1</v>
      </c>
      <c r="AG356" s="1">
        <f t="shared" si="250"/>
        <v>-1</v>
      </c>
      <c r="AH356" s="1">
        <f t="shared" si="251"/>
        <v>0</v>
      </c>
      <c r="AI356" s="1">
        <f t="shared" si="252"/>
        <v>1</v>
      </c>
      <c r="AJ356" s="1">
        <f t="shared" si="253"/>
        <v>-1</v>
      </c>
      <c r="AK356" s="17">
        <f t="shared" si="254"/>
        <v>0</v>
      </c>
      <c r="AL356" s="17">
        <f t="shared" si="255"/>
        <v>0</v>
      </c>
      <c r="AM356" s="1" t="e">
        <f t="shared" si="256"/>
        <v>#DIV/0!</v>
      </c>
      <c r="AN356" s="1" t="e">
        <f t="shared" si="257"/>
        <v>#DIV/0!</v>
      </c>
      <c r="AO356" s="1">
        <f t="shared" si="258"/>
        <v>-1</v>
      </c>
      <c r="AP356" s="1" t="e">
        <f t="shared" si="259"/>
        <v>#DIV/0!</v>
      </c>
      <c r="AQ356" s="1" t="e">
        <f t="shared" si="260"/>
        <v>#DIV/0!</v>
      </c>
      <c r="AR356" s="1">
        <f t="shared" si="261"/>
        <v>-1</v>
      </c>
      <c r="AS356" s="12" t="e">
        <f t="shared" si="262"/>
        <v>#DIV/0!</v>
      </c>
      <c r="AT356" s="12" t="e">
        <f t="shared" si="263"/>
        <v>#DIV/0!</v>
      </c>
      <c r="AU356" s="1">
        <f t="shared" si="264"/>
        <v>0</v>
      </c>
      <c r="AV356" s="1">
        <f t="shared" si="265"/>
        <v>1</v>
      </c>
      <c r="AW356" s="1">
        <f t="shared" si="266"/>
        <v>-1</v>
      </c>
      <c r="AX356" s="1">
        <f t="shared" si="267"/>
        <v>0</v>
      </c>
      <c r="AY356" s="1">
        <f t="shared" si="268"/>
        <v>1</v>
      </c>
      <c r="AZ356" s="1">
        <f t="shared" si="269"/>
        <v>-1</v>
      </c>
      <c r="BA356" s="19">
        <f t="shared" si="270"/>
        <v>0</v>
      </c>
      <c r="BB356" s="19">
        <f t="shared" si="271"/>
        <v>0</v>
      </c>
      <c r="BC356" s="9" t="e">
        <f t="shared" si="272"/>
        <v>#DIV/0!</v>
      </c>
      <c r="BD356" s="9" t="e">
        <f t="shared" si="273"/>
        <v>#DIV/0!</v>
      </c>
      <c r="BE356" s="9" t="e">
        <f t="shared" si="274"/>
        <v>#DIV/0!</v>
      </c>
      <c r="BF356" s="9" t="e">
        <f t="shared" si="275"/>
        <v>#DIV/0!</v>
      </c>
      <c r="BG356" s="9" t="e">
        <f t="shared" si="276"/>
        <v>#DIV/0!</v>
      </c>
      <c r="BH356" s="9" t="e">
        <f t="shared" si="277"/>
        <v>#DIV/0!</v>
      </c>
      <c r="BI356" s="12" t="e">
        <f t="shared" si="278"/>
        <v>#DIV/0!</v>
      </c>
      <c r="BJ356" s="13" t="e">
        <f t="shared" si="279"/>
        <v>#DIV/0!</v>
      </c>
      <c r="BK356" s="1">
        <f t="shared" si="280"/>
        <v>0</v>
      </c>
      <c r="BL356" s="1">
        <f t="shared" si="281"/>
        <v>0</v>
      </c>
      <c r="BM356" s="1">
        <f t="shared" si="282"/>
        <v>0</v>
      </c>
      <c r="BN356" s="1">
        <f t="shared" si="283"/>
        <v>0</v>
      </c>
      <c r="BO356" s="1">
        <f t="shared" si="284"/>
        <v>0</v>
      </c>
      <c r="BP356" s="1">
        <f t="shared" si="285"/>
        <v>0</v>
      </c>
      <c r="BQ356" s="19">
        <f t="shared" si="286"/>
        <v>0</v>
      </c>
      <c r="BR356" s="17">
        <f t="shared" si="287"/>
        <v>0</v>
      </c>
    </row>
    <row r="357" spans="1:70" x14ac:dyDescent="0.25">
      <c r="A357" t="s">
        <v>633</v>
      </c>
      <c r="D357">
        <v>1</v>
      </c>
      <c r="F357">
        <v>1</v>
      </c>
      <c r="K357">
        <v>1</v>
      </c>
      <c r="M357">
        <v>1</v>
      </c>
      <c r="W357" s="8" t="e">
        <f t="shared" si="240"/>
        <v>#DIV/0!</v>
      </c>
      <c r="X357" s="8" t="e">
        <f t="shared" si="241"/>
        <v>#DIV/0!</v>
      </c>
      <c r="Y357" s="8">
        <f t="shared" si="242"/>
        <v>-1</v>
      </c>
      <c r="Z357" s="8" t="e">
        <f t="shared" si="243"/>
        <v>#DIV/0!</v>
      </c>
      <c r="AA357" s="8">
        <f t="shared" si="244"/>
        <v>-1</v>
      </c>
      <c r="AB357" s="8" t="e">
        <f t="shared" si="245"/>
        <v>#DIV/0!</v>
      </c>
      <c r="AC357" s="12" t="e">
        <f t="shared" si="246"/>
        <v>#DIV/0!</v>
      </c>
      <c r="AD357" s="12" t="e">
        <f t="shared" si="247"/>
        <v>#DIV/0!</v>
      </c>
      <c r="AE357" s="1">
        <f t="shared" si="248"/>
        <v>0</v>
      </c>
      <c r="AF357" s="1">
        <f t="shared" si="249"/>
        <v>1</v>
      </c>
      <c r="AG357" s="1">
        <f t="shared" si="250"/>
        <v>-1</v>
      </c>
      <c r="AH357" s="1">
        <f t="shared" si="251"/>
        <v>1</v>
      </c>
      <c r="AI357" s="1">
        <f t="shared" si="252"/>
        <v>-1</v>
      </c>
      <c r="AJ357" s="1">
        <f t="shared" si="253"/>
        <v>0</v>
      </c>
      <c r="AK357" s="17">
        <f t="shared" si="254"/>
        <v>0</v>
      </c>
      <c r="AL357" s="17">
        <f t="shared" si="255"/>
        <v>0</v>
      </c>
      <c r="AM357" s="1" t="e">
        <f t="shared" si="256"/>
        <v>#DIV/0!</v>
      </c>
      <c r="AN357" s="1" t="e">
        <f t="shared" si="257"/>
        <v>#DIV/0!</v>
      </c>
      <c r="AO357" s="1">
        <f t="shared" si="258"/>
        <v>-1</v>
      </c>
      <c r="AP357" s="1" t="e">
        <f t="shared" si="259"/>
        <v>#DIV/0!</v>
      </c>
      <c r="AQ357" s="1">
        <f t="shared" si="260"/>
        <v>-1</v>
      </c>
      <c r="AR357" s="1" t="e">
        <f t="shared" si="261"/>
        <v>#DIV/0!</v>
      </c>
      <c r="AS357" s="12" t="e">
        <f t="shared" si="262"/>
        <v>#DIV/0!</v>
      </c>
      <c r="AT357" s="12" t="e">
        <f t="shared" si="263"/>
        <v>#DIV/0!</v>
      </c>
      <c r="AU357" s="1">
        <f t="shared" si="264"/>
        <v>0</v>
      </c>
      <c r="AV357" s="1">
        <f t="shared" si="265"/>
        <v>1</v>
      </c>
      <c r="AW357" s="1">
        <f t="shared" si="266"/>
        <v>-1</v>
      </c>
      <c r="AX357" s="1">
        <f t="shared" si="267"/>
        <v>1</v>
      </c>
      <c r="AY357" s="1">
        <f t="shared" si="268"/>
        <v>-1</v>
      </c>
      <c r="AZ357" s="1">
        <f t="shared" si="269"/>
        <v>0</v>
      </c>
      <c r="BA357" s="19">
        <f t="shared" si="270"/>
        <v>0</v>
      </c>
      <c r="BB357" s="19">
        <f t="shared" si="271"/>
        <v>0</v>
      </c>
      <c r="BC357" s="9" t="e">
        <f t="shared" si="272"/>
        <v>#DIV/0!</v>
      </c>
      <c r="BD357" s="9" t="e">
        <f t="shared" si="273"/>
        <v>#DIV/0!</v>
      </c>
      <c r="BE357" s="9" t="e">
        <f t="shared" si="274"/>
        <v>#DIV/0!</v>
      </c>
      <c r="BF357" s="9" t="e">
        <f t="shared" si="275"/>
        <v>#DIV/0!</v>
      </c>
      <c r="BG357" s="9" t="e">
        <f t="shared" si="276"/>
        <v>#DIV/0!</v>
      </c>
      <c r="BH357" s="9" t="e">
        <f t="shared" si="277"/>
        <v>#DIV/0!</v>
      </c>
      <c r="BI357" s="12" t="e">
        <f t="shared" si="278"/>
        <v>#DIV/0!</v>
      </c>
      <c r="BJ357" s="13" t="e">
        <f t="shared" si="279"/>
        <v>#DIV/0!</v>
      </c>
      <c r="BK357" s="1">
        <f t="shared" si="280"/>
        <v>0</v>
      </c>
      <c r="BL357" s="1">
        <f t="shared" si="281"/>
        <v>0</v>
      </c>
      <c r="BM357" s="1">
        <f t="shared" si="282"/>
        <v>0</v>
      </c>
      <c r="BN357" s="1">
        <f t="shared" si="283"/>
        <v>0</v>
      </c>
      <c r="BO357" s="1">
        <f t="shared" si="284"/>
        <v>0</v>
      </c>
      <c r="BP357" s="1">
        <f t="shared" si="285"/>
        <v>0</v>
      </c>
      <c r="BQ357" s="19">
        <f t="shared" si="286"/>
        <v>0</v>
      </c>
      <c r="BR357" s="17">
        <f t="shared" si="287"/>
        <v>0</v>
      </c>
    </row>
    <row r="358" spans="1:70" x14ac:dyDescent="0.25">
      <c r="A358" t="s">
        <v>634</v>
      </c>
      <c r="D358">
        <v>1</v>
      </c>
      <c r="R358">
        <v>1</v>
      </c>
      <c r="W358" s="8" t="e">
        <f t="shared" si="240"/>
        <v>#DIV/0!</v>
      </c>
      <c r="X358" s="8" t="e">
        <f t="shared" si="241"/>
        <v>#DIV/0!</v>
      </c>
      <c r="Y358" s="8">
        <f t="shared" si="242"/>
        <v>-1</v>
      </c>
      <c r="Z358" s="8" t="e">
        <f t="shared" si="243"/>
        <v>#DIV/0!</v>
      </c>
      <c r="AA358" s="8" t="e">
        <f t="shared" si="244"/>
        <v>#DIV/0!</v>
      </c>
      <c r="AB358" s="8" t="e">
        <f t="shared" si="245"/>
        <v>#DIV/0!</v>
      </c>
      <c r="AC358" s="12" t="e">
        <f t="shared" si="246"/>
        <v>#DIV/0!</v>
      </c>
      <c r="AD358" s="12" t="e">
        <f t="shared" si="247"/>
        <v>#DIV/0!</v>
      </c>
      <c r="AE358" s="1">
        <f t="shared" si="248"/>
        <v>0</v>
      </c>
      <c r="AF358" s="1">
        <f t="shared" si="249"/>
        <v>1</v>
      </c>
      <c r="AG358" s="1">
        <f t="shared" si="250"/>
        <v>-1</v>
      </c>
      <c r="AH358" s="1">
        <f t="shared" si="251"/>
        <v>0</v>
      </c>
      <c r="AI358" s="1">
        <f t="shared" si="252"/>
        <v>0</v>
      </c>
      <c r="AJ358" s="1">
        <f t="shared" si="253"/>
        <v>0</v>
      </c>
      <c r="AK358" s="17">
        <f t="shared" si="254"/>
        <v>0</v>
      </c>
      <c r="AL358" s="17">
        <f t="shared" si="255"/>
        <v>0</v>
      </c>
      <c r="AM358" s="1" t="e">
        <f t="shared" si="256"/>
        <v>#DIV/0!</v>
      </c>
      <c r="AN358" s="1" t="e">
        <f t="shared" si="257"/>
        <v>#DIV/0!</v>
      </c>
      <c r="AO358" s="1" t="e">
        <f t="shared" si="258"/>
        <v>#DIV/0!</v>
      </c>
      <c r="AP358" s="1" t="e">
        <f t="shared" si="259"/>
        <v>#DIV/0!</v>
      </c>
      <c r="AQ358" s="1" t="e">
        <f t="shared" si="260"/>
        <v>#DIV/0!</v>
      </c>
      <c r="AR358" s="1" t="e">
        <f t="shared" si="261"/>
        <v>#DIV/0!</v>
      </c>
      <c r="AS358" s="12" t="e">
        <f t="shared" si="262"/>
        <v>#DIV/0!</v>
      </c>
      <c r="AT358" s="12" t="e">
        <f t="shared" si="263"/>
        <v>#DIV/0!</v>
      </c>
      <c r="AU358" s="1">
        <f t="shared" si="264"/>
        <v>0</v>
      </c>
      <c r="AV358" s="1">
        <f t="shared" si="265"/>
        <v>0</v>
      </c>
      <c r="AW358" s="1">
        <f t="shared" si="266"/>
        <v>0</v>
      </c>
      <c r="AX358" s="1">
        <f t="shared" si="267"/>
        <v>0</v>
      </c>
      <c r="AY358" s="1">
        <f t="shared" si="268"/>
        <v>0</v>
      </c>
      <c r="AZ358" s="1">
        <f t="shared" si="269"/>
        <v>0</v>
      </c>
      <c r="BA358" s="19">
        <f t="shared" si="270"/>
        <v>0</v>
      </c>
      <c r="BB358" s="19">
        <f t="shared" si="271"/>
        <v>0</v>
      </c>
      <c r="BC358" s="9" t="e">
        <f t="shared" si="272"/>
        <v>#DIV/0!</v>
      </c>
      <c r="BD358" s="9" t="e">
        <f t="shared" si="273"/>
        <v>#DIV/0!</v>
      </c>
      <c r="BE358" s="9">
        <f t="shared" si="274"/>
        <v>-1</v>
      </c>
      <c r="BF358" s="9" t="e">
        <f t="shared" si="275"/>
        <v>#DIV/0!</v>
      </c>
      <c r="BG358" s="9" t="e">
        <f t="shared" si="276"/>
        <v>#DIV/0!</v>
      </c>
      <c r="BH358" s="9" t="e">
        <f t="shared" si="277"/>
        <v>#DIV/0!</v>
      </c>
      <c r="BI358" s="12" t="e">
        <f t="shared" si="278"/>
        <v>#DIV/0!</v>
      </c>
      <c r="BJ358" s="13" t="e">
        <f t="shared" si="279"/>
        <v>#DIV/0!</v>
      </c>
      <c r="BK358" s="1">
        <f t="shared" si="280"/>
        <v>0</v>
      </c>
      <c r="BL358" s="1">
        <f t="shared" si="281"/>
        <v>1</v>
      </c>
      <c r="BM358" s="1">
        <f t="shared" si="282"/>
        <v>-1</v>
      </c>
      <c r="BN358" s="1">
        <f t="shared" si="283"/>
        <v>0</v>
      </c>
      <c r="BO358" s="1">
        <f t="shared" si="284"/>
        <v>0</v>
      </c>
      <c r="BP358" s="1">
        <f t="shared" si="285"/>
        <v>0</v>
      </c>
      <c r="BQ358" s="19">
        <f t="shared" si="286"/>
        <v>0</v>
      </c>
      <c r="BR358" s="17">
        <f t="shared" si="287"/>
        <v>0</v>
      </c>
    </row>
    <row r="359" spans="1:70" x14ac:dyDescent="0.25">
      <c r="A359" t="s">
        <v>636</v>
      </c>
      <c r="D359">
        <v>1</v>
      </c>
      <c r="F359">
        <v>1</v>
      </c>
      <c r="K359">
        <v>1</v>
      </c>
      <c r="M359">
        <v>1</v>
      </c>
      <c r="W359" s="8" t="e">
        <f t="shared" si="240"/>
        <v>#DIV/0!</v>
      </c>
      <c r="X359" s="8" t="e">
        <f t="shared" si="241"/>
        <v>#DIV/0!</v>
      </c>
      <c r="Y359" s="8">
        <f t="shared" si="242"/>
        <v>-1</v>
      </c>
      <c r="Z359" s="8" t="e">
        <f t="shared" si="243"/>
        <v>#DIV/0!</v>
      </c>
      <c r="AA359" s="8">
        <f t="shared" si="244"/>
        <v>-1</v>
      </c>
      <c r="AB359" s="8" t="e">
        <f t="shared" si="245"/>
        <v>#DIV/0!</v>
      </c>
      <c r="AC359" s="12" t="e">
        <f t="shared" si="246"/>
        <v>#DIV/0!</v>
      </c>
      <c r="AD359" s="12" t="e">
        <f t="shared" si="247"/>
        <v>#DIV/0!</v>
      </c>
      <c r="AE359" s="1">
        <f t="shared" si="248"/>
        <v>0</v>
      </c>
      <c r="AF359" s="1">
        <f t="shared" si="249"/>
        <v>1</v>
      </c>
      <c r="AG359" s="1">
        <f t="shared" si="250"/>
        <v>-1</v>
      </c>
      <c r="AH359" s="1">
        <f t="shared" si="251"/>
        <v>1</v>
      </c>
      <c r="AI359" s="1">
        <f t="shared" si="252"/>
        <v>-1</v>
      </c>
      <c r="AJ359" s="1">
        <f t="shared" si="253"/>
        <v>0</v>
      </c>
      <c r="AK359" s="17">
        <f t="shared" si="254"/>
        <v>0</v>
      </c>
      <c r="AL359" s="17">
        <f t="shared" si="255"/>
        <v>0</v>
      </c>
      <c r="AM359" s="1" t="e">
        <f t="shared" si="256"/>
        <v>#DIV/0!</v>
      </c>
      <c r="AN359" s="1" t="e">
        <f t="shared" si="257"/>
        <v>#DIV/0!</v>
      </c>
      <c r="AO359" s="1">
        <f t="shared" si="258"/>
        <v>-1</v>
      </c>
      <c r="AP359" s="1" t="e">
        <f t="shared" si="259"/>
        <v>#DIV/0!</v>
      </c>
      <c r="AQ359" s="1">
        <f t="shared" si="260"/>
        <v>-1</v>
      </c>
      <c r="AR359" s="1" t="e">
        <f t="shared" si="261"/>
        <v>#DIV/0!</v>
      </c>
      <c r="AS359" s="12" t="e">
        <f t="shared" si="262"/>
        <v>#DIV/0!</v>
      </c>
      <c r="AT359" s="12" t="e">
        <f t="shared" si="263"/>
        <v>#DIV/0!</v>
      </c>
      <c r="AU359" s="1">
        <f t="shared" si="264"/>
        <v>0</v>
      </c>
      <c r="AV359" s="1">
        <f t="shared" si="265"/>
        <v>1</v>
      </c>
      <c r="AW359" s="1">
        <f t="shared" si="266"/>
        <v>-1</v>
      </c>
      <c r="AX359" s="1">
        <f t="shared" si="267"/>
        <v>1</v>
      </c>
      <c r="AY359" s="1">
        <f t="shared" si="268"/>
        <v>-1</v>
      </c>
      <c r="AZ359" s="1">
        <f t="shared" si="269"/>
        <v>0</v>
      </c>
      <c r="BA359" s="19">
        <f t="shared" si="270"/>
        <v>0</v>
      </c>
      <c r="BB359" s="19">
        <f t="shared" si="271"/>
        <v>0</v>
      </c>
      <c r="BC359" s="9" t="e">
        <f t="shared" si="272"/>
        <v>#DIV/0!</v>
      </c>
      <c r="BD359" s="9" t="e">
        <f t="shared" si="273"/>
        <v>#DIV/0!</v>
      </c>
      <c r="BE359" s="9" t="e">
        <f t="shared" si="274"/>
        <v>#DIV/0!</v>
      </c>
      <c r="BF359" s="9" t="e">
        <f t="shared" si="275"/>
        <v>#DIV/0!</v>
      </c>
      <c r="BG359" s="9" t="e">
        <f t="shared" si="276"/>
        <v>#DIV/0!</v>
      </c>
      <c r="BH359" s="9" t="e">
        <f t="shared" si="277"/>
        <v>#DIV/0!</v>
      </c>
      <c r="BI359" s="12" t="e">
        <f t="shared" si="278"/>
        <v>#DIV/0!</v>
      </c>
      <c r="BJ359" s="13" t="e">
        <f t="shared" si="279"/>
        <v>#DIV/0!</v>
      </c>
      <c r="BK359" s="1">
        <f t="shared" si="280"/>
        <v>0</v>
      </c>
      <c r="BL359" s="1">
        <f t="shared" si="281"/>
        <v>0</v>
      </c>
      <c r="BM359" s="1">
        <f t="shared" si="282"/>
        <v>0</v>
      </c>
      <c r="BN359" s="1">
        <f t="shared" si="283"/>
        <v>0</v>
      </c>
      <c r="BO359" s="1">
        <f t="shared" si="284"/>
        <v>0</v>
      </c>
      <c r="BP359" s="1">
        <f t="shared" si="285"/>
        <v>0</v>
      </c>
      <c r="BQ359" s="19">
        <f t="shared" si="286"/>
        <v>0</v>
      </c>
      <c r="BR359" s="17">
        <f t="shared" si="287"/>
        <v>0</v>
      </c>
    </row>
    <row r="360" spans="1:70" x14ac:dyDescent="0.25">
      <c r="A360" t="s">
        <v>637</v>
      </c>
      <c r="D360">
        <v>1</v>
      </c>
      <c r="K360">
        <v>1</v>
      </c>
      <c r="W360" s="8" t="e">
        <f t="shared" si="240"/>
        <v>#DIV/0!</v>
      </c>
      <c r="X360" s="8" t="e">
        <f t="shared" si="241"/>
        <v>#DIV/0!</v>
      </c>
      <c r="Y360" s="8">
        <f t="shared" si="242"/>
        <v>-1</v>
      </c>
      <c r="Z360" s="8" t="e">
        <f t="shared" si="243"/>
        <v>#DIV/0!</v>
      </c>
      <c r="AA360" s="8" t="e">
        <f t="shared" si="244"/>
        <v>#DIV/0!</v>
      </c>
      <c r="AB360" s="8" t="e">
        <f t="shared" si="245"/>
        <v>#DIV/0!</v>
      </c>
      <c r="AC360" s="12" t="e">
        <f t="shared" si="246"/>
        <v>#DIV/0!</v>
      </c>
      <c r="AD360" s="12" t="e">
        <f t="shared" si="247"/>
        <v>#DIV/0!</v>
      </c>
      <c r="AE360" s="1">
        <f t="shared" si="248"/>
        <v>0</v>
      </c>
      <c r="AF360" s="1">
        <f t="shared" si="249"/>
        <v>1</v>
      </c>
      <c r="AG360" s="1">
        <f t="shared" si="250"/>
        <v>-1</v>
      </c>
      <c r="AH360" s="1">
        <f t="shared" si="251"/>
        <v>0</v>
      </c>
      <c r="AI360" s="1">
        <f t="shared" si="252"/>
        <v>0</v>
      </c>
      <c r="AJ360" s="1">
        <f t="shared" si="253"/>
        <v>0</v>
      </c>
      <c r="AK360" s="17">
        <f t="shared" si="254"/>
        <v>0</v>
      </c>
      <c r="AL360" s="17">
        <f t="shared" si="255"/>
        <v>0</v>
      </c>
      <c r="AM360" s="1" t="e">
        <f t="shared" si="256"/>
        <v>#DIV/0!</v>
      </c>
      <c r="AN360" s="1" t="e">
        <f t="shared" si="257"/>
        <v>#DIV/0!</v>
      </c>
      <c r="AO360" s="1">
        <f t="shared" si="258"/>
        <v>-1</v>
      </c>
      <c r="AP360" s="1" t="e">
        <f t="shared" si="259"/>
        <v>#DIV/0!</v>
      </c>
      <c r="AQ360" s="1" t="e">
        <f t="shared" si="260"/>
        <v>#DIV/0!</v>
      </c>
      <c r="AR360" s="1" t="e">
        <f t="shared" si="261"/>
        <v>#DIV/0!</v>
      </c>
      <c r="AS360" s="12" t="e">
        <f t="shared" si="262"/>
        <v>#DIV/0!</v>
      </c>
      <c r="AT360" s="12" t="e">
        <f t="shared" si="263"/>
        <v>#DIV/0!</v>
      </c>
      <c r="AU360" s="1">
        <f t="shared" si="264"/>
        <v>0</v>
      </c>
      <c r="AV360" s="1">
        <f t="shared" si="265"/>
        <v>1</v>
      </c>
      <c r="AW360" s="1">
        <f t="shared" si="266"/>
        <v>-1</v>
      </c>
      <c r="AX360" s="1">
        <f t="shared" si="267"/>
        <v>0</v>
      </c>
      <c r="AY360" s="1">
        <f t="shared" si="268"/>
        <v>0</v>
      </c>
      <c r="AZ360" s="1">
        <f t="shared" si="269"/>
        <v>0</v>
      </c>
      <c r="BA360" s="19">
        <f t="shared" si="270"/>
        <v>0</v>
      </c>
      <c r="BB360" s="19">
        <f t="shared" si="271"/>
        <v>0</v>
      </c>
      <c r="BC360" s="9" t="e">
        <f t="shared" si="272"/>
        <v>#DIV/0!</v>
      </c>
      <c r="BD360" s="9" t="e">
        <f t="shared" si="273"/>
        <v>#DIV/0!</v>
      </c>
      <c r="BE360" s="9" t="e">
        <f t="shared" si="274"/>
        <v>#DIV/0!</v>
      </c>
      <c r="BF360" s="9" t="e">
        <f t="shared" si="275"/>
        <v>#DIV/0!</v>
      </c>
      <c r="BG360" s="9" t="e">
        <f t="shared" si="276"/>
        <v>#DIV/0!</v>
      </c>
      <c r="BH360" s="9" t="e">
        <f t="shared" si="277"/>
        <v>#DIV/0!</v>
      </c>
      <c r="BI360" s="12" t="e">
        <f t="shared" si="278"/>
        <v>#DIV/0!</v>
      </c>
      <c r="BJ360" s="13" t="e">
        <f t="shared" si="279"/>
        <v>#DIV/0!</v>
      </c>
      <c r="BK360" s="1">
        <f t="shared" si="280"/>
        <v>0</v>
      </c>
      <c r="BL360" s="1">
        <f t="shared" si="281"/>
        <v>0</v>
      </c>
      <c r="BM360" s="1">
        <f t="shared" si="282"/>
        <v>0</v>
      </c>
      <c r="BN360" s="1">
        <f t="shared" si="283"/>
        <v>0</v>
      </c>
      <c r="BO360" s="1">
        <f t="shared" si="284"/>
        <v>0</v>
      </c>
      <c r="BP360" s="1">
        <f t="shared" si="285"/>
        <v>0</v>
      </c>
      <c r="BQ360" s="19">
        <f t="shared" si="286"/>
        <v>0</v>
      </c>
      <c r="BR360" s="17">
        <f t="shared" si="287"/>
        <v>0</v>
      </c>
    </row>
    <row r="361" spans="1:70" x14ac:dyDescent="0.25">
      <c r="A361" t="s">
        <v>638</v>
      </c>
      <c r="E361">
        <v>3</v>
      </c>
      <c r="L361">
        <v>3</v>
      </c>
      <c r="W361" s="8" t="e">
        <f t="shared" si="240"/>
        <v>#DIV/0!</v>
      </c>
      <c r="X361" s="8" t="e">
        <f t="shared" si="241"/>
        <v>#DIV/0!</v>
      </c>
      <c r="Y361" s="8" t="e">
        <f t="shared" si="242"/>
        <v>#DIV/0!</v>
      </c>
      <c r="Z361" s="8">
        <f t="shared" si="243"/>
        <v>-1</v>
      </c>
      <c r="AA361" s="8" t="e">
        <f t="shared" si="244"/>
        <v>#DIV/0!</v>
      </c>
      <c r="AB361" s="8" t="e">
        <f t="shared" si="245"/>
        <v>#DIV/0!</v>
      </c>
      <c r="AC361" s="12" t="e">
        <f t="shared" si="246"/>
        <v>#DIV/0!</v>
      </c>
      <c r="AD361" s="12" t="e">
        <f t="shared" si="247"/>
        <v>#DIV/0!</v>
      </c>
      <c r="AE361" s="1">
        <f t="shared" si="248"/>
        <v>0</v>
      </c>
      <c r="AF361" s="1">
        <f t="shared" si="249"/>
        <v>0</v>
      </c>
      <c r="AG361" s="1">
        <f t="shared" si="250"/>
        <v>3</v>
      </c>
      <c r="AH361" s="1">
        <f t="shared" si="251"/>
        <v>-3</v>
      </c>
      <c r="AI361" s="1">
        <f t="shared" si="252"/>
        <v>0</v>
      </c>
      <c r="AJ361" s="1">
        <f t="shared" si="253"/>
        <v>0</v>
      </c>
      <c r="AK361" s="17">
        <f t="shared" si="254"/>
        <v>0</v>
      </c>
      <c r="AL361" s="17">
        <f t="shared" si="255"/>
        <v>0</v>
      </c>
      <c r="AM361" s="1" t="e">
        <f t="shared" si="256"/>
        <v>#DIV/0!</v>
      </c>
      <c r="AN361" s="1" t="e">
        <f t="shared" si="257"/>
        <v>#DIV/0!</v>
      </c>
      <c r="AO361" s="1" t="e">
        <f t="shared" si="258"/>
        <v>#DIV/0!</v>
      </c>
      <c r="AP361" s="1">
        <f t="shared" si="259"/>
        <v>-1</v>
      </c>
      <c r="AQ361" s="1" t="e">
        <f t="shared" si="260"/>
        <v>#DIV/0!</v>
      </c>
      <c r="AR361" s="1" t="e">
        <f t="shared" si="261"/>
        <v>#DIV/0!</v>
      </c>
      <c r="AS361" s="12" t="e">
        <f t="shared" si="262"/>
        <v>#DIV/0!</v>
      </c>
      <c r="AT361" s="12" t="e">
        <f t="shared" si="263"/>
        <v>#DIV/0!</v>
      </c>
      <c r="AU361" s="1">
        <f t="shared" si="264"/>
        <v>0</v>
      </c>
      <c r="AV361" s="1">
        <f t="shared" si="265"/>
        <v>0</v>
      </c>
      <c r="AW361" s="1">
        <f t="shared" si="266"/>
        <v>3</v>
      </c>
      <c r="AX361" s="1">
        <f t="shared" si="267"/>
        <v>-3</v>
      </c>
      <c r="AY361" s="1">
        <f t="shared" si="268"/>
        <v>0</v>
      </c>
      <c r="AZ361" s="1">
        <f t="shared" si="269"/>
        <v>0</v>
      </c>
      <c r="BA361" s="19">
        <f t="shared" si="270"/>
        <v>0</v>
      </c>
      <c r="BB361" s="19">
        <f t="shared" si="271"/>
        <v>0</v>
      </c>
      <c r="BC361" s="9" t="e">
        <f t="shared" si="272"/>
        <v>#DIV/0!</v>
      </c>
      <c r="BD361" s="9" t="e">
        <f t="shared" si="273"/>
        <v>#DIV/0!</v>
      </c>
      <c r="BE361" s="9" t="e">
        <f t="shared" si="274"/>
        <v>#DIV/0!</v>
      </c>
      <c r="BF361" s="9" t="e">
        <f t="shared" si="275"/>
        <v>#DIV/0!</v>
      </c>
      <c r="BG361" s="9" t="e">
        <f t="shared" si="276"/>
        <v>#DIV/0!</v>
      </c>
      <c r="BH361" s="9" t="e">
        <f t="shared" si="277"/>
        <v>#DIV/0!</v>
      </c>
      <c r="BI361" s="12" t="e">
        <f t="shared" si="278"/>
        <v>#DIV/0!</v>
      </c>
      <c r="BJ361" s="13" t="e">
        <f t="shared" si="279"/>
        <v>#DIV/0!</v>
      </c>
      <c r="BK361" s="1">
        <f t="shared" si="280"/>
        <v>0</v>
      </c>
      <c r="BL361" s="1">
        <f t="shared" si="281"/>
        <v>0</v>
      </c>
      <c r="BM361" s="1">
        <f t="shared" si="282"/>
        <v>0</v>
      </c>
      <c r="BN361" s="1">
        <f t="shared" si="283"/>
        <v>0</v>
      </c>
      <c r="BO361" s="1">
        <f t="shared" si="284"/>
        <v>0</v>
      </c>
      <c r="BP361" s="1">
        <f t="shared" si="285"/>
        <v>0</v>
      </c>
      <c r="BQ361" s="19">
        <f t="shared" si="286"/>
        <v>0</v>
      </c>
      <c r="BR361" s="17">
        <f t="shared" si="287"/>
        <v>0</v>
      </c>
    </row>
    <row r="362" spans="1:70" x14ac:dyDescent="0.25">
      <c r="A362" t="s">
        <v>641</v>
      </c>
      <c r="E362">
        <v>2</v>
      </c>
      <c r="L362">
        <v>1</v>
      </c>
      <c r="S362">
        <v>1</v>
      </c>
      <c r="W362" s="8" t="e">
        <f t="shared" si="240"/>
        <v>#DIV/0!</v>
      </c>
      <c r="X362" s="8" t="e">
        <f t="shared" si="241"/>
        <v>#DIV/0!</v>
      </c>
      <c r="Y362" s="8" t="e">
        <f t="shared" si="242"/>
        <v>#DIV/0!</v>
      </c>
      <c r="Z362" s="8">
        <f t="shared" si="243"/>
        <v>-1</v>
      </c>
      <c r="AA362" s="8" t="e">
        <f t="shared" si="244"/>
        <v>#DIV/0!</v>
      </c>
      <c r="AB362" s="8" t="e">
        <f t="shared" si="245"/>
        <v>#DIV/0!</v>
      </c>
      <c r="AC362" s="12" t="e">
        <f t="shared" si="246"/>
        <v>#DIV/0!</v>
      </c>
      <c r="AD362" s="12" t="e">
        <f t="shared" si="247"/>
        <v>#DIV/0!</v>
      </c>
      <c r="AE362" s="1">
        <f t="shared" si="248"/>
        <v>0</v>
      </c>
      <c r="AF362" s="1">
        <f t="shared" si="249"/>
        <v>0</v>
      </c>
      <c r="AG362" s="1">
        <f t="shared" si="250"/>
        <v>2</v>
      </c>
      <c r="AH362" s="1">
        <f t="shared" si="251"/>
        <v>-2</v>
      </c>
      <c r="AI362" s="1">
        <f t="shared" si="252"/>
        <v>0</v>
      </c>
      <c r="AJ362" s="1">
        <f t="shared" si="253"/>
        <v>0</v>
      </c>
      <c r="AK362" s="17">
        <f t="shared" si="254"/>
        <v>0</v>
      </c>
      <c r="AL362" s="17">
        <f t="shared" si="255"/>
        <v>0</v>
      </c>
      <c r="AM362" s="1" t="e">
        <f t="shared" si="256"/>
        <v>#DIV/0!</v>
      </c>
      <c r="AN362" s="1" t="e">
        <f t="shared" si="257"/>
        <v>#DIV/0!</v>
      </c>
      <c r="AO362" s="1" t="e">
        <f t="shared" si="258"/>
        <v>#DIV/0!</v>
      </c>
      <c r="AP362" s="1">
        <f t="shared" si="259"/>
        <v>-1</v>
      </c>
      <c r="AQ362" s="1" t="e">
        <f t="shared" si="260"/>
        <v>#DIV/0!</v>
      </c>
      <c r="AR362" s="1" t="e">
        <f t="shared" si="261"/>
        <v>#DIV/0!</v>
      </c>
      <c r="AS362" s="12" t="e">
        <f t="shared" si="262"/>
        <v>#DIV/0!</v>
      </c>
      <c r="AT362" s="12" t="e">
        <f t="shared" si="263"/>
        <v>#DIV/0!</v>
      </c>
      <c r="AU362" s="1">
        <f t="shared" si="264"/>
        <v>0</v>
      </c>
      <c r="AV362" s="1">
        <f t="shared" si="265"/>
        <v>0</v>
      </c>
      <c r="AW362" s="1">
        <f t="shared" si="266"/>
        <v>1</v>
      </c>
      <c r="AX362" s="1">
        <f t="shared" si="267"/>
        <v>-1</v>
      </c>
      <c r="AY362" s="1">
        <f t="shared" si="268"/>
        <v>0</v>
      </c>
      <c r="AZ362" s="1">
        <f t="shared" si="269"/>
        <v>0</v>
      </c>
      <c r="BA362" s="19">
        <f t="shared" si="270"/>
        <v>0</v>
      </c>
      <c r="BB362" s="19">
        <f t="shared" si="271"/>
        <v>0</v>
      </c>
      <c r="BC362" s="9" t="e">
        <f t="shared" si="272"/>
        <v>#DIV/0!</v>
      </c>
      <c r="BD362" s="9" t="e">
        <f t="shared" si="273"/>
        <v>#DIV/0!</v>
      </c>
      <c r="BE362" s="9" t="e">
        <f t="shared" si="274"/>
        <v>#DIV/0!</v>
      </c>
      <c r="BF362" s="9">
        <f t="shared" si="275"/>
        <v>-1</v>
      </c>
      <c r="BG362" s="9" t="e">
        <f t="shared" si="276"/>
        <v>#DIV/0!</v>
      </c>
      <c r="BH362" s="9" t="e">
        <f t="shared" si="277"/>
        <v>#DIV/0!</v>
      </c>
      <c r="BI362" s="12" t="e">
        <f t="shared" si="278"/>
        <v>#DIV/0!</v>
      </c>
      <c r="BJ362" s="13" t="e">
        <f t="shared" si="279"/>
        <v>#DIV/0!</v>
      </c>
      <c r="BK362" s="1">
        <f t="shared" si="280"/>
        <v>0</v>
      </c>
      <c r="BL362" s="1">
        <f t="shared" si="281"/>
        <v>0</v>
      </c>
      <c r="BM362" s="1">
        <f t="shared" si="282"/>
        <v>1</v>
      </c>
      <c r="BN362" s="1">
        <f t="shared" si="283"/>
        <v>-1</v>
      </c>
      <c r="BO362" s="1">
        <f t="shared" si="284"/>
        <v>0</v>
      </c>
      <c r="BP362" s="1">
        <f t="shared" si="285"/>
        <v>0</v>
      </c>
      <c r="BQ362" s="19">
        <f t="shared" si="286"/>
        <v>0</v>
      </c>
      <c r="BR362" s="17">
        <f t="shared" si="287"/>
        <v>0</v>
      </c>
    </row>
    <row r="363" spans="1:70" x14ac:dyDescent="0.25">
      <c r="A363" t="s">
        <v>642</v>
      </c>
      <c r="E363">
        <v>1</v>
      </c>
      <c r="S363">
        <v>1</v>
      </c>
      <c r="W363" s="8" t="e">
        <f t="shared" si="240"/>
        <v>#DIV/0!</v>
      </c>
      <c r="X363" s="8" t="e">
        <f t="shared" si="241"/>
        <v>#DIV/0!</v>
      </c>
      <c r="Y363" s="8" t="e">
        <f t="shared" si="242"/>
        <v>#DIV/0!</v>
      </c>
      <c r="Z363" s="8">
        <f t="shared" si="243"/>
        <v>-1</v>
      </c>
      <c r="AA363" s="8" t="e">
        <f t="shared" si="244"/>
        <v>#DIV/0!</v>
      </c>
      <c r="AB363" s="8" t="e">
        <f t="shared" si="245"/>
        <v>#DIV/0!</v>
      </c>
      <c r="AC363" s="12" t="e">
        <f t="shared" si="246"/>
        <v>#DIV/0!</v>
      </c>
      <c r="AD363" s="12" t="e">
        <f t="shared" si="247"/>
        <v>#DIV/0!</v>
      </c>
      <c r="AE363" s="1">
        <f t="shared" si="248"/>
        <v>0</v>
      </c>
      <c r="AF363" s="1">
        <f t="shared" si="249"/>
        <v>0</v>
      </c>
      <c r="AG363" s="1">
        <f t="shared" si="250"/>
        <v>1</v>
      </c>
      <c r="AH363" s="1">
        <f t="shared" si="251"/>
        <v>-1</v>
      </c>
      <c r="AI363" s="1">
        <f t="shared" si="252"/>
        <v>0</v>
      </c>
      <c r="AJ363" s="1">
        <f t="shared" si="253"/>
        <v>0</v>
      </c>
      <c r="AK363" s="17">
        <f t="shared" si="254"/>
        <v>0</v>
      </c>
      <c r="AL363" s="17">
        <f t="shared" si="255"/>
        <v>0</v>
      </c>
      <c r="AM363" s="1" t="e">
        <f t="shared" si="256"/>
        <v>#DIV/0!</v>
      </c>
      <c r="AN363" s="1" t="e">
        <f t="shared" si="257"/>
        <v>#DIV/0!</v>
      </c>
      <c r="AO363" s="1" t="e">
        <f t="shared" si="258"/>
        <v>#DIV/0!</v>
      </c>
      <c r="AP363" s="1" t="e">
        <f t="shared" si="259"/>
        <v>#DIV/0!</v>
      </c>
      <c r="AQ363" s="1" t="e">
        <f t="shared" si="260"/>
        <v>#DIV/0!</v>
      </c>
      <c r="AR363" s="1" t="e">
        <f t="shared" si="261"/>
        <v>#DIV/0!</v>
      </c>
      <c r="AS363" s="12" t="e">
        <f t="shared" si="262"/>
        <v>#DIV/0!</v>
      </c>
      <c r="AT363" s="12" t="e">
        <f t="shared" si="263"/>
        <v>#DIV/0!</v>
      </c>
      <c r="AU363" s="1">
        <f t="shared" si="264"/>
        <v>0</v>
      </c>
      <c r="AV363" s="1">
        <f t="shared" si="265"/>
        <v>0</v>
      </c>
      <c r="AW363" s="1">
        <f t="shared" si="266"/>
        <v>0</v>
      </c>
      <c r="AX363" s="1">
        <f t="shared" si="267"/>
        <v>0</v>
      </c>
      <c r="AY363" s="1">
        <f t="shared" si="268"/>
        <v>0</v>
      </c>
      <c r="AZ363" s="1">
        <f t="shared" si="269"/>
        <v>0</v>
      </c>
      <c r="BA363" s="19">
        <f t="shared" si="270"/>
        <v>0</v>
      </c>
      <c r="BB363" s="19">
        <f t="shared" si="271"/>
        <v>0</v>
      </c>
      <c r="BC363" s="9" t="e">
        <f t="shared" si="272"/>
        <v>#DIV/0!</v>
      </c>
      <c r="BD363" s="9" t="e">
        <f t="shared" si="273"/>
        <v>#DIV/0!</v>
      </c>
      <c r="BE363" s="9" t="e">
        <f t="shared" si="274"/>
        <v>#DIV/0!</v>
      </c>
      <c r="BF363" s="9">
        <f t="shared" si="275"/>
        <v>-1</v>
      </c>
      <c r="BG363" s="9" t="e">
        <f t="shared" si="276"/>
        <v>#DIV/0!</v>
      </c>
      <c r="BH363" s="9" t="e">
        <f t="shared" si="277"/>
        <v>#DIV/0!</v>
      </c>
      <c r="BI363" s="12" t="e">
        <f t="shared" si="278"/>
        <v>#DIV/0!</v>
      </c>
      <c r="BJ363" s="13" t="e">
        <f t="shared" si="279"/>
        <v>#DIV/0!</v>
      </c>
      <c r="BK363" s="1">
        <f t="shared" si="280"/>
        <v>0</v>
      </c>
      <c r="BL363" s="1">
        <f t="shared" si="281"/>
        <v>0</v>
      </c>
      <c r="BM363" s="1">
        <f t="shared" si="282"/>
        <v>1</v>
      </c>
      <c r="BN363" s="1">
        <f t="shared" si="283"/>
        <v>-1</v>
      </c>
      <c r="BO363" s="1">
        <f t="shared" si="284"/>
        <v>0</v>
      </c>
      <c r="BP363" s="1">
        <f t="shared" si="285"/>
        <v>0</v>
      </c>
      <c r="BQ363" s="19">
        <f t="shared" si="286"/>
        <v>0</v>
      </c>
      <c r="BR363" s="17">
        <f t="shared" si="287"/>
        <v>0</v>
      </c>
    </row>
    <row r="364" spans="1:70" x14ac:dyDescent="0.25">
      <c r="A364" t="s">
        <v>643</v>
      </c>
      <c r="E364">
        <v>1</v>
      </c>
      <c r="L364">
        <v>1</v>
      </c>
      <c r="W364" s="8" t="e">
        <f t="shared" si="240"/>
        <v>#DIV/0!</v>
      </c>
      <c r="X364" s="8" t="e">
        <f t="shared" si="241"/>
        <v>#DIV/0!</v>
      </c>
      <c r="Y364" s="8" t="e">
        <f t="shared" si="242"/>
        <v>#DIV/0!</v>
      </c>
      <c r="Z364" s="8">
        <f t="shared" si="243"/>
        <v>-1</v>
      </c>
      <c r="AA364" s="8" t="e">
        <f t="shared" si="244"/>
        <v>#DIV/0!</v>
      </c>
      <c r="AB364" s="8" t="e">
        <f t="shared" si="245"/>
        <v>#DIV/0!</v>
      </c>
      <c r="AC364" s="12" t="e">
        <f t="shared" si="246"/>
        <v>#DIV/0!</v>
      </c>
      <c r="AD364" s="12" t="e">
        <f t="shared" si="247"/>
        <v>#DIV/0!</v>
      </c>
      <c r="AE364" s="1">
        <f t="shared" si="248"/>
        <v>0</v>
      </c>
      <c r="AF364" s="1">
        <f t="shared" si="249"/>
        <v>0</v>
      </c>
      <c r="AG364" s="1">
        <f t="shared" si="250"/>
        <v>1</v>
      </c>
      <c r="AH364" s="1">
        <f t="shared" si="251"/>
        <v>-1</v>
      </c>
      <c r="AI364" s="1">
        <f t="shared" si="252"/>
        <v>0</v>
      </c>
      <c r="AJ364" s="1">
        <f t="shared" si="253"/>
        <v>0</v>
      </c>
      <c r="AK364" s="17">
        <f t="shared" si="254"/>
        <v>0</v>
      </c>
      <c r="AL364" s="17">
        <f t="shared" si="255"/>
        <v>0</v>
      </c>
      <c r="AM364" s="1" t="e">
        <f t="shared" si="256"/>
        <v>#DIV/0!</v>
      </c>
      <c r="AN364" s="1" t="e">
        <f t="shared" si="257"/>
        <v>#DIV/0!</v>
      </c>
      <c r="AO364" s="1" t="e">
        <f t="shared" si="258"/>
        <v>#DIV/0!</v>
      </c>
      <c r="AP364" s="1">
        <f t="shared" si="259"/>
        <v>-1</v>
      </c>
      <c r="AQ364" s="1" t="e">
        <f t="shared" si="260"/>
        <v>#DIV/0!</v>
      </c>
      <c r="AR364" s="1" t="e">
        <f t="shared" si="261"/>
        <v>#DIV/0!</v>
      </c>
      <c r="AS364" s="12" t="e">
        <f t="shared" si="262"/>
        <v>#DIV/0!</v>
      </c>
      <c r="AT364" s="12" t="e">
        <f t="shared" si="263"/>
        <v>#DIV/0!</v>
      </c>
      <c r="AU364" s="1">
        <f t="shared" si="264"/>
        <v>0</v>
      </c>
      <c r="AV364" s="1">
        <f t="shared" si="265"/>
        <v>0</v>
      </c>
      <c r="AW364" s="1">
        <f t="shared" si="266"/>
        <v>1</v>
      </c>
      <c r="AX364" s="1">
        <f t="shared" si="267"/>
        <v>-1</v>
      </c>
      <c r="AY364" s="1">
        <f t="shared" si="268"/>
        <v>0</v>
      </c>
      <c r="AZ364" s="1">
        <f t="shared" si="269"/>
        <v>0</v>
      </c>
      <c r="BA364" s="19">
        <f t="shared" si="270"/>
        <v>0</v>
      </c>
      <c r="BB364" s="19">
        <f t="shared" si="271"/>
        <v>0</v>
      </c>
      <c r="BC364" s="9" t="e">
        <f t="shared" si="272"/>
        <v>#DIV/0!</v>
      </c>
      <c r="BD364" s="9" t="e">
        <f t="shared" si="273"/>
        <v>#DIV/0!</v>
      </c>
      <c r="BE364" s="9" t="e">
        <f t="shared" si="274"/>
        <v>#DIV/0!</v>
      </c>
      <c r="BF364" s="9" t="e">
        <f t="shared" si="275"/>
        <v>#DIV/0!</v>
      </c>
      <c r="BG364" s="9" t="e">
        <f t="shared" si="276"/>
        <v>#DIV/0!</v>
      </c>
      <c r="BH364" s="9" t="e">
        <f t="shared" si="277"/>
        <v>#DIV/0!</v>
      </c>
      <c r="BI364" s="12" t="e">
        <f t="shared" si="278"/>
        <v>#DIV/0!</v>
      </c>
      <c r="BJ364" s="13" t="e">
        <f t="shared" si="279"/>
        <v>#DIV/0!</v>
      </c>
      <c r="BK364" s="1">
        <f t="shared" si="280"/>
        <v>0</v>
      </c>
      <c r="BL364" s="1">
        <f t="shared" si="281"/>
        <v>0</v>
      </c>
      <c r="BM364" s="1">
        <f t="shared" si="282"/>
        <v>0</v>
      </c>
      <c r="BN364" s="1">
        <f t="shared" si="283"/>
        <v>0</v>
      </c>
      <c r="BO364" s="1">
        <f t="shared" si="284"/>
        <v>0</v>
      </c>
      <c r="BP364" s="1">
        <f t="shared" si="285"/>
        <v>0</v>
      </c>
      <c r="BQ364" s="19">
        <f t="shared" si="286"/>
        <v>0</v>
      </c>
      <c r="BR364" s="17">
        <f t="shared" si="287"/>
        <v>0</v>
      </c>
    </row>
    <row r="365" spans="1:70" x14ac:dyDescent="0.25">
      <c r="A365" t="s">
        <v>644</v>
      </c>
      <c r="E365">
        <v>1</v>
      </c>
      <c r="L365">
        <v>1</v>
      </c>
      <c r="W365" s="8" t="e">
        <f t="shared" si="240"/>
        <v>#DIV/0!</v>
      </c>
      <c r="X365" s="8" t="e">
        <f t="shared" si="241"/>
        <v>#DIV/0!</v>
      </c>
      <c r="Y365" s="8" t="e">
        <f t="shared" si="242"/>
        <v>#DIV/0!</v>
      </c>
      <c r="Z365" s="8">
        <f t="shared" si="243"/>
        <v>-1</v>
      </c>
      <c r="AA365" s="8" t="e">
        <f t="shared" si="244"/>
        <v>#DIV/0!</v>
      </c>
      <c r="AB365" s="8" t="e">
        <f t="shared" si="245"/>
        <v>#DIV/0!</v>
      </c>
      <c r="AC365" s="12" t="e">
        <f t="shared" si="246"/>
        <v>#DIV/0!</v>
      </c>
      <c r="AD365" s="12" t="e">
        <f t="shared" si="247"/>
        <v>#DIV/0!</v>
      </c>
      <c r="AE365" s="1">
        <f t="shared" si="248"/>
        <v>0</v>
      </c>
      <c r="AF365" s="1">
        <f t="shared" si="249"/>
        <v>0</v>
      </c>
      <c r="AG365" s="1">
        <f t="shared" si="250"/>
        <v>1</v>
      </c>
      <c r="AH365" s="1">
        <f t="shared" si="251"/>
        <v>-1</v>
      </c>
      <c r="AI365" s="1">
        <f t="shared" si="252"/>
        <v>0</v>
      </c>
      <c r="AJ365" s="1">
        <f t="shared" si="253"/>
        <v>0</v>
      </c>
      <c r="AK365" s="17">
        <f t="shared" si="254"/>
        <v>0</v>
      </c>
      <c r="AL365" s="17">
        <f t="shared" si="255"/>
        <v>0</v>
      </c>
      <c r="AM365" s="1" t="e">
        <f t="shared" si="256"/>
        <v>#DIV/0!</v>
      </c>
      <c r="AN365" s="1" t="e">
        <f t="shared" si="257"/>
        <v>#DIV/0!</v>
      </c>
      <c r="AO365" s="1" t="e">
        <f t="shared" si="258"/>
        <v>#DIV/0!</v>
      </c>
      <c r="AP365" s="1">
        <f t="shared" si="259"/>
        <v>-1</v>
      </c>
      <c r="AQ365" s="1" t="e">
        <f t="shared" si="260"/>
        <v>#DIV/0!</v>
      </c>
      <c r="AR365" s="1" t="e">
        <f t="shared" si="261"/>
        <v>#DIV/0!</v>
      </c>
      <c r="AS365" s="12" t="e">
        <f t="shared" si="262"/>
        <v>#DIV/0!</v>
      </c>
      <c r="AT365" s="12" t="e">
        <f t="shared" si="263"/>
        <v>#DIV/0!</v>
      </c>
      <c r="AU365" s="1">
        <f t="shared" si="264"/>
        <v>0</v>
      </c>
      <c r="AV365" s="1">
        <f t="shared" si="265"/>
        <v>0</v>
      </c>
      <c r="AW365" s="1">
        <f t="shared" si="266"/>
        <v>1</v>
      </c>
      <c r="AX365" s="1">
        <f t="shared" si="267"/>
        <v>-1</v>
      </c>
      <c r="AY365" s="1">
        <f t="shared" si="268"/>
        <v>0</v>
      </c>
      <c r="AZ365" s="1">
        <f t="shared" si="269"/>
        <v>0</v>
      </c>
      <c r="BA365" s="19">
        <f t="shared" si="270"/>
        <v>0</v>
      </c>
      <c r="BB365" s="19">
        <f t="shared" si="271"/>
        <v>0</v>
      </c>
      <c r="BC365" s="9" t="e">
        <f t="shared" si="272"/>
        <v>#DIV/0!</v>
      </c>
      <c r="BD365" s="9" t="e">
        <f t="shared" si="273"/>
        <v>#DIV/0!</v>
      </c>
      <c r="BE365" s="9" t="e">
        <f t="shared" si="274"/>
        <v>#DIV/0!</v>
      </c>
      <c r="BF365" s="9" t="e">
        <f t="shared" si="275"/>
        <v>#DIV/0!</v>
      </c>
      <c r="BG365" s="9" t="e">
        <f t="shared" si="276"/>
        <v>#DIV/0!</v>
      </c>
      <c r="BH365" s="9" t="e">
        <f t="shared" si="277"/>
        <v>#DIV/0!</v>
      </c>
      <c r="BI365" s="12" t="e">
        <f t="shared" si="278"/>
        <v>#DIV/0!</v>
      </c>
      <c r="BJ365" s="13" t="e">
        <f t="shared" si="279"/>
        <v>#DIV/0!</v>
      </c>
      <c r="BK365" s="1">
        <f t="shared" si="280"/>
        <v>0</v>
      </c>
      <c r="BL365" s="1">
        <f t="shared" si="281"/>
        <v>0</v>
      </c>
      <c r="BM365" s="1">
        <f t="shared" si="282"/>
        <v>0</v>
      </c>
      <c r="BN365" s="1">
        <f t="shared" si="283"/>
        <v>0</v>
      </c>
      <c r="BO365" s="1">
        <f t="shared" si="284"/>
        <v>0</v>
      </c>
      <c r="BP365" s="1">
        <f t="shared" si="285"/>
        <v>0</v>
      </c>
      <c r="BQ365" s="19">
        <f t="shared" si="286"/>
        <v>0</v>
      </c>
      <c r="BR365" s="17">
        <f t="shared" si="287"/>
        <v>0</v>
      </c>
    </row>
    <row r="366" spans="1:70" x14ac:dyDescent="0.25">
      <c r="A366" t="s">
        <v>646</v>
      </c>
      <c r="E366">
        <v>1</v>
      </c>
      <c r="F366">
        <v>1</v>
      </c>
      <c r="G366">
        <v>1</v>
      </c>
      <c r="L366">
        <v>1</v>
      </c>
      <c r="M366">
        <v>1</v>
      </c>
      <c r="N366">
        <v>1</v>
      </c>
      <c r="W366" s="8" t="e">
        <f t="shared" si="240"/>
        <v>#DIV/0!</v>
      </c>
      <c r="X366" s="8" t="e">
        <f t="shared" si="241"/>
        <v>#DIV/0!</v>
      </c>
      <c r="Y366" s="8" t="e">
        <f t="shared" si="242"/>
        <v>#DIV/0!</v>
      </c>
      <c r="Z366" s="8">
        <f t="shared" si="243"/>
        <v>0</v>
      </c>
      <c r="AA366" s="8">
        <f t="shared" si="244"/>
        <v>0</v>
      </c>
      <c r="AB366" s="8">
        <f t="shared" si="245"/>
        <v>-1</v>
      </c>
      <c r="AC366" s="12" t="e">
        <f t="shared" si="246"/>
        <v>#DIV/0!</v>
      </c>
      <c r="AD366" s="12" t="e">
        <f t="shared" si="247"/>
        <v>#DIV/0!</v>
      </c>
      <c r="AE366" s="1">
        <f t="shared" si="248"/>
        <v>0</v>
      </c>
      <c r="AF366" s="1">
        <f t="shared" si="249"/>
        <v>0</v>
      </c>
      <c r="AG366" s="1">
        <f t="shared" si="250"/>
        <v>1</v>
      </c>
      <c r="AH366" s="1">
        <f t="shared" si="251"/>
        <v>0</v>
      </c>
      <c r="AI366" s="1">
        <f t="shared" si="252"/>
        <v>0</v>
      </c>
      <c r="AJ366" s="1">
        <f t="shared" si="253"/>
        <v>-1</v>
      </c>
      <c r="AK366" s="17">
        <f t="shared" si="254"/>
        <v>0</v>
      </c>
      <c r="AL366" s="17">
        <f t="shared" si="255"/>
        <v>0</v>
      </c>
      <c r="AM366" s="1" t="e">
        <f t="shared" si="256"/>
        <v>#DIV/0!</v>
      </c>
      <c r="AN366" s="1" t="e">
        <f t="shared" si="257"/>
        <v>#DIV/0!</v>
      </c>
      <c r="AO366" s="1" t="e">
        <f t="shared" si="258"/>
        <v>#DIV/0!</v>
      </c>
      <c r="AP366" s="1">
        <f t="shared" si="259"/>
        <v>0</v>
      </c>
      <c r="AQ366" s="1">
        <f t="shared" si="260"/>
        <v>0</v>
      </c>
      <c r="AR366" s="1">
        <f t="shared" si="261"/>
        <v>-1</v>
      </c>
      <c r="AS366" s="12" t="e">
        <f t="shared" si="262"/>
        <v>#DIV/0!</v>
      </c>
      <c r="AT366" s="12" t="e">
        <f t="shared" si="263"/>
        <v>#DIV/0!</v>
      </c>
      <c r="AU366" s="1">
        <f t="shared" si="264"/>
        <v>0</v>
      </c>
      <c r="AV366" s="1">
        <f t="shared" si="265"/>
        <v>0</v>
      </c>
      <c r="AW366" s="1">
        <f t="shared" si="266"/>
        <v>1</v>
      </c>
      <c r="AX366" s="1">
        <f t="shared" si="267"/>
        <v>0</v>
      </c>
      <c r="AY366" s="1">
        <f t="shared" si="268"/>
        <v>0</v>
      </c>
      <c r="AZ366" s="1">
        <f t="shared" si="269"/>
        <v>-1</v>
      </c>
      <c r="BA366" s="19">
        <f t="shared" si="270"/>
        <v>0</v>
      </c>
      <c r="BB366" s="19">
        <f t="shared" si="271"/>
        <v>0</v>
      </c>
      <c r="BC366" s="9" t="e">
        <f t="shared" si="272"/>
        <v>#DIV/0!</v>
      </c>
      <c r="BD366" s="9" t="e">
        <f t="shared" si="273"/>
        <v>#DIV/0!</v>
      </c>
      <c r="BE366" s="9" t="e">
        <f t="shared" si="274"/>
        <v>#DIV/0!</v>
      </c>
      <c r="BF366" s="9" t="e">
        <f t="shared" si="275"/>
        <v>#DIV/0!</v>
      </c>
      <c r="BG366" s="9" t="e">
        <f t="shared" si="276"/>
        <v>#DIV/0!</v>
      </c>
      <c r="BH366" s="9" t="e">
        <f t="shared" si="277"/>
        <v>#DIV/0!</v>
      </c>
      <c r="BI366" s="12" t="e">
        <f t="shared" si="278"/>
        <v>#DIV/0!</v>
      </c>
      <c r="BJ366" s="13" t="e">
        <f t="shared" si="279"/>
        <v>#DIV/0!</v>
      </c>
      <c r="BK366" s="1">
        <f t="shared" si="280"/>
        <v>0</v>
      </c>
      <c r="BL366" s="1">
        <f t="shared" si="281"/>
        <v>0</v>
      </c>
      <c r="BM366" s="1">
        <f t="shared" si="282"/>
        <v>0</v>
      </c>
      <c r="BN366" s="1">
        <f t="shared" si="283"/>
        <v>0</v>
      </c>
      <c r="BO366" s="1">
        <f t="shared" si="284"/>
        <v>0</v>
      </c>
      <c r="BP366" s="1">
        <f t="shared" si="285"/>
        <v>0</v>
      </c>
      <c r="BQ366" s="19">
        <f t="shared" si="286"/>
        <v>0</v>
      </c>
      <c r="BR366" s="17">
        <f t="shared" si="287"/>
        <v>0</v>
      </c>
    </row>
    <row r="367" spans="1:70" x14ac:dyDescent="0.25">
      <c r="A367" t="s">
        <v>648</v>
      </c>
      <c r="E367">
        <v>1</v>
      </c>
      <c r="S367">
        <v>1</v>
      </c>
      <c r="W367" s="8" t="e">
        <f t="shared" si="240"/>
        <v>#DIV/0!</v>
      </c>
      <c r="X367" s="8" t="e">
        <f t="shared" si="241"/>
        <v>#DIV/0!</v>
      </c>
      <c r="Y367" s="8" t="e">
        <f t="shared" si="242"/>
        <v>#DIV/0!</v>
      </c>
      <c r="Z367" s="8">
        <f t="shared" si="243"/>
        <v>-1</v>
      </c>
      <c r="AA367" s="8" t="e">
        <f t="shared" si="244"/>
        <v>#DIV/0!</v>
      </c>
      <c r="AB367" s="8" t="e">
        <f t="shared" si="245"/>
        <v>#DIV/0!</v>
      </c>
      <c r="AC367" s="12" t="e">
        <f t="shared" si="246"/>
        <v>#DIV/0!</v>
      </c>
      <c r="AD367" s="12" t="e">
        <f t="shared" si="247"/>
        <v>#DIV/0!</v>
      </c>
      <c r="AE367" s="1">
        <f t="shared" si="248"/>
        <v>0</v>
      </c>
      <c r="AF367" s="1">
        <f t="shared" si="249"/>
        <v>0</v>
      </c>
      <c r="AG367" s="1">
        <f t="shared" si="250"/>
        <v>1</v>
      </c>
      <c r="AH367" s="1">
        <f t="shared" si="251"/>
        <v>-1</v>
      </c>
      <c r="AI367" s="1">
        <f t="shared" si="252"/>
        <v>0</v>
      </c>
      <c r="AJ367" s="1">
        <f t="shared" si="253"/>
        <v>0</v>
      </c>
      <c r="AK367" s="17">
        <f t="shared" si="254"/>
        <v>0</v>
      </c>
      <c r="AL367" s="17">
        <f t="shared" si="255"/>
        <v>0</v>
      </c>
      <c r="AM367" s="1" t="e">
        <f t="shared" si="256"/>
        <v>#DIV/0!</v>
      </c>
      <c r="AN367" s="1" t="e">
        <f t="shared" si="257"/>
        <v>#DIV/0!</v>
      </c>
      <c r="AO367" s="1" t="e">
        <f t="shared" si="258"/>
        <v>#DIV/0!</v>
      </c>
      <c r="AP367" s="1" t="e">
        <f t="shared" si="259"/>
        <v>#DIV/0!</v>
      </c>
      <c r="AQ367" s="1" t="e">
        <f t="shared" si="260"/>
        <v>#DIV/0!</v>
      </c>
      <c r="AR367" s="1" t="e">
        <f t="shared" si="261"/>
        <v>#DIV/0!</v>
      </c>
      <c r="AS367" s="12" t="e">
        <f t="shared" si="262"/>
        <v>#DIV/0!</v>
      </c>
      <c r="AT367" s="12" t="e">
        <f t="shared" si="263"/>
        <v>#DIV/0!</v>
      </c>
      <c r="AU367" s="1">
        <f t="shared" si="264"/>
        <v>0</v>
      </c>
      <c r="AV367" s="1">
        <f t="shared" si="265"/>
        <v>0</v>
      </c>
      <c r="AW367" s="1">
        <f t="shared" si="266"/>
        <v>0</v>
      </c>
      <c r="AX367" s="1">
        <f t="shared" si="267"/>
        <v>0</v>
      </c>
      <c r="AY367" s="1">
        <f t="shared" si="268"/>
        <v>0</v>
      </c>
      <c r="AZ367" s="1">
        <f t="shared" si="269"/>
        <v>0</v>
      </c>
      <c r="BA367" s="19">
        <f t="shared" si="270"/>
        <v>0</v>
      </c>
      <c r="BB367" s="19">
        <f t="shared" si="271"/>
        <v>0</v>
      </c>
      <c r="BC367" s="9" t="e">
        <f t="shared" si="272"/>
        <v>#DIV/0!</v>
      </c>
      <c r="BD367" s="9" t="e">
        <f t="shared" si="273"/>
        <v>#DIV/0!</v>
      </c>
      <c r="BE367" s="9" t="e">
        <f t="shared" si="274"/>
        <v>#DIV/0!</v>
      </c>
      <c r="BF367" s="9">
        <f t="shared" si="275"/>
        <v>-1</v>
      </c>
      <c r="BG367" s="9" t="e">
        <f t="shared" si="276"/>
        <v>#DIV/0!</v>
      </c>
      <c r="BH367" s="9" t="e">
        <f t="shared" si="277"/>
        <v>#DIV/0!</v>
      </c>
      <c r="BI367" s="12" t="e">
        <f t="shared" si="278"/>
        <v>#DIV/0!</v>
      </c>
      <c r="BJ367" s="13" t="e">
        <f t="shared" si="279"/>
        <v>#DIV/0!</v>
      </c>
      <c r="BK367" s="1">
        <f t="shared" si="280"/>
        <v>0</v>
      </c>
      <c r="BL367" s="1">
        <f t="shared" si="281"/>
        <v>0</v>
      </c>
      <c r="BM367" s="1">
        <f t="shared" si="282"/>
        <v>1</v>
      </c>
      <c r="BN367" s="1">
        <f t="shared" si="283"/>
        <v>-1</v>
      </c>
      <c r="BO367" s="1">
        <f t="shared" si="284"/>
        <v>0</v>
      </c>
      <c r="BP367" s="1">
        <f t="shared" si="285"/>
        <v>0</v>
      </c>
      <c r="BQ367" s="19">
        <f t="shared" si="286"/>
        <v>0</v>
      </c>
      <c r="BR367" s="17">
        <f t="shared" si="287"/>
        <v>0</v>
      </c>
    </row>
    <row r="368" spans="1:70" x14ac:dyDescent="0.25">
      <c r="A368" t="s">
        <v>649</v>
      </c>
      <c r="E368">
        <v>1</v>
      </c>
      <c r="S368">
        <v>1</v>
      </c>
      <c r="W368" s="8" t="e">
        <f t="shared" si="240"/>
        <v>#DIV/0!</v>
      </c>
      <c r="X368" s="8" t="e">
        <f t="shared" si="241"/>
        <v>#DIV/0!</v>
      </c>
      <c r="Y368" s="8" t="e">
        <f t="shared" si="242"/>
        <v>#DIV/0!</v>
      </c>
      <c r="Z368" s="8">
        <f t="shared" si="243"/>
        <v>-1</v>
      </c>
      <c r="AA368" s="8" t="e">
        <f t="shared" si="244"/>
        <v>#DIV/0!</v>
      </c>
      <c r="AB368" s="8" t="e">
        <f t="shared" si="245"/>
        <v>#DIV/0!</v>
      </c>
      <c r="AC368" s="12" t="e">
        <f t="shared" si="246"/>
        <v>#DIV/0!</v>
      </c>
      <c r="AD368" s="12" t="e">
        <f t="shared" si="247"/>
        <v>#DIV/0!</v>
      </c>
      <c r="AE368" s="1">
        <f t="shared" si="248"/>
        <v>0</v>
      </c>
      <c r="AF368" s="1">
        <f t="shared" si="249"/>
        <v>0</v>
      </c>
      <c r="AG368" s="1">
        <f t="shared" si="250"/>
        <v>1</v>
      </c>
      <c r="AH368" s="1">
        <f t="shared" si="251"/>
        <v>-1</v>
      </c>
      <c r="AI368" s="1">
        <f t="shared" si="252"/>
        <v>0</v>
      </c>
      <c r="AJ368" s="1">
        <f t="shared" si="253"/>
        <v>0</v>
      </c>
      <c r="AK368" s="17">
        <f t="shared" si="254"/>
        <v>0</v>
      </c>
      <c r="AL368" s="17">
        <f t="shared" si="255"/>
        <v>0</v>
      </c>
      <c r="AM368" s="1" t="e">
        <f t="shared" si="256"/>
        <v>#DIV/0!</v>
      </c>
      <c r="AN368" s="1" t="e">
        <f t="shared" si="257"/>
        <v>#DIV/0!</v>
      </c>
      <c r="AO368" s="1" t="e">
        <f t="shared" si="258"/>
        <v>#DIV/0!</v>
      </c>
      <c r="AP368" s="1" t="e">
        <f t="shared" si="259"/>
        <v>#DIV/0!</v>
      </c>
      <c r="AQ368" s="1" t="e">
        <f t="shared" si="260"/>
        <v>#DIV/0!</v>
      </c>
      <c r="AR368" s="1" t="e">
        <f t="shared" si="261"/>
        <v>#DIV/0!</v>
      </c>
      <c r="AS368" s="12" t="e">
        <f t="shared" si="262"/>
        <v>#DIV/0!</v>
      </c>
      <c r="AT368" s="12" t="e">
        <f t="shared" si="263"/>
        <v>#DIV/0!</v>
      </c>
      <c r="AU368" s="1">
        <f t="shared" si="264"/>
        <v>0</v>
      </c>
      <c r="AV368" s="1">
        <f t="shared" si="265"/>
        <v>0</v>
      </c>
      <c r="AW368" s="1">
        <f t="shared" si="266"/>
        <v>0</v>
      </c>
      <c r="AX368" s="1">
        <f t="shared" si="267"/>
        <v>0</v>
      </c>
      <c r="AY368" s="1">
        <f t="shared" si="268"/>
        <v>0</v>
      </c>
      <c r="AZ368" s="1">
        <f t="shared" si="269"/>
        <v>0</v>
      </c>
      <c r="BA368" s="19">
        <f t="shared" si="270"/>
        <v>0</v>
      </c>
      <c r="BB368" s="19">
        <f t="shared" si="271"/>
        <v>0</v>
      </c>
      <c r="BC368" s="9" t="e">
        <f t="shared" si="272"/>
        <v>#DIV/0!</v>
      </c>
      <c r="BD368" s="9" t="e">
        <f t="shared" si="273"/>
        <v>#DIV/0!</v>
      </c>
      <c r="BE368" s="9" t="e">
        <f t="shared" si="274"/>
        <v>#DIV/0!</v>
      </c>
      <c r="BF368" s="9">
        <f t="shared" si="275"/>
        <v>-1</v>
      </c>
      <c r="BG368" s="9" t="e">
        <f t="shared" si="276"/>
        <v>#DIV/0!</v>
      </c>
      <c r="BH368" s="9" t="e">
        <f t="shared" si="277"/>
        <v>#DIV/0!</v>
      </c>
      <c r="BI368" s="12" t="e">
        <f t="shared" si="278"/>
        <v>#DIV/0!</v>
      </c>
      <c r="BJ368" s="13" t="e">
        <f t="shared" si="279"/>
        <v>#DIV/0!</v>
      </c>
      <c r="BK368" s="1">
        <f t="shared" si="280"/>
        <v>0</v>
      </c>
      <c r="BL368" s="1">
        <f t="shared" si="281"/>
        <v>0</v>
      </c>
      <c r="BM368" s="1">
        <f t="shared" si="282"/>
        <v>1</v>
      </c>
      <c r="BN368" s="1">
        <f t="shared" si="283"/>
        <v>-1</v>
      </c>
      <c r="BO368" s="1">
        <f t="shared" si="284"/>
        <v>0</v>
      </c>
      <c r="BP368" s="1">
        <f t="shared" si="285"/>
        <v>0</v>
      </c>
      <c r="BQ368" s="19">
        <f t="shared" si="286"/>
        <v>0</v>
      </c>
      <c r="BR368" s="17">
        <f t="shared" si="287"/>
        <v>0</v>
      </c>
    </row>
    <row r="369" spans="1:70" x14ac:dyDescent="0.25">
      <c r="A369" t="s">
        <v>650</v>
      </c>
      <c r="E369">
        <v>1</v>
      </c>
      <c r="G369">
        <v>2</v>
      </c>
      <c r="N369">
        <v>2</v>
      </c>
      <c r="S369">
        <v>1</v>
      </c>
      <c r="W369" s="8" t="e">
        <f t="shared" si="240"/>
        <v>#DIV/0!</v>
      </c>
      <c r="X369" s="8" t="e">
        <f t="shared" si="241"/>
        <v>#DIV/0!</v>
      </c>
      <c r="Y369" s="8" t="e">
        <f t="shared" si="242"/>
        <v>#DIV/0!</v>
      </c>
      <c r="Z369" s="8">
        <f t="shared" si="243"/>
        <v>-1</v>
      </c>
      <c r="AA369" s="8" t="e">
        <f t="shared" si="244"/>
        <v>#DIV/0!</v>
      </c>
      <c r="AB369" s="8">
        <f t="shared" si="245"/>
        <v>-1</v>
      </c>
      <c r="AC369" s="12" t="e">
        <f t="shared" si="246"/>
        <v>#DIV/0!</v>
      </c>
      <c r="AD369" s="12" t="e">
        <f t="shared" si="247"/>
        <v>#DIV/0!</v>
      </c>
      <c r="AE369" s="1">
        <f t="shared" si="248"/>
        <v>0</v>
      </c>
      <c r="AF369" s="1">
        <f t="shared" si="249"/>
        <v>0</v>
      </c>
      <c r="AG369" s="1">
        <f t="shared" si="250"/>
        <v>1</v>
      </c>
      <c r="AH369" s="1">
        <f t="shared" si="251"/>
        <v>-1</v>
      </c>
      <c r="AI369" s="1">
        <f t="shared" si="252"/>
        <v>2</v>
      </c>
      <c r="AJ369" s="1">
        <f t="shared" si="253"/>
        <v>-2</v>
      </c>
      <c r="AK369" s="17">
        <f t="shared" si="254"/>
        <v>0</v>
      </c>
      <c r="AL369" s="17">
        <f t="shared" si="255"/>
        <v>0</v>
      </c>
      <c r="AM369" s="1" t="e">
        <f t="shared" si="256"/>
        <v>#DIV/0!</v>
      </c>
      <c r="AN369" s="1" t="e">
        <f t="shared" si="257"/>
        <v>#DIV/0!</v>
      </c>
      <c r="AO369" s="1" t="e">
        <f t="shared" si="258"/>
        <v>#DIV/0!</v>
      </c>
      <c r="AP369" s="1" t="e">
        <f t="shared" si="259"/>
        <v>#DIV/0!</v>
      </c>
      <c r="AQ369" s="1" t="e">
        <f t="shared" si="260"/>
        <v>#DIV/0!</v>
      </c>
      <c r="AR369" s="1">
        <f t="shared" si="261"/>
        <v>-1</v>
      </c>
      <c r="AS369" s="12" t="e">
        <f t="shared" si="262"/>
        <v>#DIV/0!</v>
      </c>
      <c r="AT369" s="12" t="e">
        <f t="shared" si="263"/>
        <v>#DIV/0!</v>
      </c>
      <c r="AU369" s="1">
        <f t="shared" si="264"/>
        <v>0</v>
      </c>
      <c r="AV369" s="1">
        <f t="shared" si="265"/>
        <v>0</v>
      </c>
      <c r="AW369" s="1">
        <f t="shared" si="266"/>
        <v>0</v>
      </c>
      <c r="AX369" s="1">
        <f t="shared" si="267"/>
        <v>0</v>
      </c>
      <c r="AY369" s="1">
        <f t="shared" si="268"/>
        <v>2</v>
      </c>
      <c r="AZ369" s="1">
        <f t="shared" si="269"/>
        <v>-2</v>
      </c>
      <c r="BA369" s="19">
        <f t="shared" si="270"/>
        <v>0</v>
      </c>
      <c r="BB369" s="19">
        <f t="shared" si="271"/>
        <v>0</v>
      </c>
      <c r="BC369" s="9" t="e">
        <f t="shared" si="272"/>
        <v>#DIV/0!</v>
      </c>
      <c r="BD369" s="9" t="e">
        <f t="shared" si="273"/>
        <v>#DIV/0!</v>
      </c>
      <c r="BE369" s="9" t="e">
        <f t="shared" si="274"/>
        <v>#DIV/0!</v>
      </c>
      <c r="BF369" s="9">
        <f t="shared" si="275"/>
        <v>-1</v>
      </c>
      <c r="BG369" s="9" t="e">
        <f t="shared" si="276"/>
        <v>#DIV/0!</v>
      </c>
      <c r="BH369" s="9" t="e">
        <f t="shared" si="277"/>
        <v>#DIV/0!</v>
      </c>
      <c r="BI369" s="12" t="e">
        <f t="shared" si="278"/>
        <v>#DIV/0!</v>
      </c>
      <c r="BJ369" s="13" t="e">
        <f t="shared" si="279"/>
        <v>#DIV/0!</v>
      </c>
      <c r="BK369" s="1">
        <f t="shared" si="280"/>
        <v>0</v>
      </c>
      <c r="BL369" s="1">
        <f t="shared" si="281"/>
        <v>0</v>
      </c>
      <c r="BM369" s="1">
        <f t="shared" si="282"/>
        <v>1</v>
      </c>
      <c r="BN369" s="1">
        <f t="shared" si="283"/>
        <v>-1</v>
      </c>
      <c r="BO369" s="1">
        <f t="shared" si="284"/>
        <v>0</v>
      </c>
      <c r="BP369" s="1">
        <f t="shared" si="285"/>
        <v>0</v>
      </c>
      <c r="BQ369" s="19">
        <f t="shared" si="286"/>
        <v>0</v>
      </c>
      <c r="BR369" s="17">
        <f t="shared" si="287"/>
        <v>0</v>
      </c>
    </row>
    <row r="370" spans="1:70" x14ac:dyDescent="0.25">
      <c r="A370" t="s">
        <v>651</v>
      </c>
      <c r="E370">
        <v>1</v>
      </c>
      <c r="S370">
        <v>1</v>
      </c>
      <c r="W370" s="8" t="e">
        <f t="shared" si="240"/>
        <v>#DIV/0!</v>
      </c>
      <c r="X370" s="8" t="e">
        <f t="shared" si="241"/>
        <v>#DIV/0!</v>
      </c>
      <c r="Y370" s="8" t="e">
        <f t="shared" si="242"/>
        <v>#DIV/0!</v>
      </c>
      <c r="Z370" s="8">
        <f t="shared" si="243"/>
        <v>-1</v>
      </c>
      <c r="AA370" s="8" t="e">
        <f t="shared" si="244"/>
        <v>#DIV/0!</v>
      </c>
      <c r="AB370" s="8" t="e">
        <f t="shared" si="245"/>
        <v>#DIV/0!</v>
      </c>
      <c r="AC370" s="12" t="e">
        <f t="shared" si="246"/>
        <v>#DIV/0!</v>
      </c>
      <c r="AD370" s="12" t="e">
        <f t="shared" si="247"/>
        <v>#DIV/0!</v>
      </c>
      <c r="AE370" s="1">
        <f t="shared" si="248"/>
        <v>0</v>
      </c>
      <c r="AF370" s="1">
        <f t="shared" si="249"/>
        <v>0</v>
      </c>
      <c r="AG370" s="1">
        <f t="shared" si="250"/>
        <v>1</v>
      </c>
      <c r="AH370" s="1">
        <f t="shared" si="251"/>
        <v>-1</v>
      </c>
      <c r="AI370" s="1">
        <f t="shared" si="252"/>
        <v>0</v>
      </c>
      <c r="AJ370" s="1">
        <f t="shared" si="253"/>
        <v>0</v>
      </c>
      <c r="AK370" s="17">
        <f t="shared" si="254"/>
        <v>0</v>
      </c>
      <c r="AL370" s="17">
        <f t="shared" si="255"/>
        <v>0</v>
      </c>
      <c r="AM370" s="1" t="e">
        <f t="shared" si="256"/>
        <v>#DIV/0!</v>
      </c>
      <c r="AN370" s="1" t="e">
        <f t="shared" si="257"/>
        <v>#DIV/0!</v>
      </c>
      <c r="AO370" s="1" t="e">
        <f t="shared" si="258"/>
        <v>#DIV/0!</v>
      </c>
      <c r="AP370" s="1" t="e">
        <f t="shared" si="259"/>
        <v>#DIV/0!</v>
      </c>
      <c r="AQ370" s="1" t="e">
        <f t="shared" si="260"/>
        <v>#DIV/0!</v>
      </c>
      <c r="AR370" s="1" t="e">
        <f t="shared" si="261"/>
        <v>#DIV/0!</v>
      </c>
      <c r="AS370" s="12" t="e">
        <f t="shared" si="262"/>
        <v>#DIV/0!</v>
      </c>
      <c r="AT370" s="12" t="e">
        <f t="shared" si="263"/>
        <v>#DIV/0!</v>
      </c>
      <c r="AU370" s="1">
        <f t="shared" si="264"/>
        <v>0</v>
      </c>
      <c r="AV370" s="1">
        <f t="shared" si="265"/>
        <v>0</v>
      </c>
      <c r="AW370" s="1">
        <f t="shared" si="266"/>
        <v>0</v>
      </c>
      <c r="AX370" s="1">
        <f t="shared" si="267"/>
        <v>0</v>
      </c>
      <c r="AY370" s="1">
        <f t="shared" si="268"/>
        <v>0</v>
      </c>
      <c r="AZ370" s="1">
        <f t="shared" si="269"/>
        <v>0</v>
      </c>
      <c r="BA370" s="19">
        <f t="shared" si="270"/>
        <v>0</v>
      </c>
      <c r="BB370" s="19">
        <f t="shared" si="271"/>
        <v>0</v>
      </c>
      <c r="BC370" s="9" t="e">
        <f t="shared" si="272"/>
        <v>#DIV/0!</v>
      </c>
      <c r="BD370" s="9" t="e">
        <f t="shared" si="273"/>
        <v>#DIV/0!</v>
      </c>
      <c r="BE370" s="9" t="e">
        <f t="shared" si="274"/>
        <v>#DIV/0!</v>
      </c>
      <c r="BF370" s="9">
        <f t="shared" si="275"/>
        <v>-1</v>
      </c>
      <c r="BG370" s="9" t="e">
        <f t="shared" si="276"/>
        <v>#DIV/0!</v>
      </c>
      <c r="BH370" s="9" t="e">
        <f t="shared" si="277"/>
        <v>#DIV/0!</v>
      </c>
      <c r="BI370" s="12" t="e">
        <f t="shared" si="278"/>
        <v>#DIV/0!</v>
      </c>
      <c r="BJ370" s="13" t="e">
        <f t="shared" si="279"/>
        <v>#DIV/0!</v>
      </c>
      <c r="BK370" s="1">
        <f t="shared" si="280"/>
        <v>0</v>
      </c>
      <c r="BL370" s="1">
        <f t="shared" si="281"/>
        <v>0</v>
      </c>
      <c r="BM370" s="1">
        <f t="shared" si="282"/>
        <v>1</v>
      </c>
      <c r="BN370" s="1">
        <f t="shared" si="283"/>
        <v>-1</v>
      </c>
      <c r="BO370" s="1">
        <f t="shared" si="284"/>
        <v>0</v>
      </c>
      <c r="BP370" s="1">
        <f t="shared" si="285"/>
        <v>0</v>
      </c>
      <c r="BQ370" s="19">
        <f t="shared" si="286"/>
        <v>0</v>
      </c>
      <c r="BR370" s="17">
        <f t="shared" si="287"/>
        <v>0</v>
      </c>
    </row>
    <row r="371" spans="1:70" x14ac:dyDescent="0.25">
      <c r="A371" t="s">
        <v>652</v>
      </c>
      <c r="E371">
        <v>1</v>
      </c>
      <c r="L371">
        <v>1</v>
      </c>
      <c r="W371" s="8" t="e">
        <f t="shared" si="240"/>
        <v>#DIV/0!</v>
      </c>
      <c r="X371" s="8" t="e">
        <f t="shared" si="241"/>
        <v>#DIV/0!</v>
      </c>
      <c r="Y371" s="8" t="e">
        <f t="shared" si="242"/>
        <v>#DIV/0!</v>
      </c>
      <c r="Z371" s="8">
        <f t="shared" si="243"/>
        <v>-1</v>
      </c>
      <c r="AA371" s="8" t="e">
        <f t="shared" si="244"/>
        <v>#DIV/0!</v>
      </c>
      <c r="AB371" s="8" t="e">
        <f t="shared" si="245"/>
        <v>#DIV/0!</v>
      </c>
      <c r="AC371" s="12" t="e">
        <f t="shared" si="246"/>
        <v>#DIV/0!</v>
      </c>
      <c r="AD371" s="12" t="e">
        <f t="shared" si="247"/>
        <v>#DIV/0!</v>
      </c>
      <c r="AE371" s="1">
        <f t="shared" si="248"/>
        <v>0</v>
      </c>
      <c r="AF371" s="1">
        <f t="shared" si="249"/>
        <v>0</v>
      </c>
      <c r="AG371" s="1">
        <f t="shared" si="250"/>
        <v>1</v>
      </c>
      <c r="AH371" s="1">
        <f t="shared" si="251"/>
        <v>-1</v>
      </c>
      <c r="AI371" s="1">
        <f t="shared" si="252"/>
        <v>0</v>
      </c>
      <c r="AJ371" s="1">
        <f t="shared" si="253"/>
        <v>0</v>
      </c>
      <c r="AK371" s="17">
        <f t="shared" si="254"/>
        <v>0</v>
      </c>
      <c r="AL371" s="17">
        <f t="shared" si="255"/>
        <v>0</v>
      </c>
      <c r="AM371" s="1" t="e">
        <f t="shared" si="256"/>
        <v>#DIV/0!</v>
      </c>
      <c r="AN371" s="1" t="e">
        <f t="shared" si="257"/>
        <v>#DIV/0!</v>
      </c>
      <c r="AO371" s="1" t="e">
        <f t="shared" si="258"/>
        <v>#DIV/0!</v>
      </c>
      <c r="AP371" s="1">
        <f t="shared" si="259"/>
        <v>-1</v>
      </c>
      <c r="AQ371" s="1" t="e">
        <f t="shared" si="260"/>
        <v>#DIV/0!</v>
      </c>
      <c r="AR371" s="1" t="e">
        <f t="shared" si="261"/>
        <v>#DIV/0!</v>
      </c>
      <c r="AS371" s="12" t="e">
        <f t="shared" si="262"/>
        <v>#DIV/0!</v>
      </c>
      <c r="AT371" s="12" t="e">
        <f t="shared" si="263"/>
        <v>#DIV/0!</v>
      </c>
      <c r="AU371" s="1">
        <f t="shared" si="264"/>
        <v>0</v>
      </c>
      <c r="AV371" s="1">
        <f t="shared" si="265"/>
        <v>0</v>
      </c>
      <c r="AW371" s="1">
        <f t="shared" si="266"/>
        <v>1</v>
      </c>
      <c r="AX371" s="1">
        <f t="shared" si="267"/>
        <v>-1</v>
      </c>
      <c r="AY371" s="1">
        <f t="shared" si="268"/>
        <v>0</v>
      </c>
      <c r="AZ371" s="1">
        <f t="shared" si="269"/>
        <v>0</v>
      </c>
      <c r="BA371" s="19">
        <f t="shared" si="270"/>
        <v>0</v>
      </c>
      <c r="BB371" s="19">
        <f t="shared" si="271"/>
        <v>0</v>
      </c>
      <c r="BC371" s="9" t="e">
        <f t="shared" si="272"/>
        <v>#DIV/0!</v>
      </c>
      <c r="BD371" s="9" t="e">
        <f t="shared" si="273"/>
        <v>#DIV/0!</v>
      </c>
      <c r="BE371" s="9" t="e">
        <f t="shared" si="274"/>
        <v>#DIV/0!</v>
      </c>
      <c r="BF371" s="9" t="e">
        <f t="shared" si="275"/>
        <v>#DIV/0!</v>
      </c>
      <c r="BG371" s="9" t="e">
        <f t="shared" si="276"/>
        <v>#DIV/0!</v>
      </c>
      <c r="BH371" s="9" t="e">
        <f t="shared" si="277"/>
        <v>#DIV/0!</v>
      </c>
      <c r="BI371" s="12" t="e">
        <f t="shared" si="278"/>
        <v>#DIV/0!</v>
      </c>
      <c r="BJ371" s="13" t="e">
        <f t="shared" si="279"/>
        <v>#DIV/0!</v>
      </c>
      <c r="BK371" s="1">
        <f t="shared" si="280"/>
        <v>0</v>
      </c>
      <c r="BL371" s="1">
        <f t="shared" si="281"/>
        <v>0</v>
      </c>
      <c r="BM371" s="1">
        <f t="shared" si="282"/>
        <v>0</v>
      </c>
      <c r="BN371" s="1">
        <f t="shared" si="283"/>
        <v>0</v>
      </c>
      <c r="BO371" s="1">
        <f t="shared" si="284"/>
        <v>0</v>
      </c>
      <c r="BP371" s="1">
        <f t="shared" si="285"/>
        <v>0</v>
      </c>
      <c r="BQ371" s="19">
        <f t="shared" si="286"/>
        <v>0</v>
      </c>
      <c r="BR371" s="17">
        <f t="shared" si="287"/>
        <v>0</v>
      </c>
    </row>
    <row r="372" spans="1:70" x14ac:dyDescent="0.25">
      <c r="A372" t="s">
        <v>654</v>
      </c>
      <c r="E372">
        <v>1</v>
      </c>
      <c r="L372">
        <v>1</v>
      </c>
      <c r="W372" s="8" t="e">
        <f t="shared" si="240"/>
        <v>#DIV/0!</v>
      </c>
      <c r="X372" s="8" t="e">
        <f t="shared" si="241"/>
        <v>#DIV/0!</v>
      </c>
      <c r="Y372" s="8" t="e">
        <f t="shared" si="242"/>
        <v>#DIV/0!</v>
      </c>
      <c r="Z372" s="8">
        <f t="shared" si="243"/>
        <v>-1</v>
      </c>
      <c r="AA372" s="8" t="e">
        <f t="shared" si="244"/>
        <v>#DIV/0!</v>
      </c>
      <c r="AB372" s="8" t="e">
        <f t="shared" si="245"/>
        <v>#DIV/0!</v>
      </c>
      <c r="AC372" s="12" t="e">
        <f t="shared" si="246"/>
        <v>#DIV/0!</v>
      </c>
      <c r="AD372" s="12" t="e">
        <f t="shared" si="247"/>
        <v>#DIV/0!</v>
      </c>
      <c r="AE372" s="1">
        <f t="shared" si="248"/>
        <v>0</v>
      </c>
      <c r="AF372" s="1">
        <f t="shared" si="249"/>
        <v>0</v>
      </c>
      <c r="AG372" s="1">
        <f t="shared" si="250"/>
        <v>1</v>
      </c>
      <c r="AH372" s="1">
        <f t="shared" si="251"/>
        <v>-1</v>
      </c>
      <c r="AI372" s="1">
        <f t="shared" si="252"/>
        <v>0</v>
      </c>
      <c r="AJ372" s="1">
        <f t="shared" si="253"/>
        <v>0</v>
      </c>
      <c r="AK372" s="17">
        <f t="shared" si="254"/>
        <v>0</v>
      </c>
      <c r="AL372" s="17">
        <f t="shared" si="255"/>
        <v>0</v>
      </c>
      <c r="AM372" s="1" t="e">
        <f t="shared" si="256"/>
        <v>#DIV/0!</v>
      </c>
      <c r="AN372" s="1" t="e">
        <f t="shared" si="257"/>
        <v>#DIV/0!</v>
      </c>
      <c r="AO372" s="1" t="e">
        <f t="shared" si="258"/>
        <v>#DIV/0!</v>
      </c>
      <c r="AP372" s="1">
        <f t="shared" si="259"/>
        <v>-1</v>
      </c>
      <c r="AQ372" s="1" t="e">
        <f t="shared" si="260"/>
        <v>#DIV/0!</v>
      </c>
      <c r="AR372" s="1" t="e">
        <f t="shared" si="261"/>
        <v>#DIV/0!</v>
      </c>
      <c r="AS372" s="12" t="e">
        <f t="shared" si="262"/>
        <v>#DIV/0!</v>
      </c>
      <c r="AT372" s="12" t="e">
        <f t="shared" si="263"/>
        <v>#DIV/0!</v>
      </c>
      <c r="AU372" s="1">
        <f t="shared" si="264"/>
        <v>0</v>
      </c>
      <c r="AV372" s="1">
        <f t="shared" si="265"/>
        <v>0</v>
      </c>
      <c r="AW372" s="1">
        <f t="shared" si="266"/>
        <v>1</v>
      </c>
      <c r="AX372" s="1">
        <f t="shared" si="267"/>
        <v>-1</v>
      </c>
      <c r="AY372" s="1">
        <f t="shared" si="268"/>
        <v>0</v>
      </c>
      <c r="AZ372" s="1">
        <f t="shared" si="269"/>
        <v>0</v>
      </c>
      <c r="BA372" s="19">
        <f t="shared" si="270"/>
        <v>0</v>
      </c>
      <c r="BB372" s="19">
        <f t="shared" si="271"/>
        <v>0</v>
      </c>
      <c r="BC372" s="9" t="e">
        <f t="shared" si="272"/>
        <v>#DIV/0!</v>
      </c>
      <c r="BD372" s="9" t="e">
        <f t="shared" si="273"/>
        <v>#DIV/0!</v>
      </c>
      <c r="BE372" s="9" t="e">
        <f t="shared" si="274"/>
        <v>#DIV/0!</v>
      </c>
      <c r="BF372" s="9" t="e">
        <f t="shared" si="275"/>
        <v>#DIV/0!</v>
      </c>
      <c r="BG372" s="9" t="e">
        <f t="shared" si="276"/>
        <v>#DIV/0!</v>
      </c>
      <c r="BH372" s="9" t="e">
        <f t="shared" si="277"/>
        <v>#DIV/0!</v>
      </c>
      <c r="BI372" s="12" t="e">
        <f t="shared" si="278"/>
        <v>#DIV/0!</v>
      </c>
      <c r="BJ372" s="13" t="e">
        <f t="shared" si="279"/>
        <v>#DIV/0!</v>
      </c>
      <c r="BK372" s="1">
        <f t="shared" si="280"/>
        <v>0</v>
      </c>
      <c r="BL372" s="1">
        <f t="shared" si="281"/>
        <v>0</v>
      </c>
      <c r="BM372" s="1">
        <f t="shared" si="282"/>
        <v>0</v>
      </c>
      <c r="BN372" s="1">
        <f t="shared" si="283"/>
        <v>0</v>
      </c>
      <c r="BO372" s="1">
        <f t="shared" si="284"/>
        <v>0</v>
      </c>
      <c r="BP372" s="1">
        <f t="shared" si="285"/>
        <v>0</v>
      </c>
      <c r="BQ372" s="19">
        <f t="shared" si="286"/>
        <v>0</v>
      </c>
      <c r="BR372" s="17">
        <f t="shared" si="287"/>
        <v>0</v>
      </c>
    </row>
    <row r="373" spans="1:70" x14ac:dyDescent="0.25">
      <c r="A373" t="s">
        <v>655</v>
      </c>
      <c r="E373">
        <v>1</v>
      </c>
      <c r="L373">
        <v>1</v>
      </c>
      <c r="W373" s="8" t="e">
        <f t="shared" si="240"/>
        <v>#DIV/0!</v>
      </c>
      <c r="X373" s="8" t="e">
        <f t="shared" si="241"/>
        <v>#DIV/0!</v>
      </c>
      <c r="Y373" s="8" t="e">
        <f t="shared" si="242"/>
        <v>#DIV/0!</v>
      </c>
      <c r="Z373" s="8">
        <f t="shared" si="243"/>
        <v>-1</v>
      </c>
      <c r="AA373" s="8" t="e">
        <f t="shared" si="244"/>
        <v>#DIV/0!</v>
      </c>
      <c r="AB373" s="8" t="e">
        <f t="shared" si="245"/>
        <v>#DIV/0!</v>
      </c>
      <c r="AC373" s="12" t="e">
        <f t="shared" si="246"/>
        <v>#DIV/0!</v>
      </c>
      <c r="AD373" s="12" t="e">
        <f t="shared" si="247"/>
        <v>#DIV/0!</v>
      </c>
      <c r="AE373" s="1">
        <f t="shared" si="248"/>
        <v>0</v>
      </c>
      <c r="AF373" s="1">
        <f t="shared" si="249"/>
        <v>0</v>
      </c>
      <c r="AG373" s="1">
        <f t="shared" si="250"/>
        <v>1</v>
      </c>
      <c r="AH373" s="1">
        <f t="shared" si="251"/>
        <v>-1</v>
      </c>
      <c r="AI373" s="1">
        <f t="shared" si="252"/>
        <v>0</v>
      </c>
      <c r="AJ373" s="1">
        <f t="shared" si="253"/>
        <v>0</v>
      </c>
      <c r="AK373" s="17">
        <f t="shared" si="254"/>
        <v>0</v>
      </c>
      <c r="AL373" s="17">
        <f t="shared" si="255"/>
        <v>0</v>
      </c>
      <c r="AM373" s="1" t="e">
        <f t="shared" si="256"/>
        <v>#DIV/0!</v>
      </c>
      <c r="AN373" s="1" t="e">
        <f t="shared" si="257"/>
        <v>#DIV/0!</v>
      </c>
      <c r="AO373" s="1" t="e">
        <f t="shared" si="258"/>
        <v>#DIV/0!</v>
      </c>
      <c r="AP373" s="1">
        <f t="shared" si="259"/>
        <v>-1</v>
      </c>
      <c r="AQ373" s="1" t="e">
        <f t="shared" si="260"/>
        <v>#DIV/0!</v>
      </c>
      <c r="AR373" s="1" t="e">
        <f t="shared" si="261"/>
        <v>#DIV/0!</v>
      </c>
      <c r="AS373" s="12" t="e">
        <f t="shared" si="262"/>
        <v>#DIV/0!</v>
      </c>
      <c r="AT373" s="12" t="e">
        <f t="shared" si="263"/>
        <v>#DIV/0!</v>
      </c>
      <c r="AU373" s="1">
        <f t="shared" si="264"/>
        <v>0</v>
      </c>
      <c r="AV373" s="1">
        <f t="shared" si="265"/>
        <v>0</v>
      </c>
      <c r="AW373" s="1">
        <f t="shared" si="266"/>
        <v>1</v>
      </c>
      <c r="AX373" s="1">
        <f t="shared" si="267"/>
        <v>-1</v>
      </c>
      <c r="AY373" s="1">
        <f t="shared" si="268"/>
        <v>0</v>
      </c>
      <c r="AZ373" s="1">
        <f t="shared" si="269"/>
        <v>0</v>
      </c>
      <c r="BA373" s="19">
        <f t="shared" si="270"/>
        <v>0</v>
      </c>
      <c r="BB373" s="19">
        <f t="shared" si="271"/>
        <v>0</v>
      </c>
      <c r="BC373" s="9" t="e">
        <f t="shared" si="272"/>
        <v>#DIV/0!</v>
      </c>
      <c r="BD373" s="9" t="e">
        <f t="shared" si="273"/>
        <v>#DIV/0!</v>
      </c>
      <c r="BE373" s="9" t="e">
        <f t="shared" si="274"/>
        <v>#DIV/0!</v>
      </c>
      <c r="BF373" s="9" t="e">
        <f t="shared" si="275"/>
        <v>#DIV/0!</v>
      </c>
      <c r="BG373" s="9" t="e">
        <f t="shared" si="276"/>
        <v>#DIV/0!</v>
      </c>
      <c r="BH373" s="9" t="e">
        <f t="shared" si="277"/>
        <v>#DIV/0!</v>
      </c>
      <c r="BI373" s="12" t="e">
        <f t="shared" si="278"/>
        <v>#DIV/0!</v>
      </c>
      <c r="BJ373" s="13" t="e">
        <f t="shared" si="279"/>
        <v>#DIV/0!</v>
      </c>
      <c r="BK373" s="1">
        <f t="shared" si="280"/>
        <v>0</v>
      </c>
      <c r="BL373" s="1">
        <f t="shared" si="281"/>
        <v>0</v>
      </c>
      <c r="BM373" s="1">
        <f t="shared" si="282"/>
        <v>0</v>
      </c>
      <c r="BN373" s="1">
        <f t="shared" si="283"/>
        <v>0</v>
      </c>
      <c r="BO373" s="1">
        <f t="shared" si="284"/>
        <v>0</v>
      </c>
      <c r="BP373" s="1">
        <f t="shared" si="285"/>
        <v>0</v>
      </c>
      <c r="BQ373" s="19">
        <f t="shared" si="286"/>
        <v>0</v>
      </c>
      <c r="BR373" s="17">
        <f t="shared" si="287"/>
        <v>0</v>
      </c>
    </row>
    <row r="374" spans="1:70" x14ac:dyDescent="0.25">
      <c r="A374" t="s">
        <v>657</v>
      </c>
      <c r="E374">
        <v>1</v>
      </c>
      <c r="S374">
        <v>1</v>
      </c>
      <c r="W374" s="8" t="e">
        <f t="shared" si="240"/>
        <v>#DIV/0!</v>
      </c>
      <c r="X374" s="8" t="e">
        <f t="shared" si="241"/>
        <v>#DIV/0!</v>
      </c>
      <c r="Y374" s="8" t="e">
        <f t="shared" si="242"/>
        <v>#DIV/0!</v>
      </c>
      <c r="Z374" s="8">
        <f t="shared" si="243"/>
        <v>-1</v>
      </c>
      <c r="AA374" s="8" t="e">
        <f t="shared" si="244"/>
        <v>#DIV/0!</v>
      </c>
      <c r="AB374" s="8" t="e">
        <f t="shared" si="245"/>
        <v>#DIV/0!</v>
      </c>
      <c r="AC374" s="12" t="e">
        <f t="shared" si="246"/>
        <v>#DIV/0!</v>
      </c>
      <c r="AD374" s="12" t="e">
        <f t="shared" si="247"/>
        <v>#DIV/0!</v>
      </c>
      <c r="AE374" s="1">
        <f t="shared" si="248"/>
        <v>0</v>
      </c>
      <c r="AF374" s="1">
        <f t="shared" si="249"/>
        <v>0</v>
      </c>
      <c r="AG374" s="1">
        <f t="shared" si="250"/>
        <v>1</v>
      </c>
      <c r="AH374" s="1">
        <f t="shared" si="251"/>
        <v>-1</v>
      </c>
      <c r="AI374" s="1">
        <f t="shared" si="252"/>
        <v>0</v>
      </c>
      <c r="AJ374" s="1">
        <f t="shared" si="253"/>
        <v>0</v>
      </c>
      <c r="AK374" s="17">
        <f t="shared" si="254"/>
        <v>0</v>
      </c>
      <c r="AL374" s="17">
        <f t="shared" si="255"/>
        <v>0</v>
      </c>
      <c r="AM374" s="1" t="e">
        <f t="shared" si="256"/>
        <v>#DIV/0!</v>
      </c>
      <c r="AN374" s="1" t="e">
        <f t="shared" si="257"/>
        <v>#DIV/0!</v>
      </c>
      <c r="AO374" s="1" t="e">
        <f t="shared" si="258"/>
        <v>#DIV/0!</v>
      </c>
      <c r="AP374" s="1" t="e">
        <f t="shared" si="259"/>
        <v>#DIV/0!</v>
      </c>
      <c r="AQ374" s="1" t="e">
        <f t="shared" si="260"/>
        <v>#DIV/0!</v>
      </c>
      <c r="AR374" s="1" t="e">
        <f t="shared" si="261"/>
        <v>#DIV/0!</v>
      </c>
      <c r="AS374" s="12" t="e">
        <f t="shared" si="262"/>
        <v>#DIV/0!</v>
      </c>
      <c r="AT374" s="12" t="e">
        <f t="shared" si="263"/>
        <v>#DIV/0!</v>
      </c>
      <c r="AU374" s="1">
        <f t="shared" si="264"/>
        <v>0</v>
      </c>
      <c r="AV374" s="1">
        <f t="shared" si="265"/>
        <v>0</v>
      </c>
      <c r="AW374" s="1">
        <f t="shared" si="266"/>
        <v>0</v>
      </c>
      <c r="AX374" s="1">
        <f t="shared" si="267"/>
        <v>0</v>
      </c>
      <c r="AY374" s="1">
        <f t="shared" si="268"/>
        <v>0</v>
      </c>
      <c r="AZ374" s="1">
        <f t="shared" si="269"/>
        <v>0</v>
      </c>
      <c r="BA374" s="19">
        <f t="shared" si="270"/>
        <v>0</v>
      </c>
      <c r="BB374" s="19">
        <f t="shared" si="271"/>
        <v>0</v>
      </c>
      <c r="BC374" s="9" t="e">
        <f t="shared" si="272"/>
        <v>#DIV/0!</v>
      </c>
      <c r="BD374" s="9" t="e">
        <f t="shared" si="273"/>
        <v>#DIV/0!</v>
      </c>
      <c r="BE374" s="9" t="e">
        <f t="shared" si="274"/>
        <v>#DIV/0!</v>
      </c>
      <c r="BF374" s="9">
        <f t="shared" si="275"/>
        <v>-1</v>
      </c>
      <c r="BG374" s="9" t="e">
        <f t="shared" si="276"/>
        <v>#DIV/0!</v>
      </c>
      <c r="BH374" s="9" t="e">
        <f t="shared" si="277"/>
        <v>#DIV/0!</v>
      </c>
      <c r="BI374" s="12" t="e">
        <f t="shared" si="278"/>
        <v>#DIV/0!</v>
      </c>
      <c r="BJ374" s="13" t="e">
        <f t="shared" si="279"/>
        <v>#DIV/0!</v>
      </c>
      <c r="BK374" s="1">
        <f t="shared" si="280"/>
        <v>0</v>
      </c>
      <c r="BL374" s="1">
        <f t="shared" si="281"/>
        <v>0</v>
      </c>
      <c r="BM374" s="1">
        <f t="shared" si="282"/>
        <v>1</v>
      </c>
      <c r="BN374" s="1">
        <f t="shared" si="283"/>
        <v>-1</v>
      </c>
      <c r="BO374" s="1">
        <f t="shared" si="284"/>
        <v>0</v>
      </c>
      <c r="BP374" s="1">
        <f t="shared" si="285"/>
        <v>0</v>
      </c>
      <c r="BQ374" s="19">
        <f t="shared" si="286"/>
        <v>0</v>
      </c>
      <c r="BR374" s="17">
        <f t="shared" si="287"/>
        <v>0</v>
      </c>
    </row>
    <row r="375" spans="1:70" x14ac:dyDescent="0.25">
      <c r="A375" t="s">
        <v>658</v>
      </c>
      <c r="E375">
        <v>1</v>
      </c>
      <c r="L375">
        <v>1</v>
      </c>
      <c r="W375" s="8" t="e">
        <f t="shared" si="240"/>
        <v>#DIV/0!</v>
      </c>
      <c r="X375" s="8" t="e">
        <f t="shared" si="241"/>
        <v>#DIV/0!</v>
      </c>
      <c r="Y375" s="8" t="e">
        <f t="shared" si="242"/>
        <v>#DIV/0!</v>
      </c>
      <c r="Z375" s="8">
        <f t="shared" si="243"/>
        <v>-1</v>
      </c>
      <c r="AA375" s="8" t="e">
        <f t="shared" si="244"/>
        <v>#DIV/0!</v>
      </c>
      <c r="AB375" s="8" t="e">
        <f t="shared" si="245"/>
        <v>#DIV/0!</v>
      </c>
      <c r="AC375" s="12" t="e">
        <f t="shared" si="246"/>
        <v>#DIV/0!</v>
      </c>
      <c r="AD375" s="12" t="e">
        <f t="shared" si="247"/>
        <v>#DIV/0!</v>
      </c>
      <c r="AE375" s="1">
        <f t="shared" si="248"/>
        <v>0</v>
      </c>
      <c r="AF375" s="1">
        <f t="shared" si="249"/>
        <v>0</v>
      </c>
      <c r="AG375" s="1">
        <f t="shared" si="250"/>
        <v>1</v>
      </c>
      <c r="AH375" s="1">
        <f t="shared" si="251"/>
        <v>-1</v>
      </c>
      <c r="AI375" s="1">
        <f t="shared" si="252"/>
        <v>0</v>
      </c>
      <c r="AJ375" s="1">
        <f t="shared" si="253"/>
        <v>0</v>
      </c>
      <c r="AK375" s="17">
        <f t="shared" si="254"/>
        <v>0</v>
      </c>
      <c r="AL375" s="17">
        <f t="shared" si="255"/>
        <v>0</v>
      </c>
      <c r="AM375" s="1" t="e">
        <f t="shared" si="256"/>
        <v>#DIV/0!</v>
      </c>
      <c r="AN375" s="1" t="e">
        <f t="shared" si="257"/>
        <v>#DIV/0!</v>
      </c>
      <c r="AO375" s="1" t="e">
        <f t="shared" si="258"/>
        <v>#DIV/0!</v>
      </c>
      <c r="AP375" s="1">
        <f t="shared" si="259"/>
        <v>-1</v>
      </c>
      <c r="AQ375" s="1" t="e">
        <f t="shared" si="260"/>
        <v>#DIV/0!</v>
      </c>
      <c r="AR375" s="1" t="e">
        <f t="shared" si="261"/>
        <v>#DIV/0!</v>
      </c>
      <c r="AS375" s="12" t="e">
        <f t="shared" si="262"/>
        <v>#DIV/0!</v>
      </c>
      <c r="AT375" s="12" t="e">
        <f t="shared" si="263"/>
        <v>#DIV/0!</v>
      </c>
      <c r="AU375" s="1">
        <f t="shared" si="264"/>
        <v>0</v>
      </c>
      <c r="AV375" s="1">
        <f t="shared" si="265"/>
        <v>0</v>
      </c>
      <c r="AW375" s="1">
        <f t="shared" si="266"/>
        <v>1</v>
      </c>
      <c r="AX375" s="1">
        <f t="shared" si="267"/>
        <v>-1</v>
      </c>
      <c r="AY375" s="1">
        <f t="shared" si="268"/>
        <v>0</v>
      </c>
      <c r="AZ375" s="1">
        <f t="shared" si="269"/>
        <v>0</v>
      </c>
      <c r="BA375" s="19">
        <f t="shared" si="270"/>
        <v>0</v>
      </c>
      <c r="BB375" s="19">
        <f t="shared" si="271"/>
        <v>0</v>
      </c>
      <c r="BC375" s="9" t="e">
        <f t="shared" si="272"/>
        <v>#DIV/0!</v>
      </c>
      <c r="BD375" s="9" t="e">
        <f t="shared" si="273"/>
        <v>#DIV/0!</v>
      </c>
      <c r="BE375" s="9" t="e">
        <f t="shared" si="274"/>
        <v>#DIV/0!</v>
      </c>
      <c r="BF375" s="9" t="e">
        <f t="shared" si="275"/>
        <v>#DIV/0!</v>
      </c>
      <c r="BG375" s="9" t="e">
        <f t="shared" si="276"/>
        <v>#DIV/0!</v>
      </c>
      <c r="BH375" s="9" t="e">
        <f t="shared" si="277"/>
        <v>#DIV/0!</v>
      </c>
      <c r="BI375" s="12" t="e">
        <f t="shared" si="278"/>
        <v>#DIV/0!</v>
      </c>
      <c r="BJ375" s="13" t="e">
        <f t="shared" si="279"/>
        <v>#DIV/0!</v>
      </c>
      <c r="BK375" s="1">
        <f t="shared" si="280"/>
        <v>0</v>
      </c>
      <c r="BL375" s="1">
        <f t="shared" si="281"/>
        <v>0</v>
      </c>
      <c r="BM375" s="1">
        <f t="shared" si="282"/>
        <v>0</v>
      </c>
      <c r="BN375" s="1">
        <f t="shared" si="283"/>
        <v>0</v>
      </c>
      <c r="BO375" s="1">
        <f t="shared" si="284"/>
        <v>0</v>
      </c>
      <c r="BP375" s="1">
        <f t="shared" si="285"/>
        <v>0</v>
      </c>
      <c r="BQ375" s="19">
        <f t="shared" si="286"/>
        <v>0</v>
      </c>
      <c r="BR375" s="17">
        <f t="shared" si="287"/>
        <v>0</v>
      </c>
    </row>
    <row r="376" spans="1:70" x14ac:dyDescent="0.25">
      <c r="A376" t="s">
        <v>659</v>
      </c>
      <c r="E376">
        <v>1</v>
      </c>
      <c r="L376">
        <v>1</v>
      </c>
      <c r="W376" s="8" t="e">
        <f t="shared" si="240"/>
        <v>#DIV/0!</v>
      </c>
      <c r="X376" s="8" t="e">
        <f t="shared" si="241"/>
        <v>#DIV/0!</v>
      </c>
      <c r="Y376" s="8" t="e">
        <f t="shared" si="242"/>
        <v>#DIV/0!</v>
      </c>
      <c r="Z376" s="8">
        <f t="shared" si="243"/>
        <v>-1</v>
      </c>
      <c r="AA376" s="8" t="e">
        <f t="shared" si="244"/>
        <v>#DIV/0!</v>
      </c>
      <c r="AB376" s="8" t="e">
        <f t="shared" si="245"/>
        <v>#DIV/0!</v>
      </c>
      <c r="AC376" s="12" t="e">
        <f t="shared" si="246"/>
        <v>#DIV/0!</v>
      </c>
      <c r="AD376" s="12" t="e">
        <f t="shared" si="247"/>
        <v>#DIV/0!</v>
      </c>
      <c r="AE376" s="1">
        <f t="shared" si="248"/>
        <v>0</v>
      </c>
      <c r="AF376" s="1">
        <f t="shared" si="249"/>
        <v>0</v>
      </c>
      <c r="AG376" s="1">
        <f t="shared" si="250"/>
        <v>1</v>
      </c>
      <c r="AH376" s="1">
        <f t="shared" si="251"/>
        <v>-1</v>
      </c>
      <c r="AI376" s="1">
        <f t="shared" si="252"/>
        <v>0</v>
      </c>
      <c r="AJ376" s="1">
        <f t="shared" si="253"/>
        <v>0</v>
      </c>
      <c r="AK376" s="17">
        <f t="shared" si="254"/>
        <v>0</v>
      </c>
      <c r="AL376" s="17">
        <f t="shared" si="255"/>
        <v>0</v>
      </c>
      <c r="AM376" s="1" t="e">
        <f t="shared" si="256"/>
        <v>#DIV/0!</v>
      </c>
      <c r="AN376" s="1" t="e">
        <f t="shared" si="257"/>
        <v>#DIV/0!</v>
      </c>
      <c r="AO376" s="1" t="e">
        <f t="shared" si="258"/>
        <v>#DIV/0!</v>
      </c>
      <c r="AP376" s="1">
        <f t="shared" si="259"/>
        <v>-1</v>
      </c>
      <c r="AQ376" s="1" t="e">
        <f t="shared" si="260"/>
        <v>#DIV/0!</v>
      </c>
      <c r="AR376" s="1" t="e">
        <f t="shared" si="261"/>
        <v>#DIV/0!</v>
      </c>
      <c r="AS376" s="12" t="e">
        <f t="shared" si="262"/>
        <v>#DIV/0!</v>
      </c>
      <c r="AT376" s="12" t="e">
        <f t="shared" si="263"/>
        <v>#DIV/0!</v>
      </c>
      <c r="AU376" s="1">
        <f t="shared" si="264"/>
        <v>0</v>
      </c>
      <c r="AV376" s="1">
        <f t="shared" si="265"/>
        <v>0</v>
      </c>
      <c r="AW376" s="1">
        <f t="shared" si="266"/>
        <v>1</v>
      </c>
      <c r="AX376" s="1">
        <f t="shared" si="267"/>
        <v>-1</v>
      </c>
      <c r="AY376" s="1">
        <f t="shared" si="268"/>
        <v>0</v>
      </c>
      <c r="AZ376" s="1">
        <f t="shared" si="269"/>
        <v>0</v>
      </c>
      <c r="BA376" s="19">
        <f t="shared" si="270"/>
        <v>0</v>
      </c>
      <c r="BB376" s="19">
        <f t="shared" si="271"/>
        <v>0</v>
      </c>
      <c r="BC376" s="9" t="e">
        <f t="shared" si="272"/>
        <v>#DIV/0!</v>
      </c>
      <c r="BD376" s="9" t="e">
        <f t="shared" si="273"/>
        <v>#DIV/0!</v>
      </c>
      <c r="BE376" s="9" t="e">
        <f t="shared" si="274"/>
        <v>#DIV/0!</v>
      </c>
      <c r="BF376" s="9" t="e">
        <f t="shared" si="275"/>
        <v>#DIV/0!</v>
      </c>
      <c r="BG376" s="9" t="e">
        <f t="shared" si="276"/>
        <v>#DIV/0!</v>
      </c>
      <c r="BH376" s="9" t="e">
        <f t="shared" si="277"/>
        <v>#DIV/0!</v>
      </c>
      <c r="BI376" s="12" t="e">
        <f t="shared" si="278"/>
        <v>#DIV/0!</v>
      </c>
      <c r="BJ376" s="13" t="e">
        <f t="shared" si="279"/>
        <v>#DIV/0!</v>
      </c>
      <c r="BK376" s="1">
        <f t="shared" si="280"/>
        <v>0</v>
      </c>
      <c r="BL376" s="1">
        <f t="shared" si="281"/>
        <v>0</v>
      </c>
      <c r="BM376" s="1">
        <f t="shared" si="282"/>
        <v>0</v>
      </c>
      <c r="BN376" s="1">
        <f t="shared" si="283"/>
        <v>0</v>
      </c>
      <c r="BO376" s="1">
        <f t="shared" si="284"/>
        <v>0</v>
      </c>
      <c r="BP376" s="1">
        <f t="shared" si="285"/>
        <v>0</v>
      </c>
      <c r="BQ376" s="19">
        <f t="shared" si="286"/>
        <v>0</v>
      </c>
      <c r="BR376" s="17">
        <f t="shared" si="287"/>
        <v>0</v>
      </c>
    </row>
    <row r="377" spans="1:70" x14ac:dyDescent="0.25">
      <c r="A377" t="s">
        <v>660</v>
      </c>
      <c r="F377">
        <v>2</v>
      </c>
      <c r="M377">
        <v>2</v>
      </c>
      <c r="W377" s="8" t="e">
        <f t="shared" si="240"/>
        <v>#DIV/0!</v>
      </c>
      <c r="X377" s="8" t="e">
        <f t="shared" si="241"/>
        <v>#DIV/0!</v>
      </c>
      <c r="Y377" s="8" t="e">
        <f t="shared" si="242"/>
        <v>#DIV/0!</v>
      </c>
      <c r="Z377" s="8" t="e">
        <f t="shared" si="243"/>
        <v>#DIV/0!</v>
      </c>
      <c r="AA377" s="8">
        <f t="shared" si="244"/>
        <v>-1</v>
      </c>
      <c r="AB377" s="8" t="e">
        <f t="shared" si="245"/>
        <v>#DIV/0!</v>
      </c>
      <c r="AC377" s="12" t="e">
        <f t="shared" si="246"/>
        <v>#DIV/0!</v>
      </c>
      <c r="AD377" s="12" t="e">
        <f t="shared" si="247"/>
        <v>#DIV/0!</v>
      </c>
      <c r="AE377" s="1">
        <f t="shared" si="248"/>
        <v>0</v>
      </c>
      <c r="AF377" s="1">
        <f t="shared" si="249"/>
        <v>0</v>
      </c>
      <c r="AG377" s="1">
        <f t="shared" si="250"/>
        <v>0</v>
      </c>
      <c r="AH377" s="1">
        <f t="shared" si="251"/>
        <v>2</v>
      </c>
      <c r="AI377" s="1">
        <f t="shared" si="252"/>
        <v>-2</v>
      </c>
      <c r="AJ377" s="1">
        <f t="shared" si="253"/>
        <v>0</v>
      </c>
      <c r="AK377" s="17">
        <f t="shared" si="254"/>
        <v>0</v>
      </c>
      <c r="AL377" s="17">
        <f t="shared" si="255"/>
        <v>0</v>
      </c>
      <c r="AM377" s="1" t="e">
        <f t="shared" si="256"/>
        <v>#DIV/0!</v>
      </c>
      <c r="AN377" s="1" t="e">
        <f t="shared" si="257"/>
        <v>#DIV/0!</v>
      </c>
      <c r="AO377" s="1" t="e">
        <f t="shared" si="258"/>
        <v>#DIV/0!</v>
      </c>
      <c r="AP377" s="1" t="e">
        <f t="shared" si="259"/>
        <v>#DIV/0!</v>
      </c>
      <c r="AQ377" s="1">
        <f t="shared" si="260"/>
        <v>-1</v>
      </c>
      <c r="AR377" s="1" t="e">
        <f t="shared" si="261"/>
        <v>#DIV/0!</v>
      </c>
      <c r="AS377" s="12" t="e">
        <f t="shared" si="262"/>
        <v>#DIV/0!</v>
      </c>
      <c r="AT377" s="12" t="e">
        <f t="shared" si="263"/>
        <v>#DIV/0!</v>
      </c>
      <c r="AU377" s="1">
        <f t="shared" si="264"/>
        <v>0</v>
      </c>
      <c r="AV377" s="1">
        <f t="shared" si="265"/>
        <v>0</v>
      </c>
      <c r="AW377" s="1">
        <f t="shared" si="266"/>
        <v>0</v>
      </c>
      <c r="AX377" s="1">
        <f t="shared" si="267"/>
        <v>2</v>
      </c>
      <c r="AY377" s="1">
        <f t="shared" si="268"/>
        <v>-2</v>
      </c>
      <c r="AZ377" s="1">
        <f t="shared" si="269"/>
        <v>0</v>
      </c>
      <c r="BA377" s="19">
        <f t="shared" si="270"/>
        <v>0</v>
      </c>
      <c r="BB377" s="19">
        <f t="shared" si="271"/>
        <v>0</v>
      </c>
      <c r="BC377" s="9" t="e">
        <f t="shared" si="272"/>
        <v>#DIV/0!</v>
      </c>
      <c r="BD377" s="9" t="e">
        <f t="shared" si="273"/>
        <v>#DIV/0!</v>
      </c>
      <c r="BE377" s="9" t="e">
        <f t="shared" si="274"/>
        <v>#DIV/0!</v>
      </c>
      <c r="BF377" s="9" t="e">
        <f t="shared" si="275"/>
        <v>#DIV/0!</v>
      </c>
      <c r="BG377" s="9" t="e">
        <f t="shared" si="276"/>
        <v>#DIV/0!</v>
      </c>
      <c r="BH377" s="9" t="e">
        <f t="shared" si="277"/>
        <v>#DIV/0!</v>
      </c>
      <c r="BI377" s="12" t="e">
        <f t="shared" si="278"/>
        <v>#DIV/0!</v>
      </c>
      <c r="BJ377" s="13" t="e">
        <f t="shared" si="279"/>
        <v>#DIV/0!</v>
      </c>
      <c r="BK377" s="1">
        <f t="shared" si="280"/>
        <v>0</v>
      </c>
      <c r="BL377" s="1">
        <f t="shared" si="281"/>
        <v>0</v>
      </c>
      <c r="BM377" s="1">
        <f t="shared" si="282"/>
        <v>0</v>
      </c>
      <c r="BN377" s="1">
        <f t="shared" si="283"/>
        <v>0</v>
      </c>
      <c r="BO377" s="1">
        <f t="shared" si="284"/>
        <v>0</v>
      </c>
      <c r="BP377" s="1">
        <f t="shared" si="285"/>
        <v>0</v>
      </c>
      <c r="BQ377" s="19">
        <f t="shared" si="286"/>
        <v>0</v>
      </c>
      <c r="BR377" s="17">
        <f t="shared" si="287"/>
        <v>0</v>
      </c>
    </row>
    <row r="378" spans="1:70" x14ac:dyDescent="0.25">
      <c r="A378" t="s">
        <v>661</v>
      </c>
      <c r="F378">
        <v>2</v>
      </c>
      <c r="G378">
        <v>4</v>
      </c>
      <c r="M378">
        <v>1</v>
      </c>
      <c r="N378">
        <v>4</v>
      </c>
      <c r="T378">
        <v>1</v>
      </c>
      <c r="W378" s="8" t="e">
        <f t="shared" si="240"/>
        <v>#DIV/0!</v>
      </c>
      <c r="X378" s="8" t="e">
        <f t="shared" si="241"/>
        <v>#DIV/0!</v>
      </c>
      <c r="Y378" s="8" t="e">
        <f t="shared" si="242"/>
        <v>#DIV/0!</v>
      </c>
      <c r="Z378" s="8" t="e">
        <f t="shared" si="243"/>
        <v>#DIV/0!</v>
      </c>
      <c r="AA378" s="8">
        <f t="shared" si="244"/>
        <v>1</v>
      </c>
      <c r="AB378" s="8">
        <f t="shared" si="245"/>
        <v>-1</v>
      </c>
      <c r="AC378" s="12" t="e">
        <f t="shared" si="246"/>
        <v>#DIV/0!</v>
      </c>
      <c r="AD378" s="12" t="e">
        <f t="shared" si="247"/>
        <v>#DIV/0!</v>
      </c>
      <c r="AE378" s="1">
        <f t="shared" si="248"/>
        <v>0</v>
      </c>
      <c r="AF378" s="1">
        <f t="shared" si="249"/>
        <v>0</v>
      </c>
      <c r="AG378" s="1">
        <f t="shared" si="250"/>
        <v>0</v>
      </c>
      <c r="AH378" s="1">
        <f t="shared" si="251"/>
        <v>2</v>
      </c>
      <c r="AI378" s="1">
        <f t="shared" si="252"/>
        <v>2</v>
      </c>
      <c r="AJ378" s="1">
        <f t="shared" si="253"/>
        <v>-4</v>
      </c>
      <c r="AK378" s="17">
        <f t="shared" si="254"/>
        <v>0</v>
      </c>
      <c r="AL378" s="17">
        <f t="shared" si="255"/>
        <v>0</v>
      </c>
      <c r="AM378" s="1" t="e">
        <f t="shared" si="256"/>
        <v>#DIV/0!</v>
      </c>
      <c r="AN378" s="1" t="e">
        <f t="shared" si="257"/>
        <v>#DIV/0!</v>
      </c>
      <c r="AO378" s="1" t="e">
        <f t="shared" si="258"/>
        <v>#DIV/0!</v>
      </c>
      <c r="AP378" s="1" t="e">
        <f t="shared" si="259"/>
        <v>#DIV/0!</v>
      </c>
      <c r="AQ378" s="1">
        <f t="shared" si="260"/>
        <v>3</v>
      </c>
      <c r="AR378" s="1">
        <f t="shared" si="261"/>
        <v>-1</v>
      </c>
      <c r="AS378" s="12" t="e">
        <f t="shared" si="262"/>
        <v>#DIV/0!</v>
      </c>
      <c r="AT378" s="12" t="e">
        <f t="shared" si="263"/>
        <v>#DIV/0!</v>
      </c>
      <c r="AU378" s="1">
        <f t="shared" si="264"/>
        <v>0</v>
      </c>
      <c r="AV378" s="1">
        <f t="shared" si="265"/>
        <v>0</v>
      </c>
      <c r="AW378" s="1">
        <f t="shared" si="266"/>
        <v>0</v>
      </c>
      <c r="AX378" s="1">
        <f t="shared" si="267"/>
        <v>1</v>
      </c>
      <c r="AY378" s="1">
        <f t="shared" si="268"/>
        <v>3</v>
      </c>
      <c r="AZ378" s="1">
        <f t="shared" si="269"/>
        <v>-4</v>
      </c>
      <c r="BA378" s="19">
        <f t="shared" si="270"/>
        <v>0</v>
      </c>
      <c r="BB378" s="19">
        <f t="shared" si="271"/>
        <v>0</v>
      </c>
      <c r="BC378" s="9" t="e">
        <f t="shared" si="272"/>
        <v>#DIV/0!</v>
      </c>
      <c r="BD378" s="9" t="e">
        <f t="shared" si="273"/>
        <v>#DIV/0!</v>
      </c>
      <c r="BE378" s="9" t="e">
        <f t="shared" si="274"/>
        <v>#DIV/0!</v>
      </c>
      <c r="BF378" s="9" t="e">
        <f t="shared" si="275"/>
        <v>#DIV/0!</v>
      </c>
      <c r="BG378" s="9">
        <f t="shared" si="276"/>
        <v>-1</v>
      </c>
      <c r="BH378" s="9" t="e">
        <f t="shared" si="277"/>
        <v>#DIV/0!</v>
      </c>
      <c r="BI378" s="12" t="e">
        <f t="shared" si="278"/>
        <v>#DIV/0!</v>
      </c>
      <c r="BJ378" s="13" t="e">
        <f t="shared" si="279"/>
        <v>#DIV/0!</v>
      </c>
      <c r="BK378" s="1">
        <f t="shared" si="280"/>
        <v>0</v>
      </c>
      <c r="BL378" s="1">
        <f t="shared" si="281"/>
        <v>0</v>
      </c>
      <c r="BM378" s="1">
        <f t="shared" si="282"/>
        <v>0</v>
      </c>
      <c r="BN378" s="1">
        <f t="shared" si="283"/>
        <v>1</v>
      </c>
      <c r="BO378" s="1">
        <f t="shared" si="284"/>
        <v>-1</v>
      </c>
      <c r="BP378" s="1">
        <f t="shared" si="285"/>
        <v>0</v>
      </c>
      <c r="BQ378" s="19">
        <f t="shared" si="286"/>
        <v>0</v>
      </c>
      <c r="BR378" s="17">
        <f t="shared" si="287"/>
        <v>0</v>
      </c>
    </row>
    <row r="379" spans="1:70" x14ac:dyDescent="0.25">
      <c r="A379" t="s">
        <v>662</v>
      </c>
      <c r="F379">
        <v>1</v>
      </c>
      <c r="G379">
        <v>1</v>
      </c>
      <c r="M379">
        <v>1</v>
      </c>
      <c r="U379">
        <v>1</v>
      </c>
      <c r="W379" s="8" t="e">
        <f t="shared" si="240"/>
        <v>#DIV/0!</v>
      </c>
      <c r="X379" s="8" t="e">
        <f t="shared" si="241"/>
        <v>#DIV/0!</v>
      </c>
      <c r="Y379" s="8" t="e">
        <f t="shared" si="242"/>
        <v>#DIV/0!</v>
      </c>
      <c r="Z379" s="8" t="e">
        <f t="shared" si="243"/>
        <v>#DIV/0!</v>
      </c>
      <c r="AA379" s="8">
        <f t="shared" si="244"/>
        <v>0</v>
      </c>
      <c r="AB379" s="8">
        <f t="shared" si="245"/>
        <v>-1</v>
      </c>
      <c r="AC379" s="12" t="e">
        <f t="shared" si="246"/>
        <v>#DIV/0!</v>
      </c>
      <c r="AD379" s="12" t="e">
        <f t="shared" si="247"/>
        <v>#DIV/0!</v>
      </c>
      <c r="AE379" s="1">
        <f t="shared" si="248"/>
        <v>0</v>
      </c>
      <c r="AF379" s="1">
        <f t="shared" si="249"/>
        <v>0</v>
      </c>
      <c r="AG379" s="1">
        <f t="shared" si="250"/>
        <v>0</v>
      </c>
      <c r="AH379" s="1">
        <f t="shared" si="251"/>
        <v>1</v>
      </c>
      <c r="AI379" s="1">
        <f t="shared" si="252"/>
        <v>0</v>
      </c>
      <c r="AJ379" s="1">
        <f t="shared" si="253"/>
        <v>-1</v>
      </c>
      <c r="AK379" s="17">
        <f t="shared" si="254"/>
        <v>0</v>
      </c>
      <c r="AL379" s="17">
        <f t="shared" si="255"/>
        <v>0</v>
      </c>
      <c r="AM379" s="1" t="e">
        <f t="shared" si="256"/>
        <v>#DIV/0!</v>
      </c>
      <c r="AN379" s="1" t="e">
        <f t="shared" si="257"/>
        <v>#DIV/0!</v>
      </c>
      <c r="AO379" s="1" t="e">
        <f t="shared" si="258"/>
        <v>#DIV/0!</v>
      </c>
      <c r="AP379" s="1" t="e">
        <f t="shared" si="259"/>
        <v>#DIV/0!</v>
      </c>
      <c r="AQ379" s="1">
        <f t="shared" si="260"/>
        <v>-1</v>
      </c>
      <c r="AR379" s="1" t="e">
        <f t="shared" si="261"/>
        <v>#DIV/0!</v>
      </c>
      <c r="AS379" s="12" t="e">
        <f t="shared" si="262"/>
        <v>#DIV/0!</v>
      </c>
      <c r="AT379" s="12" t="e">
        <f t="shared" si="263"/>
        <v>#DIV/0!</v>
      </c>
      <c r="AU379" s="1">
        <f t="shared" si="264"/>
        <v>0</v>
      </c>
      <c r="AV379" s="1">
        <f t="shared" si="265"/>
        <v>0</v>
      </c>
      <c r="AW379" s="1">
        <f t="shared" si="266"/>
        <v>0</v>
      </c>
      <c r="AX379" s="1">
        <f t="shared" si="267"/>
        <v>1</v>
      </c>
      <c r="AY379" s="1">
        <f t="shared" si="268"/>
        <v>-1</v>
      </c>
      <c r="AZ379" s="1">
        <f t="shared" si="269"/>
        <v>0</v>
      </c>
      <c r="BA379" s="19">
        <f t="shared" si="270"/>
        <v>0</v>
      </c>
      <c r="BB379" s="19">
        <f t="shared" si="271"/>
        <v>0</v>
      </c>
      <c r="BC379" s="9" t="e">
        <f t="shared" si="272"/>
        <v>#DIV/0!</v>
      </c>
      <c r="BD379" s="9" t="e">
        <f t="shared" si="273"/>
        <v>#DIV/0!</v>
      </c>
      <c r="BE379" s="9" t="e">
        <f t="shared" si="274"/>
        <v>#DIV/0!</v>
      </c>
      <c r="BF379" s="9" t="e">
        <f t="shared" si="275"/>
        <v>#DIV/0!</v>
      </c>
      <c r="BG379" s="9" t="e">
        <f t="shared" si="276"/>
        <v>#DIV/0!</v>
      </c>
      <c r="BH379" s="9">
        <f t="shared" si="277"/>
        <v>-1</v>
      </c>
      <c r="BI379" s="12" t="e">
        <f t="shared" si="278"/>
        <v>#DIV/0!</v>
      </c>
      <c r="BJ379" s="13" t="e">
        <f t="shared" si="279"/>
        <v>#DIV/0!</v>
      </c>
      <c r="BK379" s="1">
        <f t="shared" si="280"/>
        <v>0</v>
      </c>
      <c r="BL379" s="1">
        <f t="shared" si="281"/>
        <v>0</v>
      </c>
      <c r="BM379" s="1">
        <f t="shared" si="282"/>
        <v>0</v>
      </c>
      <c r="BN379" s="1">
        <f t="shared" si="283"/>
        <v>0</v>
      </c>
      <c r="BO379" s="1">
        <f t="shared" si="284"/>
        <v>1</v>
      </c>
      <c r="BP379" s="1">
        <f t="shared" si="285"/>
        <v>-1</v>
      </c>
      <c r="BQ379" s="19">
        <f t="shared" si="286"/>
        <v>0</v>
      </c>
      <c r="BR379" s="17">
        <f t="shared" si="287"/>
        <v>0</v>
      </c>
    </row>
    <row r="380" spans="1:70" x14ac:dyDescent="0.25">
      <c r="A380" t="s">
        <v>663</v>
      </c>
      <c r="F380">
        <v>1</v>
      </c>
      <c r="G380">
        <v>1</v>
      </c>
      <c r="M380">
        <v>1</v>
      </c>
      <c r="N380">
        <v>1</v>
      </c>
      <c r="W380" s="8" t="e">
        <f t="shared" si="240"/>
        <v>#DIV/0!</v>
      </c>
      <c r="X380" s="8" t="e">
        <f t="shared" si="241"/>
        <v>#DIV/0!</v>
      </c>
      <c r="Y380" s="8" t="e">
        <f t="shared" si="242"/>
        <v>#DIV/0!</v>
      </c>
      <c r="Z380" s="8" t="e">
        <f t="shared" si="243"/>
        <v>#DIV/0!</v>
      </c>
      <c r="AA380" s="8">
        <f t="shared" si="244"/>
        <v>0</v>
      </c>
      <c r="AB380" s="8">
        <f t="shared" si="245"/>
        <v>-1</v>
      </c>
      <c r="AC380" s="12" t="e">
        <f t="shared" si="246"/>
        <v>#DIV/0!</v>
      </c>
      <c r="AD380" s="12" t="e">
        <f t="shared" si="247"/>
        <v>#DIV/0!</v>
      </c>
      <c r="AE380" s="1">
        <f t="shared" si="248"/>
        <v>0</v>
      </c>
      <c r="AF380" s="1">
        <f t="shared" si="249"/>
        <v>0</v>
      </c>
      <c r="AG380" s="1">
        <f t="shared" si="250"/>
        <v>0</v>
      </c>
      <c r="AH380" s="1">
        <f t="shared" si="251"/>
        <v>1</v>
      </c>
      <c r="AI380" s="1">
        <f t="shared" si="252"/>
        <v>0</v>
      </c>
      <c r="AJ380" s="1">
        <f t="shared" si="253"/>
        <v>-1</v>
      </c>
      <c r="AK380" s="17">
        <f t="shared" si="254"/>
        <v>0</v>
      </c>
      <c r="AL380" s="17">
        <f t="shared" si="255"/>
        <v>0</v>
      </c>
      <c r="AM380" s="1" t="e">
        <f t="shared" si="256"/>
        <v>#DIV/0!</v>
      </c>
      <c r="AN380" s="1" t="e">
        <f t="shared" si="257"/>
        <v>#DIV/0!</v>
      </c>
      <c r="AO380" s="1" t="e">
        <f t="shared" si="258"/>
        <v>#DIV/0!</v>
      </c>
      <c r="AP380" s="1" t="e">
        <f t="shared" si="259"/>
        <v>#DIV/0!</v>
      </c>
      <c r="AQ380" s="1">
        <f t="shared" si="260"/>
        <v>0</v>
      </c>
      <c r="AR380" s="1">
        <f t="shared" si="261"/>
        <v>-1</v>
      </c>
      <c r="AS380" s="12" t="e">
        <f t="shared" si="262"/>
        <v>#DIV/0!</v>
      </c>
      <c r="AT380" s="12" t="e">
        <f t="shared" si="263"/>
        <v>#DIV/0!</v>
      </c>
      <c r="AU380" s="1">
        <f t="shared" si="264"/>
        <v>0</v>
      </c>
      <c r="AV380" s="1">
        <f t="shared" si="265"/>
        <v>0</v>
      </c>
      <c r="AW380" s="1">
        <f t="shared" si="266"/>
        <v>0</v>
      </c>
      <c r="AX380" s="1">
        <f t="shared" si="267"/>
        <v>1</v>
      </c>
      <c r="AY380" s="1">
        <f t="shared" si="268"/>
        <v>0</v>
      </c>
      <c r="AZ380" s="1">
        <f t="shared" si="269"/>
        <v>-1</v>
      </c>
      <c r="BA380" s="19">
        <f t="shared" si="270"/>
        <v>0</v>
      </c>
      <c r="BB380" s="19">
        <f t="shared" si="271"/>
        <v>0</v>
      </c>
      <c r="BC380" s="9" t="e">
        <f t="shared" si="272"/>
        <v>#DIV/0!</v>
      </c>
      <c r="BD380" s="9" t="e">
        <f t="shared" si="273"/>
        <v>#DIV/0!</v>
      </c>
      <c r="BE380" s="9" t="e">
        <f t="shared" si="274"/>
        <v>#DIV/0!</v>
      </c>
      <c r="BF380" s="9" t="e">
        <f t="shared" si="275"/>
        <v>#DIV/0!</v>
      </c>
      <c r="BG380" s="9" t="e">
        <f t="shared" si="276"/>
        <v>#DIV/0!</v>
      </c>
      <c r="BH380" s="9" t="e">
        <f t="shared" si="277"/>
        <v>#DIV/0!</v>
      </c>
      <c r="BI380" s="12" t="e">
        <f t="shared" si="278"/>
        <v>#DIV/0!</v>
      </c>
      <c r="BJ380" s="13" t="e">
        <f t="shared" si="279"/>
        <v>#DIV/0!</v>
      </c>
      <c r="BK380" s="1">
        <f t="shared" si="280"/>
        <v>0</v>
      </c>
      <c r="BL380" s="1">
        <f t="shared" si="281"/>
        <v>0</v>
      </c>
      <c r="BM380" s="1">
        <f t="shared" si="282"/>
        <v>0</v>
      </c>
      <c r="BN380" s="1">
        <f t="shared" si="283"/>
        <v>0</v>
      </c>
      <c r="BO380" s="1">
        <f t="shared" si="284"/>
        <v>0</v>
      </c>
      <c r="BP380" s="1">
        <f t="shared" si="285"/>
        <v>0</v>
      </c>
      <c r="BQ380" s="19">
        <f t="shared" si="286"/>
        <v>0</v>
      </c>
      <c r="BR380" s="17">
        <f t="shared" si="287"/>
        <v>0</v>
      </c>
    </row>
    <row r="381" spans="1:70" x14ac:dyDescent="0.25">
      <c r="A381" t="s">
        <v>665</v>
      </c>
      <c r="F381">
        <v>1</v>
      </c>
      <c r="M381">
        <v>1</v>
      </c>
      <c r="W381" s="8" t="e">
        <f t="shared" si="240"/>
        <v>#DIV/0!</v>
      </c>
      <c r="X381" s="8" t="e">
        <f t="shared" si="241"/>
        <v>#DIV/0!</v>
      </c>
      <c r="Y381" s="8" t="e">
        <f t="shared" si="242"/>
        <v>#DIV/0!</v>
      </c>
      <c r="Z381" s="8" t="e">
        <f t="shared" si="243"/>
        <v>#DIV/0!</v>
      </c>
      <c r="AA381" s="8">
        <f t="shared" si="244"/>
        <v>-1</v>
      </c>
      <c r="AB381" s="8" t="e">
        <f t="shared" si="245"/>
        <v>#DIV/0!</v>
      </c>
      <c r="AC381" s="12" t="e">
        <f t="shared" si="246"/>
        <v>#DIV/0!</v>
      </c>
      <c r="AD381" s="12" t="e">
        <f t="shared" si="247"/>
        <v>#DIV/0!</v>
      </c>
      <c r="AE381" s="1">
        <f t="shared" si="248"/>
        <v>0</v>
      </c>
      <c r="AF381" s="1">
        <f t="shared" si="249"/>
        <v>0</v>
      </c>
      <c r="AG381" s="1">
        <f t="shared" si="250"/>
        <v>0</v>
      </c>
      <c r="AH381" s="1">
        <f t="shared" si="251"/>
        <v>1</v>
      </c>
      <c r="AI381" s="1">
        <f t="shared" si="252"/>
        <v>-1</v>
      </c>
      <c r="AJ381" s="1">
        <f t="shared" si="253"/>
        <v>0</v>
      </c>
      <c r="AK381" s="17">
        <f t="shared" si="254"/>
        <v>0</v>
      </c>
      <c r="AL381" s="17">
        <f t="shared" si="255"/>
        <v>0</v>
      </c>
      <c r="AM381" s="1" t="e">
        <f t="shared" si="256"/>
        <v>#DIV/0!</v>
      </c>
      <c r="AN381" s="1" t="e">
        <f t="shared" si="257"/>
        <v>#DIV/0!</v>
      </c>
      <c r="AO381" s="1" t="e">
        <f t="shared" si="258"/>
        <v>#DIV/0!</v>
      </c>
      <c r="AP381" s="1" t="e">
        <f t="shared" si="259"/>
        <v>#DIV/0!</v>
      </c>
      <c r="AQ381" s="1">
        <f t="shared" si="260"/>
        <v>-1</v>
      </c>
      <c r="AR381" s="1" t="e">
        <f t="shared" si="261"/>
        <v>#DIV/0!</v>
      </c>
      <c r="AS381" s="12" t="e">
        <f t="shared" si="262"/>
        <v>#DIV/0!</v>
      </c>
      <c r="AT381" s="12" t="e">
        <f t="shared" si="263"/>
        <v>#DIV/0!</v>
      </c>
      <c r="AU381" s="1">
        <f t="shared" si="264"/>
        <v>0</v>
      </c>
      <c r="AV381" s="1">
        <f t="shared" si="265"/>
        <v>0</v>
      </c>
      <c r="AW381" s="1">
        <f t="shared" si="266"/>
        <v>0</v>
      </c>
      <c r="AX381" s="1">
        <f t="shared" si="267"/>
        <v>1</v>
      </c>
      <c r="AY381" s="1">
        <f t="shared" si="268"/>
        <v>-1</v>
      </c>
      <c r="AZ381" s="1">
        <f t="shared" si="269"/>
        <v>0</v>
      </c>
      <c r="BA381" s="19">
        <f t="shared" si="270"/>
        <v>0</v>
      </c>
      <c r="BB381" s="19">
        <f t="shared" si="271"/>
        <v>0</v>
      </c>
      <c r="BC381" s="9" t="e">
        <f t="shared" si="272"/>
        <v>#DIV/0!</v>
      </c>
      <c r="BD381" s="9" t="e">
        <f t="shared" si="273"/>
        <v>#DIV/0!</v>
      </c>
      <c r="BE381" s="9" t="e">
        <f t="shared" si="274"/>
        <v>#DIV/0!</v>
      </c>
      <c r="BF381" s="9" t="e">
        <f t="shared" si="275"/>
        <v>#DIV/0!</v>
      </c>
      <c r="BG381" s="9" t="e">
        <f t="shared" si="276"/>
        <v>#DIV/0!</v>
      </c>
      <c r="BH381" s="9" t="e">
        <f t="shared" si="277"/>
        <v>#DIV/0!</v>
      </c>
      <c r="BI381" s="12" t="e">
        <f t="shared" si="278"/>
        <v>#DIV/0!</v>
      </c>
      <c r="BJ381" s="13" t="e">
        <f t="shared" si="279"/>
        <v>#DIV/0!</v>
      </c>
      <c r="BK381" s="1">
        <f t="shared" si="280"/>
        <v>0</v>
      </c>
      <c r="BL381" s="1">
        <f t="shared" si="281"/>
        <v>0</v>
      </c>
      <c r="BM381" s="1">
        <f t="shared" si="282"/>
        <v>0</v>
      </c>
      <c r="BN381" s="1">
        <f t="shared" si="283"/>
        <v>0</v>
      </c>
      <c r="BO381" s="1">
        <f t="shared" si="284"/>
        <v>0</v>
      </c>
      <c r="BP381" s="1">
        <f t="shared" si="285"/>
        <v>0</v>
      </c>
      <c r="BQ381" s="19">
        <f t="shared" si="286"/>
        <v>0</v>
      </c>
      <c r="BR381" s="17">
        <f t="shared" si="287"/>
        <v>0</v>
      </c>
    </row>
    <row r="382" spans="1:70" x14ac:dyDescent="0.25">
      <c r="A382" t="s">
        <v>667</v>
      </c>
      <c r="F382">
        <v>1</v>
      </c>
      <c r="G382">
        <v>1</v>
      </c>
      <c r="N382">
        <v>1</v>
      </c>
      <c r="T382">
        <v>1</v>
      </c>
      <c r="W382" s="8" t="e">
        <f t="shared" si="240"/>
        <v>#DIV/0!</v>
      </c>
      <c r="X382" s="8" t="e">
        <f t="shared" si="241"/>
        <v>#DIV/0!</v>
      </c>
      <c r="Y382" s="8" t="e">
        <f t="shared" si="242"/>
        <v>#DIV/0!</v>
      </c>
      <c r="Z382" s="8" t="e">
        <f t="shared" si="243"/>
        <v>#DIV/0!</v>
      </c>
      <c r="AA382" s="8">
        <f t="shared" si="244"/>
        <v>0</v>
      </c>
      <c r="AB382" s="8">
        <f t="shared" si="245"/>
        <v>-1</v>
      </c>
      <c r="AC382" s="12" t="e">
        <f t="shared" si="246"/>
        <v>#DIV/0!</v>
      </c>
      <c r="AD382" s="12" t="e">
        <f t="shared" si="247"/>
        <v>#DIV/0!</v>
      </c>
      <c r="AE382" s="1">
        <f t="shared" si="248"/>
        <v>0</v>
      </c>
      <c r="AF382" s="1">
        <f t="shared" si="249"/>
        <v>0</v>
      </c>
      <c r="AG382" s="1">
        <f t="shared" si="250"/>
        <v>0</v>
      </c>
      <c r="AH382" s="1">
        <f t="shared" si="251"/>
        <v>1</v>
      </c>
      <c r="AI382" s="1">
        <f t="shared" si="252"/>
        <v>0</v>
      </c>
      <c r="AJ382" s="1">
        <f t="shared" si="253"/>
        <v>-1</v>
      </c>
      <c r="AK382" s="17">
        <f t="shared" si="254"/>
        <v>0</v>
      </c>
      <c r="AL382" s="17">
        <f t="shared" si="255"/>
        <v>0</v>
      </c>
      <c r="AM382" s="1" t="e">
        <f t="shared" si="256"/>
        <v>#DIV/0!</v>
      </c>
      <c r="AN382" s="1" t="e">
        <f t="shared" si="257"/>
        <v>#DIV/0!</v>
      </c>
      <c r="AO382" s="1" t="e">
        <f t="shared" si="258"/>
        <v>#DIV/0!</v>
      </c>
      <c r="AP382" s="1" t="e">
        <f t="shared" si="259"/>
        <v>#DIV/0!</v>
      </c>
      <c r="AQ382" s="1" t="e">
        <f t="shared" si="260"/>
        <v>#DIV/0!</v>
      </c>
      <c r="AR382" s="1">
        <f t="shared" si="261"/>
        <v>-1</v>
      </c>
      <c r="AS382" s="12" t="e">
        <f t="shared" si="262"/>
        <v>#DIV/0!</v>
      </c>
      <c r="AT382" s="12" t="e">
        <f t="shared" si="263"/>
        <v>#DIV/0!</v>
      </c>
      <c r="AU382" s="1">
        <f t="shared" si="264"/>
        <v>0</v>
      </c>
      <c r="AV382" s="1">
        <f t="shared" si="265"/>
        <v>0</v>
      </c>
      <c r="AW382" s="1">
        <f t="shared" si="266"/>
        <v>0</v>
      </c>
      <c r="AX382" s="1">
        <f t="shared" si="267"/>
        <v>0</v>
      </c>
      <c r="AY382" s="1">
        <f t="shared" si="268"/>
        <v>1</v>
      </c>
      <c r="AZ382" s="1">
        <f t="shared" si="269"/>
        <v>-1</v>
      </c>
      <c r="BA382" s="19">
        <f t="shared" si="270"/>
        <v>0</v>
      </c>
      <c r="BB382" s="19">
        <f t="shared" si="271"/>
        <v>0</v>
      </c>
      <c r="BC382" s="9" t="e">
        <f t="shared" si="272"/>
        <v>#DIV/0!</v>
      </c>
      <c r="BD382" s="9" t="e">
        <f t="shared" si="273"/>
        <v>#DIV/0!</v>
      </c>
      <c r="BE382" s="9" t="e">
        <f t="shared" si="274"/>
        <v>#DIV/0!</v>
      </c>
      <c r="BF382" s="9" t="e">
        <f t="shared" si="275"/>
        <v>#DIV/0!</v>
      </c>
      <c r="BG382" s="9">
        <f t="shared" si="276"/>
        <v>-1</v>
      </c>
      <c r="BH382" s="9" t="e">
        <f t="shared" si="277"/>
        <v>#DIV/0!</v>
      </c>
      <c r="BI382" s="12" t="e">
        <f t="shared" si="278"/>
        <v>#DIV/0!</v>
      </c>
      <c r="BJ382" s="13" t="e">
        <f t="shared" si="279"/>
        <v>#DIV/0!</v>
      </c>
      <c r="BK382" s="1">
        <f t="shared" si="280"/>
        <v>0</v>
      </c>
      <c r="BL382" s="1">
        <f t="shared" si="281"/>
        <v>0</v>
      </c>
      <c r="BM382" s="1">
        <f t="shared" si="282"/>
        <v>0</v>
      </c>
      <c r="BN382" s="1">
        <f t="shared" si="283"/>
        <v>1</v>
      </c>
      <c r="BO382" s="1">
        <f t="shared" si="284"/>
        <v>-1</v>
      </c>
      <c r="BP382" s="1">
        <f t="shared" si="285"/>
        <v>0</v>
      </c>
      <c r="BQ382" s="19">
        <f t="shared" si="286"/>
        <v>0</v>
      </c>
      <c r="BR382" s="17">
        <f t="shared" si="287"/>
        <v>0</v>
      </c>
    </row>
    <row r="383" spans="1:70" x14ac:dyDescent="0.25">
      <c r="A383" t="s">
        <v>668</v>
      </c>
      <c r="F383">
        <v>1</v>
      </c>
      <c r="T383">
        <v>1</v>
      </c>
      <c r="W383" s="8" t="e">
        <f t="shared" si="240"/>
        <v>#DIV/0!</v>
      </c>
      <c r="X383" s="8" t="e">
        <f t="shared" si="241"/>
        <v>#DIV/0!</v>
      </c>
      <c r="Y383" s="8" t="e">
        <f t="shared" si="242"/>
        <v>#DIV/0!</v>
      </c>
      <c r="Z383" s="8" t="e">
        <f t="shared" si="243"/>
        <v>#DIV/0!</v>
      </c>
      <c r="AA383" s="8">
        <f t="shared" si="244"/>
        <v>-1</v>
      </c>
      <c r="AB383" s="8" t="e">
        <f t="shared" si="245"/>
        <v>#DIV/0!</v>
      </c>
      <c r="AC383" s="12" t="e">
        <f t="shared" si="246"/>
        <v>#DIV/0!</v>
      </c>
      <c r="AD383" s="12" t="e">
        <f t="shared" si="247"/>
        <v>#DIV/0!</v>
      </c>
      <c r="AE383" s="1">
        <f t="shared" si="248"/>
        <v>0</v>
      </c>
      <c r="AF383" s="1">
        <f t="shared" si="249"/>
        <v>0</v>
      </c>
      <c r="AG383" s="1">
        <f t="shared" si="250"/>
        <v>0</v>
      </c>
      <c r="AH383" s="1">
        <f t="shared" si="251"/>
        <v>1</v>
      </c>
      <c r="AI383" s="1">
        <f t="shared" si="252"/>
        <v>-1</v>
      </c>
      <c r="AJ383" s="1">
        <f t="shared" si="253"/>
        <v>0</v>
      </c>
      <c r="AK383" s="17">
        <f t="shared" si="254"/>
        <v>0</v>
      </c>
      <c r="AL383" s="17">
        <f t="shared" si="255"/>
        <v>0</v>
      </c>
      <c r="AM383" s="1" t="e">
        <f t="shared" si="256"/>
        <v>#DIV/0!</v>
      </c>
      <c r="AN383" s="1" t="e">
        <f t="shared" si="257"/>
        <v>#DIV/0!</v>
      </c>
      <c r="AO383" s="1" t="e">
        <f t="shared" si="258"/>
        <v>#DIV/0!</v>
      </c>
      <c r="AP383" s="1" t="e">
        <f t="shared" si="259"/>
        <v>#DIV/0!</v>
      </c>
      <c r="AQ383" s="1" t="e">
        <f t="shared" si="260"/>
        <v>#DIV/0!</v>
      </c>
      <c r="AR383" s="1" t="e">
        <f t="shared" si="261"/>
        <v>#DIV/0!</v>
      </c>
      <c r="AS383" s="12" t="e">
        <f t="shared" si="262"/>
        <v>#DIV/0!</v>
      </c>
      <c r="AT383" s="12" t="e">
        <f t="shared" si="263"/>
        <v>#DIV/0!</v>
      </c>
      <c r="AU383" s="1">
        <f t="shared" si="264"/>
        <v>0</v>
      </c>
      <c r="AV383" s="1">
        <f t="shared" si="265"/>
        <v>0</v>
      </c>
      <c r="AW383" s="1">
        <f t="shared" si="266"/>
        <v>0</v>
      </c>
      <c r="AX383" s="1">
        <f t="shared" si="267"/>
        <v>0</v>
      </c>
      <c r="AY383" s="1">
        <f t="shared" si="268"/>
        <v>0</v>
      </c>
      <c r="AZ383" s="1">
        <f t="shared" si="269"/>
        <v>0</v>
      </c>
      <c r="BA383" s="19">
        <f t="shared" si="270"/>
        <v>0</v>
      </c>
      <c r="BB383" s="19">
        <f t="shared" si="271"/>
        <v>0</v>
      </c>
      <c r="BC383" s="9" t="e">
        <f t="shared" si="272"/>
        <v>#DIV/0!</v>
      </c>
      <c r="BD383" s="9" t="e">
        <f t="shared" si="273"/>
        <v>#DIV/0!</v>
      </c>
      <c r="BE383" s="9" t="e">
        <f t="shared" si="274"/>
        <v>#DIV/0!</v>
      </c>
      <c r="BF383" s="9" t="e">
        <f t="shared" si="275"/>
        <v>#DIV/0!</v>
      </c>
      <c r="BG383" s="9">
        <f t="shared" si="276"/>
        <v>-1</v>
      </c>
      <c r="BH383" s="9" t="e">
        <f t="shared" si="277"/>
        <v>#DIV/0!</v>
      </c>
      <c r="BI383" s="12" t="e">
        <f t="shared" si="278"/>
        <v>#DIV/0!</v>
      </c>
      <c r="BJ383" s="13" t="e">
        <f t="shared" si="279"/>
        <v>#DIV/0!</v>
      </c>
      <c r="BK383" s="1">
        <f t="shared" si="280"/>
        <v>0</v>
      </c>
      <c r="BL383" s="1">
        <f t="shared" si="281"/>
        <v>0</v>
      </c>
      <c r="BM383" s="1">
        <f t="shared" si="282"/>
        <v>0</v>
      </c>
      <c r="BN383" s="1">
        <f t="shared" si="283"/>
        <v>1</v>
      </c>
      <c r="BO383" s="1">
        <f t="shared" si="284"/>
        <v>-1</v>
      </c>
      <c r="BP383" s="1">
        <f t="shared" si="285"/>
        <v>0</v>
      </c>
      <c r="BQ383" s="19">
        <f t="shared" si="286"/>
        <v>0</v>
      </c>
      <c r="BR383" s="17">
        <f t="shared" si="287"/>
        <v>0</v>
      </c>
    </row>
    <row r="384" spans="1:70" x14ac:dyDescent="0.25">
      <c r="A384" t="s">
        <v>669</v>
      </c>
      <c r="F384">
        <v>1</v>
      </c>
      <c r="T384">
        <v>1</v>
      </c>
      <c r="W384" s="8" t="e">
        <f t="shared" si="240"/>
        <v>#DIV/0!</v>
      </c>
      <c r="X384" s="8" t="e">
        <f t="shared" si="241"/>
        <v>#DIV/0!</v>
      </c>
      <c r="Y384" s="8" t="e">
        <f t="shared" si="242"/>
        <v>#DIV/0!</v>
      </c>
      <c r="Z384" s="8" t="e">
        <f t="shared" si="243"/>
        <v>#DIV/0!</v>
      </c>
      <c r="AA384" s="8">
        <f t="shared" si="244"/>
        <v>-1</v>
      </c>
      <c r="AB384" s="8" t="e">
        <f t="shared" si="245"/>
        <v>#DIV/0!</v>
      </c>
      <c r="AC384" s="12" t="e">
        <f t="shared" si="246"/>
        <v>#DIV/0!</v>
      </c>
      <c r="AD384" s="12" t="e">
        <f t="shared" si="247"/>
        <v>#DIV/0!</v>
      </c>
      <c r="AE384" s="1">
        <f t="shared" si="248"/>
        <v>0</v>
      </c>
      <c r="AF384" s="1">
        <f t="shared" si="249"/>
        <v>0</v>
      </c>
      <c r="AG384" s="1">
        <f t="shared" si="250"/>
        <v>0</v>
      </c>
      <c r="AH384" s="1">
        <f t="shared" si="251"/>
        <v>1</v>
      </c>
      <c r="AI384" s="1">
        <f t="shared" si="252"/>
        <v>-1</v>
      </c>
      <c r="AJ384" s="1">
        <f t="shared" si="253"/>
        <v>0</v>
      </c>
      <c r="AK384" s="17">
        <f t="shared" si="254"/>
        <v>0</v>
      </c>
      <c r="AL384" s="17">
        <f t="shared" si="255"/>
        <v>0</v>
      </c>
      <c r="AM384" s="1" t="e">
        <f t="shared" si="256"/>
        <v>#DIV/0!</v>
      </c>
      <c r="AN384" s="1" t="e">
        <f t="shared" si="257"/>
        <v>#DIV/0!</v>
      </c>
      <c r="AO384" s="1" t="e">
        <f t="shared" si="258"/>
        <v>#DIV/0!</v>
      </c>
      <c r="AP384" s="1" t="e">
        <f t="shared" si="259"/>
        <v>#DIV/0!</v>
      </c>
      <c r="AQ384" s="1" t="e">
        <f t="shared" si="260"/>
        <v>#DIV/0!</v>
      </c>
      <c r="AR384" s="1" t="e">
        <f t="shared" si="261"/>
        <v>#DIV/0!</v>
      </c>
      <c r="AS384" s="12" t="e">
        <f t="shared" si="262"/>
        <v>#DIV/0!</v>
      </c>
      <c r="AT384" s="12" t="e">
        <f t="shared" si="263"/>
        <v>#DIV/0!</v>
      </c>
      <c r="AU384" s="1">
        <f t="shared" si="264"/>
        <v>0</v>
      </c>
      <c r="AV384" s="1">
        <f t="shared" si="265"/>
        <v>0</v>
      </c>
      <c r="AW384" s="1">
        <f t="shared" si="266"/>
        <v>0</v>
      </c>
      <c r="AX384" s="1">
        <f t="shared" si="267"/>
        <v>0</v>
      </c>
      <c r="AY384" s="1">
        <f t="shared" si="268"/>
        <v>0</v>
      </c>
      <c r="AZ384" s="1">
        <f t="shared" si="269"/>
        <v>0</v>
      </c>
      <c r="BA384" s="19">
        <f t="shared" si="270"/>
        <v>0</v>
      </c>
      <c r="BB384" s="19">
        <f t="shared" si="271"/>
        <v>0</v>
      </c>
      <c r="BC384" s="9" t="e">
        <f t="shared" si="272"/>
        <v>#DIV/0!</v>
      </c>
      <c r="BD384" s="9" t="e">
        <f t="shared" si="273"/>
        <v>#DIV/0!</v>
      </c>
      <c r="BE384" s="9" t="e">
        <f t="shared" si="274"/>
        <v>#DIV/0!</v>
      </c>
      <c r="BF384" s="9" t="e">
        <f t="shared" si="275"/>
        <v>#DIV/0!</v>
      </c>
      <c r="BG384" s="9">
        <f t="shared" si="276"/>
        <v>-1</v>
      </c>
      <c r="BH384" s="9" t="e">
        <f t="shared" si="277"/>
        <v>#DIV/0!</v>
      </c>
      <c r="BI384" s="12" t="e">
        <f t="shared" si="278"/>
        <v>#DIV/0!</v>
      </c>
      <c r="BJ384" s="13" t="e">
        <f t="shared" si="279"/>
        <v>#DIV/0!</v>
      </c>
      <c r="BK384" s="1">
        <f t="shared" si="280"/>
        <v>0</v>
      </c>
      <c r="BL384" s="1">
        <f t="shared" si="281"/>
        <v>0</v>
      </c>
      <c r="BM384" s="1">
        <f t="shared" si="282"/>
        <v>0</v>
      </c>
      <c r="BN384" s="1">
        <f t="shared" si="283"/>
        <v>1</v>
      </c>
      <c r="BO384" s="1">
        <f t="shared" si="284"/>
        <v>-1</v>
      </c>
      <c r="BP384" s="1">
        <f t="shared" si="285"/>
        <v>0</v>
      </c>
      <c r="BQ384" s="19">
        <f t="shared" si="286"/>
        <v>0</v>
      </c>
      <c r="BR384" s="17">
        <f t="shared" si="287"/>
        <v>0</v>
      </c>
    </row>
    <row r="385" spans="1:70" x14ac:dyDescent="0.25">
      <c r="A385" t="s">
        <v>670</v>
      </c>
      <c r="F385">
        <v>1</v>
      </c>
      <c r="T385">
        <v>1</v>
      </c>
      <c r="W385" s="8" t="e">
        <f t="shared" si="240"/>
        <v>#DIV/0!</v>
      </c>
      <c r="X385" s="8" t="e">
        <f t="shared" si="241"/>
        <v>#DIV/0!</v>
      </c>
      <c r="Y385" s="8" t="e">
        <f t="shared" si="242"/>
        <v>#DIV/0!</v>
      </c>
      <c r="Z385" s="8" t="e">
        <f t="shared" si="243"/>
        <v>#DIV/0!</v>
      </c>
      <c r="AA385" s="8">
        <f t="shared" si="244"/>
        <v>-1</v>
      </c>
      <c r="AB385" s="8" t="e">
        <f t="shared" si="245"/>
        <v>#DIV/0!</v>
      </c>
      <c r="AC385" s="12" t="e">
        <f t="shared" si="246"/>
        <v>#DIV/0!</v>
      </c>
      <c r="AD385" s="12" t="e">
        <f t="shared" si="247"/>
        <v>#DIV/0!</v>
      </c>
      <c r="AE385" s="1">
        <f t="shared" si="248"/>
        <v>0</v>
      </c>
      <c r="AF385" s="1">
        <f t="shared" si="249"/>
        <v>0</v>
      </c>
      <c r="AG385" s="1">
        <f t="shared" si="250"/>
        <v>0</v>
      </c>
      <c r="AH385" s="1">
        <f t="shared" si="251"/>
        <v>1</v>
      </c>
      <c r="AI385" s="1">
        <f t="shared" si="252"/>
        <v>-1</v>
      </c>
      <c r="AJ385" s="1">
        <f t="shared" si="253"/>
        <v>0</v>
      </c>
      <c r="AK385" s="17">
        <f t="shared" si="254"/>
        <v>0</v>
      </c>
      <c r="AL385" s="17">
        <f t="shared" si="255"/>
        <v>0</v>
      </c>
      <c r="AM385" s="1" t="e">
        <f t="shared" si="256"/>
        <v>#DIV/0!</v>
      </c>
      <c r="AN385" s="1" t="e">
        <f t="shared" si="257"/>
        <v>#DIV/0!</v>
      </c>
      <c r="AO385" s="1" t="e">
        <f t="shared" si="258"/>
        <v>#DIV/0!</v>
      </c>
      <c r="AP385" s="1" t="e">
        <f t="shared" si="259"/>
        <v>#DIV/0!</v>
      </c>
      <c r="AQ385" s="1" t="e">
        <f t="shared" si="260"/>
        <v>#DIV/0!</v>
      </c>
      <c r="AR385" s="1" t="e">
        <f t="shared" si="261"/>
        <v>#DIV/0!</v>
      </c>
      <c r="AS385" s="12" t="e">
        <f t="shared" si="262"/>
        <v>#DIV/0!</v>
      </c>
      <c r="AT385" s="12" t="e">
        <f t="shared" si="263"/>
        <v>#DIV/0!</v>
      </c>
      <c r="AU385" s="1">
        <f t="shared" si="264"/>
        <v>0</v>
      </c>
      <c r="AV385" s="1">
        <f t="shared" si="265"/>
        <v>0</v>
      </c>
      <c r="AW385" s="1">
        <f t="shared" si="266"/>
        <v>0</v>
      </c>
      <c r="AX385" s="1">
        <f t="shared" si="267"/>
        <v>0</v>
      </c>
      <c r="AY385" s="1">
        <f t="shared" si="268"/>
        <v>0</v>
      </c>
      <c r="AZ385" s="1">
        <f t="shared" si="269"/>
        <v>0</v>
      </c>
      <c r="BA385" s="19">
        <f t="shared" si="270"/>
        <v>0</v>
      </c>
      <c r="BB385" s="19">
        <f t="shared" si="271"/>
        <v>0</v>
      </c>
      <c r="BC385" s="9" t="e">
        <f t="shared" si="272"/>
        <v>#DIV/0!</v>
      </c>
      <c r="BD385" s="9" t="e">
        <f t="shared" si="273"/>
        <v>#DIV/0!</v>
      </c>
      <c r="BE385" s="9" t="e">
        <f t="shared" si="274"/>
        <v>#DIV/0!</v>
      </c>
      <c r="BF385" s="9" t="e">
        <f t="shared" si="275"/>
        <v>#DIV/0!</v>
      </c>
      <c r="BG385" s="9">
        <f t="shared" si="276"/>
        <v>-1</v>
      </c>
      <c r="BH385" s="9" t="e">
        <f t="shared" si="277"/>
        <v>#DIV/0!</v>
      </c>
      <c r="BI385" s="12" t="e">
        <f t="shared" si="278"/>
        <v>#DIV/0!</v>
      </c>
      <c r="BJ385" s="13" t="e">
        <f t="shared" si="279"/>
        <v>#DIV/0!</v>
      </c>
      <c r="BK385" s="1">
        <f t="shared" si="280"/>
        <v>0</v>
      </c>
      <c r="BL385" s="1">
        <f t="shared" si="281"/>
        <v>0</v>
      </c>
      <c r="BM385" s="1">
        <f t="shared" si="282"/>
        <v>0</v>
      </c>
      <c r="BN385" s="1">
        <f t="shared" si="283"/>
        <v>1</v>
      </c>
      <c r="BO385" s="1">
        <f t="shared" si="284"/>
        <v>-1</v>
      </c>
      <c r="BP385" s="1">
        <f t="shared" si="285"/>
        <v>0</v>
      </c>
      <c r="BQ385" s="19">
        <f t="shared" si="286"/>
        <v>0</v>
      </c>
      <c r="BR385" s="17">
        <f t="shared" si="287"/>
        <v>0</v>
      </c>
    </row>
    <row r="386" spans="1:70" x14ac:dyDescent="0.25">
      <c r="A386" t="s">
        <v>671</v>
      </c>
      <c r="F386">
        <v>1</v>
      </c>
      <c r="M386">
        <v>1</v>
      </c>
      <c r="W386" s="8" t="e">
        <f t="shared" ref="W386:W449" si="288">+(C386-B386)/B386</f>
        <v>#DIV/0!</v>
      </c>
      <c r="X386" s="8" t="e">
        <f t="shared" ref="X386:X449" si="289">+(D386-C386)/C386</f>
        <v>#DIV/0!</v>
      </c>
      <c r="Y386" s="8" t="e">
        <f t="shared" ref="Y386:Y449" si="290">+(E386-D386)/D386</f>
        <v>#DIV/0!</v>
      </c>
      <c r="Z386" s="8" t="e">
        <f t="shared" ref="Z386:Z449" si="291">+(F386-E386)/E386</f>
        <v>#DIV/0!</v>
      </c>
      <c r="AA386" s="8">
        <f t="shared" ref="AA386:AA449" si="292">+(G386-F386)/F386</f>
        <v>-1</v>
      </c>
      <c r="AB386" s="8" t="e">
        <f t="shared" ref="AB386:AB449" si="293">+(H386-G386)/G386</f>
        <v>#DIV/0!</v>
      </c>
      <c r="AC386" s="12" t="e">
        <f t="shared" ref="AC386:AC449" si="294">+AVERAGE(W386:AB386)</f>
        <v>#DIV/0!</v>
      </c>
      <c r="AD386" s="12" t="e">
        <f t="shared" ref="AD386:AD449" si="295">MEDIAN(W386:AB386)</f>
        <v>#DIV/0!</v>
      </c>
      <c r="AE386" s="1">
        <f t="shared" ref="AE386:AE449" si="296">C386-B386</f>
        <v>0</v>
      </c>
      <c r="AF386" s="1">
        <f t="shared" ref="AF386:AF449" si="297">D386-C386</f>
        <v>0</v>
      </c>
      <c r="AG386" s="1">
        <f t="shared" ref="AG386:AG449" si="298">E386-D386</f>
        <v>0</v>
      </c>
      <c r="AH386" s="1">
        <f t="shared" ref="AH386:AH449" si="299">F386-E386</f>
        <v>1</v>
      </c>
      <c r="AI386" s="1">
        <f t="shared" ref="AI386:AI449" si="300">G386-F386</f>
        <v>-1</v>
      </c>
      <c r="AJ386" s="1">
        <f t="shared" ref="AJ386:AJ449" si="301">H386-G386</f>
        <v>0</v>
      </c>
      <c r="AK386" s="17">
        <f t="shared" ref="AK386:AK449" si="302">+AVERAGE(AE386:AJ386)</f>
        <v>0</v>
      </c>
      <c r="AL386" s="17">
        <f t="shared" ref="AL386:AL449" si="303">+MEDIAN(AE386:AJ386)</f>
        <v>0</v>
      </c>
      <c r="AM386" s="1" t="e">
        <f t="shared" ref="AM386:AM449" si="304">+(J386-I386)/I386</f>
        <v>#DIV/0!</v>
      </c>
      <c r="AN386" s="1" t="e">
        <f t="shared" ref="AN386:AN449" si="305">+(K386-J386)/J386</f>
        <v>#DIV/0!</v>
      </c>
      <c r="AO386" s="1" t="e">
        <f t="shared" ref="AO386:AO449" si="306">+(L386-K386)/K386</f>
        <v>#DIV/0!</v>
      </c>
      <c r="AP386" s="1" t="e">
        <f t="shared" ref="AP386:AP449" si="307">+(M386-L386)/L386</f>
        <v>#DIV/0!</v>
      </c>
      <c r="AQ386" s="1">
        <f t="shared" ref="AQ386:AQ449" si="308">+(N386-M386)/M386</f>
        <v>-1</v>
      </c>
      <c r="AR386" s="1" t="e">
        <f t="shared" ref="AR386:AR449" si="309">+(O386-N386)/N386</f>
        <v>#DIV/0!</v>
      </c>
      <c r="AS386" s="12" t="e">
        <f t="shared" ref="AS386:AS449" si="310">+AVERAGE(AM386:AR386)</f>
        <v>#DIV/0!</v>
      </c>
      <c r="AT386" s="12" t="e">
        <f t="shared" ref="AT386:AT449" si="311">+MEDIAN(AM386:AR386)</f>
        <v>#DIV/0!</v>
      </c>
      <c r="AU386" s="1">
        <f t="shared" ref="AU386:AU449" si="312">J386-I386</f>
        <v>0</v>
      </c>
      <c r="AV386" s="1">
        <f t="shared" ref="AV386:AV449" si="313">K386-J386</f>
        <v>0</v>
      </c>
      <c r="AW386" s="1">
        <f t="shared" ref="AW386:AW449" si="314">L386-K386</f>
        <v>0</v>
      </c>
      <c r="AX386" s="1">
        <f t="shared" ref="AX386:AX449" si="315">M386-L386</f>
        <v>1</v>
      </c>
      <c r="AY386" s="1">
        <f t="shared" ref="AY386:AY449" si="316">N386-M386</f>
        <v>-1</v>
      </c>
      <c r="AZ386" s="1">
        <f t="shared" ref="AZ386:AZ449" si="317">O386-N386</f>
        <v>0</v>
      </c>
      <c r="BA386" s="19">
        <f t="shared" ref="BA386:BA449" si="318">+AVERAGE(AU386:AZ386)</f>
        <v>0</v>
      </c>
      <c r="BB386" s="19">
        <f t="shared" ref="BB386:BB449" si="319">MEDIAN(AU386:AZ386)</f>
        <v>0</v>
      </c>
      <c r="BC386" s="9" t="e">
        <f t="shared" ref="BC386:BC449" si="320">+(Q386-P386)/P386</f>
        <v>#DIV/0!</v>
      </c>
      <c r="BD386" s="9" t="e">
        <f t="shared" ref="BD386:BD449" si="321">+(R386-Q386)/Q386</f>
        <v>#DIV/0!</v>
      </c>
      <c r="BE386" s="9" t="e">
        <f t="shared" ref="BE386:BE449" si="322">+(S386-R386)/R386</f>
        <v>#DIV/0!</v>
      </c>
      <c r="BF386" s="9" t="e">
        <f t="shared" ref="BF386:BF449" si="323">+(T386-S386)/S386</f>
        <v>#DIV/0!</v>
      </c>
      <c r="BG386" s="9" t="e">
        <f t="shared" ref="BG386:BG449" si="324">+(U386-T386)/T386</f>
        <v>#DIV/0!</v>
      </c>
      <c r="BH386" s="9" t="e">
        <f t="shared" ref="BH386:BH449" si="325">+(V386-U386)/U386</f>
        <v>#DIV/0!</v>
      </c>
      <c r="BI386" s="12" t="e">
        <f t="shared" ref="BI386:BI449" si="326">+AVERAGE(BC386:BH386)</f>
        <v>#DIV/0!</v>
      </c>
      <c r="BJ386" s="13" t="e">
        <f t="shared" ref="BJ386:BJ449" si="327">MEDIAN(BC386:BH386)</f>
        <v>#DIV/0!</v>
      </c>
      <c r="BK386" s="1">
        <f t="shared" ref="BK386:BK449" si="328">+Q386-P386</f>
        <v>0</v>
      </c>
      <c r="BL386" s="1">
        <f t="shared" ref="BL386:BL449" si="329">+R386-Q386</f>
        <v>0</v>
      </c>
      <c r="BM386" s="1">
        <f t="shared" ref="BM386:BM449" si="330">+S386-R386</f>
        <v>0</v>
      </c>
      <c r="BN386" s="1">
        <f t="shared" ref="BN386:BN449" si="331">+T386-S386</f>
        <v>0</v>
      </c>
      <c r="BO386" s="1">
        <f t="shared" ref="BO386:BO449" si="332">+U386-T386</f>
        <v>0</v>
      </c>
      <c r="BP386" s="1">
        <f t="shared" ref="BP386:BP449" si="333">+V386-U386</f>
        <v>0</v>
      </c>
      <c r="BQ386" s="19">
        <f t="shared" ref="BQ386:BQ449" si="334">+AVERAGE(BK386:BP386)</f>
        <v>0</v>
      </c>
      <c r="BR386" s="17">
        <f t="shared" ref="BR386:BR449" si="335">MEDIAN(BK386:BP386)</f>
        <v>0</v>
      </c>
    </row>
    <row r="387" spans="1:70" x14ac:dyDescent="0.25">
      <c r="A387" t="s">
        <v>672</v>
      </c>
      <c r="G387">
        <v>2</v>
      </c>
      <c r="N387">
        <v>1</v>
      </c>
      <c r="U387">
        <v>1</v>
      </c>
      <c r="W387" s="8" t="e">
        <f t="shared" si="288"/>
        <v>#DIV/0!</v>
      </c>
      <c r="X387" s="8" t="e">
        <f t="shared" si="289"/>
        <v>#DIV/0!</v>
      </c>
      <c r="Y387" s="8" t="e">
        <f t="shared" si="290"/>
        <v>#DIV/0!</v>
      </c>
      <c r="Z387" s="8" t="e">
        <f t="shared" si="291"/>
        <v>#DIV/0!</v>
      </c>
      <c r="AA387" s="8" t="e">
        <f t="shared" si="292"/>
        <v>#DIV/0!</v>
      </c>
      <c r="AB387" s="8">
        <f t="shared" si="293"/>
        <v>-1</v>
      </c>
      <c r="AC387" s="12" t="e">
        <f t="shared" si="294"/>
        <v>#DIV/0!</v>
      </c>
      <c r="AD387" s="12" t="e">
        <f t="shared" si="295"/>
        <v>#DIV/0!</v>
      </c>
      <c r="AE387" s="1">
        <f t="shared" si="296"/>
        <v>0</v>
      </c>
      <c r="AF387" s="1">
        <f t="shared" si="297"/>
        <v>0</v>
      </c>
      <c r="AG387" s="1">
        <f t="shared" si="298"/>
        <v>0</v>
      </c>
      <c r="AH387" s="1">
        <f t="shared" si="299"/>
        <v>0</v>
      </c>
      <c r="AI387" s="1">
        <f t="shared" si="300"/>
        <v>2</v>
      </c>
      <c r="AJ387" s="1">
        <f t="shared" si="301"/>
        <v>-2</v>
      </c>
      <c r="AK387" s="17">
        <f t="shared" si="302"/>
        <v>0</v>
      </c>
      <c r="AL387" s="17">
        <f t="shared" si="303"/>
        <v>0</v>
      </c>
      <c r="AM387" s="1" t="e">
        <f t="shared" si="304"/>
        <v>#DIV/0!</v>
      </c>
      <c r="AN387" s="1" t="e">
        <f t="shared" si="305"/>
        <v>#DIV/0!</v>
      </c>
      <c r="AO387" s="1" t="e">
        <f t="shared" si="306"/>
        <v>#DIV/0!</v>
      </c>
      <c r="AP387" s="1" t="e">
        <f t="shared" si="307"/>
        <v>#DIV/0!</v>
      </c>
      <c r="AQ387" s="1" t="e">
        <f t="shared" si="308"/>
        <v>#DIV/0!</v>
      </c>
      <c r="AR387" s="1">
        <f t="shared" si="309"/>
        <v>-1</v>
      </c>
      <c r="AS387" s="12" t="e">
        <f t="shared" si="310"/>
        <v>#DIV/0!</v>
      </c>
      <c r="AT387" s="12" t="e">
        <f t="shared" si="311"/>
        <v>#DIV/0!</v>
      </c>
      <c r="AU387" s="1">
        <f t="shared" si="312"/>
        <v>0</v>
      </c>
      <c r="AV387" s="1">
        <f t="shared" si="313"/>
        <v>0</v>
      </c>
      <c r="AW387" s="1">
        <f t="shared" si="314"/>
        <v>0</v>
      </c>
      <c r="AX387" s="1">
        <f t="shared" si="315"/>
        <v>0</v>
      </c>
      <c r="AY387" s="1">
        <f t="shared" si="316"/>
        <v>1</v>
      </c>
      <c r="AZ387" s="1">
        <f t="shared" si="317"/>
        <v>-1</v>
      </c>
      <c r="BA387" s="19">
        <f t="shared" si="318"/>
        <v>0</v>
      </c>
      <c r="BB387" s="19">
        <f t="shared" si="319"/>
        <v>0</v>
      </c>
      <c r="BC387" s="9" t="e">
        <f t="shared" si="320"/>
        <v>#DIV/0!</v>
      </c>
      <c r="BD387" s="9" t="e">
        <f t="shared" si="321"/>
        <v>#DIV/0!</v>
      </c>
      <c r="BE387" s="9" t="e">
        <f t="shared" si="322"/>
        <v>#DIV/0!</v>
      </c>
      <c r="BF387" s="9" t="e">
        <f t="shared" si="323"/>
        <v>#DIV/0!</v>
      </c>
      <c r="BG387" s="9" t="e">
        <f t="shared" si="324"/>
        <v>#DIV/0!</v>
      </c>
      <c r="BH387" s="9">
        <f t="shared" si="325"/>
        <v>-1</v>
      </c>
      <c r="BI387" s="12" t="e">
        <f t="shared" si="326"/>
        <v>#DIV/0!</v>
      </c>
      <c r="BJ387" s="13" t="e">
        <f t="shared" si="327"/>
        <v>#DIV/0!</v>
      </c>
      <c r="BK387" s="1">
        <f t="shared" si="328"/>
        <v>0</v>
      </c>
      <c r="BL387" s="1">
        <f t="shared" si="329"/>
        <v>0</v>
      </c>
      <c r="BM387" s="1">
        <f t="shared" si="330"/>
        <v>0</v>
      </c>
      <c r="BN387" s="1">
        <f t="shared" si="331"/>
        <v>0</v>
      </c>
      <c r="BO387" s="1">
        <f t="shared" si="332"/>
        <v>1</v>
      </c>
      <c r="BP387" s="1">
        <f t="shared" si="333"/>
        <v>-1</v>
      </c>
      <c r="BQ387" s="19">
        <f t="shared" si="334"/>
        <v>0</v>
      </c>
      <c r="BR387" s="17">
        <f t="shared" si="335"/>
        <v>0</v>
      </c>
    </row>
    <row r="388" spans="1:70" x14ac:dyDescent="0.25">
      <c r="A388" t="s">
        <v>673</v>
      </c>
      <c r="G388">
        <v>1</v>
      </c>
      <c r="N388">
        <v>1</v>
      </c>
      <c r="W388" s="8" t="e">
        <f t="shared" si="288"/>
        <v>#DIV/0!</v>
      </c>
      <c r="X388" s="8" t="e">
        <f t="shared" si="289"/>
        <v>#DIV/0!</v>
      </c>
      <c r="Y388" s="8" t="e">
        <f t="shared" si="290"/>
        <v>#DIV/0!</v>
      </c>
      <c r="Z388" s="8" t="e">
        <f t="shared" si="291"/>
        <v>#DIV/0!</v>
      </c>
      <c r="AA388" s="8" t="e">
        <f t="shared" si="292"/>
        <v>#DIV/0!</v>
      </c>
      <c r="AB388" s="8">
        <f t="shared" si="293"/>
        <v>-1</v>
      </c>
      <c r="AC388" s="12" t="e">
        <f t="shared" si="294"/>
        <v>#DIV/0!</v>
      </c>
      <c r="AD388" s="12" t="e">
        <f t="shared" si="295"/>
        <v>#DIV/0!</v>
      </c>
      <c r="AE388" s="1">
        <f t="shared" si="296"/>
        <v>0</v>
      </c>
      <c r="AF388" s="1">
        <f t="shared" si="297"/>
        <v>0</v>
      </c>
      <c r="AG388" s="1">
        <f t="shared" si="298"/>
        <v>0</v>
      </c>
      <c r="AH388" s="1">
        <f t="shared" si="299"/>
        <v>0</v>
      </c>
      <c r="AI388" s="1">
        <f t="shared" si="300"/>
        <v>1</v>
      </c>
      <c r="AJ388" s="1">
        <f t="shared" si="301"/>
        <v>-1</v>
      </c>
      <c r="AK388" s="17">
        <f t="shared" si="302"/>
        <v>0</v>
      </c>
      <c r="AL388" s="17">
        <f t="shared" si="303"/>
        <v>0</v>
      </c>
      <c r="AM388" s="1" t="e">
        <f t="shared" si="304"/>
        <v>#DIV/0!</v>
      </c>
      <c r="AN388" s="1" t="e">
        <f t="shared" si="305"/>
        <v>#DIV/0!</v>
      </c>
      <c r="AO388" s="1" t="e">
        <f t="shared" si="306"/>
        <v>#DIV/0!</v>
      </c>
      <c r="AP388" s="1" t="e">
        <f t="shared" si="307"/>
        <v>#DIV/0!</v>
      </c>
      <c r="AQ388" s="1" t="e">
        <f t="shared" si="308"/>
        <v>#DIV/0!</v>
      </c>
      <c r="AR388" s="1">
        <f t="shared" si="309"/>
        <v>-1</v>
      </c>
      <c r="AS388" s="12" t="e">
        <f t="shared" si="310"/>
        <v>#DIV/0!</v>
      </c>
      <c r="AT388" s="12" t="e">
        <f t="shared" si="311"/>
        <v>#DIV/0!</v>
      </c>
      <c r="AU388" s="1">
        <f t="shared" si="312"/>
        <v>0</v>
      </c>
      <c r="AV388" s="1">
        <f t="shared" si="313"/>
        <v>0</v>
      </c>
      <c r="AW388" s="1">
        <f t="shared" si="314"/>
        <v>0</v>
      </c>
      <c r="AX388" s="1">
        <f t="shared" si="315"/>
        <v>0</v>
      </c>
      <c r="AY388" s="1">
        <f t="shared" si="316"/>
        <v>1</v>
      </c>
      <c r="AZ388" s="1">
        <f t="shared" si="317"/>
        <v>-1</v>
      </c>
      <c r="BA388" s="19">
        <f t="shared" si="318"/>
        <v>0</v>
      </c>
      <c r="BB388" s="19">
        <f t="shared" si="319"/>
        <v>0</v>
      </c>
      <c r="BC388" s="9" t="e">
        <f t="shared" si="320"/>
        <v>#DIV/0!</v>
      </c>
      <c r="BD388" s="9" t="e">
        <f t="shared" si="321"/>
        <v>#DIV/0!</v>
      </c>
      <c r="BE388" s="9" t="e">
        <f t="shared" si="322"/>
        <v>#DIV/0!</v>
      </c>
      <c r="BF388" s="9" t="e">
        <f t="shared" si="323"/>
        <v>#DIV/0!</v>
      </c>
      <c r="BG388" s="9" t="e">
        <f t="shared" si="324"/>
        <v>#DIV/0!</v>
      </c>
      <c r="BH388" s="9" t="e">
        <f t="shared" si="325"/>
        <v>#DIV/0!</v>
      </c>
      <c r="BI388" s="12" t="e">
        <f t="shared" si="326"/>
        <v>#DIV/0!</v>
      </c>
      <c r="BJ388" s="13" t="e">
        <f t="shared" si="327"/>
        <v>#DIV/0!</v>
      </c>
      <c r="BK388" s="1">
        <f t="shared" si="328"/>
        <v>0</v>
      </c>
      <c r="BL388" s="1">
        <f t="shared" si="329"/>
        <v>0</v>
      </c>
      <c r="BM388" s="1">
        <f t="shared" si="330"/>
        <v>0</v>
      </c>
      <c r="BN388" s="1">
        <f t="shared" si="331"/>
        <v>0</v>
      </c>
      <c r="BO388" s="1">
        <f t="shared" si="332"/>
        <v>0</v>
      </c>
      <c r="BP388" s="1">
        <f t="shared" si="333"/>
        <v>0</v>
      </c>
      <c r="BQ388" s="19">
        <f t="shared" si="334"/>
        <v>0</v>
      </c>
      <c r="BR388" s="17">
        <f t="shared" si="335"/>
        <v>0</v>
      </c>
    </row>
    <row r="389" spans="1:70" x14ac:dyDescent="0.25">
      <c r="A389" t="s">
        <v>675</v>
      </c>
      <c r="G389">
        <v>1</v>
      </c>
      <c r="N389">
        <v>1</v>
      </c>
      <c r="W389" s="8" t="e">
        <f t="shared" si="288"/>
        <v>#DIV/0!</v>
      </c>
      <c r="X389" s="8" t="e">
        <f t="shared" si="289"/>
        <v>#DIV/0!</v>
      </c>
      <c r="Y389" s="8" t="e">
        <f t="shared" si="290"/>
        <v>#DIV/0!</v>
      </c>
      <c r="Z389" s="8" t="e">
        <f t="shared" si="291"/>
        <v>#DIV/0!</v>
      </c>
      <c r="AA389" s="8" t="e">
        <f t="shared" si="292"/>
        <v>#DIV/0!</v>
      </c>
      <c r="AB389" s="8">
        <f t="shared" si="293"/>
        <v>-1</v>
      </c>
      <c r="AC389" s="12" t="e">
        <f t="shared" si="294"/>
        <v>#DIV/0!</v>
      </c>
      <c r="AD389" s="12" t="e">
        <f t="shared" si="295"/>
        <v>#DIV/0!</v>
      </c>
      <c r="AE389" s="1">
        <f t="shared" si="296"/>
        <v>0</v>
      </c>
      <c r="AF389" s="1">
        <f t="shared" si="297"/>
        <v>0</v>
      </c>
      <c r="AG389" s="1">
        <f t="shared" si="298"/>
        <v>0</v>
      </c>
      <c r="AH389" s="1">
        <f t="shared" si="299"/>
        <v>0</v>
      </c>
      <c r="AI389" s="1">
        <f t="shared" si="300"/>
        <v>1</v>
      </c>
      <c r="AJ389" s="1">
        <f t="shared" si="301"/>
        <v>-1</v>
      </c>
      <c r="AK389" s="17">
        <f t="shared" si="302"/>
        <v>0</v>
      </c>
      <c r="AL389" s="17">
        <f t="shared" si="303"/>
        <v>0</v>
      </c>
      <c r="AM389" s="1" t="e">
        <f t="shared" si="304"/>
        <v>#DIV/0!</v>
      </c>
      <c r="AN389" s="1" t="e">
        <f t="shared" si="305"/>
        <v>#DIV/0!</v>
      </c>
      <c r="AO389" s="1" t="e">
        <f t="shared" si="306"/>
        <v>#DIV/0!</v>
      </c>
      <c r="AP389" s="1" t="e">
        <f t="shared" si="307"/>
        <v>#DIV/0!</v>
      </c>
      <c r="AQ389" s="1" t="e">
        <f t="shared" si="308"/>
        <v>#DIV/0!</v>
      </c>
      <c r="AR389" s="1">
        <f t="shared" si="309"/>
        <v>-1</v>
      </c>
      <c r="AS389" s="12" t="e">
        <f t="shared" si="310"/>
        <v>#DIV/0!</v>
      </c>
      <c r="AT389" s="12" t="e">
        <f t="shared" si="311"/>
        <v>#DIV/0!</v>
      </c>
      <c r="AU389" s="1">
        <f t="shared" si="312"/>
        <v>0</v>
      </c>
      <c r="AV389" s="1">
        <f t="shared" si="313"/>
        <v>0</v>
      </c>
      <c r="AW389" s="1">
        <f t="shared" si="314"/>
        <v>0</v>
      </c>
      <c r="AX389" s="1">
        <f t="shared" si="315"/>
        <v>0</v>
      </c>
      <c r="AY389" s="1">
        <f t="shared" si="316"/>
        <v>1</v>
      </c>
      <c r="AZ389" s="1">
        <f t="shared" si="317"/>
        <v>-1</v>
      </c>
      <c r="BA389" s="19">
        <f t="shared" si="318"/>
        <v>0</v>
      </c>
      <c r="BB389" s="19">
        <f t="shared" si="319"/>
        <v>0</v>
      </c>
      <c r="BC389" s="9" t="e">
        <f t="shared" si="320"/>
        <v>#DIV/0!</v>
      </c>
      <c r="BD389" s="9" t="e">
        <f t="shared" si="321"/>
        <v>#DIV/0!</v>
      </c>
      <c r="BE389" s="9" t="e">
        <f t="shared" si="322"/>
        <v>#DIV/0!</v>
      </c>
      <c r="BF389" s="9" t="e">
        <f t="shared" si="323"/>
        <v>#DIV/0!</v>
      </c>
      <c r="BG389" s="9" t="e">
        <f t="shared" si="324"/>
        <v>#DIV/0!</v>
      </c>
      <c r="BH389" s="9" t="e">
        <f t="shared" si="325"/>
        <v>#DIV/0!</v>
      </c>
      <c r="BI389" s="12" t="e">
        <f t="shared" si="326"/>
        <v>#DIV/0!</v>
      </c>
      <c r="BJ389" s="13" t="e">
        <f t="shared" si="327"/>
        <v>#DIV/0!</v>
      </c>
      <c r="BK389" s="1">
        <f t="shared" si="328"/>
        <v>0</v>
      </c>
      <c r="BL389" s="1">
        <f t="shared" si="329"/>
        <v>0</v>
      </c>
      <c r="BM389" s="1">
        <f t="shared" si="330"/>
        <v>0</v>
      </c>
      <c r="BN389" s="1">
        <f t="shared" si="331"/>
        <v>0</v>
      </c>
      <c r="BO389" s="1">
        <f t="shared" si="332"/>
        <v>0</v>
      </c>
      <c r="BP389" s="1">
        <f t="shared" si="333"/>
        <v>0</v>
      </c>
      <c r="BQ389" s="19">
        <f t="shared" si="334"/>
        <v>0</v>
      </c>
      <c r="BR389" s="17">
        <f t="shared" si="335"/>
        <v>0</v>
      </c>
    </row>
    <row r="390" spans="1:70" x14ac:dyDescent="0.25">
      <c r="A390" t="s">
        <v>676</v>
      </c>
      <c r="G390">
        <v>1</v>
      </c>
      <c r="N390">
        <v>1</v>
      </c>
      <c r="W390" s="8" t="e">
        <f t="shared" si="288"/>
        <v>#DIV/0!</v>
      </c>
      <c r="X390" s="8" t="e">
        <f t="shared" si="289"/>
        <v>#DIV/0!</v>
      </c>
      <c r="Y390" s="8" t="e">
        <f t="shared" si="290"/>
        <v>#DIV/0!</v>
      </c>
      <c r="Z390" s="8" t="e">
        <f t="shared" si="291"/>
        <v>#DIV/0!</v>
      </c>
      <c r="AA390" s="8" t="e">
        <f t="shared" si="292"/>
        <v>#DIV/0!</v>
      </c>
      <c r="AB390" s="8">
        <f t="shared" si="293"/>
        <v>-1</v>
      </c>
      <c r="AC390" s="12" t="e">
        <f t="shared" si="294"/>
        <v>#DIV/0!</v>
      </c>
      <c r="AD390" s="12" t="e">
        <f t="shared" si="295"/>
        <v>#DIV/0!</v>
      </c>
      <c r="AE390" s="1">
        <f t="shared" si="296"/>
        <v>0</v>
      </c>
      <c r="AF390" s="1">
        <f t="shared" si="297"/>
        <v>0</v>
      </c>
      <c r="AG390" s="1">
        <f t="shared" si="298"/>
        <v>0</v>
      </c>
      <c r="AH390" s="1">
        <f t="shared" si="299"/>
        <v>0</v>
      </c>
      <c r="AI390" s="1">
        <f t="shared" si="300"/>
        <v>1</v>
      </c>
      <c r="AJ390" s="1">
        <f t="shared" si="301"/>
        <v>-1</v>
      </c>
      <c r="AK390" s="17">
        <f t="shared" si="302"/>
        <v>0</v>
      </c>
      <c r="AL390" s="17">
        <f t="shared" si="303"/>
        <v>0</v>
      </c>
      <c r="AM390" s="1" t="e">
        <f t="shared" si="304"/>
        <v>#DIV/0!</v>
      </c>
      <c r="AN390" s="1" t="e">
        <f t="shared" si="305"/>
        <v>#DIV/0!</v>
      </c>
      <c r="AO390" s="1" t="e">
        <f t="shared" si="306"/>
        <v>#DIV/0!</v>
      </c>
      <c r="AP390" s="1" t="e">
        <f t="shared" si="307"/>
        <v>#DIV/0!</v>
      </c>
      <c r="AQ390" s="1" t="e">
        <f t="shared" si="308"/>
        <v>#DIV/0!</v>
      </c>
      <c r="AR390" s="1">
        <f t="shared" si="309"/>
        <v>-1</v>
      </c>
      <c r="AS390" s="12" t="e">
        <f t="shared" si="310"/>
        <v>#DIV/0!</v>
      </c>
      <c r="AT390" s="12" t="e">
        <f t="shared" si="311"/>
        <v>#DIV/0!</v>
      </c>
      <c r="AU390" s="1">
        <f t="shared" si="312"/>
        <v>0</v>
      </c>
      <c r="AV390" s="1">
        <f t="shared" si="313"/>
        <v>0</v>
      </c>
      <c r="AW390" s="1">
        <f t="shared" si="314"/>
        <v>0</v>
      </c>
      <c r="AX390" s="1">
        <f t="shared" si="315"/>
        <v>0</v>
      </c>
      <c r="AY390" s="1">
        <f t="shared" si="316"/>
        <v>1</v>
      </c>
      <c r="AZ390" s="1">
        <f t="shared" si="317"/>
        <v>-1</v>
      </c>
      <c r="BA390" s="19">
        <f t="shared" si="318"/>
        <v>0</v>
      </c>
      <c r="BB390" s="19">
        <f t="shared" si="319"/>
        <v>0</v>
      </c>
      <c r="BC390" s="9" t="e">
        <f t="shared" si="320"/>
        <v>#DIV/0!</v>
      </c>
      <c r="BD390" s="9" t="e">
        <f t="shared" si="321"/>
        <v>#DIV/0!</v>
      </c>
      <c r="BE390" s="9" t="e">
        <f t="shared" si="322"/>
        <v>#DIV/0!</v>
      </c>
      <c r="BF390" s="9" t="e">
        <f t="shared" si="323"/>
        <v>#DIV/0!</v>
      </c>
      <c r="BG390" s="9" t="e">
        <f t="shared" si="324"/>
        <v>#DIV/0!</v>
      </c>
      <c r="BH390" s="9" t="e">
        <f t="shared" si="325"/>
        <v>#DIV/0!</v>
      </c>
      <c r="BI390" s="12" t="e">
        <f t="shared" si="326"/>
        <v>#DIV/0!</v>
      </c>
      <c r="BJ390" s="13" t="e">
        <f t="shared" si="327"/>
        <v>#DIV/0!</v>
      </c>
      <c r="BK390" s="1">
        <f t="shared" si="328"/>
        <v>0</v>
      </c>
      <c r="BL390" s="1">
        <f t="shared" si="329"/>
        <v>0</v>
      </c>
      <c r="BM390" s="1">
        <f t="shared" si="330"/>
        <v>0</v>
      </c>
      <c r="BN390" s="1">
        <f t="shared" si="331"/>
        <v>0</v>
      </c>
      <c r="BO390" s="1">
        <f t="shared" si="332"/>
        <v>0</v>
      </c>
      <c r="BP390" s="1">
        <f t="shared" si="333"/>
        <v>0</v>
      </c>
      <c r="BQ390" s="19">
        <f t="shared" si="334"/>
        <v>0</v>
      </c>
      <c r="BR390" s="17">
        <f t="shared" si="335"/>
        <v>0</v>
      </c>
    </row>
    <row r="391" spans="1:70" x14ac:dyDescent="0.25">
      <c r="A391" t="s">
        <v>677</v>
      </c>
      <c r="G391">
        <v>1</v>
      </c>
      <c r="U391">
        <v>1</v>
      </c>
      <c r="W391" s="8" t="e">
        <f t="shared" si="288"/>
        <v>#DIV/0!</v>
      </c>
      <c r="X391" s="8" t="e">
        <f t="shared" si="289"/>
        <v>#DIV/0!</v>
      </c>
      <c r="Y391" s="8" t="e">
        <f t="shared" si="290"/>
        <v>#DIV/0!</v>
      </c>
      <c r="Z391" s="8" t="e">
        <f t="shared" si="291"/>
        <v>#DIV/0!</v>
      </c>
      <c r="AA391" s="8" t="e">
        <f t="shared" si="292"/>
        <v>#DIV/0!</v>
      </c>
      <c r="AB391" s="8">
        <f t="shared" si="293"/>
        <v>-1</v>
      </c>
      <c r="AC391" s="12" t="e">
        <f t="shared" si="294"/>
        <v>#DIV/0!</v>
      </c>
      <c r="AD391" s="12" t="e">
        <f t="shared" si="295"/>
        <v>#DIV/0!</v>
      </c>
      <c r="AE391" s="1">
        <f t="shared" si="296"/>
        <v>0</v>
      </c>
      <c r="AF391" s="1">
        <f t="shared" si="297"/>
        <v>0</v>
      </c>
      <c r="AG391" s="1">
        <f t="shared" si="298"/>
        <v>0</v>
      </c>
      <c r="AH391" s="1">
        <f t="shared" si="299"/>
        <v>0</v>
      </c>
      <c r="AI391" s="1">
        <f t="shared" si="300"/>
        <v>1</v>
      </c>
      <c r="AJ391" s="1">
        <f t="shared" si="301"/>
        <v>-1</v>
      </c>
      <c r="AK391" s="17">
        <f t="shared" si="302"/>
        <v>0</v>
      </c>
      <c r="AL391" s="17">
        <f t="shared" si="303"/>
        <v>0</v>
      </c>
      <c r="AM391" s="1" t="e">
        <f t="shared" si="304"/>
        <v>#DIV/0!</v>
      </c>
      <c r="AN391" s="1" t="e">
        <f t="shared" si="305"/>
        <v>#DIV/0!</v>
      </c>
      <c r="AO391" s="1" t="e">
        <f t="shared" si="306"/>
        <v>#DIV/0!</v>
      </c>
      <c r="AP391" s="1" t="e">
        <f t="shared" si="307"/>
        <v>#DIV/0!</v>
      </c>
      <c r="AQ391" s="1" t="e">
        <f t="shared" si="308"/>
        <v>#DIV/0!</v>
      </c>
      <c r="AR391" s="1" t="e">
        <f t="shared" si="309"/>
        <v>#DIV/0!</v>
      </c>
      <c r="AS391" s="12" t="e">
        <f t="shared" si="310"/>
        <v>#DIV/0!</v>
      </c>
      <c r="AT391" s="12" t="e">
        <f t="shared" si="311"/>
        <v>#DIV/0!</v>
      </c>
      <c r="AU391" s="1">
        <f t="shared" si="312"/>
        <v>0</v>
      </c>
      <c r="AV391" s="1">
        <f t="shared" si="313"/>
        <v>0</v>
      </c>
      <c r="AW391" s="1">
        <f t="shared" si="314"/>
        <v>0</v>
      </c>
      <c r="AX391" s="1">
        <f t="shared" si="315"/>
        <v>0</v>
      </c>
      <c r="AY391" s="1">
        <f t="shared" si="316"/>
        <v>0</v>
      </c>
      <c r="AZ391" s="1">
        <f t="shared" si="317"/>
        <v>0</v>
      </c>
      <c r="BA391" s="19">
        <f t="shared" si="318"/>
        <v>0</v>
      </c>
      <c r="BB391" s="19">
        <f t="shared" si="319"/>
        <v>0</v>
      </c>
      <c r="BC391" s="9" t="e">
        <f t="shared" si="320"/>
        <v>#DIV/0!</v>
      </c>
      <c r="BD391" s="9" t="e">
        <f t="shared" si="321"/>
        <v>#DIV/0!</v>
      </c>
      <c r="BE391" s="9" t="e">
        <f t="shared" si="322"/>
        <v>#DIV/0!</v>
      </c>
      <c r="BF391" s="9" t="e">
        <f t="shared" si="323"/>
        <v>#DIV/0!</v>
      </c>
      <c r="BG391" s="9" t="e">
        <f t="shared" si="324"/>
        <v>#DIV/0!</v>
      </c>
      <c r="BH391" s="9">
        <f t="shared" si="325"/>
        <v>-1</v>
      </c>
      <c r="BI391" s="12" t="e">
        <f t="shared" si="326"/>
        <v>#DIV/0!</v>
      </c>
      <c r="BJ391" s="13" t="e">
        <f t="shared" si="327"/>
        <v>#DIV/0!</v>
      </c>
      <c r="BK391" s="1">
        <f t="shared" si="328"/>
        <v>0</v>
      </c>
      <c r="BL391" s="1">
        <f t="shared" si="329"/>
        <v>0</v>
      </c>
      <c r="BM391" s="1">
        <f t="shared" si="330"/>
        <v>0</v>
      </c>
      <c r="BN391" s="1">
        <f t="shared" si="331"/>
        <v>0</v>
      </c>
      <c r="BO391" s="1">
        <f t="shared" si="332"/>
        <v>1</v>
      </c>
      <c r="BP391" s="1">
        <f t="shared" si="333"/>
        <v>-1</v>
      </c>
      <c r="BQ391" s="19">
        <f t="shared" si="334"/>
        <v>0</v>
      </c>
      <c r="BR391" s="17">
        <f t="shared" si="335"/>
        <v>0</v>
      </c>
    </row>
    <row r="392" spans="1:70" x14ac:dyDescent="0.25">
      <c r="A392" t="s">
        <v>678</v>
      </c>
      <c r="G392">
        <v>1</v>
      </c>
      <c r="U392">
        <v>1</v>
      </c>
      <c r="W392" s="8" t="e">
        <f t="shared" si="288"/>
        <v>#DIV/0!</v>
      </c>
      <c r="X392" s="8" t="e">
        <f t="shared" si="289"/>
        <v>#DIV/0!</v>
      </c>
      <c r="Y392" s="8" t="e">
        <f t="shared" si="290"/>
        <v>#DIV/0!</v>
      </c>
      <c r="Z392" s="8" t="e">
        <f t="shared" si="291"/>
        <v>#DIV/0!</v>
      </c>
      <c r="AA392" s="8" t="e">
        <f t="shared" si="292"/>
        <v>#DIV/0!</v>
      </c>
      <c r="AB392" s="8">
        <f t="shared" si="293"/>
        <v>-1</v>
      </c>
      <c r="AC392" s="12" t="e">
        <f t="shared" si="294"/>
        <v>#DIV/0!</v>
      </c>
      <c r="AD392" s="12" t="e">
        <f t="shared" si="295"/>
        <v>#DIV/0!</v>
      </c>
      <c r="AE392" s="1">
        <f t="shared" si="296"/>
        <v>0</v>
      </c>
      <c r="AF392" s="1">
        <f t="shared" si="297"/>
        <v>0</v>
      </c>
      <c r="AG392" s="1">
        <f t="shared" si="298"/>
        <v>0</v>
      </c>
      <c r="AH392" s="1">
        <f t="shared" si="299"/>
        <v>0</v>
      </c>
      <c r="AI392" s="1">
        <f t="shared" si="300"/>
        <v>1</v>
      </c>
      <c r="AJ392" s="1">
        <f t="shared" si="301"/>
        <v>-1</v>
      </c>
      <c r="AK392" s="17">
        <f t="shared" si="302"/>
        <v>0</v>
      </c>
      <c r="AL392" s="17">
        <f t="shared" si="303"/>
        <v>0</v>
      </c>
      <c r="AM392" s="1" t="e">
        <f t="shared" si="304"/>
        <v>#DIV/0!</v>
      </c>
      <c r="AN392" s="1" t="e">
        <f t="shared" si="305"/>
        <v>#DIV/0!</v>
      </c>
      <c r="AO392" s="1" t="e">
        <f t="shared" si="306"/>
        <v>#DIV/0!</v>
      </c>
      <c r="AP392" s="1" t="e">
        <f t="shared" si="307"/>
        <v>#DIV/0!</v>
      </c>
      <c r="AQ392" s="1" t="e">
        <f t="shared" si="308"/>
        <v>#DIV/0!</v>
      </c>
      <c r="AR392" s="1" t="e">
        <f t="shared" si="309"/>
        <v>#DIV/0!</v>
      </c>
      <c r="AS392" s="12" t="e">
        <f t="shared" si="310"/>
        <v>#DIV/0!</v>
      </c>
      <c r="AT392" s="12" t="e">
        <f t="shared" si="311"/>
        <v>#DIV/0!</v>
      </c>
      <c r="AU392" s="1">
        <f t="shared" si="312"/>
        <v>0</v>
      </c>
      <c r="AV392" s="1">
        <f t="shared" si="313"/>
        <v>0</v>
      </c>
      <c r="AW392" s="1">
        <f t="shared" si="314"/>
        <v>0</v>
      </c>
      <c r="AX392" s="1">
        <f t="shared" si="315"/>
        <v>0</v>
      </c>
      <c r="AY392" s="1">
        <f t="shared" si="316"/>
        <v>0</v>
      </c>
      <c r="AZ392" s="1">
        <f t="shared" si="317"/>
        <v>0</v>
      </c>
      <c r="BA392" s="19">
        <f t="shared" si="318"/>
        <v>0</v>
      </c>
      <c r="BB392" s="19">
        <f t="shared" si="319"/>
        <v>0</v>
      </c>
      <c r="BC392" s="9" t="e">
        <f t="shared" si="320"/>
        <v>#DIV/0!</v>
      </c>
      <c r="BD392" s="9" t="e">
        <f t="shared" si="321"/>
        <v>#DIV/0!</v>
      </c>
      <c r="BE392" s="9" t="e">
        <f t="shared" si="322"/>
        <v>#DIV/0!</v>
      </c>
      <c r="BF392" s="9" t="e">
        <f t="shared" si="323"/>
        <v>#DIV/0!</v>
      </c>
      <c r="BG392" s="9" t="e">
        <f t="shared" si="324"/>
        <v>#DIV/0!</v>
      </c>
      <c r="BH392" s="9">
        <f t="shared" si="325"/>
        <v>-1</v>
      </c>
      <c r="BI392" s="12" t="e">
        <f t="shared" si="326"/>
        <v>#DIV/0!</v>
      </c>
      <c r="BJ392" s="13" t="e">
        <f t="shared" si="327"/>
        <v>#DIV/0!</v>
      </c>
      <c r="BK392" s="1">
        <f t="shared" si="328"/>
        <v>0</v>
      </c>
      <c r="BL392" s="1">
        <f t="shared" si="329"/>
        <v>0</v>
      </c>
      <c r="BM392" s="1">
        <f t="shared" si="330"/>
        <v>0</v>
      </c>
      <c r="BN392" s="1">
        <f t="shared" si="331"/>
        <v>0</v>
      </c>
      <c r="BO392" s="1">
        <f t="shared" si="332"/>
        <v>1</v>
      </c>
      <c r="BP392" s="1">
        <f t="shared" si="333"/>
        <v>-1</v>
      </c>
      <c r="BQ392" s="19">
        <f t="shared" si="334"/>
        <v>0</v>
      </c>
      <c r="BR392" s="17">
        <f t="shared" si="335"/>
        <v>0</v>
      </c>
    </row>
    <row r="393" spans="1:70" x14ac:dyDescent="0.25">
      <c r="A393" t="s">
        <v>679</v>
      </c>
      <c r="G393">
        <v>1</v>
      </c>
      <c r="U393">
        <v>1</v>
      </c>
      <c r="W393" s="8" t="e">
        <f t="shared" si="288"/>
        <v>#DIV/0!</v>
      </c>
      <c r="X393" s="8" t="e">
        <f t="shared" si="289"/>
        <v>#DIV/0!</v>
      </c>
      <c r="Y393" s="8" t="e">
        <f t="shared" si="290"/>
        <v>#DIV/0!</v>
      </c>
      <c r="Z393" s="8" t="e">
        <f t="shared" si="291"/>
        <v>#DIV/0!</v>
      </c>
      <c r="AA393" s="8" t="e">
        <f t="shared" si="292"/>
        <v>#DIV/0!</v>
      </c>
      <c r="AB393" s="8">
        <f t="shared" si="293"/>
        <v>-1</v>
      </c>
      <c r="AC393" s="12" t="e">
        <f t="shared" si="294"/>
        <v>#DIV/0!</v>
      </c>
      <c r="AD393" s="12" t="e">
        <f t="shared" si="295"/>
        <v>#DIV/0!</v>
      </c>
      <c r="AE393" s="1">
        <f t="shared" si="296"/>
        <v>0</v>
      </c>
      <c r="AF393" s="1">
        <f t="shared" si="297"/>
        <v>0</v>
      </c>
      <c r="AG393" s="1">
        <f t="shared" si="298"/>
        <v>0</v>
      </c>
      <c r="AH393" s="1">
        <f t="shared" si="299"/>
        <v>0</v>
      </c>
      <c r="AI393" s="1">
        <f t="shared" si="300"/>
        <v>1</v>
      </c>
      <c r="AJ393" s="1">
        <f t="shared" si="301"/>
        <v>-1</v>
      </c>
      <c r="AK393" s="17">
        <f t="shared" si="302"/>
        <v>0</v>
      </c>
      <c r="AL393" s="17">
        <f t="shared" si="303"/>
        <v>0</v>
      </c>
      <c r="AM393" s="1" t="e">
        <f t="shared" si="304"/>
        <v>#DIV/0!</v>
      </c>
      <c r="AN393" s="1" t="e">
        <f t="shared" si="305"/>
        <v>#DIV/0!</v>
      </c>
      <c r="AO393" s="1" t="e">
        <f t="shared" si="306"/>
        <v>#DIV/0!</v>
      </c>
      <c r="AP393" s="1" t="e">
        <f t="shared" si="307"/>
        <v>#DIV/0!</v>
      </c>
      <c r="AQ393" s="1" t="e">
        <f t="shared" si="308"/>
        <v>#DIV/0!</v>
      </c>
      <c r="AR393" s="1" t="e">
        <f t="shared" si="309"/>
        <v>#DIV/0!</v>
      </c>
      <c r="AS393" s="12" t="e">
        <f t="shared" si="310"/>
        <v>#DIV/0!</v>
      </c>
      <c r="AT393" s="12" t="e">
        <f t="shared" si="311"/>
        <v>#DIV/0!</v>
      </c>
      <c r="AU393" s="1">
        <f t="shared" si="312"/>
        <v>0</v>
      </c>
      <c r="AV393" s="1">
        <f t="shared" si="313"/>
        <v>0</v>
      </c>
      <c r="AW393" s="1">
        <f t="shared" si="314"/>
        <v>0</v>
      </c>
      <c r="AX393" s="1">
        <f t="shared" si="315"/>
        <v>0</v>
      </c>
      <c r="AY393" s="1">
        <f t="shared" si="316"/>
        <v>0</v>
      </c>
      <c r="AZ393" s="1">
        <f t="shared" si="317"/>
        <v>0</v>
      </c>
      <c r="BA393" s="19">
        <f t="shared" si="318"/>
        <v>0</v>
      </c>
      <c r="BB393" s="19">
        <f t="shared" si="319"/>
        <v>0</v>
      </c>
      <c r="BC393" s="9" t="e">
        <f t="shared" si="320"/>
        <v>#DIV/0!</v>
      </c>
      <c r="BD393" s="9" t="e">
        <f t="shared" si="321"/>
        <v>#DIV/0!</v>
      </c>
      <c r="BE393" s="9" t="e">
        <f t="shared" si="322"/>
        <v>#DIV/0!</v>
      </c>
      <c r="BF393" s="9" t="e">
        <f t="shared" si="323"/>
        <v>#DIV/0!</v>
      </c>
      <c r="BG393" s="9" t="e">
        <f t="shared" si="324"/>
        <v>#DIV/0!</v>
      </c>
      <c r="BH393" s="9">
        <f t="shared" si="325"/>
        <v>-1</v>
      </c>
      <c r="BI393" s="12" t="e">
        <f t="shared" si="326"/>
        <v>#DIV/0!</v>
      </c>
      <c r="BJ393" s="13" t="e">
        <f t="shared" si="327"/>
        <v>#DIV/0!</v>
      </c>
      <c r="BK393" s="1">
        <f t="shared" si="328"/>
        <v>0</v>
      </c>
      <c r="BL393" s="1">
        <f t="shared" si="329"/>
        <v>0</v>
      </c>
      <c r="BM393" s="1">
        <f t="shared" si="330"/>
        <v>0</v>
      </c>
      <c r="BN393" s="1">
        <f t="shared" si="331"/>
        <v>0</v>
      </c>
      <c r="BO393" s="1">
        <f t="shared" si="332"/>
        <v>1</v>
      </c>
      <c r="BP393" s="1">
        <f t="shared" si="333"/>
        <v>-1</v>
      </c>
      <c r="BQ393" s="19">
        <f t="shared" si="334"/>
        <v>0</v>
      </c>
      <c r="BR393" s="17">
        <f t="shared" si="335"/>
        <v>0</v>
      </c>
    </row>
    <row r="394" spans="1:70" x14ac:dyDescent="0.25">
      <c r="A394" t="s">
        <v>160</v>
      </c>
      <c r="B394">
        <v>73</v>
      </c>
      <c r="C394">
        <v>65</v>
      </c>
      <c r="D394">
        <v>65</v>
      </c>
      <c r="E394">
        <v>65</v>
      </c>
      <c r="F394">
        <v>58</v>
      </c>
      <c r="G394">
        <v>75</v>
      </c>
      <c r="H394">
        <v>72</v>
      </c>
      <c r="I394">
        <v>38</v>
      </c>
      <c r="J394">
        <v>22</v>
      </c>
      <c r="K394">
        <v>31</v>
      </c>
      <c r="L394">
        <v>27</v>
      </c>
      <c r="M394">
        <v>29</v>
      </c>
      <c r="N394">
        <v>30</v>
      </c>
      <c r="O394">
        <v>39</v>
      </c>
      <c r="P394">
        <v>35</v>
      </c>
      <c r="Q394">
        <v>43</v>
      </c>
      <c r="R394">
        <v>34</v>
      </c>
      <c r="S394">
        <v>38</v>
      </c>
      <c r="T394">
        <v>29</v>
      </c>
      <c r="U394">
        <v>45</v>
      </c>
      <c r="V394">
        <v>33</v>
      </c>
      <c r="W394" s="8">
        <f t="shared" si="288"/>
        <v>-0.1095890410958904</v>
      </c>
      <c r="X394" s="8">
        <f t="shared" si="289"/>
        <v>0</v>
      </c>
      <c r="Y394" s="8">
        <f t="shared" si="290"/>
        <v>0</v>
      </c>
      <c r="Z394" s="8">
        <f t="shared" si="291"/>
        <v>-0.1076923076923077</v>
      </c>
      <c r="AA394" s="8">
        <f t="shared" si="292"/>
        <v>0.29310344827586204</v>
      </c>
      <c r="AB394" s="8">
        <f t="shared" si="293"/>
        <v>-0.04</v>
      </c>
      <c r="AC394" s="12">
        <f t="shared" si="294"/>
        <v>5.970349914610657E-3</v>
      </c>
      <c r="AD394" s="12">
        <f t="shared" si="295"/>
        <v>-0.02</v>
      </c>
      <c r="AE394" s="1">
        <f t="shared" si="296"/>
        <v>-8</v>
      </c>
      <c r="AF394" s="1">
        <f t="shared" si="297"/>
        <v>0</v>
      </c>
      <c r="AG394" s="1">
        <f t="shared" si="298"/>
        <v>0</v>
      </c>
      <c r="AH394" s="1">
        <f t="shared" si="299"/>
        <v>-7</v>
      </c>
      <c r="AI394" s="1">
        <f t="shared" si="300"/>
        <v>17</v>
      </c>
      <c r="AJ394" s="1">
        <f t="shared" si="301"/>
        <v>-3</v>
      </c>
      <c r="AK394" s="17">
        <f t="shared" si="302"/>
        <v>-0.16666666666666666</v>
      </c>
      <c r="AL394" s="17">
        <f t="shared" si="303"/>
        <v>-1.5</v>
      </c>
      <c r="AM394" s="1">
        <f t="shared" si="304"/>
        <v>-0.42105263157894735</v>
      </c>
      <c r="AN394" s="1">
        <f t="shared" si="305"/>
        <v>0.40909090909090912</v>
      </c>
      <c r="AO394" s="1">
        <f t="shared" si="306"/>
        <v>-0.12903225806451613</v>
      </c>
      <c r="AP394" s="1">
        <f t="shared" si="307"/>
        <v>7.407407407407407E-2</v>
      </c>
      <c r="AQ394" s="1">
        <f t="shared" si="308"/>
        <v>3.4482758620689655E-2</v>
      </c>
      <c r="AR394" s="1">
        <f t="shared" si="309"/>
        <v>0.3</v>
      </c>
      <c r="AS394" s="12">
        <f t="shared" si="310"/>
        <v>4.4593808690368227E-2</v>
      </c>
      <c r="AT394" s="12">
        <f t="shared" si="311"/>
        <v>5.4278416347381862E-2</v>
      </c>
      <c r="AU394" s="1">
        <f t="shared" si="312"/>
        <v>-16</v>
      </c>
      <c r="AV394" s="1">
        <f t="shared" si="313"/>
        <v>9</v>
      </c>
      <c r="AW394" s="1">
        <f t="shared" si="314"/>
        <v>-4</v>
      </c>
      <c r="AX394" s="1">
        <f t="shared" si="315"/>
        <v>2</v>
      </c>
      <c r="AY394" s="1">
        <f t="shared" si="316"/>
        <v>1</v>
      </c>
      <c r="AZ394" s="1">
        <f t="shared" si="317"/>
        <v>9</v>
      </c>
      <c r="BA394" s="19">
        <f t="shared" si="318"/>
        <v>0.16666666666666666</v>
      </c>
      <c r="BB394" s="19">
        <f t="shared" si="319"/>
        <v>1.5</v>
      </c>
      <c r="BC394" s="9">
        <f t="shared" si="320"/>
        <v>0.22857142857142856</v>
      </c>
      <c r="BD394" s="9">
        <f t="shared" si="321"/>
        <v>-0.20930232558139536</v>
      </c>
      <c r="BE394" s="9">
        <f t="shared" si="322"/>
        <v>0.11764705882352941</v>
      </c>
      <c r="BF394" s="9">
        <f t="shared" si="323"/>
        <v>-0.23684210526315788</v>
      </c>
      <c r="BG394" s="9">
        <f t="shared" si="324"/>
        <v>0.55172413793103448</v>
      </c>
      <c r="BH394" s="9">
        <f t="shared" si="325"/>
        <v>-0.26666666666666666</v>
      </c>
      <c r="BI394" s="12">
        <f t="shared" si="326"/>
        <v>3.0855254635795425E-2</v>
      </c>
      <c r="BJ394" s="13">
        <f t="shared" si="327"/>
        <v>-4.5827633378932975E-2</v>
      </c>
      <c r="BK394" s="1">
        <f t="shared" si="328"/>
        <v>8</v>
      </c>
      <c r="BL394" s="1">
        <f t="shared" si="329"/>
        <v>-9</v>
      </c>
      <c r="BM394" s="1">
        <f t="shared" si="330"/>
        <v>4</v>
      </c>
      <c r="BN394" s="1">
        <f t="shared" si="331"/>
        <v>-9</v>
      </c>
      <c r="BO394" s="1">
        <f t="shared" si="332"/>
        <v>16</v>
      </c>
      <c r="BP394" s="1">
        <f t="shared" si="333"/>
        <v>-12</v>
      </c>
      <c r="BQ394" s="19">
        <f t="shared" si="334"/>
        <v>-0.33333333333333331</v>
      </c>
      <c r="BR394" s="17">
        <f t="shared" si="335"/>
        <v>-2.5</v>
      </c>
    </row>
    <row r="395" spans="1:70" x14ac:dyDescent="0.25">
      <c r="A395" t="s">
        <v>213</v>
      </c>
      <c r="B395">
        <v>29</v>
      </c>
      <c r="C395">
        <v>18</v>
      </c>
      <c r="D395">
        <v>18</v>
      </c>
      <c r="E395">
        <v>36</v>
      </c>
      <c r="F395">
        <v>38</v>
      </c>
      <c r="G395">
        <v>39</v>
      </c>
      <c r="H395">
        <v>28</v>
      </c>
      <c r="I395">
        <v>7</v>
      </c>
      <c r="J395">
        <v>6</v>
      </c>
      <c r="K395">
        <v>10</v>
      </c>
      <c r="L395">
        <v>12</v>
      </c>
      <c r="M395">
        <v>12</v>
      </c>
      <c r="N395">
        <v>10</v>
      </c>
      <c r="O395">
        <v>11</v>
      </c>
      <c r="P395">
        <v>22</v>
      </c>
      <c r="Q395">
        <v>12</v>
      </c>
      <c r="R395">
        <v>8</v>
      </c>
      <c r="S395">
        <v>24</v>
      </c>
      <c r="T395">
        <v>26</v>
      </c>
      <c r="U395">
        <v>29</v>
      </c>
      <c r="V395">
        <v>17</v>
      </c>
      <c r="W395" s="8">
        <f t="shared" si="288"/>
        <v>-0.37931034482758619</v>
      </c>
      <c r="X395" s="8">
        <f t="shared" si="289"/>
        <v>0</v>
      </c>
      <c r="Y395" s="8">
        <f t="shared" si="290"/>
        <v>1</v>
      </c>
      <c r="Z395" s="8">
        <f t="shared" si="291"/>
        <v>5.5555555555555552E-2</v>
      </c>
      <c r="AA395" s="8">
        <f t="shared" si="292"/>
        <v>2.6315789473684209E-2</v>
      </c>
      <c r="AB395" s="8">
        <f t="shared" si="293"/>
        <v>-0.28205128205128205</v>
      </c>
      <c r="AC395" s="12">
        <f t="shared" si="294"/>
        <v>7.0084953025061916E-2</v>
      </c>
      <c r="AD395" s="12">
        <f t="shared" si="295"/>
        <v>1.3157894736842105E-2</v>
      </c>
      <c r="AE395" s="1">
        <f t="shared" si="296"/>
        <v>-11</v>
      </c>
      <c r="AF395" s="1">
        <f t="shared" si="297"/>
        <v>0</v>
      </c>
      <c r="AG395" s="1">
        <f t="shared" si="298"/>
        <v>18</v>
      </c>
      <c r="AH395" s="1">
        <f t="shared" si="299"/>
        <v>2</v>
      </c>
      <c r="AI395" s="1">
        <f t="shared" si="300"/>
        <v>1</v>
      </c>
      <c r="AJ395" s="1">
        <f t="shared" si="301"/>
        <v>-11</v>
      </c>
      <c r="AK395" s="17">
        <f t="shared" si="302"/>
        <v>-0.16666666666666666</v>
      </c>
      <c r="AL395" s="17">
        <f t="shared" si="303"/>
        <v>0.5</v>
      </c>
      <c r="AM395" s="1">
        <f t="shared" si="304"/>
        <v>-0.14285714285714285</v>
      </c>
      <c r="AN395" s="1">
        <f t="shared" si="305"/>
        <v>0.66666666666666663</v>
      </c>
      <c r="AO395" s="1">
        <f t="shared" si="306"/>
        <v>0.2</v>
      </c>
      <c r="AP395" s="1">
        <f t="shared" si="307"/>
        <v>0</v>
      </c>
      <c r="AQ395" s="1">
        <f t="shared" si="308"/>
        <v>-0.16666666666666666</v>
      </c>
      <c r="AR395" s="1">
        <f t="shared" si="309"/>
        <v>0.1</v>
      </c>
      <c r="AS395" s="12">
        <f t="shared" si="310"/>
        <v>0.10952380952380951</v>
      </c>
      <c r="AT395" s="12">
        <f t="shared" si="311"/>
        <v>0.05</v>
      </c>
      <c r="AU395" s="1">
        <f t="shared" si="312"/>
        <v>-1</v>
      </c>
      <c r="AV395" s="1">
        <f t="shared" si="313"/>
        <v>4</v>
      </c>
      <c r="AW395" s="1">
        <f t="shared" si="314"/>
        <v>2</v>
      </c>
      <c r="AX395" s="1">
        <f t="shared" si="315"/>
        <v>0</v>
      </c>
      <c r="AY395" s="1">
        <f t="shared" si="316"/>
        <v>-2</v>
      </c>
      <c r="AZ395" s="1">
        <f t="shared" si="317"/>
        <v>1</v>
      </c>
      <c r="BA395" s="19">
        <f t="shared" si="318"/>
        <v>0.66666666666666663</v>
      </c>
      <c r="BB395" s="19">
        <f t="shared" si="319"/>
        <v>0.5</v>
      </c>
      <c r="BC395" s="9">
        <f t="shared" si="320"/>
        <v>-0.45454545454545453</v>
      </c>
      <c r="BD395" s="9">
        <f t="shared" si="321"/>
        <v>-0.33333333333333331</v>
      </c>
      <c r="BE395" s="9">
        <f t="shared" si="322"/>
        <v>2</v>
      </c>
      <c r="BF395" s="9">
        <f t="shared" si="323"/>
        <v>8.3333333333333329E-2</v>
      </c>
      <c r="BG395" s="9">
        <f t="shared" si="324"/>
        <v>0.11538461538461539</v>
      </c>
      <c r="BH395" s="9">
        <f t="shared" si="325"/>
        <v>-0.41379310344827586</v>
      </c>
      <c r="BI395" s="12">
        <f t="shared" si="326"/>
        <v>0.16617434289848085</v>
      </c>
      <c r="BJ395" s="13">
        <f t="shared" si="327"/>
        <v>-0.125</v>
      </c>
      <c r="BK395" s="1">
        <f t="shared" si="328"/>
        <v>-10</v>
      </c>
      <c r="BL395" s="1">
        <f t="shared" si="329"/>
        <v>-4</v>
      </c>
      <c r="BM395" s="1">
        <f t="shared" si="330"/>
        <v>16</v>
      </c>
      <c r="BN395" s="1">
        <f t="shared" si="331"/>
        <v>2</v>
      </c>
      <c r="BO395" s="1">
        <f t="shared" si="332"/>
        <v>3</v>
      </c>
      <c r="BP395" s="1">
        <f t="shared" si="333"/>
        <v>-12</v>
      </c>
      <c r="BQ395" s="19">
        <f t="shared" si="334"/>
        <v>-0.83333333333333337</v>
      </c>
      <c r="BR395" s="17">
        <f t="shared" si="335"/>
        <v>-1</v>
      </c>
    </row>
    <row r="396" spans="1:70" x14ac:dyDescent="0.25">
      <c r="A396" t="s">
        <v>243</v>
      </c>
      <c r="B396">
        <v>20</v>
      </c>
      <c r="C396">
        <v>27</v>
      </c>
      <c r="D396">
        <v>28</v>
      </c>
      <c r="E396">
        <v>11</v>
      </c>
      <c r="F396">
        <v>17</v>
      </c>
      <c r="G396">
        <v>20</v>
      </c>
      <c r="H396">
        <v>19</v>
      </c>
      <c r="I396">
        <v>12</v>
      </c>
      <c r="J396">
        <v>17</v>
      </c>
      <c r="K396">
        <v>19</v>
      </c>
      <c r="L396">
        <v>9</v>
      </c>
      <c r="M396">
        <v>11</v>
      </c>
      <c r="N396">
        <v>11</v>
      </c>
      <c r="O396">
        <v>10</v>
      </c>
      <c r="P396">
        <v>8</v>
      </c>
      <c r="Q396">
        <v>10</v>
      </c>
      <c r="R396">
        <v>9</v>
      </c>
      <c r="S396">
        <v>2</v>
      </c>
      <c r="T396">
        <v>6</v>
      </c>
      <c r="U396">
        <v>9</v>
      </c>
      <c r="V396">
        <v>9</v>
      </c>
      <c r="W396" s="8">
        <f t="shared" si="288"/>
        <v>0.35</v>
      </c>
      <c r="X396" s="8">
        <f t="shared" si="289"/>
        <v>3.7037037037037035E-2</v>
      </c>
      <c r="Y396" s="8">
        <f t="shared" si="290"/>
        <v>-0.6071428571428571</v>
      </c>
      <c r="Z396" s="8">
        <f t="shared" si="291"/>
        <v>0.54545454545454541</v>
      </c>
      <c r="AA396" s="8">
        <f t="shared" si="292"/>
        <v>0.17647058823529413</v>
      </c>
      <c r="AB396" s="8">
        <f t="shared" si="293"/>
        <v>-0.05</v>
      </c>
      <c r="AC396" s="12">
        <f t="shared" si="294"/>
        <v>7.5303218930669907E-2</v>
      </c>
      <c r="AD396" s="12">
        <f t="shared" si="295"/>
        <v>0.10675381263616558</v>
      </c>
      <c r="AE396" s="1">
        <f t="shared" si="296"/>
        <v>7</v>
      </c>
      <c r="AF396" s="1">
        <f t="shared" si="297"/>
        <v>1</v>
      </c>
      <c r="AG396" s="1">
        <f t="shared" si="298"/>
        <v>-17</v>
      </c>
      <c r="AH396" s="1">
        <f t="shared" si="299"/>
        <v>6</v>
      </c>
      <c r="AI396" s="1">
        <f t="shared" si="300"/>
        <v>3</v>
      </c>
      <c r="AJ396" s="1">
        <f t="shared" si="301"/>
        <v>-1</v>
      </c>
      <c r="AK396" s="17">
        <f t="shared" si="302"/>
        <v>-0.16666666666666666</v>
      </c>
      <c r="AL396" s="17">
        <f t="shared" si="303"/>
        <v>2</v>
      </c>
      <c r="AM396" s="1">
        <f t="shared" si="304"/>
        <v>0.41666666666666669</v>
      </c>
      <c r="AN396" s="1">
        <f t="shared" si="305"/>
        <v>0.11764705882352941</v>
      </c>
      <c r="AO396" s="1">
        <f t="shared" si="306"/>
        <v>-0.52631578947368418</v>
      </c>
      <c r="AP396" s="1">
        <f t="shared" si="307"/>
        <v>0.22222222222222221</v>
      </c>
      <c r="AQ396" s="1">
        <f t="shared" si="308"/>
        <v>0</v>
      </c>
      <c r="AR396" s="1">
        <f t="shared" si="309"/>
        <v>-9.0909090909090912E-2</v>
      </c>
      <c r="AS396" s="12">
        <f t="shared" si="310"/>
        <v>2.3218511221607199E-2</v>
      </c>
      <c r="AT396" s="12">
        <f t="shared" si="311"/>
        <v>5.8823529411764705E-2</v>
      </c>
      <c r="AU396" s="1">
        <f t="shared" si="312"/>
        <v>5</v>
      </c>
      <c r="AV396" s="1">
        <f t="shared" si="313"/>
        <v>2</v>
      </c>
      <c r="AW396" s="1">
        <f t="shared" si="314"/>
        <v>-10</v>
      </c>
      <c r="AX396" s="1">
        <f t="shared" si="315"/>
        <v>2</v>
      </c>
      <c r="AY396" s="1">
        <f t="shared" si="316"/>
        <v>0</v>
      </c>
      <c r="AZ396" s="1">
        <f t="shared" si="317"/>
        <v>-1</v>
      </c>
      <c r="BA396" s="19">
        <f t="shared" si="318"/>
        <v>-0.33333333333333331</v>
      </c>
      <c r="BB396" s="19">
        <f t="shared" si="319"/>
        <v>1</v>
      </c>
      <c r="BC396" s="9">
        <f t="shared" si="320"/>
        <v>0.25</v>
      </c>
      <c r="BD396" s="9">
        <f t="shared" si="321"/>
        <v>-0.1</v>
      </c>
      <c r="BE396" s="9">
        <f t="shared" si="322"/>
        <v>-0.77777777777777779</v>
      </c>
      <c r="BF396" s="9">
        <f t="shared" si="323"/>
        <v>2</v>
      </c>
      <c r="BG396" s="9">
        <f t="shared" si="324"/>
        <v>0.5</v>
      </c>
      <c r="BH396" s="9">
        <f t="shared" si="325"/>
        <v>0</v>
      </c>
      <c r="BI396" s="12">
        <f t="shared" si="326"/>
        <v>0.31203703703703706</v>
      </c>
      <c r="BJ396" s="13">
        <f t="shared" si="327"/>
        <v>0.125</v>
      </c>
      <c r="BK396" s="1">
        <f t="shared" si="328"/>
        <v>2</v>
      </c>
      <c r="BL396" s="1">
        <f t="shared" si="329"/>
        <v>-1</v>
      </c>
      <c r="BM396" s="1">
        <f t="shared" si="330"/>
        <v>-7</v>
      </c>
      <c r="BN396" s="1">
        <f t="shared" si="331"/>
        <v>4</v>
      </c>
      <c r="BO396" s="1">
        <f t="shared" si="332"/>
        <v>3</v>
      </c>
      <c r="BP396" s="1">
        <f t="shared" si="333"/>
        <v>0</v>
      </c>
      <c r="BQ396" s="19">
        <f t="shared" si="334"/>
        <v>0.16666666666666666</v>
      </c>
      <c r="BR396" s="17">
        <f t="shared" si="335"/>
        <v>1</v>
      </c>
    </row>
    <row r="397" spans="1:70" x14ac:dyDescent="0.25">
      <c r="A397" t="s">
        <v>274</v>
      </c>
      <c r="B397">
        <v>15</v>
      </c>
      <c r="C397">
        <v>21</v>
      </c>
      <c r="D397">
        <v>18</v>
      </c>
      <c r="E397">
        <v>32</v>
      </c>
      <c r="F397">
        <v>32</v>
      </c>
      <c r="G397">
        <v>24</v>
      </c>
      <c r="H397">
        <v>14</v>
      </c>
      <c r="I397">
        <v>7</v>
      </c>
      <c r="J397">
        <v>9</v>
      </c>
      <c r="K397">
        <v>9</v>
      </c>
      <c r="L397">
        <v>17</v>
      </c>
      <c r="M397">
        <v>20</v>
      </c>
      <c r="N397">
        <v>14</v>
      </c>
      <c r="O397">
        <v>9</v>
      </c>
      <c r="P397">
        <v>8</v>
      </c>
      <c r="Q397">
        <v>12</v>
      </c>
      <c r="R397">
        <v>9</v>
      </c>
      <c r="S397">
        <v>15</v>
      </c>
      <c r="T397">
        <v>12</v>
      </c>
      <c r="U397">
        <v>10</v>
      </c>
      <c r="V397">
        <v>5</v>
      </c>
      <c r="W397" s="8">
        <f t="shared" si="288"/>
        <v>0.4</v>
      </c>
      <c r="X397" s="8">
        <f t="shared" si="289"/>
        <v>-0.14285714285714285</v>
      </c>
      <c r="Y397" s="8">
        <f t="shared" si="290"/>
        <v>0.77777777777777779</v>
      </c>
      <c r="Z397" s="8">
        <f t="shared" si="291"/>
        <v>0</v>
      </c>
      <c r="AA397" s="8">
        <f t="shared" si="292"/>
        <v>-0.25</v>
      </c>
      <c r="AB397" s="8">
        <f t="shared" si="293"/>
        <v>-0.41666666666666669</v>
      </c>
      <c r="AC397" s="12">
        <f t="shared" si="294"/>
        <v>6.1375661375661389E-2</v>
      </c>
      <c r="AD397" s="12">
        <f t="shared" si="295"/>
        <v>-7.1428571428571425E-2</v>
      </c>
      <c r="AE397" s="1">
        <f t="shared" si="296"/>
        <v>6</v>
      </c>
      <c r="AF397" s="1">
        <f t="shared" si="297"/>
        <v>-3</v>
      </c>
      <c r="AG397" s="1">
        <f t="shared" si="298"/>
        <v>14</v>
      </c>
      <c r="AH397" s="1">
        <f t="shared" si="299"/>
        <v>0</v>
      </c>
      <c r="AI397" s="1">
        <f t="shared" si="300"/>
        <v>-8</v>
      </c>
      <c r="AJ397" s="1">
        <f t="shared" si="301"/>
        <v>-10</v>
      </c>
      <c r="AK397" s="17">
        <f t="shared" si="302"/>
        <v>-0.16666666666666666</v>
      </c>
      <c r="AL397" s="17">
        <f t="shared" si="303"/>
        <v>-1.5</v>
      </c>
      <c r="AM397" s="1">
        <f t="shared" si="304"/>
        <v>0.2857142857142857</v>
      </c>
      <c r="AN397" s="1">
        <f t="shared" si="305"/>
        <v>0</v>
      </c>
      <c r="AO397" s="1">
        <f t="shared" si="306"/>
        <v>0.88888888888888884</v>
      </c>
      <c r="AP397" s="1">
        <f t="shared" si="307"/>
        <v>0.17647058823529413</v>
      </c>
      <c r="AQ397" s="1">
        <f t="shared" si="308"/>
        <v>-0.3</v>
      </c>
      <c r="AR397" s="1">
        <f t="shared" si="309"/>
        <v>-0.35714285714285715</v>
      </c>
      <c r="AS397" s="12">
        <f t="shared" si="310"/>
        <v>0.11565515094926855</v>
      </c>
      <c r="AT397" s="12">
        <f t="shared" si="311"/>
        <v>8.8235294117647065E-2</v>
      </c>
      <c r="AU397" s="1">
        <f t="shared" si="312"/>
        <v>2</v>
      </c>
      <c r="AV397" s="1">
        <f t="shared" si="313"/>
        <v>0</v>
      </c>
      <c r="AW397" s="1">
        <f t="shared" si="314"/>
        <v>8</v>
      </c>
      <c r="AX397" s="1">
        <f t="shared" si="315"/>
        <v>3</v>
      </c>
      <c r="AY397" s="1">
        <f t="shared" si="316"/>
        <v>-6</v>
      </c>
      <c r="AZ397" s="1">
        <f t="shared" si="317"/>
        <v>-5</v>
      </c>
      <c r="BA397" s="19">
        <f t="shared" si="318"/>
        <v>0.33333333333333331</v>
      </c>
      <c r="BB397" s="19">
        <f t="shared" si="319"/>
        <v>1</v>
      </c>
      <c r="BC397" s="9">
        <f t="shared" si="320"/>
        <v>0.5</v>
      </c>
      <c r="BD397" s="9">
        <f t="shared" si="321"/>
        <v>-0.25</v>
      </c>
      <c r="BE397" s="9">
        <f t="shared" si="322"/>
        <v>0.66666666666666663</v>
      </c>
      <c r="BF397" s="9">
        <f t="shared" si="323"/>
        <v>-0.2</v>
      </c>
      <c r="BG397" s="9">
        <f t="shared" si="324"/>
        <v>-0.16666666666666666</v>
      </c>
      <c r="BH397" s="9">
        <f t="shared" si="325"/>
        <v>-0.5</v>
      </c>
      <c r="BI397" s="12">
        <f t="shared" si="326"/>
        <v>8.3333333333333228E-3</v>
      </c>
      <c r="BJ397" s="13">
        <f t="shared" si="327"/>
        <v>-0.18333333333333335</v>
      </c>
      <c r="BK397" s="1">
        <f t="shared" si="328"/>
        <v>4</v>
      </c>
      <c r="BL397" s="1">
        <f t="shared" si="329"/>
        <v>-3</v>
      </c>
      <c r="BM397" s="1">
        <f t="shared" si="330"/>
        <v>6</v>
      </c>
      <c r="BN397" s="1">
        <f t="shared" si="331"/>
        <v>-3</v>
      </c>
      <c r="BO397" s="1">
        <f t="shared" si="332"/>
        <v>-2</v>
      </c>
      <c r="BP397" s="1">
        <f t="shared" si="333"/>
        <v>-5</v>
      </c>
      <c r="BQ397" s="19">
        <f t="shared" si="334"/>
        <v>-0.5</v>
      </c>
      <c r="BR397" s="17">
        <f t="shared" si="335"/>
        <v>-2.5</v>
      </c>
    </row>
    <row r="398" spans="1:70" x14ac:dyDescent="0.25">
      <c r="A398" t="s">
        <v>289</v>
      </c>
      <c r="B398">
        <v>12</v>
      </c>
      <c r="C398">
        <v>10</v>
      </c>
      <c r="D398">
        <v>13</v>
      </c>
      <c r="E398">
        <v>8</v>
      </c>
      <c r="F398">
        <v>7</v>
      </c>
      <c r="G398">
        <v>11</v>
      </c>
      <c r="H398">
        <v>11</v>
      </c>
      <c r="I398">
        <v>7</v>
      </c>
      <c r="J398">
        <v>5</v>
      </c>
      <c r="K398">
        <v>7</v>
      </c>
      <c r="L398">
        <v>4</v>
      </c>
      <c r="M398">
        <v>2</v>
      </c>
      <c r="N398">
        <v>7</v>
      </c>
      <c r="O398">
        <v>2</v>
      </c>
      <c r="P398">
        <v>5</v>
      </c>
      <c r="Q398">
        <v>5</v>
      </c>
      <c r="R398">
        <v>6</v>
      </c>
      <c r="S398">
        <v>4</v>
      </c>
      <c r="T398">
        <v>5</v>
      </c>
      <c r="U398">
        <v>4</v>
      </c>
      <c r="V398">
        <v>9</v>
      </c>
      <c r="W398" s="8">
        <f t="shared" si="288"/>
        <v>-0.16666666666666666</v>
      </c>
      <c r="X398" s="8">
        <f t="shared" si="289"/>
        <v>0.3</v>
      </c>
      <c r="Y398" s="8">
        <f t="shared" si="290"/>
        <v>-0.38461538461538464</v>
      </c>
      <c r="Z398" s="8">
        <f t="shared" si="291"/>
        <v>-0.125</v>
      </c>
      <c r="AA398" s="8">
        <f t="shared" si="292"/>
        <v>0.5714285714285714</v>
      </c>
      <c r="AB398" s="8">
        <f t="shared" si="293"/>
        <v>0</v>
      </c>
      <c r="AC398" s="12">
        <f t="shared" si="294"/>
        <v>3.252442002442002E-2</v>
      </c>
      <c r="AD398" s="12">
        <f t="shared" si="295"/>
        <v>-6.25E-2</v>
      </c>
      <c r="AE398" s="1">
        <f t="shared" si="296"/>
        <v>-2</v>
      </c>
      <c r="AF398" s="1">
        <f t="shared" si="297"/>
        <v>3</v>
      </c>
      <c r="AG398" s="1">
        <f t="shared" si="298"/>
        <v>-5</v>
      </c>
      <c r="AH398" s="1">
        <f t="shared" si="299"/>
        <v>-1</v>
      </c>
      <c r="AI398" s="1">
        <f t="shared" si="300"/>
        <v>4</v>
      </c>
      <c r="AJ398" s="1">
        <f t="shared" si="301"/>
        <v>0</v>
      </c>
      <c r="AK398" s="17">
        <f t="shared" si="302"/>
        <v>-0.16666666666666666</v>
      </c>
      <c r="AL398" s="17">
        <f t="shared" si="303"/>
        <v>-0.5</v>
      </c>
      <c r="AM398" s="1">
        <f t="shared" si="304"/>
        <v>-0.2857142857142857</v>
      </c>
      <c r="AN398" s="1">
        <f t="shared" si="305"/>
        <v>0.4</v>
      </c>
      <c r="AO398" s="1">
        <f t="shared" si="306"/>
        <v>-0.42857142857142855</v>
      </c>
      <c r="AP398" s="1">
        <f t="shared" si="307"/>
        <v>-0.5</v>
      </c>
      <c r="AQ398" s="1">
        <f t="shared" si="308"/>
        <v>2.5</v>
      </c>
      <c r="AR398" s="1">
        <f t="shared" si="309"/>
        <v>-0.7142857142857143</v>
      </c>
      <c r="AS398" s="12">
        <f t="shared" si="310"/>
        <v>0.16190476190476191</v>
      </c>
      <c r="AT398" s="12">
        <f t="shared" si="311"/>
        <v>-0.3571428571428571</v>
      </c>
      <c r="AU398" s="1">
        <f t="shared" si="312"/>
        <v>-2</v>
      </c>
      <c r="AV398" s="1">
        <f t="shared" si="313"/>
        <v>2</v>
      </c>
      <c r="AW398" s="1">
        <f t="shared" si="314"/>
        <v>-3</v>
      </c>
      <c r="AX398" s="1">
        <f t="shared" si="315"/>
        <v>-2</v>
      </c>
      <c r="AY398" s="1">
        <f t="shared" si="316"/>
        <v>5</v>
      </c>
      <c r="AZ398" s="1">
        <f t="shared" si="317"/>
        <v>-5</v>
      </c>
      <c r="BA398" s="19">
        <f t="shared" si="318"/>
        <v>-0.83333333333333337</v>
      </c>
      <c r="BB398" s="19">
        <f t="shared" si="319"/>
        <v>-2</v>
      </c>
      <c r="BC398" s="9">
        <f t="shared" si="320"/>
        <v>0</v>
      </c>
      <c r="BD398" s="9">
        <f t="shared" si="321"/>
        <v>0.2</v>
      </c>
      <c r="BE398" s="9">
        <f t="shared" si="322"/>
        <v>-0.33333333333333331</v>
      </c>
      <c r="BF398" s="9">
        <f t="shared" si="323"/>
        <v>0.25</v>
      </c>
      <c r="BG398" s="9">
        <f t="shared" si="324"/>
        <v>-0.2</v>
      </c>
      <c r="BH398" s="9">
        <f t="shared" si="325"/>
        <v>1.25</v>
      </c>
      <c r="BI398" s="12">
        <f t="shared" si="326"/>
        <v>0.19444444444444445</v>
      </c>
      <c r="BJ398" s="13">
        <f t="shared" si="327"/>
        <v>0.1</v>
      </c>
      <c r="BK398" s="1">
        <f t="shared" si="328"/>
        <v>0</v>
      </c>
      <c r="BL398" s="1">
        <f t="shared" si="329"/>
        <v>1</v>
      </c>
      <c r="BM398" s="1">
        <f t="shared" si="330"/>
        <v>-2</v>
      </c>
      <c r="BN398" s="1">
        <f t="shared" si="331"/>
        <v>1</v>
      </c>
      <c r="BO398" s="1">
        <f t="shared" si="332"/>
        <v>-1</v>
      </c>
      <c r="BP398" s="1">
        <f t="shared" si="333"/>
        <v>5</v>
      </c>
      <c r="BQ398" s="19">
        <f t="shared" si="334"/>
        <v>0.66666666666666663</v>
      </c>
      <c r="BR398" s="17">
        <f t="shared" si="335"/>
        <v>0.5</v>
      </c>
    </row>
    <row r="399" spans="1:70" x14ac:dyDescent="0.25">
      <c r="A399" t="s">
        <v>296</v>
      </c>
      <c r="B399">
        <v>12</v>
      </c>
      <c r="C399">
        <v>12</v>
      </c>
      <c r="D399">
        <v>9</v>
      </c>
      <c r="E399">
        <v>16</v>
      </c>
      <c r="F399">
        <v>11</v>
      </c>
      <c r="G399">
        <v>10</v>
      </c>
      <c r="H399">
        <v>11</v>
      </c>
      <c r="I399">
        <v>1</v>
      </c>
      <c r="J399">
        <v>2</v>
      </c>
      <c r="K399">
        <v>4</v>
      </c>
      <c r="L399">
        <v>5</v>
      </c>
      <c r="M399">
        <v>2</v>
      </c>
      <c r="N399">
        <v>1</v>
      </c>
      <c r="O399">
        <v>4</v>
      </c>
      <c r="P399">
        <v>11</v>
      </c>
      <c r="Q399">
        <v>10</v>
      </c>
      <c r="R399">
        <v>5</v>
      </c>
      <c r="S399">
        <v>11</v>
      </c>
      <c r="T399">
        <v>9</v>
      </c>
      <c r="U399">
        <v>9</v>
      </c>
      <c r="V399">
        <v>7</v>
      </c>
      <c r="W399" s="8">
        <f t="shared" si="288"/>
        <v>0</v>
      </c>
      <c r="X399" s="8">
        <f t="shared" si="289"/>
        <v>-0.25</v>
      </c>
      <c r="Y399" s="8">
        <f t="shared" si="290"/>
        <v>0.77777777777777779</v>
      </c>
      <c r="Z399" s="8">
        <f t="shared" si="291"/>
        <v>-0.3125</v>
      </c>
      <c r="AA399" s="8">
        <f t="shared" si="292"/>
        <v>-9.0909090909090912E-2</v>
      </c>
      <c r="AB399" s="8">
        <f t="shared" si="293"/>
        <v>0.1</v>
      </c>
      <c r="AC399" s="12">
        <f t="shared" si="294"/>
        <v>3.7394781144781147E-2</v>
      </c>
      <c r="AD399" s="12">
        <f t="shared" si="295"/>
        <v>-4.5454545454545456E-2</v>
      </c>
      <c r="AE399" s="1">
        <f t="shared" si="296"/>
        <v>0</v>
      </c>
      <c r="AF399" s="1">
        <f t="shared" si="297"/>
        <v>-3</v>
      </c>
      <c r="AG399" s="1">
        <f t="shared" si="298"/>
        <v>7</v>
      </c>
      <c r="AH399" s="1">
        <f t="shared" si="299"/>
        <v>-5</v>
      </c>
      <c r="AI399" s="1">
        <f t="shared" si="300"/>
        <v>-1</v>
      </c>
      <c r="AJ399" s="1">
        <f t="shared" si="301"/>
        <v>1</v>
      </c>
      <c r="AK399" s="17">
        <f t="shared" si="302"/>
        <v>-0.16666666666666666</v>
      </c>
      <c r="AL399" s="17">
        <f t="shared" si="303"/>
        <v>-0.5</v>
      </c>
      <c r="AM399" s="1">
        <f t="shared" si="304"/>
        <v>1</v>
      </c>
      <c r="AN399" s="1">
        <f t="shared" si="305"/>
        <v>1</v>
      </c>
      <c r="AO399" s="1">
        <f t="shared" si="306"/>
        <v>0.25</v>
      </c>
      <c r="AP399" s="1">
        <f t="shared" si="307"/>
        <v>-0.6</v>
      </c>
      <c r="AQ399" s="1">
        <f t="shared" si="308"/>
        <v>-0.5</v>
      </c>
      <c r="AR399" s="1">
        <f t="shared" si="309"/>
        <v>3</v>
      </c>
      <c r="AS399" s="12">
        <f t="shared" si="310"/>
        <v>0.69166666666666676</v>
      </c>
      <c r="AT399" s="12">
        <f t="shared" si="311"/>
        <v>0.625</v>
      </c>
      <c r="AU399" s="1">
        <f t="shared" si="312"/>
        <v>1</v>
      </c>
      <c r="AV399" s="1">
        <f t="shared" si="313"/>
        <v>2</v>
      </c>
      <c r="AW399" s="1">
        <f t="shared" si="314"/>
        <v>1</v>
      </c>
      <c r="AX399" s="1">
        <f t="shared" si="315"/>
        <v>-3</v>
      </c>
      <c r="AY399" s="1">
        <f t="shared" si="316"/>
        <v>-1</v>
      </c>
      <c r="AZ399" s="1">
        <f t="shared" si="317"/>
        <v>3</v>
      </c>
      <c r="BA399" s="19">
        <f t="shared" si="318"/>
        <v>0.5</v>
      </c>
      <c r="BB399" s="19">
        <f t="shared" si="319"/>
        <v>1</v>
      </c>
      <c r="BC399" s="9">
        <f t="shared" si="320"/>
        <v>-9.0909090909090912E-2</v>
      </c>
      <c r="BD399" s="9">
        <f t="shared" si="321"/>
        <v>-0.5</v>
      </c>
      <c r="BE399" s="9">
        <f t="shared" si="322"/>
        <v>1.2</v>
      </c>
      <c r="BF399" s="9">
        <f t="shared" si="323"/>
        <v>-0.18181818181818182</v>
      </c>
      <c r="BG399" s="9">
        <f t="shared" si="324"/>
        <v>0</v>
      </c>
      <c r="BH399" s="9">
        <f t="shared" si="325"/>
        <v>-0.22222222222222221</v>
      </c>
      <c r="BI399" s="12">
        <f t="shared" si="326"/>
        <v>3.4175084175084164E-2</v>
      </c>
      <c r="BJ399" s="13">
        <f t="shared" si="327"/>
        <v>-0.13636363636363635</v>
      </c>
      <c r="BK399" s="1">
        <f t="shared" si="328"/>
        <v>-1</v>
      </c>
      <c r="BL399" s="1">
        <f t="shared" si="329"/>
        <v>-5</v>
      </c>
      <c r="BM399" s="1">
        <f t="shared" si="330"/>
        <v>6</v>
      </c>
      <c r="BN399" s="1">
        <f t="shared" si="331"/>
        <v>-2</v>
      </c>
      <c r="BO399" s="1">
        <f t="shared" si="332"/>
        <v>0</v>
      </c>
      <c r="BP399" s="1">
        <f t="shared" si="333"/>
        <v>-2</v>
      </c>
      <c r="BQ399" s="19">
        <f t="shared" si="334"/>
        <v>-0.66666666666666663</v>
      </c>
      <c r="BR399" s="17">
        <f t="shared" si="335"/>
        <v>-1.5</v>
      </c>
    </row>
    <row r="400" spans="1:70" x14ac:dyDescent="0.25">
      <c r="A400" t="s">
        <v>302</v>
      </c>
      <c r="B400">
        <v>10</v>
      </c>
      <c r="C400">
        <v>10</v>
      </c>
      <c r="D400">
        <v>6</v>
      </c>
      <c r="E400">
        <v>12</v>
      </c>
      <c r="F400">
        <v>9</v>
      </c>
      <c r="G400">
        <v>10</v>
      </c>
      <c r="H400">
        <v>9</v>
      </c>
      <c r="I400">
        <v>6</v>
      </c>
      <c r="J400">
        <v>7</v>
      </c>
      <c r="K400">
        <v>4</v>
      </c>
      <c r="L400">
        <v>8</v>
      </c>
      <c r="M400">
        <v>7</v>
      </c>
      <c r="N400">
        <v>9</v>
      </c>
      <c r="O400">
        <v>7</v>
      </c>
      <c r="P400">
        <v>4</v>
      </c>
      <c r="Q400">
        <v>3</v>
      </c>
      <c r="R400">
        <v>2</v>
      </c>
      <c r="S400">
        <v>4</v>
      </c>
      <c r="T400">
        <v>2</v>
      </c>
      <c r="U400">
        <v>1</v>
      </c>
      <c r="V400">
        <v>2</v>
      </c>
      <c r="W400" s="8">
        <f t="shared" si="288"/>
        <v>0</v>
      </c>
      <c r="X400" s="8">
        <f t="shared" si="289"/>
        <v>-0.4</v>
      </c>
      <c r="Y400" s="8">
        <f t="shared" si="290"/>
        <v>1</v>
      </c>
      <c r="Z400" s="8">
        <f t="shared" si="291"/>
        <v>-0.25</v>
      </c>
      <c r="AA400" s="8">
        <f t="shared" si="292"/>
        <v>0.1111111111111111</v>
      </c>
      <c r="AB400" s="8">
        <f t="shared" si="293"/>
        <v>-0.1</v>
      </c>
      <c r="AC400" s="12">
        <f t="shared" si="294"/>
        <v>6.0185185185185175E-2</v>
      </c>
      <c r="AD400" s="12">
        <f t="shared" si="295"/>
        <v>-0.05</v>
      </c>
      <c r="AE400" s="1">
        <f t="shared" si="296"/>
        <v>0</v>
      </c>
      <c r="AF400" s="1">
        <f t="shared" si="297"/>
        <v>-4</v>
      </c>
      <c r="AG400" s="1">
        <f t="shared" si="298"/>
        <v>6</v>
      </c>
      <c r="AH400" s="1">
        <f t="shared" si="299"/>
        <v>-3</v>
      </c>
      <c r="AI400" s="1">
        <f t="shared" si="300"/>
        <v>1</v>
      </c>
      <c r="AJ400" s="1">
        <f t="shared" si="301"/>
        <v>-1</v>
      </c>
      <c r="AK400" s="17">
        <f t="shared" si="302"/>
        <v>-0.16666666666666666</v>
      </c>
      <c r="AL400" s="17">
        <f t="shared" si="303"/>
        <v>-0.5</v>
      </c>
      <c r="AM400" s="1">
        <f t="shared" si="304"/>
        <v>0.16666666666666666</v>
      </c>
      <c r="AN400" s="1">
        <f t="shared" si="305"/>
        <v>-0.42857142857142855</v>
      </c>
      <c r="AO400" s="1">
        <f t="shared" si="306"/>
        <v>1</v>
      </c>
      <c r="AP400" s="1">
        <f t="shared" si="307"/>
        <v>-0.125</v>
      </c>
      <c r="AQ400" s="1">
        <f t="shared" si="308"/>
        <v>0.2857142857142857</v>
      </c>
      <c r="AR400" s="1">
        <f t="shared" si="309"/>
        <v>-0.22222222222222221</v>
      </c>
      <c r="AS400" s="12">
        <f t="shared" si="310"/>
        <v>0.11276455026455028</v>
      </c>
      <c r="AT400" s="12">
        <f t="shared" si="311"/>
        <v>2.0833333333333315E-2</v>
      </c>
      <c r="AU400" s="1">
        <f t="shared" si="312"/>
        <v>1</v>
      </c>
      <c r="AV400" s="1">
        <f t="shared" si="313"/>
        <v>-3</v>
      </c>
      <c r="AW400" s="1">
        <f t="shared" si="314"/>
        <v>4</v>
      </c>
      <c r="AX400" s="1">
        <f t="shared" si="315"/>
        <v>-1</v>
      </c>
      <c r="AY400" s="1">
        <f t="shared" si="316"/>
        <v>2</v>
      </c>
      <c r="AZ400" s="1">
        <f t="shared" si="317"/>
        <v>-2</v>
      </c>
      <c r="BA400" s="19">
        <f t="shared" si="318"/>
        <v>0.16666666666666666</v>
      </c>
      <c r="BB400" s="19">
        <f t="shared" si="319"/>
        <v>0</v>
      </c>
      <c r="BC400" s="9">
        <f t="shared" si="320"/>
        <v>-0.25</v>
      </c>
      <c r="BD400" s="9">
        <f t="shared" si="321"/>
        <v>-0.33333333333333331</v>
      </c>
      <c r="BE400" s="9">
        <f t="shared" si="322"/>
        <v>1</v>
      </c>
      <c r="BF400" s="9">
        <f t="shared" si="323"/>
        <v>-0.5</v>
      </c>
      <c r="BG400" s="9">
        <f t="shared" si="324"/>
        <v>-0.5</v>
      </c>
      <c r="BH400" s="9">
        <f t="shared" si="325"/>
        <v>1</v>
      </c>
      <c r="BI400" s="12">
        <f t="shared" si="326"/>
        <v>6.9444444444444461E-2</v>
      </c>
      <c r="BJ400" s="13">
        <f t="shared" si="327"/>
        <v>-0.29166666666666663</v>
      </c>
      <c r="BK400" s="1">
        <f t="shared" si="328"/>
        <v>-1</v>
      </c>
      <c r="BL400" s="1">
        <f t="shared" si="329"/>
        <v>-1</v>
      </c>
      <c r="BM400" s="1">
        <f t="shared" si="330"/>
        <v>2</v>
      </c>
      <c r="BN400" s="1">
        <f t="shared" si="331"/>
        <v>-2</v>
      </c>
      <c r="BO400" s="1">
        <f t="shared" si="332"/>
        <v>-1</v>
      </c>
      <c r="BP400" s="1">
        <f t="shared" si="333"/>
        <v>1</v>
      </c>
      <c r="BQ400" s="19">
        <f t="shared" si="334"/>
        <v>-0.33333333333333331</v>
      </c>
      <c r="BR400" s="17">
        <f t="shared" si="335"/>
        <v>-1</v>
      </c>
    </row>
    <row r="401" spans="1:70" x14ac:dyDescent="0.25">
      <c r="A401" t="s">
        <v>313</v>
      </c>
      <c r="B401">
        <v>10</v>
      </c>
      <c r="C401">
        <v>8</v>
      </c>
      <c r="D401">
        <v>7</v>
      </c>
      <c r="E401">
        <v>13</v>
      </c>
      <c r="F401">
        <v>10</v>
      </c>
      <c r="G401">
        <v>12</v>
      </c>
      <c r="H401">
        <v>9</v>
      </c>
      <c r="I401">
        <v>5</v>
      </c>
      <c r="J401">
        <v>5</v>
      </c>
      <c r="K401">
        <v>4</v>
      </c>
      <c r="L401">
        <v>10</v>
      </c>
      <c r="M401">
        <v>7</v>
      </c>
      <c r="N401">
        <v>4</v>
      </c>
      <c r="O401">
        <v>4</v>
      </c>
      <c r="P401">
        <v>5</v>
      </c>
      <c r="Q401">
        <v>3</v>
      </c>
      <c r="R401">
        <v>3</v>
      </c>
      <c r="S401">
        <v>3</v>
      </c>
      <c r="T401">
        <v>3</v>
      </c>
      <c r="U401">
        <v>8</v>
      </c>
      <c r="V401">
        <v>5</v>
      </c>
      <c r="W401" s="8">
        <f t="shared" si="288"/>
        <v>-0.2</v>
      </c>
      <c r="X401" s="8">
        <f t="shared" si="289"/>
        <v>-0.125</v>
      </c>
      <c r="Y401" s="8">
        <f t="shared" si="290"/>
        <v>0.8571428571428571</v>
      </c>
      <c r="Z401" s="8">
        <f t="shared" si="291"/>
        <v>-0.23076923076923078</v>
      </c>
      <c r="AA401" s="8">
        <f t="shared" si="292"/>
        <v>0.2</v>
      </c>
      <c r="AB401" s="8">
        <f t="shared" si="293"/>
        <v>-0.25</v>
      </c>
      <c r="AC401" s="12">
        <f t="shared" si="294"/>
        <v>4.1895604395604379E-2</v>
      </c>
      <c r="AD401" s="12">
        <f t="shared" si="295"/>
        <v>-0.16250000000000001</v>
      </c>
      <c r="AE401" s="1">
        <f t="shared" si="296"/>
        <v>-2</v>
      </c>
      <c r="AF401" s="1">
        <f t="shared" si="297"/>
        <v>-1</v>
      </c>
      <c r="AG401" s="1">
        <f t="shared" si="298"/>
        <v>6</v>
      </c>
      <c r="AH401" s="1">
        <f t="shared" si="299"/>
        <v>-3</v>
      </c>
      <c r="AI401" s="1">
        <f t="shared" si="300"/>
        <v>2</v>
      </c>
      <c r="AJ401" s="1">
        <f t="shared" si="301"/>
        <v>-3</v>
      </c>
      <c r="AK401" s="17">
        <f t="shared" si="302"/>
        <v>-0.16666666666666666</v>
      </c>
      <c r="AL401" s="17">
        <f t="shared" si="303"/>
        <v>-1.5</v>
      </c>
      <c r="AM401" s="1">
        <f t="shared" si="304"/>
        <v>0</v>
      </c>
      <c r="AN401" s="1">
        <f t="shared" si="305"/>
        <v>-0.2</v>
      </c>
      <c r="AO401" s="1">
        <f t="shared" si="306"/>
        <v>1.5</v>
      </c>
      <c r="AP401" s="1">
        <f t="shared" si="307"/>
        <v>-0.3</v>
      </c>
      <c r="AQ401" s="1">
        <f t="shared" si="308"/>
        <v>-0.42857142857142855</v>
      </c>
      <c r="AR401" s="1">
        <f t="shared" si="309"/>
        <v>0</v>
      </c>
      <c r="AS401" s="12">
        <f t="shared" si="310"/>
        <v>9.5238095238095233E-2</v>
      </c>
      <c r="AT401" s="12">
        <f t="shared" si="311"/>
        <v>-0.1</v>
      </c>
      <c r="AU401" s="1">
        <f t="shared" si="312"/>
        <v>0</v>
      </c>
      <c r="AV401" s="1">
        <f t="shared" si="313"/>
        <v>-1</v>
      </c>
      <c r="AW401" s="1">
        <f t="shared" si="314"/>
        <v>6</v>
      </c>
      <c r="AX401" s="1">
        <f t="shared" si="315"/>
        <v>-3</v>
      </c>
      <c r="AY401" s="1">
        <f t="shared" si="316"/>
        <v>-3</v>
      </c>
      <c r="AZ401" s="1">
        <f t="shared" si="317"/>
        <v>0</v>
      </c>
      <c r="BA401" s="19">
        <f t="shared" si="318"/>
        <v>-0.16666666666666666</v>
      </c>
      <c r="BB401" s="19">
        <f t="shared" si="319"/>
        <v>-0.5</v>
      </c>
      <c r="BC401" s="9">
        <f t="shared" si="320"/>
        <v>-0.4</v>
      </c>
      <c r="BD401" s="9">
        <f t="shared" si="321"/>
        <v>0</v>
      </c>
      <c r="BE401" s="9">
        <f t="shared" si="322"/>
        <v>0</v>
      </c>
      <c r="BF401" s="9">
        <f t="shared" si="323"/>
        <v>0</v>
      </c>
      <c r="BG401" s="9">
        <f t="shared" si="324"/>
        <v>1.6666666666666667</v>
      </c>
      <c r="BH401" s="9">
        <f t="shared" si="325"/>
        <v>-0.375</v>
      </c>
      <c r="BI401" s="12">
        <f t="shared" si="326"/>
        <v>0.14861111111111111</v>
      </c>
      <c r="BJ401" s="13">
        <f t="shared" si="327"/>
        <v>0</v>
      </c>
      <c r="BK401" s="1">
        <f t="shared" si="328"/>
        <v>-2</v>
      </c>
      <c r="BL401" s="1">
        <f t="shared" si="329"/>
        <v>0</v>
      </c>
      <c r="BM401" s="1">
        <f t="shared" si="330"/>
        <v>0</v>
      </c>
      <c r="BN401" s="1">
        <f t="shared" si="331"/>
        <v>0</v>
      </c>
      <c r="BO401" s="1">
        <f t="shared" si="332"/>
        <v>5</v>
      </c>
      <c r="BP401" s="1">
        <f t="shared" si="333"/>
        <v>-3</v>
      </c>
      <c r="BQ401" s="19">
        <f t="shared" si="334"/>
        <v>0</v>
      </c>
      <c r="BR401" s="17">
        <f t="shared" si="335"/>
        <v>0</v>
      </c>
    </row>
    <row r="402" spans="1:70" x14ac:dyDescent="0.25">
      <c r="A402" t="s">
        <v>350</v>
      </c>
      <c r="B402">
        <v>7</v>
      </c>
      <c r="C402">
        <v>4</v>
      </c>
      <c r="D402">
        <v>2</v>
      </c>
      <c r="E402">
        <v>4</v>
      </c>
      <c r="F402">
        <v>2</v>
      </c>
      <c r="G402">
        <v>3</v>
      </c>
      <c r="H402">
        <v>6</v>
      </c>
      <c r="I402">
        <v>4</v>
      </c>
      <c r="J402">
        <v>3</v>
      </c>
      <c r="K402">
        <v>1</v>
      </c>
      <c r="L402">
        <v>1</v>
      </c>
      <c r="M402">
        <v>1</v>
      </c>
      <c r="N402">
        <v>1</v>
      </c>
      <c r="O402">
        <v>3</v>
      </c>
      <c r="P402">
        <v>3</v>
      </c>
      <c r="Q402">
        <v>1</v>
      </c>
      <c r="R402">
        <v>1</v>
      </c>
      <c r="S402">
        <v>3</v>
      </c>
      <c r="T402">
        <v>1</v>
      </c>
      <c r="U402">
        <v>2</v>
      </c>
      <c r="V402">
        <v>3</v>
      </c>
      <c r="W402" s="8">
        <f t="shared" si="288"/>
        <v>-0.42857142857142855</v>
      </c>
      <c r="X402" s="8">
        <f t="shared" si="289"/>
        <v>-0.5</v>
      </c>
      <c r="Y402" s="8">
        <f t="shared" si="290"/>
        <v>1</v>
      </c>
      <c r="Z402" s="8">
        <f t="shared" si="291"/>
        <v>-0.5</v>
      </c>
      <c r="AA402" s="8">
        <f t="shared" si="292"/>
        <v>0.5</v>
      </c>
      <c r="AB402" s="8">
        <f t="shared" si="293"/>
        <v>1</v>
      </c>
      <c r="AC402" s="12">
        <f t="shared" si="294"/>
        <v>0.17857142857142858</v>
      </c>
      <c r="AD402" s="12">
        <f t="shared" si="295"/>
        <v>3.5714285714285754E-2</v>
      </c>
      <c r="AE402" s="1">
        <f t="shared" si="296"/>
        <v>-3</v>
      </c>
      <c r="AF402" s="1">
        <f t="shared" si="297"/>
        <v>-2</v>
      </c>
      <c r="AG402" s="1">
        <f t="shared" si="298"/>
        <v>2</v>
      </c>
      <c r="AH402" s="1">
        <f t="shared" si="299"/>
        <v>-2</v>
      </c>
      <c r="AI402" s="1">
        <f t="shared" si="300"/>
        <v>1</v>
      </c>
      <c r="AJ402" s="1">
        <f t="shared" si="301"/>
        <v>3</v>
      </c>
      <c r="AK402" s="17">
        <f t="shared" si="302"/>
        <v>-0.16666666666666666</v>
      </c>
      <c r="AL402" s="17">
        <f t="shared" si="303"/>
        <v>-0.5</v>
      </c>
      <c r="AM402" s="1">
        <f t="shared" si="304"/>
        <v>-0.25</v>
      </c>
      <c r="AN402" s="1">
        <f t="shared" si="305"/>
        <v>-0.66666666666666663</v>
      </c>
      <c r="AO402" s="1">
        <f t="shared" si="306"/>
        <v>0</v>
      </c>
      <c r="AP402" s="1">
        <f t="shared" si="307"/>
        <v>0</v>
      </c>
      <c r="AQ402" s="1">
        <f t="shared" si="308"/>
        <v>0</v>
      </c>
      <c r="AR402" s="1">
        <f t="shared" si="309"/>
        <v>2</v>
      </c>
      <c r="AS402" s="12">
        <f t="shared" si="310"/>
        <v>0.18055555555555558</v>
      </c>
      <c r="AT402" s="12">
        <f t="shared" si="311"/>
        <v>0</v>
      </c>
      <c r="AU402" s="1">
        <f t="shared" si="312"/>
        <v>-1</v>
      </c>
      <c r="AV402" s="1">
        <f t="shared" si="313"/>
        <v>-2</v>
      </c>
      <c r="AW402" s="1">
        <f t="shared" si="314"/>
        <v>0</v>
      </c>
      <c r="AX402" s="1">
        <f t="shared" si="315"/>
        <v>0</v>
      </c>
      <c r="AY402" s="1">
        <f t="shared" si="316"/>
        <v>0</v>
      </c>
      <c r="AZ402" s="1">
        <f t="shared" si="317"/>
        <v>2</v>
      </c>
      <c r="BA402" s="19">
        <f t="shared" si="318"/>
        <v>-0.16666666666666666</v>
      </c>
      <c r="BB402" s="19">
        <f t="shared" si="319"/>
        <v>0</v>
      </c>
      <c r="BC402" s="9">
        <f t="shared" si="320"/>
        <v>-0.66666666666666663</v>
      </c>
      <c r="BD402" s="9">
        <f t="shared" si="321"/>
        <v>0</v>
      </c>
      <c r="BE402" s="9">
        <f t="shared" si="322"/>
        <v>2</v>
      </c>
      <c r="BF402" s="9">
        <f t="shared" si="323"/>
        <v>-0.66666666666666663</v>
      </c>
      <c r="BG402" s="9">
        <f t="shared" si="324"/>
        <v>1</v>
      </c>
      <c r="BH402" s="9">
        <f t="shared" si="325"/>
        <v>0.5</v>
      </c>
      <c r="BI402" s="12">
        <f t="shared" si="326"/>
        <v>0.36111111111111116</v>
      </c>
      <c r="BJ402" s="13">
        <f t="shared" si="327"/>
        <v>0.25</v>
      </c>
      <c r="BK402" s="1">
        <f t="shared" si="328"/>
        <v>-2</v>
      </c>
      <c r="BL402" s="1">
        <f t="shared" si="329"/>
        <v>0</v>
      </c>
      <c r="BM402" s="1">
        <f t="shared" si="330"/>
        <v>2</v>
      </c>
      <c r="BN402" s="1">
        <f t="shared" si="331"/>
        <v>-2</v>
      </c>
      <c r="BO402" s="1">
        <f t="shared" si="332"/>
        <v>1</v>
      </c>
      <c r="BP402" s="1">
        <f t="shared" si="333"/>
        <v>1</v>
      </c>
      <c r="BQ402" s="19">
        <f t="shared" si="334"/>
        <v>0</v>
      </c>
      <c r="BR402" s="17">
        <f t="shared" si="335"/>
        <v>0.5</v>
      </c>
    </row>
    <row r="403" spans="1:70" x14ac:dyDescent="0.25">
      <c r="A403" t="s">
        <v>359</v>
      </c>
      <c r="B403">
        <v>6</v>
      </c>
      <c r="C403">
        <v>1</v>
      </c>
      <c r="D403">
        <v>4</v>
      </c>
      <c r="E403">
        <v>6</v>
      </c>
      <c r="F403">
        <v>3</v>
      </c>
      <c r="G403">
        <v>3</v>
      </c>
      <c r="H403">
        <v>5</v>
      </c>
      <c r="I403">
        <v>6</v>
      </c>
      <c r="J403">
        <v>1</v>
      </c>
      <c r="K403">
        <v>2</v>
      </c>
      <c r="L403">
        <v>4</v>
      </c>
      <c r="M403">
        <v>3</v>
      </c>
      <c r="N403">
        <v>2</v>
      </c>
      <c r="O403">
        <v>4</v>
      </c>
      <c r="R403">
        <v>2</v>
      </c>
      <c r="S403">
        <v>2</v>
      </c>
      <c r="U403">
        <v>1</v>
      </c>
      <c r="V403">
        <v>1</v>
      </c>
      <c r="W403" s="8">
        <f t="shared" si="288"/>
        <v>-0.83333333333333337</v>
      </c>
      <c r="X403" s="8">
        <f t="shared" si="289"/>
        <v>3</v>
      </c>
      <c r="Y403" s="8">
        <f t="shared" si="290"/>
        <v>0.5</v>
      </c>
      <c r="Z403" s="8">
        <f t="shared" si="291"/>
        <v>-0.5</v>
      </c>
      <c r="AA403" s="8">
        <f t="shared" si="292"/>
        <v>0</v>
      </c>
      <c r="AB403" s="8">
        <f t="shared" si="293"/>
        <v>0.66666666666666663</v>
      </c>
      <c r="AC403" s="12">
        <f t="shared" si="294"/>
        <v>0.47222222222222215</v>
      </c>
      <c r="AD403" s="12">
        <f t="shared" si="295"/>
        <v>0.25</v>
      </c>
      <c r="AE403" s="1">
        <f t="shared" si="296"/>
        <v>-5</v>
      </c>
      <c r="AF403" s="1">
        <f t="shared" si="297"/>
        <v>3</v>
      </c>
      <c r="AG403" s="1">
        <f t="shared" si="298"/>
        <v>2</v>
      </c>
      <c r="AH403" s="1">
        <f t="shared" si="299"/>
        <v>-3</v>
      </c>
      <c r="AI403" s="1">
        <f t="shared" si="300"/>
        <v>0</v>
      </c>
      <c r="AJ403" s="1">
        <f t="shared" si="301"/>
        <v>2</v>
      </c>
      <c r="AK403" s="17">
        <f t="shared" si="302"/>
        <v>-0.16666666666666666</v>
      </c>
      <c r="AL403" s="17">
        <f t="shared" si="303"/>
        <v>1</v>
      </c>
      <c r="AM403" s="1">
        <f t="shared" si="304"/>
        <v>-0.83333333333333337</v>
      </c>
      <c r="AN403" s="1">
        <f t="shared" si="305"/>
        <v>1</v>
      </c>
      <c r="AO403" s="1">
        <f t="shared" si="306"/>
        <v>1</v>
      </c>
      <c r="AP403" s="1">
        <f t="shared" si="307"/>
        <v>-0.25</v>
      </c>
      <c r="AQ403" s="1">
        <f t="shared" si="308"/>
        <v>-0.33333333333333331</v>
      </c>
      <c r="AR403" s="1">
        <f t="shared" si="309"/>
        <v>1</v>
      </c>
      <c r="AS403" s="12">
        <f t="shared" si="310"/>
        <v>0.2638888888888889</v>
      </c>
      <c r="AT403" s="12">
        <f t="shared" si="311"/>
        <v>0.375</v>
      </c>
      <c r="AU403" s="1">
        <f t="shared" si="312"/>
        <v>-5</v>
      </c>
      <c r="AV403" s="1">
        <f t="shared" si="313"/>
        <v>1</v>
      </c>
      <c r="AW403" s="1">
        <f t="shared" si="314"/>
        <v>2</v>
      </c>
      <c r="AX403" s="1">
        <f t="shared" si="315"/>
        <v>-1</v>
      </c>
      <c r="AY403" s="1">
        <f t="shared" si="316"/>
        <v>-1</v>
      </c>
      <c r="AZ403" s="1">
        <f t="shared" si="317"/>
        <v>2</v>
      </c>
      <c r="BA403" s="19">
        <f t="shared" si="318"/>
        <v>-0.33333333333333331</v>
      </c>
      <c r="BB403" s="19">
        <f t="shared" si="319"/>
        <v>0</v>
      </c>
      <c r="BC403" s="9" t="e">
        <f t="shared" si="320"/>
        <v>#DIV/0!</v>
      </c>
      <c r="BD403" s="9" t="e">
        <f t="shared" si="321"/>
        <v>#DIV/0!</v>
      </c>
      <c r="BE403" s="9">
        <f t="shared" si="322"/>
        <v>0</v>
      </c>
      <c r="BF403" s="9">
        <f t="shared" si="323"/>
        <v>-1</v>
      </c>
      <c r="BG403" s="9" t="e">
        <f t="shared" si="324"/>
        <v>#DIV/0!</v>
      </c>
      <c r="BH403" s="9">
        <f t="shared" si="325"/>
        <v>0</v>
      </c>
      <c r="BI403" s="12" t="e">
        <f t="shared" si="326"/>
        <v>#DIV/0!</v>
      </c>
      <c r="BJ403" s="13" t="e">
        <f t="shared" si="327"/>
        <v>#DIV/0!</v>
      </c>
      <c r="BK403" s="1">
        <f t="shared" si="328"/>
        <v>0</v>
      </c>
      <c r="BL403" s="1">
        <f t="shared" si="329"/>
        <v>2</v>
      </c>
      <c r="BM403" s="1">
        <f t="shared" si="330"/>
        <v>0</v>
      </c>
      <c r="BN403" s="1">
        <f t="shared" si="331"/>
        <v>-2</v>
      </c>
      <c r="BO403" s="1">
        <f t="shared" si="332"/>
        <v>1</v>
      </c>
      <c r="BP403" s="1">
        <f t="shared" si="333"/>
        <v>0</v>
      </c>
      <c r="BQ403" s="19">
        <f t="shared" si="334"/>
        <v>0.16666666666666666</v>
      </c>
      <c r="BR403" s="17">
        <f t="shared" si="335"/>
        <v>0</v>
      </c>
    </row>
    <row r="404" spans="1:70" x14ac:dyDescent="0.25">
      <c r="A404" t="s">
        <v>364</v>
      </c>
      <c r="B404">
        <v>6</v>
      </c>
      <c r="C404">
        <v>7</v>
      </c>
      <c r="E404">
        <v>5</v>
      </c>
      <c r="F404">
        <v>3</v>
      </c>
      <c r="G404">
        <v>5</v>
      </c>
      <c r="H404">
        <v>5</v>
      </c>
      <c r="I404">
        <v>4</v>
      </c>
      <c r="J404">
        <v>3</v>
      </c>
      <c r="L404">
        <v>3</v>
      </c>
      <c r="M404">
        <v>2</v>
      </c>
      <c r="N404">
        <v>5</v>
      </c>
      <c r="O404">
        <v>2</v>
      </c>
      <c r="P404">
        <v>2</v>
      </c>
      <c r="Q404">
        <v>4</v>
      </c>
      <c r="S404">
        <v>2</v>
      </c>
      <c r="T404">
        <v>1</v>
      </c>
      <c r="V404">
        <v>3</v>
      </c>
      <c r="W404" s="8">
        <f t="shared" si="288"/>
        <v>0.16666666666666666</v>
      </c>
      <c r="X404" s="8">
        <f t="shared" si="289"/>
        <v>-1</v>
      </c>
      <c r="Y404" s="8" t="e">
        <f t="shared" si="290"/>
        <v>#DIV/0!</v>
      </c>
      <c r="Z404" s="8">
        <f t="shared" si="291"/>
        <v>-0.4</v>
      </c>
      <c r="AA404" s="8">
        <f t="shared" si="292"/>
        <v>0.66666666666666663</v>
      </c>
      <c r="AB404" s="8">
        <f t="shared" si="293"/>
        <v>0</v>
      </c>
      <c r="AC404" s="12" t="e">
        <f t="shared" si="294"/>
        <v>#DIV/0!</v>
      </c>
      <c r="AD404" s="12" t="e">
        <f t="shared" si="295"/>
        <v>#DIV/0!</v>
      </c>
      <c r="AE404" s="1">
        <f t="shared" si="296"/>
        <v>1</v>
      </c>
      <c r="AF404" s="1">
        <f t="shared" si="297"/>
        <v>-7</v>
      </c>
      <c r="AG404" s="1">
        <f t="shared" si="298"/>
        <v>5</v>
      </c>
      <c r="AH404" s="1">
        <f t="shared" si="299"/>
        <v>-2</v>
      </c>
      <c r="AI404" s="1">
        <f t="shared" si="300"/>
        <v>2</v>
      </c>
      <c r="AJ404" s="1">
        <f t="shared" si="301"/>
        <v>0</v>
      </c>
      <c r="AK404" s="17">
        <f t="shared" si="302"/>
        <v>-0.16666666666666666</v>
      </c>
      <c r="AL404" s="17">
        <f t="shared" si="303"/>
        <v>0.5</v>
      </c>
      <c r="AM404" s="1">
        <f t="shared" si="304"/>
        <v>-0.25</v>
      </c>
      <c r="AN404" s="1">
        <f t="shared" si="305"/>
        <v>-1</v>
      </c>
      <c r="AO404" s="1" t="e">
        <f t="shared" si="306"/>
        <v>#DIV/0!</v>
      </c>
      <c r="AP404" s="1">
        <f t="shared" si="307"/>
        <v>-0.33333333333333331</v>
      </c>
      <c r="AQ404" s="1">
        <f t="shared" si="308"/>
        <v>1.5</v>
      </c>
      <c r="AR404" s="1">
        <f t="shared" si="309"/>
        <v>-0.6</v>
      </c>
      <c r="AS404" s="12" t="e">
        <f t="shared" si="310"/>
        <v>#DIV/0!</v>
      </c>
      <c r="AT404" s="12" t="e">
        <f t="shared" si="311"/>
        <v>#DIV/0!</v>
      </c>
      <c r="AU404" s="1">
        <f t="shared" si="312"/>
        <v>-1</v>
      </c>
      <c r="AV404" s="1">
        <f t="shared" si="313"/>
        <v>-3</v>
      </c>
      <c r="AW404" s="1">
        <f t="shared" si="314"/>
        <v>3</v>
      </c>
      <c r="AX404" s="1">
        <f t="shared" si="315"/>
        <v>-1</v>
      </c>
      <c r="AY404" s="1">
        <f t="shared" si="316"/>
        <v>3</v>
      </c>
      <c r="AZ404" s="1">
        <f t="shared" si="317"/>
        <v>-3</v>
      </c>
      <c r="BA404" s="19">
        <f t="shared" si="318"/>
        <v>-0.33333333333333331</v>
      </c>
      <c r="BB404" s="19">
        <f t="shared" si="319"/>
        <v>-1</v>
      </c>
      <c r="BC404" s="9">
        <f t="shared" si="320"/>
        <v>1</v>
      </c>
      <c r="BD404" s="9">
        <f t="shared" si="321"/>
        <v>-1</v>
      </c>
      <c r="BE404" s="9" t="e">
        <f t="shared" si="322"/>
        <v>#DIV/0!</v>
      </c>
      <c r="BF404" s="9">
        <f t="shared" si="323"/>
        <v>-0.5</v>
      </c>
      <c r="BG404" s="9">
        <f t="shared" si="324"/>
        <v>-1</v>
      </c>
      <c r="BH404" s="9" t="e">
        <f t="shared" si="325"/>
        <v>#DIV/0!</v>
      </c>
      <c r="BI404" s="12" t="e">
        <f t="shared" si="326"/>
        <v>#DIV/0!</v>
      </c>
      <c r="BJ404" s="13" t="e">
        <f t="shared" si="327"/>
        <v>#DIV/0!</v>
      </c>
      <c r="BK404" s="1">
        <f t="shared" si="328"/>
        <v>2</v>
      </c>
      <c r="BL404" s="1">
        <f t="shared" si="329"/>
        <v>-4</v>
      </c>
      <c r="BM404" s="1">
        <f t="shared" si="330"/>
        <v>2</v>
      </c>
      <c r="BN404" s="1">
        <f t="shared" si="331"/>
        <v>-1</v>
      </c>
      <c r="BO404" s="1">
        <f t="shared" si="332"/>
        <v>-1</v>
      </c>
      <c r="BP404" s="1">
        <f t="shared" si="333"/>
        <v>3</v>
      </c>
      <c r="BQ404" s="19">
        <f t="shared" si="334"/>
        <v>0.16666666666666666</v>
      </c>
      <c r="BR404" s="17">
        <f t="shared" si="335"/>
        <v>0.5</v>
      </c>
    </row>
    <row r="405" spans="1:70" x14ac:dyDescent="0.25">
      <c r="A405" t="s">
        <v>386</v>
      </c>
      <c r="B405">
        <v>5</v>
      </c>
      <c r="C405">
        <v>9</v>
      </c>
      <c r="D405">
        <v>4</v>
      </c>
      <c r="E405">
        <v>4</v>
      </c>
      <c r="F405">
        <v>1</v>
      </c>
      <c r="G405">
        <v>5</v>
      </c>
      <c r="H405">
        <v>4</v>
      </c>
      <c r="I405">
        <v>3</v>
      </c>
      <c r="J405">
        <v>5</v>
      </c>
      <c r="L405">
        <v>1</v>
      </c>
      <c r="N405">
        <v>2</v>
      </c>
      <c r="O405">
        <v>2</v>
      </c>
      <c r="P405">
        <v>2</v>
      </c>
      <c r="Q405">
        <v>4</v>
      </c>
      <c r="R405">
        <v>4</v>
      </c>
      <c r="S405">
        <v>3</v>
      </c>
      <c r="T405">
        <v>1</v>
      </c>
      <c r="U405">
        <v>3</v>
      </c>
      <c r="V405">
        <v>2</v>
      </c>
      <c r="W405" s="8">
        <f t="shared" si="288"/>
        <v>0.8</v>
      </c>
      <c r="X405" s="8">
        <f t="shared" si="289"/>
        <v>-0.55555555555555558</v>
      </c>
      <c r="Y405" s="8">
        <f t="shared" si="290"/>
        <v>0</v>
      </c>
      <c r="Z405" s="8">
        <f t="shared" si="291"/>
        <v>-0.75</v>
      </c>
      <c r="AA405" s="8">
        <f t="shared" si="292"/>
        <v>4</v>
      </c>
      <c r="AB405" s="8">
        <f t="shared" si="293"/>
        <v>-0.2</v>
      </c>
      <c r="AC405" s="12">
        <f t="shared" si="294"/>
        <v>0.54907407407407405</v>
      </c>
      <c r="AD405" s="12">
        <f t="shared" si="295"/>
        <v>-0.1</v>
      </c>
      <c r="AE405" s="1">
        <f t="shared" si="296"/>
        <v>4</v>
      </c>
      <c r="AF405" s="1">
        <f t="shared" si="297"/>
        <v>-5</v>
      </c>
      <c r="AG405" s="1">
        <f t="shared" si="298"/>
        <v>0</v>
      </c>
      <c r="AH405" s="1">
        <f t="shared" si="299"/>
        <v>-3</v>
      </c>
      <c r="AI405" s="1">
        <f t="shared" si="300"/>
        <v>4</v>
      </c>
      <c r="AJ405" s="1">
        <f t="shared" si="301"/>
        <v>-1</v>
      </c>
      <c r="AK405" s="17">
        <f t="shared" si="302"/>
        <v>-0.16666666666666666</v>
      </c>
      <c r="AL405" s="17">
        <f t="shared" si="303"/>
        <v>-0.5</v>
      </c>
      <c r="AM405" s="1">
        <f t="shared" si="304"/>
        <v>0.66666666666666663</v>
      </c>
      <c r="AN405" s="1">
        <f t="shared" si="305"/>
        <v>-1</v>
      </c>
      <c r="AO405" s="1" t="e">
        <f t="shared" si="306"/>
        <v>#DIV/0!</v>
      </c>
      <c r="AP405" s="1">
        <f t="shared" si="307"/>
        <v>-1</v>
      </c>
      <c r="AQ405" s="1" t="e">
        <f t="shared" si="308"/>
        <v>#DIV/0!</v>
      </c>
      <c r="AR405" s="1">
        <f t="shared" si="309"/>
        <v>0</v>
      </c>
      <c r="AS405" s="12" t="e">
        <f t="shared" si="310"/>
        <v>#DIV/0!</v>
      </c>
      <c r="AT405" s="12" t="e">
        <f t="shared" si="311"/>
        <v>#DIV/0!</v>
      </c>
      <c r="AU405" s="1">
        <f t="shared" si="312"/>
        <v>2</v>
      </c>
      <c r="AV405" s="1">
        <f t="shared" si="313"/>
        <v>-5</v>
      </c>
      <c r="AW405" s="1">
        <f t="shared" si="314"/>
        <v>1</v>
      </c>
      <c r="AX405" s="1">
        <f t="shared" si="315"/>
        <v>-1</v>
      </c>
      <c r="AY405" s="1">
        <f t="shared" si="316"/>
        <v>2</v>
      </c>
      <c r="AZ405" s="1">
        <f t="shared" si="317"/>
        <v>0</v>
      </c>
      <c r="BA405" s="19">
        <f t="shared" si="318"/>
        <v>-0.16666666666666666</v>
      </c>
      <c r="BB405" s="19">
        <f t="shared" si="319"/>
        <v>0.5</v>
      </c>
      <c r="BC405" s="9">
        <f t="shared" si="320"/>
        <v>1</v>
      </c>
      <c r="BD405" s="9">
        <f t="shared" si="321"/>
        <v>0</v>
      </c>
      <c r="BE405" s="9">
        <f t="shared" si="322"/>
        <v>-0.25</v>
      </c>
      <c r="BF405" s="9">
        <f t="shared" si="323"/>
        <v>-0.66666666666666663</v>
      </c>
      <c r="BG405" s="9">
        <f t="shared" si="324"/>
        <v>2</v>
      </c>
      <c r="BH405" s="9">
        <f t="shared" si="325"/>
        <v>-0.33333333333333331</v>
      </c>
      <c r="BI405" s="12">
        <f t="shared" si="326"/>
        <v>0.29166666666666669</v>
      </c>
      <c r="BJ405" s="13">
        <f t="shared" si="327"/>
        <v>-0.125</v>
      </c>
      <c r="BK405" s="1">
        <f t="shared" si="328"/>
        <v>2</v>
      </c>
      <c r="BL405" s="1">
        <f t="shared" si="329"/>
        <v>0</v>
      </c>
      <c r="BM405" s="1">
        <f t="shared" si="330"/>
        <v>-1</v>
      </c>
      <c r="BN405" s="1">
        <f t="shared" si="331"/>
        <v>-2</v>
      </c>
      <c r="BO405" s="1">
        <f t="shared" si="332"/>
        <v>2</v>
      </c>
      <c r="BP405" s="1">
        <f t="shared" si="333"/>
        <v>-1</v>
      </c>
      <c r="BQ405" s="19">
        <f t="shared" si="334"/>
        <v>0</v>
      </c>
      <c r="BR405" s="17">
        <f t="shared" si="335"/>
        <v>-0.5</v>
      </c>
    </row>
    <row r="406" spans="1:70" x14ac:dyDescent="0.25">
      <c r="A406" t="s">
        <v>405</v>
      </c>
      <c r="B406">
        <v>4</v>
      </c>
      <c r="C406">
        <v>2</v>
      </c>
      <c r="D406">
        <v>1</v>
      </c>
      <c r="E406">
        <v>3</v>
      </c>
      <c r="F406">
        <v>4</v>
      </c>
      <c r="G406">
        <v>7</v>
      </c>
      <c r="H406">
        <v>3</v>
      </c>
      <c r="I406">
        <v>2</v>
      </c>
      <c r="J406">
        <v>2</v>
      </c>
      <c r="M406">
        <v>3</v>
      </c>
      <c r="N406">
        <v>5</v>
      </c>
      <c r="O406">
        <v>2</v>
      </c>
      <c r="P406">
        <v>2</v>
      </c>
      <c r="R406">
        <v>1</v>
      </c>
      <c r="S406">
        <v>3</v>
      </c>
      <c r="T406">
        <v>1</v>
      </c>
      <c r="U406">
        <v>2</v>
      </c>
      <c r="V406">
        <v>1</v>
      </c>
      <c r="W406" s="8">
        <f t="shared" si="288"/>
        <v>-0.5</v>
      </c>
      <c r="X406" s="8">
        <f t="shared" si="289"/>
        <v>-0.5</v>
      </c>
      <c r="Y406" s="8">
        <f t="shared" si="290"/>
        <v>2</v>
      </c>
      <c r="Z406" s="8">
        <f t="shared" si="291"/>
        <v>0.33333333333333331</v>
      </c>
      <c r="AA406" s="8">
        <f t="shared" si="292"/>
        <v>0.75</v>
      </c>
      <c r="AB406" s="8">
        <f t="shared" si="293"/>
        <v>-0.5714285714285714</v>
      </c>
      <c r="AC406" s="12">
        <f t="shared" si="294"/>
        <v>0.25198412698412692</v>
      </c>
      <c r="AD406" s="12">
        <f t="shared" si="295"/>
        <v>-8.333333333333337E-2</v>
      </c>
      <c r="AE406" s="1">
        <f t="shared" si="296"/>
        <v>-2</v>
      </c>
      <c r="AF406" s="1">
        <f t="shared" si="297"/>
        <v>-1</v>
      </c>
      <c r="AG406" s="1">
        <f t="shared" si="298"/>
        <v>2</v>
      </c>
      <c r="AH406" s="1">
        <f t="shared" si="299"/>
        <v>1</v>
      </c>
      <c r="AI406" s="1">
        <f t="shared" si="300"/>
        <v>3</v>
      </c>
      <c r="AJ406" s="1">
        <f t="shared" si="301"/>
        <v>-4</v>
      </c>
      <c r="AK406" s="17">
        <f t="shared" si="302"/>
        <v>-0.16666666666666666</v>
      </c>
      <c r="AL406" s="17">
        <f t="shared" si="303"/>
        <v>0</v>
      </c>
      <c r="AM406" s="1">
        <f t="shared" si="304"/>
        <v>0</v>
      </c>
      <c r="AN406" s="1">
        <f t="shared" si="305"/>
        <v>-1</v>
      </c>
      <c r="AO406" s="1" t="e">
        <f t="shared" si="306"/>
        <v>#DIV/0!</v>
      </c>
      <c r="AP406" s="1" t="e">
        <f t="shared" si="307"/>
        <v>#DIV/0!</v>
      </c>
      <c r="AQ406" s="1">
        <f t="shared" si="308"/>
        <v>0.66666666666666663</v>
      </c>
      <c r="AR406" s="1">
        <f t="shared" si="309"/>
        <v>-0.6</v>
      </c>
      <c r="AS406" s="12" t="e">
        <f t="shared" si="310"/>
        <v>#DIV/0!</v>
      </c>
      <c r="AT406" s="12" t="e">
        <f t="shared" si="311"/>
        <v>#DIV/0!</v>
      </c>
      <c r="AU406" s="1">
        <f t="shared" si="312"/>
        <v>0</v>
      </c>
      <c r="AV406" s="1">
        <f t="shared" si="313"/>
        <v>-2</v>
      </c>
      <c r="AW406" s="1">
        <f t="shared" si="314"/>
        <v>0</v>
      </c>
      <c r="AX406" s="1">
        <f t="shared" si="315"/>
        <v>3</v>
      </c>
      <c r="AY406" s="1">
        <f t="shared" si="316"/>
        <v>2</v>
      </c>
      <c r="AZ406" s="1">
        <f t="shared" si="317"/>
        <v>-3</v>
      </c>
      <c r="BA406" s="19">
        <f t="shared" si="318"/>
        <v>0</v>
      </c>
      <c r="BB406" s="19">
        <f t="shared" si="319"/>
        <v>0</v>
      </c>
      <c r="BC406" s="9">
        <f t="shared" si="320"/>
        <v>-1</v>
      </c>
      <c r="BD406" s="9" t="e">
        <f t="shared" si="321"/>
        <v>#DIV/0!</v>
      </c>
      <c r="BE406" s="9">
        <f t="shared" si="322"/>
        <v>2</v>
      </c>
      <c r="BF406" s="9">
        <f t="shared" si="323"/>
        <v>-0.66666666666666663</v>
      </c>
      <c r="BG406" s="9">
        <f t="shared" si="324"/>
        <v>1</v>
      </c>
      <c r="BH406" s="9">
        <f t="shared" si="325"/>
        <v>-0.5</v>
      </c>
      <c r="BI406" s="12" t="e">
        <f t="shared" si="326"/>
        <v>#DIV/0!</v>
      </c>
      <c r="BJ406" s="13" t="e">
        <f t="shared" si="327"/>
        <v>#DIV/0!</v>
      </c>
      <c r="BK406" s="1">
        <f t="shared" si="328"/>
        <v>-2</v>
      </c>
      <c r="BL406" s="1">
        <f t="shared" si="329"/>
        <v>1</v>
      </c>
      <c r="BM406" s="1">
        <f t="shared" si="330"/>
        <v>2</v>
      </c>
      <c r="BN406" s="1">
        <f t="shared" si="331"/>
        <v>-2</v>
      </c>
      <c r="BO406" s="1">
        <f t="shared" si="332"/>
        <v>1</v>
      </c>
      <c r="BP406" s="1">
        <f t="shared" si="333"/>
        <v>-1</v>
      </c>
      <c r="BQ406" s="19">
        <f t="shared" si="334"/>
        <v>-0.16666666666666666</v>
      </c>
      <c r="BR406" s="17">
        <f t="shared" si="335"/>
        <v>0</v>
      </c>
    </row>
    <row r="407" spans="1:70" x14ac:dyDescent="0.25">
      <c r="A407" t="s">
        <v>407</v>
      </c>
      <c r="B407">
        <v>4</v>
      </c>
      <c r="C407">
        <v>4</v>
      </c>
      <c r="D407">
        <v>2</v>
      </c>
      <c r="E407">
        <v>16</v>
      </c>
      <c r="F407">
        <v>8</v>
      </c>
      <c r="G407">
        <v>4</v>
      </c>
      <c r="H407">
        <v>3</v>
      </c>
      <c r="I407">
        <v>3</v>
      </c>
      <c r="J407">
        <v>2</v>
      </c>
      <c r="K407">
        <v>1</v>
      </c>
      <c r="L407">
        <v>7</v>
      </c>
      <c r="M407">
        <v>6</v>
      </c>
      <c r="O407">
        <v>1</v>
      </c>
      <c r="P407">
        <v>1</v>
      </c>
      <c r="Q407">
        <v>2</v>
      </c>
      <c r="R407">
        <v>1</v>
      </c>
      <c r="S407">
        <v>9</v>
      </c>
      <c r="T407">
        <v>2</v>
      </c>
      <c r="U407">
        <v>4</v>
      </c>
      <c r="V407">
        <v>2</v>
      </c>
      <c r="W407" s="8">
        <f t="shared" si="288"/>
        <v>0</v>
      </c>
      <c r="X407" s="8">
        <f t="shared" si="289"/>
        <v>-0.5</v>
      </c>
      <c r="Y407" s="8">
        <f t="shared" si="290"/>
        <v>7</v>
      </c>
      <c r="Z407" s="8">
        <f t="shared" si="291"/>
        <v>-0.5</v>
      </c>
      <c r="AA407" s="8">
        <f t="shared" si="292"/>
        <v>-0.5</v>
      </c>
      <c r="AB407" s="8">
        <f t="shared" si="293"/>
        <v>-0.25</v>
      </c>
      <c r="AC407" s="12">
        <f t="shared" si="294"/>
        <v>0.875</v>
      </c>
      <c r="AD407" s="12">
        <f t="shared" si="295"/>
        <v>-0.375</v>
      </c>
      <c r="AE407" s="1">
        <f t="shared" si="296"/>
        <v>0</v>
      </c>
      <c r="AF407" s="1">
        <f t="shared" si="297"/>
        <v>-2</v>
      </c>
      <c r="AG407" s="1">
        <f t="shared" si="298"/>
        <v>14</v>
      </c>
      <c r="AH407" s="1">
        <f t="shared" si="299"/>
        <v>-8</v>
      </c>
      <c r="AI407" s="1">
        <f t="shared" si="300"/>
        <v>-4</v>
      </c>
      <c r="AJ407" s="1">
        <f t="shared" si="301"/>
        <v>-1</v>
      </c>
      <c r="AK407" s="17">
        <f t="shared" si="302"/>
        <v>-0.16666666666666666</v>
      </c>
      <c r="AL407" s="17">
        <f t="shared" si="303"/>
        <v>-1.5</v>
      </c>
      <c r="AM407" s="1">
        <f t="shared" si="304"/>
        <v>-0.33333333333333331</v>
      </c>
      <c r="AN407" s="1">
        <f t="shared" si="305"/>
        <v>-0.5</v>
      </c>
      <c r="AO407" s="1">
        <f t="shared" si="306"/>
        <v>6</v>
      </c>
      <c r="AP407" s="1">
        <f t="shared" si="307"/>
        <v>-0.14285714285714285</v>
      </c>
      <c r="AQ407" s="1">
        <f t="shared" si="308"/>
        <v>-1</v>
      </c>
      <c r="AR407" s="1" t="e">
        <f t="shared" si="309"/>
        <v>#DIV/0!</v>
      </c>
      <c r="AS407" s="12" t="e">
        <f t="shared" si="310"/>
        <v>#DIV/0!</v>
      </c>
      <c r="AT407" s="12" t="e">
        <f t="shared" si="311"/>
        <v>#DIV/0!</v>
      </c>
      <c r="AU407" s="1">
        <f t="shared" si="312"/>
        <v>-1</v>
      </c>
      <c r="AV407" s="1">
        <f t="shared" si="313"/>
        <v>-1</v>
      </c>
      <c r="AW407" s="1">
        <f t="shared" si="314"/>
        <v>6</v>
      </c>
      <c r="AX407" s="1">
        <f t="shared" si="315"/>
        <v>-1</v>
      </c>
      <c r="AY407" s="1">
        <f t="shared" si="316"/>
        <v>-6</v>
      </c>
      <c r="AZ407" s="1">
        <f t="shared" si="317"/>
        <v>1</v>
      </c>
      <c r="BA407" s="19">
        <f t="shared" si="318"/>
        <v>-0.33333333333333331</v>
      </c>
      <c r="BB407" s="19">
        <f t="shared" si="319"/>
        <v>-1</v>
      </c>
      <c r="BC407" s="9">
        <f t="shared" si="320"/>
        <v>1</v>
      </c>
      <c r="BD407" s="9">
        <f t="shared" si="321"/>
        <v>-0.5</v>
      </c>
      <c r="BE407" s="9">
        <f t="shared" si="322"/>
        <v>8</v>
      </c>
      <c r="BF407" s="9">
        <f t="shared" si="323"/>
        <v>-0.77777777777777779</v>
      </c>
      <c r="BG407" s="9">
        <f t="shared" si="324"/>
        <v>1</v>
      </c>
      <c r="BH407" s="9">
        <f t="shared" si="325"/>
        <v>-0.5</v>
      </c>
      <c r="BI407" s="12">
        <f t="shared" si="326"/>
        <v>1.3703703703703702</v>
      </c>
      <c r="BJ407" s="13">
        <f t="shared" si="327"/>
        <v>0.25</v>
      </c>
      <c r="BK407" s="1">
        <f t="shared" si="328"/>
        <v>1</v>
      </c>
      <c r="BL407" s="1">
        <f t="shared" si="329"/>
        <v>-1</v>
      </c>
      <c r="BM407" s="1">
        <f t="shared" si="330"/>
        <v>8</v>
      </c>
      <c r="BN407" s="1">
        <f t="shared" si="331"/>
        <v>-7</v>
      </c>
      <c r="BO407" s="1">
        <f t="shared" si="332"/>
        <v>2</v>
      </c>
      <c r="BP407" s="1">
        <f t="shared" si="333"/>
        <v>-2</v>
      </c>
      <c r="BQ407" s="19">
        <f t="shared" si="334"/>
        <v>0.16666666666666666</v>
      </c>
      <c r="BR407" s="17">
        <f t="shared" si="335"/>
        <v>0</v>
      </c>
    </row>
    <row r="408" spans="1:70" x14ac:dyDescent="0.25">
      <c r="A408" t="s">
        <v>410</v>
      </c>
      <c r="B408">
        <v>4</v>
      </c>
      <c r="C408">
        <v>1</v>
      </c>
      <c r="E408">
        <v>2</v>
      </c>
      <c r="F408">
        <v>2</v>
      </c>
      <c r="G408">
        <v>3</v>
      </c>
      <c r="H408">
        <v>3</v>
      </c>
      <c r="I408">
        <v>4</v>
      </c>
      <c r="J408">
        <v>1</v>
      </c>
      <c r="L408">
        <v>2</v>
      </c>
      <c r="M408">
        <v>2</v>
      </c>
      <c r="N408">
        <v>3</v>
      </c>
      <c r="O408">
        <v>2</v>
      </c>
      <c r="V408">
        <v>1</v>
      </c>
      <c r="W408" s="8">
        <f t="shared" si="288"/>
        <v>-0.75</v>
      </c>
      <c r="X408" s="8">
        <f t="shared" si="289"/>
        <v>-1</v>
      </c>
      <c r="Y408" s="8" t="e">
        <f t="shared" si="290"/>
        <v>#DIV/0!</v>
      </c>
      <c r="Z408" s="8">
        <f t="shared" si="291"/>
        <v>0</v>
      </c>
      <c r="AA408" s="8">
        <f t="shared" si="292"/>
        <v>0.5</v>
      </c>
      <c r="AB408" s="8">
        <f t="shared" si="293"/>
        <v>0</v>
      </c>
      <c r="AC408" s="12" t="e">
        <f t="shared" si="294"/>
        <v>#DIV/0!</v>
      </c>
      <c r="AD408" s="12" t="e">
        <f t="shared" si="295"/>
        <v>#DIV/0!</v>
      </c>
      <c r="AE408" s="1">
        <f t="shared" si="296"/>
        <v>-3</v>
      </c>
      <c r="AF408" s="1">
        <f t="shared" si="297"/>
        <v>-1</v>
      </c>
      <c r="AG408" s="1">
        <f t="shared" si="298"/>
        <v>2</v>
      </c>
      <c r="AH408" s="1">
        <f t="shared" si="299"/>
        <v>0</v>
      </c>
      <c r="AI408" s="1">
        <f t="shared" si="300"/>
        <v>1</v>
      </c>
      <c r="AJ408" s="1">
        <f t="shared" si="301"/>
        <v>0</v>
      </c>
      <c r="AK408" s="17">
        <f t="shared" si="302"/>
        <v>-0.16666666666666666</v>
      </c>
      <c r="AL408" s="17">
        <f t="shared" si="303"/>
        <v>0</v>
      </c>
      <c r="AM408" s="1">
        <f t="shared" si="304"/>
        <v>-0.75</v>
      </c>
      <c r="AN408" s="1">
        <f t="shared" si="305"/>
        <v>-1</v>
      </c>
      <c r="AO408" s="1" t="e">
        <f t="shared" si="306"/>
        <v>#DIV/0!</v>
      </c>
      <c r="AP408" s="1">
        <f t="shared" si="307"/>
        <v>0</v>
      </c>
      <c r="AQ408" s="1">
        <f t="shared" si="308"/>
        <v>0.5</v>
      </c>
      <c r="AR408" s="1">
        <f t="shared" si="309"/>
        <v>-0.33333333333333331</v>
      </c>
      <c r="AS408" s="12" t="e">
        <f t="shared" si="310"/>
        <v>#DIV/0!</v>
      </c>
      <c r="AT408" s="12" t="e">
        <f t="shared" si="311"/>
        <v>#DIV/0!</v>
      </c>
      <c r="AU408" s="1">
        <f t="shared" si="312"/>
        <v>-3</v>
      </c>
      <c r="AV408" s="1">
        <f t="shared" si="313"/>
        <v>-1</v>
      </c>
      <c r="AW408" s="1">
        <f t="shared" si="314"/>
        <v>2</v>
      </c>
      <c r="AX408" s="1">
        <f t="shared" si="315"/>
        <v>0</v>
      </c>
      <c r="AY408" s="1">
        <f t="shared" si="316"/>
        <v>1</v>
      </c>
      <c r="AZ408" s="1">
        <f t="shared" si="317"/>
        <v>-1</v>
      </c>
      <c r="BA408" s="19">
        <f t="shared" si="318"/>
        <v>-0.33333333333333331</v>
      </c>
      <c r="BB408" s="19">
        <f t="shared" si="319"/>
        <v>-0.5</v>
      </c>
      <c r="BC408" s="9" t="e">
        <f t="shared" si="320"/>
        <v>#DIV/0!</v>
      </c>
      <c r="BD408" s="9" t="e">
        <f t="shared" si="321"/>
        <v>#DIV/0!</v>
      </c>
      <c r="BE408" s="9" t="e">
        <f t="shared" si="322"/>
        <v>#DIV/0!</v>
      </c>
      <c r="BF408" s="9" t="e">
        <f t="shared" si="323"/>
        <v>#DIV/0!</v>
      </c>
      <c r="BG408" s="9" t="e">
        <f t="shared" si="324"/>
        <v>#DIV/0!</v>
      </c>
      <c r="BH408" s="9" t="e">
        <f t="shared" si="325"/>
        <v>#DIV/0!</v>
      </c>
      <c r="BI408" s="12" t="e">
        <f t="shared" si="326"/>
        <v>#DIV/0!</v>
      </c>
      <c r="BJ408" s="13" t="e">
        <f t="shared" si="327"/>
        <v>#DIV/0!</v>
      </c>
      <c r="BK408" s="1">
        <f t="shared" si="328"/>
        <v>0</v>
      </c>
      <c r="BL408" s="1">
        <f t="shared" si="329"/>
        <v>0</v>
      </c>
      <c r="BM408" s="1">
        <f t="shared" si="330"/>
        <v>0</v>
      </c>
      <c r="BN408" s="1">
        <f t="shared" si="331"/>
        <v>0</v>
      </c>
      <c r="BO408" s="1">
        <f t="shared" si="332"/>
        <v>0</v>
      </c>
      <c r="BP408" s="1">
        <f t="shared" si="333"/>
        <v>1</v>
      </c>
      <c r="BQ408" s="19">
        <f t="shared" si="334"/>
        <v>0.16666666666666666</v>
      </c>
      <c r="BR408" s="17">
        <f t="shared" si="335"/>
        <v>0</v>
      </c>
    </row>
    <row r="409" spans="1:70" x14ac:dyDescent="0.25">
      <c r="A409" t="s">
        <v>418</v>
      </c>
      <c r="B409">
        <v>3</v>
      </c>
      <c r="C409">
        <v>1</v>
      </c>
      <c r="D409">
        <v>4</v>
      </c>
      <c r="E409">
        <v>1</v>
      </c>
      <c r="F409">
        <v>2</v>
      </c>
      <c r="G409">
        <v>1</v>
      </c>
      <c r="H409">
        <v>2</v>
      </c>
      <c r="I409">
        <v>2</v>
      </c>
      <c r="K409">
        <v>2</v>
      </c>
      <c r="M409">
        <v>1</v>
      </c>
      <c r="P409">
        <v>1</v>
      </c>
      <c r="Q409">
        <v>1</v>
      </c>
      <c r="R409">
        <v>2</v>
      </c>
      <c r="S409">
        <v>1</v>
      </c>
      <c r="T409">
        <v>1</v>
      </c>
      <c r="U409">
        <v>1</v>
      </c>
      <c r="V409">
        <v>2</v>
      </c>
      <c r="W409" s="8">
        <f t="shared" si="288"/>
        <v>-0.66666666666666663</v>
      </c>
      <c r="X409" s="8">
        <f t="shared" si="289"/>
        <v>3</v>
      </c>
      <c r="Y409" s="8">
        <f t="shared" si="290"/>
        <v>-0.75</v>
      </c>
      <c r="Z409" s="8">
        <f t="shared" si="291"/>
        <v>1</v>
      </c>
      <c r="AA409" s="8">
        <f t="shared" si="292"/>
        <v>-0.5</v>
      </c>
      <c r="AB409" s="8">
        <f t="shared" si="293"/>
        <v>1</v>
      </c>
      <c r="AC409" s="12">
        <f t="shared" si="294"/>
        <v>0.51388888888888895</v>
      </c>
      <c r="AD409" s="12">
        <f t="shared" si="295"/>
        <v>0.25</v>
      </c>
      <c r="AE409" s="1">
        <f t="shared" si="296"/>
        <v>-2</v>
      </c>
      <c r="AF409" s="1">
        <f t="shared" si="297"/>
        <v>3</v>
      </c>
      <c r="AG409" s="1">
        <f t="shared" si="298"/>
        <v>-3</v>
      </c>
      <c r="AH409" s="1">
        <f t="shared" si="299"/>
        <v>1</v>
      </c>
      <c r="AI409" s="1">
        <f t="shared" si="300"/>
        <v>-1</v>
      </c>
      <c r="AJ409" s="1">
        <f t="shared" si="301"/>
        <v>1</v>
      </c>
      <c r="AK409" s="17">
        <f t="shared" si="302"/>
        <v>-0.16666666666666666</v>
      </c>
      <c r="AL409" s="17">
        <f t="shared" si="303"/>
        <v>0</v>
      </c>
      <c r="AM409" s="1">
        <f t="shared" si="304"/>
        <v>-1</v>
      </c>
      <c r="AN409" s="1" t="e">
        <f t="shared" si="305"/>
        <v>#DIV/0!</v>
      </c>
      <c r="AO409" s="1">
        <f t="shared" si="306"/>
        <v>-1</v>
      </c>
      <c r="AP409" s="1" t="e">
        <f t="shared" si="307"/>
        <v>#DIV/0!</v>
      </c>
      <c r="AQ409" s="1">
        <f t="shared" si="308"/>
        <v>-1</v>
      </c>
      <c r="AR409" s="1" t="e">
        <f t="shared" si="309"/>
        <v>#DIV/0!</v>
      </c>
      <c r="AS409" s="12" t="e">
        <f t="shared" si="310"/>
        <v>#DIV/0!</v>
      </c>
      <c r="AT409" s="12" t="e">
        <f t="shared" si="311"/>
        <v>#DIV/0!</v>
      </c>
      <c r="AU409" s="1">
        <f t="shared" si="312"/>
        <v>-2</v>
      </c>
      <c r="AV409" s="1">
        <f t="shared" si="313"/>
        <v>2</v>
      </c>
      <c r="AW409" s="1">
        <f t="shared" si="314"/>
        <v>-2</v>
      </c>
      <c r="AX409" s="1">
        <f t="shared" si="315"/>
        <v>1</v>
      </c>
      <c r="AY409" s="1">
        <f t="shared" si="316"/>
        <v>-1</v>
      </c>
      <c r="AZ409" s="1">
        <f t="shared" si="317"/>
        <v>0</v>
      </c>
      <c r="BA409" s="19">
        <f t="shared" si="318"/>
        <v>-0.33333333333333331</v>
      </c>
      <c r="BB409" s="19">
        <f t="shared" si="319"/>
        <v>-0.5</v>
      </c>
      <c r="BC409" s="9">
        <f t="shared" si="320"/>
        <v>0</v>
      </c>
      <c r="BD409" s="9">
        <f t="shared" si="321"/>
        <v>1</v>
      </c>
      <c r="BE409" s="9">
        <f t="shared" si="322"/>
        <v>-0.5</v>
      </c>
      <c r="BF409" s="9">
        <f t="shared" si="323"/>
        <v>0</v>
      </c>
      <c r="BG409" s="9">
        <f t="shared" si="324"/>
        <v>0</v>
      </c>
      <c r="BH409" s="9">
        <f t="shared" si="325"/>
        <v>1</v>
      </c>
      <c r="BI409" s="12">
        <f t="shared" si="326"/>
        <v>0.25</v>
      </c>
      <c r="BJ409" s="13">
        <f t="shared" si="327"/>
        <v>0</v>
      </c>
      <c r="BK409" s="1">
        <f t="shared" si="328"/>
        <v>0</v>
      </c>
      <c r="BL409" s="1">
        <f t="shared" si="329"/>
        <v>1</v>
      </c>
      <c r="BM409" s="1">
        <f t="shared" si="330"/>
        <v>-1</v>
      </c>
      <c r="BN409" s="1">
        <f t="shared" si="331"/>
        <v>0</v>
      </c>
      <c r="BO409" s="1">
        <f t="shared" si="332"/>
        <v>0</v>
      </c>
      <c r="BP409" s="1">
        <f t="shared" si="333"/>
        <v>1</v>
      </c>
      <c r="BQ409" s="19">
        <f t="shared" si="334"/>
        <v>0.16666666666666666</v>
      </c>
      <c r="BR409" s="17">
        <f t="shared" si="335"/>
        <v>0</v>
      </c>
    </row>
    <row r="410" spans="1:70" x14ac:dyDescent="0.25">
      <c r="A410" t="s">
        <v>420</v>
      </c>
      <c r="B410">
        <v>3</v>
      </c>
      <c r="C410">
        <v>4</v>
      </c>
      <c r="D410">
        <v>5</v>
      </c>
      <c r="E410">
        <v>7</v>
      </c>
      <c r="F410">
        <v>6</v>
      </c>
      <c r="G410">
        <v>5</v>
      </c>
      <c r="H410">
        <v>2</v>
      </c>
      <c r="P410">
        <v>3</v>
      </c>
      <c r="Q410">
        <v>4</v>
      </c>
      <c r="R410">
        <v>5</v>
      </c>
      <c r="S410">
        <v>7</v>
      </c>
      <c r="T410">
        <v>6</v>
      </c>
      <c r="U410">
        <v>5</v>
      </c>
      <c r="V410">
        <v>2</v>
      </c>
      <c r="W410" s="8">
        <f t="shared" si="288"/>
        <v>0.33333333333333331</v>
      </c>
      <c r="X410" s="8">
        <f t="shared" si="289"/>
        <v>0.25</v>
      </c>
      <c r="Y410" s="8">
        <f t="shared" si="290"/>
        <v>0.4</v>
      </c>
      <c r="Z410" s="8">
        <f t="shared" si="291"/>
        <v>-0.14285714285714285</v>
      </c>
      <c r="AA410" s="8">
        <f t="shared" si="292"/>
        <v>-0.16666666666666666</v>
      </c>
      <c r="AB410" s="8">
        <f t="shared" si="293"/>
        <v>-0.6</v>
      </c>
      <c r="AC410" s="12">
        <f t="shared" si="294"/>
        <v>1.2301587301587294E-2</v>
      </c>
      <c r="AD410" s="12">
        <f t="shared" si="295"/>
        <v>5.3571428571428575E-2</v>
      </c>
      <c r="AE410" s="1">
        <f t="shared" si="296"/>
        <v>1</v>
      </c>
      <c r="AF410" s="1">
        <f t="shared" si="297"/>
        <v>1</v>
      </c>
      <c r="AG410" s="1">
        <f t="shared" si="298"/>
        <v>2</v>
      </c>
      <c r="AH410" s="1">
        <f t="shared" si="299"/>
        <v>-1</v>
      </c>
      <c r="AI410" s="1">
        <f t="shared" si="300"/>
        <v>-1</v>
      </c>
      <c r="AJ410" s="1">
        <f t="shared" si="301"/>
        <v>-3</v>
      </c>
      <c r="AK410" s="17">
        <f t="shared" si="302"/>
        <v>-0.16666666666666666</v>
      </c>
      <c r="AL410" s="17">
        <f t="shared" si="303"/>
        <v>0</v>
      </c>
      <c r="AM410" s="1" t="e">
        <f t="shared" si="304"/>
        <v>#DIV/0!</v>
      </c>
      <c r="AN410" s="1" t="e">
        <f t="shared" si="305"/>
        <v>#DIV/0!</v>
      </c>
      <c r="AO410" s="1" t="e">
        <f t="shared" si="306"/>
        <v>#DIV/0!</v>
      </c>
      <c r="AP410" s="1" t="e">
        <f t="shared" si="307"/>
        <v>#DIV/0!</v>
      </c>
      <c r="AQ410" s="1" t="e">
        <f t="shared" si="308"/>
        <v>#DIV/0!</v>
      </c>
      <c r="AR410" s="1" t="e">
        <f t="shared" si="309"/>
        <v>#DIV/0!</v>
      </c>
      <c r="AS410" s="12" t="e">
        <f t="shared" si="310"/>
        <v>#DIV/0!</v>
      </c>
      <c r="AT410" s="12" t="e">
        <f t="shared" si="311"/>
        <v>#DIV/0!</v>
      </c>
      <c r="AU410" s="1">
        <f t="shared" si="312"/>
        <v>0</v>
      </c>
      <c r="AV410" s="1">
        <f t="shared" si="313"/>
        <v>0</v>
      </c>
      <c r="AW410" s="1">
        <f t="shared" si="314"/>
        <v>0</v>
      </c>
      <c r="AX410" s="1">
        <f t="shared" si="315"/>
        <v>0</v>
      </c>
      <c r="AY410" s="1">
        <f t="shared" si="316"/>
        <v>0</v>
      </c>
      <c r="AZ410" s="1">
        <f t="shared" si="317"/>
        <v>0</v>
      </c>
      <c r="BA410" s="19">
        <f t="shared" si="318"/>
        <v>0</v>
      </c>
      <c r="BB410" s="19">
        <f t="shared" si="319"/>
        <v>0</v>
      </c>
      <c r="BC410" s="9">
        <f t="shared" si="320"/>
        <v>0.33333333333333331</v>
      </c>
      <c r="BD410" s="9">
        <f t="shared" si="321"/>
        <v>0.25</v>
      </c>
      <c r="BE410" s="9">
        <f t="shared" si="322"/>
        <v>0.4</v>
      </c>
      <c r="BF410" s="9">
        <f t="shared" si="323"/>
        <v>-0.14285714285714285</v>
      </c>
      <c r="BG410" s="9">
        <f t="shared" si="324"/>
        <v>-0.16666666666666666</v>
      </c>
      <c r="BH410" s="9">
        <f t="shared" si="325"/>
        <v>-0.6</v>
      </c>
      <c r="BI410" s="12">
        <f t="shared" si="326"/>
        <v>1.2301587301587294E-2</v>
      </c>
      <c r="BJ410" s="13">
        <f t="shared" si="327"/>
        <v>5.3571428571428575E-2</v>
      </c>
      <c r="BK410" s="1">
        <f t="shared" si="328"/>
        <v>1</v>
      </c>
      <c r="BL410" s="1">
        <f t="shared" si="329"/>
        <v>1</v>
      </c>
      <c r="BM410" s="1">
        <f t="shared" si="330"/>
        <v>2</v>
      </c>
      <c r="BN410" s="1">
        <f t="shared" si="331"/>
        <v>-1</v>
      </c>
      <c r="BO410" s="1">
        <f t="shared" si="332"/>
        <v>-1</v>
      </c>
      <c r="BP410" s="1">
        <f t="shared" si="333"/>
        <v>-3</v>
      </c>
      <c r="BQ410" s="19">
        <f t="shared" si="334"/>
        <v>-0.16666666666666666</v>
      </c>
      <c r="BR410" s="17">
        <f t="shared" si="335"/>
        <v>0</v>
      </c>
    </row>
    <row r="411" spans="1:70" x14ac:dyDescent="0.25">
      <c r="A411" t="s">
        <v>426</v>
      </c>
      <c r="B411">
        <v>3</v>
      </c>
      <c r="C411">
        <v>1</v>
      </c>
      <c r="D411">
        <v>4</v>
      </c>
      <c r="E411">
        <v>2</v>
      </c>
      <c r="F411">
        <v>5</v>
      </c>
      <c r="G411">
        <v>4</v>
      </c>
      <c r="H411">
        <v>2</v>
      </c>
      <c r="I411">
        <v>1</v>
      </c>
      <c r="K411">
        <v>1</v>
      </c>
      <c r="L411">
        <v>1</v>
      </c>
      <c r="M411">
        <v>3</v>
      </c>
      <c r="N411">
        <v>2</v>
      </c>
      <c r="O411">
        <v>1</v>
      </c>
      <c r="P411">
        <v>2</v>
      </c>
      <c r="Q411">
        <v>1</v>
      </c>
      <c r="R411">
        <v>3</v>
      </c>
      <c r="S411">
        <v>1</v>
      </c>
      <c r="T411">
        <v>2</v>
      </c>
      <c r="U411">
        <v>2</v>
      </c>
      <c r="V411">
        <v>1</v>
      </c>
      <c r="W411" s="8">
        <f t="shared" si="288"/>
        <v>-0.66666666666666663</v>
      </c>
      <c r="X411" s="8">
        <f t="shared" si="289"/>
        <v>3</v>
      </c>
      <c r="Y411" s="8">
        <f t="shared" si="290"/>
        <v>-0.5</v>
      </c>
      <c r="Z411" s="8">
        <f t="shared" si="291"/>
        <v>1.5</v>
      </c>
      <c r="AA411" s="8">
        <f t="shared" si="292"/>
        <v>-0.2</v>
      </c>
      <c r="AB411" s="8">
        <f t="shared" si="293"/>
        <v>-0.5</v>
      </c>
      <c r="AC411" s="12">
        <f t="shared" si="294"/>
        <v>0.43888888888888888</v>
      </c>
      <c r="AD411" s="12">
        <f t="shared" si="295"/>
        <v>-0.35</v>
      </c>
      <c r="AE411" s="1">
        <f t="shared" si="296"/>
        <v>-2</v>
      </c>
      <c r="AF411" s="1">
        <f t="shared" si="297"/>
        <v>3</v>
      </c>
      <c r="AG411" s="1">
        <f t="shared" si="298"/>
        <v>-2</v>
      </c>
      <c r="AH411" s="1">
        <f t="shared" si="299"/>
        <v>3</v>
      </c>
      <c r="AI411" s="1">
        <f t="shared" si="300"/>
        <v>-1</v>
      </c>
      <c r="AJ411" s="1">
        <f t="shared" si="301"/>
        <v>-2</v>
      </c>
      <c r="AK411" s="17">
        <f t="shared" si="302"/>
        <v>-0.16666666666666666</v>
      </c>
      <c r="AL411" s="17">
        <f t="shared" si="303"/>
        <v>-1.5</v>
      </c>
      <c r="AM411" s="1">
        <f t="shared" si="304"/>
        <v>-1</v>
      </c>
      <c r="AN411" s="1" t="e">
        <f t="shared" si="305"/>
        <v>#DIV/0!</v>
      </c>
      <c r="AO411" s="1">
        <f t="shared" si="306"/>
        <v>0</v>
      </c>
      <c r="AP411" s="1">
        <f t="shared" si="307"/>
        <v>2</v>
      </c>
      <c r="AQ411" s="1">
        <f t="shared" si="308"/>
        <v>-0.33333333333333331</v>
      </c>
      <c r="AR411" s="1">
        <f t="shared" si="309"/>
        <v>-0.5</v>
      </c>
      <c r="AS411" s="12" t="e">
        <f t="shared" si="310"/>
        <v>#DIV/0!</v>
      </c>
      <c r="AT411" s="12" t="e">
        <f t="shared" si="311"/>
        <v>#DIV/0!</v>
      </c>
      <c r="AU411" s="1">
        <f t="shared" si="312"/>
        <v>-1</v>
      </c>
      <c r="AV411" s="1">
        <f t="shared" si="313"/>
        <v>1</v>
      </c>
      <c r="AW411" s="1">
        <f t="shared" si="314"/>
        <v>0</v>
      </c>
      <c r="AX411" s="1">
        <f t="shared" si="315"/>
        <v>2</v>
      </c>
      <c r="AY411" s="1">
        <f t="shared" si="316"/>
        <v>-1</v>
      </c>
      <c r="AZ411" s="1">
        <f t="shared" si="317"/>
        <v>-1</v>
      </c>
      <c r="BA411" s="19">
        <f t="shared" si="318"/>
        <v>0</v>
      </c>
      <c r="BB411" s="19">
        <f t="shared" si="319"/>
        <v>-0.5</v>
      </c>
      <c r="BC411" s="9">
        <f t="shared" si="320"/>
        <v>-0.5</v>
      </c>
      <c r="BD411" s="9">
        <f t="shared" si="321"/>
        <v>2</v>
      </c>
      <c r="BE411" s="9">
        <f t="shared" si="322"/>
        <v>-0.66666666666666663</v>
      </c>
      <c r="BF411" s="9">
        <f t="shared" si="323"/>
        <v>1</v>
      </c>
      <c r="BG411" s="9">
        <f t="shared" si="324"/>
        <v>0</v>
      </c>
      <c r="BH411" s="9">
        <f t="shared" si="325"/>
        <v>-0.5</v>
      </c>
      <c r="BI411" s="12">
        <f t="shared" si="326"/>
        <v>0.22222222222222224</v>
      </c>
      <c r="BJ411" s="13">
        <f t="shared" si="327"/>
        <v>-0.25</v>
      </c>
      <c r="BK411" s="1">
        <f t="shared" si="328"/>
        <v>-1</v>
      </c>
      <c r="BL411" s="1">
        <f t="shared" si="329"/>
        <v>2</v>
      </c>
      <c r="BM411" s="1">
        <f t="shared" si="330"/>
        <v>-2</v>
      </c>
      <c r="BN411" s="1">
        <f t="shared" si="331"/>
        <v>1</v>
      </c>
      <c r="BO411" s="1">
        <f t="shared" si="332"/>
        <v>0</v>
      </c>
      <c r="BP411" s="1">
        <f t="shared" si="333"/>
        <v>-1</v>
      </c>
      <c r="BQ411" s="19">
        <f t="shared" si="334"/>
        <v>-0.16666666666666666</v>
      </c>
      <c r="BR411" s="17">
        <f t="shared" si="335"/>
        <v>-0.5</v>
      </c>
    </row>
    <row r="412" spans="1:70" x14ac:dyDescent="0.25">
      <c r="A412" t="s">
        <v>427</v>
      </c>
      <c r="B412">
        <v>3</v>
      </c>
      <c r="C412">
        <v>1</v>
      </c>
      <c r="D412">
        <v>4</v>
      </c>
      <c r="E412">
        <v>3</v>
      </c>
      <c r="F412">
        <v>4</v>
      </c>
      <c r="G412">
        <v>5</v>
      </c>
      <c r="H412">
        <v>2</v>
      </c>
      <c r="I412">
        <v>2</v>
      </c>
      <c r="J412">
        <v>1</v>
      </c>
      <c r="K412">
        <v>3</v>
      </c>
      <c r="L412">
        <v>2</v>
      </c>
      <c r="M412">
        <v>4</v>
      </c>
      <c r="N412">
        <v>3</v>
      </c>
      <c r="O412">
        <v>1</v>
      </c>
      <c r="P412">
        <v>1</v>
      </c>
      <c r="R412">
        <v>1</v>
      </c>
      <c r="S412">
        <v>1</v>
      </c>
      <c r="U412">
        <v>2</v>
      </c>
      <c r="V412">
        <v>1</v>
      </c>
      <c r="W412" s="8">
        <f t="shared" si="288"/>
        <v>-0.66666666666666663</v>
      </c>
      <c r="X412" s="8">
        <f t="shared" si="289"/>
        <v>3</v>
      </c>
      <c r="Y412" s="8">
        <f t="shared" si="290"/>
        <v>-0.25</v>
      </c>
      <c r="Z412" s="8">
        <f t="shared" si="291"/>
        <v>0.33333333333333331</v>
      </c>
      <c r="AA412" s="8">
        <f t="shared" si="292"/>
        <v>0.25</v>
      </c>
      <c r="AB412" s="8">
        <f t="shared" si="293"/>
        <v>-0.6</v>
      </c>
      <c r="AC412" s="12">
        <f t="shared" si="294"/>
        <v>0.3444444444444445</v>
      </c>
      <c r="AD412" s="12">
        <f t="shared" si="295"/>
        <v>0</v>
      </c>
      <c r="AE412" s="1">
        <f t="shared" si="296"/>
        <v>-2</v>
      </c>
      <c r="AF412" s="1">
        <f t="shared" si="297"/>
        <v>3</v>
      </c>
      <c r="AG412" s="1">
        <f t="shared" si="298"/>
        <v>-1</v>
      </c>
      <c r="AH412" s="1">
        <f t="shared" si="299"/>
        <v>1</v>
      </c>
      <c r="AI412" s="1">
        <f t="shared" si="300"/>
        <v>1</v>
      </c>
      <c r="AJ412" s="1">
        <f t="shared" si="301"/>
        <v>-3</v>
      </c>
      <c r="AK412" s="17">
        <f t="shared" si="302"/>
        <v>-0.16666666666666666</v>
      </c>
      <c r="AL412" s="17">
        <f t="shared" si="303"/>
        <v>0</v>
      </c>
      <c r="AM412" s="1">
        <f t="shared" si="304"/>
        <v>-0.5</v>
      </c>
      <c r="AN412" s="1">
        <f t="shared" si="305"/>
        <v>2</v>
      </c>
      <c r="AO412" s="1">
        <f t="shared" si="306"/>
        <v>-0.33333333333333331</v>
      </c>
      <c r="AP412" s="1">
        <f t="shared" si="307"/>
        <v>1</v>
      </c>
      <c r="AQ412" s="1">
        <f t="shared" si="308"/>
        <v>-0.25</v>
      </c>
      <c r="AR412" s="1">
        <f t="shared" si="309"/>
        <v>-0.66666666666666663</v>
      </c>
      <c r="AS412" s="12">
        <f t="shared" si="310"/>
        <v>0.2083333333333334</v>
      </c>
      <c r="AT412" s="12">
        <f t="shared" si="311"/>
        <v>-0.29166666666666663</v>
      </c>
      <c r="AU412" s="1">
        <f t="shared" si="312"/>
        <v>-1</v>
      </c>
      <c r="AV412" s="1">
        <f t="shared" si="313"/>
        <v>2</v>
      </c>
      <c r="AW412" s="1">
        <f t="shared" si="314"/>
        <v>-1</v>
      </c>
      <c r="AX412" s="1">
        <f t="shared" si="315"/>
        <v>2</v>
      </c>
      <c r="AY412" s="1">
        <f t="shared" si="316"/>
        <v>-1</v>
      </c>
      <c r="AZ412" s="1">
        <f t="shared" si="317"/>
        <v>-2</v>
      </c>
      <c r="BA412" s="19">
        <f t="shared" si="318"/>
        <v>-0.16666666666666666</v>
      </c>
      <c r="BB412" s="19">
        <f t="shared" si="319"/>
        <v>-1</v>
      </c>
      <c r="BC412" s="9">
        <f t="shared" si="320"/>
        <v>-1</v>
      </c>
      <c r="BD412" s="9" t="e">
        <f t="shared" si="321"/>
        <v>#DIV/0!</v>
      </c>
      <c r="BE412" s="9">
        <f t="shared" si="322"/>
        <v>0</v>
      </c>
      <c r="BF412" s="9">
        <f t="shared" si="323"/>
        <v>-1</v>
      </c>
      <c r="BG412" s="9" t="e">
        <f t="shared" si="324"/>
        <v>#DIV/0!</v>
      </c>
      <c r="BH412" s="9">
        <f t="shared" si="325"/>
        <v>-0.5</v>
      </c>
      <c r="BI412" s="12" t="e">
        <f t="shared" si="326"/>
        <v>#DIV/0!</v>
      </c>
      <c r="BJ412" s="13" t="e">
        <f t="shared" si="327"/>
        <v>#DIV/0!</v>
      </c>
      <c r="BK412" s="1">
        <f t="shared" si="328"/>
        <v>-1</v>
      </c>
      <c r="BL412" s="1">
        <f t="shared" si="329"/>
        <v>1</v>
      </c>
      <c r="BM412" s="1">
        <f t="shared" si="330"/>
        <v>0</v>
      </c>
      <c r="BN412" s="1">
        <f t="shared" si="331"/>
        <v>-1</v>
      </c>
      <c r="BO412" s="1">
        <f t="shared" si="332"/>
        <v>2</v>
      </c>
      <c r="BP412" s="1">
        <f t="shared" si="333"/>
        <v>-1</v>
      </c>
      <c r="BQ412" s="19">
        <f t="shared" si="334"/>
        <v>0</v>
      </c>
      <c r="BR412" s="17">
        <f t="shared" si="335"/>
        <v>-0.5</v>
      </c>
    </row>
    <row r="413" spans="1:70" x14ac:dyDescent="0.25">
      <c r="A413" t="s">
        <v>432</v>
      </c>
      <c r="B413">
        <v>3</v>
      </c>
      <c r="C413">
        <v>2</v>
      </c>
      <c r="D413">
        <v>7</v>
      </c>
      <c r="E413">
        <v>4</v>
      </c>
      <c r="F413">
        <v>2</v>
      </c>
      <c r="G413">
        <v>1</v>
      </c>
      <c r="H413">
        <v>2</v>
      </c>
      <c r="I413">
        <v>2</v>
      </c>
      <c r="J413">
        <v>2</v>
      </c>
      <c r="K413">
        <v>6</v>
      </c>
      <c r="L413">
        <v>4</v>
      </c>
      <c r="M413">
        <v>2</v>
      </c>
      <c r="P413">
        <v>1</v>
      </c>
      <c r="R413">
        <v>1</v>
      </c>
      <c r="U413">
        <v>1</v>
      </c>
      <c r="V413">
        <v>2</v>
      </c>
      <c r="W413" s="8">
        <f t="shared" si="288"/>
        <v>-0.33333333333333331</v>
      </c>
      <c r="X413" s="8">
        <f t="shared" si="289"/>
        <v>2.5</v>
      </c>
      <c r="Y413" s="8">
        <f t="shared" si="290"/>
        <v>-0.42857142857142855</v>
      </c>
      <c r="Z413" s="8">
        <f t="shared" si="291"/>
        <v>-0.5</v>
      </c>
      <c r="AA413" s="8">
        <f t="shared" si="292"/>
        <v>-0.5</v>
      </c>
      <c r="AB413" s="8">
        <f t="shared" si="293"/>
        <v>1</v>
      </c>
      <c r="AC413" s="12">
        <f t="shared" si="294"/>
        <v>0.28968253968253965</v>
      </c>
      <c r="AD413" s="12">
        <f t="shared" si="295"/>
        <v>-0.38095238095238093</v>
      </c>
      <c r="AE413" s="1">
        <f t="shared" si="296"/>
        <v>-1</v>
      </c>
      <c r="AF413" s="1">
        <f t="shared" si="297"/>
        <v>5</v>
      </c>
      <c r="AG413" s="1">
        <f t="shared" si="298"/>
        <v>-3</v>
      </c>
      <c r="AH413" s="1">
        <f t="shared" si="299"/>
        <v>-2</v>
      </c>
      <c r="AI413" s="1">
        <f t="shared" si="300"/>
        <v>-1</v>
      </c>
      <c r="AJ413" s="1">
        <f t="shared" si="301"/>
        <v>1</v>
      </c>
      <c r="AK413" s="17">
        <f t="shared" si="302"/>
        <v>-0.16666666666666666</v>
      </c>
      <c r="AL413" s="17">
        <f t="shared" si="303"/>
        <v>-1</v>
      </c>
      <c r="AM413" s="1">
        <f t="shared" si="304"/>
        <v>0</v>
      </c>
      <c r="AN413" s="1">
        <f t="shared" si="305"/>
        <v>2</v>
      </c>
      <c r="AO413" s="1">
        <f t="shared" si="306"/>
        <v>-0.33333333333333331</v>
      </c>
      <c r="AP413" s="1">
        <f t="shared" si="307"/>
        <v>-0.5</v>
      </c>
      <c r="AQ413" s="1">
        <f t="shared" si="308"/>
        <v>-1</v>
      </c>
      <c r="AR413" s="1" t="e">
        <f t="shared" si="309"/>
        <v>#DIV/0!</v>
      </c>
      <c r="AS413" s="12" t="e">
        <f t="shared" si="310"/>
        <v>#DIV/0!</v>
      </c>
      <c r="AT413" s="12" t="e">
        <f t="shared" si="311"/>
        <v>#DIV/0!</v>
      </c>
      <c r="AU413" s="1">
        <f t="shared" si="312"/>
        <v>0</v>
      </c>
      <c r="AV413" s="1">
        <f t="shared" si="313"/>
        <v>4</v>
      </c>
      <c r="AW413" s="1">
        <f t="shared" si="314"/>
        <v>-2</v>
      </c>
      <c r="AX413" s="1">
        <f t="shared" si="315"/>
        <v>-2</v>
      </c>
      <c r="AY413" s="1">
        <f t="shared" si="316"/>
        <v>-2</v>
      </c>
      <c r="AZ413" s="1">
        <f t="shared" si="317"/>
        <v>0</v>
      </c>
      <c r="BA413" s="19">
        <f t="shared" si="318"/>
        <v>-0.33333333333333331</v>
      </c>
      <c r="BB413" s="19">
        <f t="shared" si="319"/>
        <v>-1</v>
      </c>
      <c r="BC413" s="9">
        <f t="shared" si="320"/>
        <v>-1</v>
      </c>
      <c r="BD413" s="9" t="e">
        <f t="shared" si="321"/>
        <v>#DIV/0!</v>
      </c>
      <c r="BE413" s="9">
        <f t="shared" si="322"/>
        <v>-1</v>
      </c>
      <c r="BF413" s="9" t="e">
        <f t="shared" si="323"/>
        <v>#DIV/0!</v>
      </c>
      <c r="BG413" s="9" t="e">
        <f t="shared" si="324"/>
        <v>#DIV/0!</v>
      </c>
      <c r="BH413" s="9">
        <f t="shared" si="325"/>
        <v>1</v>
      </c>
      <c r="BI413" s="12" t="e">
        <f t="shared" si="326"/>
        <v>#DIV/0!</v>
      </c>
      <c r="BJ413" s="13" t="e">
        <f t="shared" si="327"/>
        <v>#DIV/0!</v>
      </c>
      <c r="BK413" s="1">
        <f t="shared" si="328"/>
        <v>-1</v>
      </c>
      <c r="BL413" s="1">
        <f t="shared" si="329"/>
        <v>1</v>
      </c>
      <c r="BM413" s="1">
        <f t="shared" si="330"/>
        <v>-1</v>
      </c>
      <c r="BN413" s="1">
        <f t="shared" si="331"/>
        <v>0</v>
      </c>
      <c r="BO413" s="1">
        <f t="shared" si="332"/>
        <v>1</v>
      </c>
      <c r="BP413" s="1">
        <f t="shared" si="333"/>
        <v>1</v>
      </c>
      <c r="BQ413" s="19">
        <f t="shared" si="334"/>
        <v>0.16666666666666666</v>
      </c>
      <c r="BR413" s="17">
        <f t="shared" si="335"/>
        <v>0.5</v>
      </c>
    </row>
    <row r="414" spans="1:70" x14ac:dyDescent="0.25">
      <c r="A414" t="s">
        <v>442</v>
      </c>
      <c r="B414">
        <v>3</v>
      </c>
      <c r="C414">
        <v>1</v>
      </c>
      <c r="D414">
        <v>1</v>
      </c>
      <c r="E414">
        <v>1</v>
      </c>
      <c r="F414">
        <v>2</v>
      </c>
      <c r="H414">
        <v>2</v>
      </c>
      <c r="J414">
        <v>1</v>
      </c>
      <c r="K414">
        <v>1</v>
      </c>
      <c r="M414">
        <v>2</v>
      </c>
      <c r="P414">
        <v>3</v>
      </c>
      <c r="S414">
        <v>1</v>
      </c>
      <c r="V414">
        <v>2</v>
      </c>
      <c r="W414" s="8">
        <f t="shared" si="288"/>
        <v>-0.66666666666666663</v>
      </c>
      <c r="X414" s="8">
        <f t="shared" si="289"/>
        <v>0</v>
      </c>
      <c r="Y414" s="8">
        <f t="shared" si="290"/>
        <v>0</v>
      </c>
      <c r="Z414" s="8">
        <f t="shared" si="291"/>
        <v>1</v>
      </c>
      <c r="AA414" s="8">
        <f t="shared" si="292"/>
        <v>-1</v>
      </c>
      <c r="AB414" s="8" t="e">
        <f t="shared" si="293"/>
        <v>#DIV/0!</v>
      </c>
      <c r="AC414" s="12" t="e">
        <f t="shared" si="294"/>
        <v>#DIV/0!</v>
      </c>
      <c r="AD414" s="12" t="e">
        <f t="shared" si="295"/>
        <v>#DIV/0!</v>
      </c>
      <c r="AE414" s="1">
        <f t="shared" si="296"/>
        <v>-2</v>
      </c>
      <c r="AF414" s="1">
        <f t="shared" si="297"/>
        <v>0</v>
      </c>
      <c r="AG414" s="1">
        <f t="shared" si="298"/>
        <v>0</v>
      </c>
      <c r="AH414" s="1">
        <f t="shared" si="299"/>
        <v>1</v>
      </c>
      <c r="AI414" s="1">
        <f t="shared" si="300"/>
        <v>-2</v>
      </c>
      <c r="AJ414" s="1">
        <f t="shared" si="301"/>
        <v>2</v>
      </c>
      <c r="AK414" s="17">
        <f t="shared" si="302"/>
        <v>-0.16666666666666666</v>
      </c>
      <c r="AL414" s="17">
        <f t="shared" si="303"/>
        <v>0</v>
      </c>
      <c r="AM414" s="1" t="e">
        <f t="shared" si="304"/>
        <v>#DIV/0!</v>
      </c>
      <c r="AN414" s="1">
        <f t="shared" si="305"/>
        <v>0</v>
      </c>
      <c r="AO414" s="1">
        <f t="shared" si="306"/>
        <v>-1</v>
      </c>
      <c r="AP414" s="1" t="e">
        <f t="shared" si="307"/>
        <v>#DIV/0!</v>
      </c>
      <c r="AQ414" s="1">
        <f t="shared" si="308"/>
        <v>-1</v>
      </c>
      <c r="AR414" s="1" t="e">
        <f t="shared" si="309"/>
        <v>#DIV/0!</v>
      </c>
      <c r="AS414" s="12" t="e">
        <f t="shared" si="310"/>
        <v>#DIV/0!</v>
      </c>
      <c r="AT414" s="12" t="e">
        <f t="shared" si="311"/>
        <v>#DIV/0!</v>
      </c>
      <c r="AU414" s="1">
        <f t="shared" si="312"/>
        <v>1</v>
      </c>
      <c r="AV414" s="1">
        <f t="shared" si="313"/>
        <v>0</v>
      </c>
      <c r="AW414" s="1">
        <f t="shared" si="314"/>
        <v>-1</v>
      </c>
      <c r="AX414" s="1">
        <f t="shared" si="315"/>
        <v>2</v>
      </c>
      <c r="AY414" s="1">
        <f t="shared" si="316"/>
        <v>-2</v>
      </c>
      <c r="AZ414" s="1">
        <f t="shared" si="317"/>
        <v>0</v>
      </c>
      <c r="BA414" s="19">
        <f t="shared" si="318"/>
        <v>0</v>
      </c>
      <c r="BB414" s="19">
        <f t="shared" si="319"/>
        <v>0</v>
      </c>
      <c r="BC414" s="9">
        <f t="shared" si="320"/>
        <v>-1</v>
      </c>
      <c r="BD414" s="9" t="e">
        <f t="shared" si="321"/>
        <v>#DIV/0!</v>
      </c>
      <c r="BE414" s="9" t="e">
        <f t="shared" si="322"/>
        <v>#DIV/0!</v>
      </c>
      <c r="BF414" s="9">
        <f t="shared" si="323"/>
        <v>-1</v>
      </c>
      <c r="BG414" s="9" t="e">
        <f t="shared" si="324"/>
        <v>#DIV/0!</v>
      </c>
      <c r="BH414" s="9" t="e">
        <f t="shared" si="325"/>
        <v>#DIV/0!</v>
      </c>
      <c r="BI414" s="12" t="e">
        <f t="shared" si="326"/>
        <v>#DIV/0!</v>
      </c>
      <c r="BJ414" s="13" t="e">
        <f t="shared" si="327"/>
        <v>#DIV/0!</v>
      </c>
      <c r="BK414" s="1">
        <f t="shared" si="328"/>
        <v>-3</v>
      </c>
      <c r="BL414" s="1">
        <f t="shared" si="329"/>
        <v>0</v>
      </c>
      <c r="BM414" s="1">
        <f t="shared" si="330"/>
        <v>1</v>
      </c>
      <c r="BN414" s="1">
        <f t="shared" si="331"/>
        <v>-1</v>
      </c>
      <c r="BO414" s="1">
        <f t="shared" si="332"/>
        <v>0</v>
      </c>
      <c r="BP414" s="1">
        <f t="shared" si="333"/>
        <v>2</v>
      </c>
      <c r="BQ414" s="19">
        <f t="shared" si="334"/>
        <v>-0.16666666666666666</v>
      </c>
      <c r="BR414" s="17">
        <f t="shared" si="335"/>
        <v>0</v>
      </c>
    </row>
    <row r="415" spans="1:70" x14ac:dyDescent="0.25">
      <c r="A415" t="s">
        <v>443</v>
      </c>
      <c r="B415">
        <v>3</v>
      </c>
      <c r="C415">
        <v>6</v>
      </c>
      <c r="F415">
        <v>3</v>
      </c>
      <c r="G415">
        <v>7</v>
      </c>
      <c r="H415">
        <v>2</v>
      </c>
      <c r="J415">
        <v>3</v>
      </c>
      <c r="N415">
        <v>6</v>
      </c>
      <c r="O415">
        <v>1</v>
      </c>
      <c r="P415">
        <v>3</v>
      </c>
      <c r="Q415">
        <v>3</v>
      </c>
      <c r="T415">
        <v>3</v>
      </c>
      <c r="U415">
        <v>1</v>
      </c>
      <c r="V415">
        <v>1</v>
      </c>
      <c r="W415" s="8">
        <f t="shared" si="288"/>
        <v>1</v>
      </c>
      <c r="X415" s="8">
        <f t="shared" si="289"/>
        <v>-1</v>
      </c>
      <c r="Y415" s="8" t="e">
        <f t="shared" si="290"/>
        <v>#DIV/0!</v>
      </c>
      <c r="Z415" s="8" t="e">
        <f t="shared" si="291"/>
        <v>#DIV/0!</v>
      </c>
      <c r="AA415" s="8">
        <f t="shared" si="292"/>
        <v>1.3333333333333333</v>
      </c>
      <c r="AB415" s="8">
        <f t="shared" si="293"/>
        <v>-0.7142857142857143</v>
      </c>
      <c r="AC415" s="12" t="e">
        <f t="shared" si="294"/>
        <v>#DIV/0!</v>
      </c>
      <c r="AD415" s="12" t="e">
        <f t="shared" si="295"/>
        <v>#DIV/0!</v>
      </c>
      <c r="AE415" s="1">
        <f t="shared" si="296"/>
        <v>3</v>
      </c>
      <c r="AF415" s="1">
        <f t="shared" si="297"/>
        <v>-6</v>
      </c>
      <c r="AG415" s="1">
        <f t="shared" si="298"/>
        <v>0</v>
      </c>
      <c r="AH415" s="1">
        <f t="shared" si="299"/>
        <v>3</v>
      </c>
      <c r="AI415" s="1">
        <f t="shared" si="300"/>
        <v>4</v>
      </c>
      <c r="AJ415" s="1">
        <f t="shared" si="301"/>
        <v>-5</v>
      </c>
      <c r="AK415" s="17">
        <f t="shared" si="302"/>
        <v>-0.16666666666666666</v>
      </c>
      <c r="AL415" s="17">
        <f t="shared" si="303"/>
        <v>1.5</v>
      </c>
      <c r="AM415" s="1" t="e">
        <f t="shared" si="304"/>
        <v>#DIV/0!</v>
      </c>
      <c r="AN415" s="1">
        <f t="shared" si="305"/>
        <v>-1</v>
      </c>
      <c r="AO415" s="1" t="e">
        <f t="shared" si="306"/>
        <v>#DIV/0!</v>
      </c>
      <c r="AP415" s="1" t="e">
        <f t="shared" si="307"/>
        <v>#DIV/0!</v>
      </c>
      <c r="AQ415" s="1" t="e">
        <f t="shared" si="308"/>
        <v>#DIV/0!</v>
      </c>
      <c r="AR415" s="1">
        <f t="shared" si="309"/>
        <v>-0.83333333333333337</v>
      </c>
      <c r="AS415" s="12" t="e">
        <f t="shared" si="310"/>
        <v>#DIV/0!</v>
      </c>
      <c r="AT415" s="12" t="e">
        <f t="shared" si="311"/>
        <v>#DIV/0!</v>
      </c>
      <c r="AU415" s="1">
        <f t="shared" si="312"/>
        <v>3</v>
      </c>
      <c r="AV415" s="1">
        <f t="shared" si="313"/>
        <v>-3</v>
      </c>
      <c r="AW415" s="1">
        <f t="shared" si="314"/>
        <v>0</v>
      </c>
      <c r="AX415" s="1">
        <f t="shared" si="315"/>
        <v>0</v>
      </c>
      <c r="AY415" s="1">
        <f t="shared" si="316"/>
        <v>6</v>
      </c>
      <c r="AZ415" s="1">
        <f t="shared" si="317"/>
        <v>-5</v>
      </c>
      <c r="BA415" s="19">
        <f t="shared" si="318"/>
        <v>0.16666666666666666</v>
      </c>
      <c r="BB415" s="19">
        <f t="shared" si="319"/>
        <v>0</v>
      </c>
      <c r="BC415" s="9">
        <f t="shared" si="320"/>
        <v>0</v>
      </c>
      <c r="BD415" s="9">
        <f t="shared" si="321"/>
        <v>-1</v>
      </c>
      <c r="BE415" s="9" t="e">
        <f t="shared" si="322"/>
        <v>#DIV/0!</v>
      </c>
      <c r="BF415" s="9" t="e">
        <f t="shared" si="323"/>
        <v>#DIV/0!</v>
      </c>
      <c r="BG415" s="9">
        <f t="shared" si="324"/>
        <v>-0.66666666666666663</v>
      </c>
      <c r="BH415" s="9">
        <f t="shared" si="325"/>
        <v>0</v>
      </c>
      <c r="BI415" s="12" t="e">
        <f t="shared" si="326"/>
        <v>#DIV/0!</v>
      </c>
      <c r="BJ415" s="13" t="e">
        <f t="shared" si="327"/>
        <v>#DIV/0!</v>
      </c>
      <c r="BK415" s="1">
        <f t="shared" si="328"/>
        <v>0</v>
      </c>
      <c r="BL415" s="1">
        <f t="shared" si="329"/>
        <v>-3</v>
      </c>
      <c r="BM415" s="1">
        <f t="shared" si="330"/>
        <v>0</v>
      </c>
      <c r="BN415" s="1">
        <f t="shared" si="331"/>
        <v>3</v>
      </c>
      <c r="BO415" s="1">
        <f t="shared" si="332"/>
        <v>-2</v>
      </c>
      <c r="BP415" s="1">
        <f t="shared" si="333"/>
        <v>0</v>
      </c>
      <c r="BQ415" s="19">
        <f t="shared" si="334"/>
        <v>-0.33333333333333331</v>
      </c>
      <c r="BR415" s="17">
        <f t="shared" si="335"/>
        <v>0</v>
      </c>
    </row>
    <row r="416" spans="1:70" x14ac:dyDescent="0.25">
      <c r="A416" t="s">
        <v>445</v>
      </c>
      <c r="B416">
        <v>2</v>
      </c>
      <c r="C416">
        <v>4</v>
      </c>
      <c r="D416">
        <v>1</v>
      </c>
      <c r="E416">
        <v>1</v>
      </c>
      <c r="F416">
        <v>3</v>
      </c>
      <c r="G416">
        <v>4</v>
      </c>
      <c r="H416">
        <v>1</v>
      </c>
      <c r="I416">
        <v>2</v>
      </c>
      <c r="J416">
        <v>3</v>
      </c>
      <c r="K416">
        <v>1</v>
      </c>
      <c r="L416">
        <v>1</v>
      </c>
      <c r="M416">
        <v>2</v>
      </c>
      <c r="N416">
        <v>2</v>
      </c>
      <c r="Q416">
        <v>1</v>
      </c>
      <c r="T416">
        <v>1</v>
      </c>
      <c r="U416">
        <v>2</v>
      </c>
      <c r="V416">
        <v>1</v>
      </c>
      <c r="W416" s="8">
        <f t="shared" si="288"/>
        <v>1</v>
      </c>
      <c r="X416" s="8">
        <f t="shared" si="289"/>
        <v>-0.75</v>
      </c>
      <c r="Y416" s="8">
        <f t="shared" si="290"/>
        <v>0</v>
      </c>
      <c r="Z416" s="8">
        <f t="shared" si="291"/>
        <v>2</v>
      </c>
      <c r="AA416" s="8">
        <f t="shared" si="292"/>
        <v>0.33333333333333331</v>
      </c>
      <c r="AB416" s="8">
        <f t="shared" si="293"/>
        <v>-0.75</v>
      </c>
      <c r="AC416" s="12">
        <f t="shared" si="294"/>
        <v>0.30555555555555558</v>
      </c>
      <c r="AD416" s="12">
        <f t="shared" si="295"/>
        <v>0.16666666666666666</v>
      </c>
      <c r="AE416" s="1">
        <f t="shared" si="296"/>
        <v>2</v>
      </c>
      <c r="AF416" s="1">
        <f t="shared" si="297"/>
        <v>-3</v>
      </c>
      <c r="AG416" s="1">
        <f t="shared" si="298"/>
        <v>0</v>
      </c>
      <c r="AH416" s="1">
        <f t="shared" si="299"/>
        <v>2</v>
      </c>
      <c r="AI416" s="1">
        <f t="shared" si="300"/>
        <v>1</v>
      </c>
      <c r="AJ416" s="1">
        <f t="shared" si="301"/>
        <v>-3</v>
      </c>
      <c r="AK416" s="17">
        <f t="shared" si="302"/>
        <v>-0.16666666666666666</v>
      </c>
      <c r="AL416" s="17">
        <f t="shared" si="303"/>
        <v>0.5</v>
      </c>
      <c r="AM416" s="1">
        <f t="shared" si="304"/>
        <v>0.5</v>
      </c>
      <c r="AN416" s="1">
        <f t="shared" si="305"/>
        <v>-0.66666666666666663</v>
      </c>
      <c r="AO416" s="1">
        <f t="shared" si="306"/>
        <v>0</v>
      </c>
      <c r="AP416" s="1">
        <f t="shared" si="307"/>
        <v>1</v>
      </c>
      <c r="AQ416" s="1">
        <f t="shared" si="308"/>
        <v>0</v>
      </c>
      <c r="AR416" s="1">
        <f t="shared" si="309"/>
        <v>-1</v>
      </c>
      <c r="AS416" s="12">
        <f t="shared" si="310"/>
        <v>-2.7777777777777773E-2</v>
      </c>
      <c r="AT416" s="12">
        <f t="shared" si="311"/>
        <v>0</v>
      </c>
      <c r="AU416" s="1">
        <f t="shared" si="312"/>
        <v>1</v>
      </c>
      <c r="AV416" s="1">
        <f t="shared" si="313"/>
        <v>-2</v>
      </c>
      <c r="AW416" s="1">
        <f t="shared" si="314"/>
        <v>0</v>
      </c>
      <c r="AX416" s="1">
        <f t="shared" si="315"/>
        <v>1</v>
      </c>
      <c r="AY416" s="1">
        <f t="shared" si="316"/>
        <v>0</v>
      </c>
      <c r="AZ416" s="1">
        <f t="shared" si="317"/>
        <v>-2</v>
      </c>
      <c r="BA416" s="19">
        <f t="shared" si="318"/>
        <v>-0.33333333333333331</v>
      </c>
      <c r="BB416" s="19">
        <f t="shared" si="319"/>
        <v>0</v>
      </c>
      <c r="BC416" s="9" t="e">
        <f t="shared" si="320"/>
        <v>#DIV/0!</v>
      </c>
      <c r="BD416" s="9">
        <f t="shared" si="321"/>
        <v>-1</v>
      </c>
      <c r="BE416" s="9" t="e">
        <f t="shared" si="322"/>
        <v>#DIV/0!</v>
      </c>
      <c r="BF416" s="9" t="e">
        <f t="shared" si="323"/>
        <v>#DIV/0!</v>
      </c>
      <c r="BG416" s="9">
        <f t="shared" si="324"/>
        <v>1</v>
      </c>
      <c r="BH416" s="9">
        <f t="shared" si="325"/>
        <v>-0.5</v>
      </c>
      <c r="BI416" s="12" t="e">
        <f t="shared" si="326"/>
        <v>#DIV/0!</v>
      </c>
      <c r="BJ416" s="13" t="e">
        <f t="shared" si="327"/>
        <v>#DIV/0!</v>
      </c>
      <c r="BK416" s="1">
        <f t="shared" si="328"/>
        <v>1</v>
      </c>
      <c r="BL416" s="1">
        <f t="shared" si="329"/>
        <v>-1</v>
      </c>
      <c r="BM416" s="1">
        <f t="shared" si="330"/>
        <v>0</v>
      </c>
      <c r="BN416" s="1">
        <f t="shared" si="331"/>
        <v>1</v>
      </c>
      <c r="BO416" s="1">
        <f t="shared" si="332"/>
        <v>1</v>
      </c>
      <c r="BP416" s="1">
        <f t="shared" si="333"/>
        <v>-1</v>
      </c>
      <c r="BQ416" s="19">
        <f t="shared" si="334"/>
        <v>0.16666666666666666</v>
      </c>
      <c r="BR416" s="17">
        <f t="shared" si="335"/>
        <v>0.5</v>
      </c>
    </row>
    <row r="417" spans="1:70" x14ac:dyDescent="0.25">
      <c r="A417" t="s">
        <v>446</v>
      </c>
      <c r="B417">
        <v>2</v>
      </c>
      <c r="C417">
        <v>1</v>
      </c>
      <c r="D417">
        <v>2</v>
      </c>
      <c r="E417">
        <v>2</v>
      </c>
      <c r="F417">
        <v>1</v>
      </c>
      <c r="H417">
        <v>1</v>
      </c>
      <c r="K417">
        <v>1</v>
      </c>
      <c r="L417">
        <v>1</v>
      </c>
      <c r="P417">
        <v>2</v>
      </c>
      <c r="Q417">
        <v>1</v>
      </c>
      <c r="R417">
        <v>1</v>
      </c>
      <c r="S417">
        <v>1</v>
      </c>
      <c r="T417">
        <v>1</v>
      </c>
      <c r="V417">
        <v>1</v>
      </c>
      <c r="W417" s="8">
        <f t="shared" si="288"/>
        <v>-0.5</v>
      </c>
      <c r="X417" s="8">
        <f t="shared" si="289"/>
        <v>1</v>
      </c>
      <c r="Y417" s="8">
        <f t="shared" si="290"/>
        <v>0</v>
      </c>
      <c r="Z417" s="8">
        <f t="shared" si="291"/>
        <v>-0.5</v>
      </c>
      <c r="AA417" s="8">
        <f t="shared" si="292"/>
        <v>-1</v>
      </c>
      <c r="AB417" s="8" t="e">
        <f t="shared" si="293"/>
        <v>#DIV/0!</v>
      </c>
      <c r="AC417" s="12" t="e">
        <f t="shared" si="294"/>
        <v>#DIV/0!</v>
      </c>
      <c r="AD417" s="12" t="e">
        <f t="shared" si="295"/>
        <v>#DIV/0!</v>
      </c>
      <c r="AE417" s="1">
        <f t="shared" si="296"/>
        <v>-1</v>
      </c>
      <c r="AF417" s="1">
        <f t="shared" si="297"/>
        <v>1</v>
      </c>
      <c r="AG417" s="1">
        <f t="shared" si="298"/>
        <v>0</v>
      </c>
      <c r="AH417" s="1">
        <f t="shared" si="299"/>
        <v>-1</v>
      </c>
      <c r="AI417" s="1">
        <f t="shared" si="300"/>
        <v>-1</v>
      </c>
      <c r="AJ417" s="1">
        <f t="shared" si="301"/>
        <v>1</v>
      </c>
      <c r="AK417" s="17">
        <f t="shared" si="302"/>
        <v>-0.16666666666666666</v>
      </c>
      <c r="AL417" s="17">
        <f t="shared" si="303"/>
        <v>-0.5</v>
      </c>
      <c r="AM417" s="1" t="e">
        <f t="shared" si="304"/>
        <v>#DIV/0!</v>
      </c>
      <c r="AN417" s="1" t="e">
        <f t="shared" si="305"/>
        <v>#DIV/0!</v>
      </c>
      <c r="AO417" s="1">
        <f t="shared" si="306"/>
        <v>0</v>
      </c>
      <c r="AP417" s="1">
        <f t="shared" si="307"/>
        <v>-1</v>
      </c>
      <c r="AQ417" s="1" t="e">
        <f t="shared" si="308"/>
        <v>#DIV/0!</v>
      </c>
      <c r="AR417" s="1" t="e">
        <f t="shared" si="309"/>
        <v>#DIV/0!</v>
      </c>
      <c r="AS417" s="12" t="e">
        <f t="shared" si="310"/>
        <v>#DIV/0!</v>
      </c>
      <c r="AT417" s="12" t="e">
        <f t="shared" si="311"/>
        <v>#DIV/0!</v>
      </c>
      <c r="AU417" s="1">
        <f t="shared" si="312"/>
        <v>0</v>
      </c>
      <c r="AV417" s="1">
        <f t="shared" si="313"/>
        <v>1</v>
      </c>
      <c r="AW417" s="1">
        <f t="shared" si="314"/>
        <v>0</v>
      </c>
      <c r="AX417" s="1">
        <f t="shared" si="315"/>
        <v>-1</v>
      </c>
      <c r="AY417" s="1">
        <f t="shared" si="316"/>
        <v>0</v>
      </c>
      <c r="AZ417" s="1">
        <f t="shared" si="317"/>
        <v>0</v>
      </c>
      <c r="BA417" s="19">
        <f t="shared" si="318"/>
        <v>0</v>
      </c>
      <c r="BB417" s="19">
        <f t="shared" si="319"/>
        <v>0</v>
      </c>
      <c r="BC417" s="9">
        <f t="shared" si="320"/>
        <v>-0.5</v>
      </c>
      <c r="BD417" s="9">
        <f t="shared" si="321"/>
        <v>0</v>
      </c>
      <c r="BE417" s="9">
        <f t="shared" si="322"/>
        <v>0</v>
      </c>
      <c r="BF417" s="9">
        <f t="shared" si="323"/>
        <v>0</v>
      </c>
      <c r="BG417" s="9">
        <f t="shared" si="324"/>
        <v>-1</v>
      </c>
      <c r="BH417" s="9" t="e">
        <f t="shared" si="325"/>
        <v>#DIV/0!</v>
      </c>
      <c r="BI417" s="12" t="e">
        <f t="shared" si="326"/>
        <v>#DIV/0!</v>
      </c>
      <c r="BJ417" s="13" t="e">
        <f t="shared" si="327"/>
        <v>#DIV/0!</v>
      </c>
      <c r="BK417" s="1">
        <f t="shared" si="328"/>
        <v>-1</v>
      </c>
      <c r="BL417" s="1">
        <f t="shared" si="329"/>
        <v>0</v>
      </c>
      <c r="BM417" s="1">
        <f t="shared" si="330"/>
        <v>0</v>
      </c>
      <c r="BN417" s="1">
        <f t="shared" si="331"/>
        <v>0</v>
      </c>
      <c r="BO417" s="1">
        <f t="shared" si="332"/>
        <v>-1</v>
      </c>
      <c r="BP417" s="1">
        <f t="shared" si="333"/>
        <v>1</v>
      </c>
      <c r="BQ417" s="19">
        <f t="shared" si="334"/>
        <v>-0.16666666666666666</v>
      </c>
      <c r="BR417" s="17">
        <f t="shared" si="335"/>
        <v>0</v>
      </c>
    </row>
    <row r="418" spans="1:70" x14ac:dyDescent="0.25">
      <c r="A418" t="s">
        <v>450</v>
      </c>
      <c r="B418">
        <v>2</v>
      </c>
      <c r="C418">
        <v>2</v>
      </c>
      <c r="H418">
        <v>1</v>
      </c>
      <c r="I418">
        <v>1</v>
      </c>
      <c r="O418">
        <v>1</v>
      </c>
      <c r="P418">
        <v>1</v>
      </c>
      <c r="Q418">
        <v>2</v>
      </c>
      <c r="W418" s="8">
        <f t="shared" si="288"/>
        <v>0</v>
      </c>
      <c r="X418" s="8">
        <f t="shared" si="289"/>
        <v>-1</v>
      </c>
      <c r="Y418" s="8" t="e">
        <f t="shared" si="290"/>
        <v>#DIV/0!</v>
      </c>
      <c r="Z418" s="8" t="e">
        <f t="shared" si="291"/>
        <v>#DIV/0!</v>
      </c>
      <c r="AA418" s="8" t="e">
        <f t="shared" si="292"/>
        <v>#DIV/0!</v>
      </c>
      <c r="AB418" s="8" t="e">
        <f t="shared" si="293"/>
        <v>#DIV/0!</v>
      </c>
      <c r="AC418" s="12" t="e">
        <f t="shared" si="294"/>
        <v>#DIV/0!</v>
      </c>
      <c r="AD418" s="12" t="e">
        <f t="shared" si="295"/>
        <v>#DIV/0!</v>
      </c>
      <c r="AE418" s="1">
        <f t="shared" si="296"/>
        <v>0</v>
      </c>
      <c r="AF418" s="1">
        <f t="shared" si="297"/>
        <v>-2</v>
      </c>
      <c r="AG418" s="1">
        <f t="shared" si="298"/>
        <v>0</v>
      </c>
      <c r="AH418" s="1">
        <f t="shared" si="299"/>
        <v>0</v>
      </c>
      <c r="AI418" s="1">
        <f t="shared" si="300"/>
        <v>0</v>
      </c>
      <c r="AJ418" s="1">
        <f t="shared" si="301"/>
        <v>1</v>
      </c>
      <c r="AK418" s="17">
        <f t="shared" si="302"/>
        <v>-0.16666666666666666</v>
      </c>
      <c r="AL418" s="17">
        <f t="shared" si="303"/>
        <v>0</v>
      </c>
      <c r="AM418" s="1">
        <f t="shared" si="304"/>
        <v>-1</v>
      </c>
      <c r="AN418" s="1" t="e">
        <f t="shared" si="305"/>
        <v>#DIV/0!</v>
      </c>
      <c r="AO418" s="1" t="e">
        <f t="shared" si="306"/>
        <v>#DIV/0!</v>
      </c>
      <c r="AP418" s="1" t="e">
        <f t="shared" si="307"/>
        <v>#DIV/0!</v>
      </c>
      <c r="AQ418" s="1" t="e">
        <f t="shared" si="308"/>
        <v>#DIV/0!</v>
      </c>
      <c r="AR418" s="1" t="e">
        <f t="shared" si="309"/>
        <v>#DIV/0!</v>
      </c>
      <c r="AS418" s="12" t="e">
        <f t="shared" si="310"/>
        <v>#DIV/0!</v>
      </c>
      <c r="AT418" s="12" t="e">
        <f t="shared" si="311"/>
        <v>#DIV/0!</v>
      </c>
      <c r="AU418" s="1">
        <f t="shared" si="312"/>
        <v>-1</v>
      </c>
      <c r="AV418" s="1">
        <f t="shared" si="313"/>
        <v>0</v>
      </c>
      <c r="AW418" s="1">
        <f t="shared" si="314"/>
        <v>0</v>
      </c>
      <c r="AX418" s="1">
        <f t="shared" si="315"/>
        <v>0</v>
      </c>
      <c r="AY418" s="1">
        <f t="shared" si="316"/>
        <v>0</v>
      </c>
      <c r="AZ418" s="1">
        <f t="shared" si="317"/>
        <v>1</v>
      </c>
      <c r="BA418" s="19">
        <f t="shared" si="318"/>
        <v>0</v>
      </c>
      <c r="BB418" s="19">
        <f t="shared" si="319"/>
        <v>0</v>
      </c>
      <c r="BC418" s="9">
        <f t="shared" si="320"/>
        <v>1</v>
      </c>
      <c r="BD418" s="9">
        <f t="shared" si="321"/>
        <v>-1</v>
      </c>
      <c r="BE418" s="9" t="e">
        <f t="shared" si="322"/>
        <v>#DIV/0!</v>
      </c>
      <c r="BF418" s="9" t="e">
        <f t="shared" si="323"/>
        <v>#DIV/0!</v>
      </c>
      <c r="BG418" s="9" t="e">
        <f t="shared" si="324"/>
        <v>#DIV/0!</v>
      </c>
      <c r="BH418" s="9" t="e">
        <f t="shared" si="325"/>
        <v>#DIV/0!</v>
      </c>
      <c r="BI418" s="12" t="e">
        <f t="shared" si="326"/>
        <v>#DIV/0!</v>
      </c>
      <c r="BJ418" s="13" t="e">
        <f t="shared" si="327"/>
        <v>#DIV/0!</v>
      </c>
      <c r="BK418" s="1">
        <f t="shared" si="328"/>
        <v>1</v>
      </c>
      <c r="BL418" s="1">
        <f t="shared" si="329"/>
        <v>-2</v>
      </c>
      <c r="BM418" s="1">
        <f t="shared" si="330"/>
        <v>0</v>
      </c>
      <c r="BN418" s="1">
        <f t="shared" si="331"/>
        <v>0</v>
      </c>
      <c r="BO418" s="1">
        <f t="shared" si="332"/>
        <v>0</v>
      </c>
      <c r="BP418" s="1">
        <f t="shared" si="333"/>
        <v>0</v>
      </c>
      <c r="BQ418" s="19">
        <f t="shared" si="334"/>
        <v>-0.16666666666666666</v>
      </c>
      <c r="BR418" s="17">
        <f t="shared" si="335"/>
        <v>0</v>
      </c>
    </row>
    <row r="419" spans="1:70" x14ac:dyDescent="0.25">
      <c r="A419" t="s">
        <v>453</v>
      </c>
      <c r="B419">
        <v>2</v>
      </c>
      <c r="H419">
        <v>1</v>
      </c>
      <c r="P419">
        <v>2</v>
      </c>
      <c r="V419">
        <v>1</v>
      </c>
      <c r="W419" s="8">
        <f t="shared" si="288"/>
        <v>-1</v>
      </c>
      <c r="X419" s="8" t="e">
        <f t="shared" si="289"/>
        <v>#DIV/0!</v>
      </c>
      <c r="Y419" s="8" t="e">
        <f t="shared" si="290"/>
        <v>#DIV/0!</v>
      </c>
      <c r="Z419" s="8" t="e">
        <f t="shared" si="291"/>
        <v>#DIV/0!</v>
      </c>
      <c r="AA419" s="8" t="e">
        <f t="shared" si="292"/>
        <v>#DIV/0!</v>
      </c>
      <c r="AB419" s="8" t="e">
        <f t="shared" si="293"/>
        <v>#DIV/0!</v>
      </c>
      <c r="AC419" s="12" t="e">
        <f t="shared" si="294"/>
        <v>#DIV/0!</v>
      </c>
      <c r="AD419" s="12" t="e">
        <f t="shared" si="295"/>
        <v>#DIV/0!</v>
      </c>
      <c r="AE419" s="1">
        <f t="shared" si="296"/>
        <v>-2</v>
      </c>
      <c r="AF419" s="1">
        <f t="shared" si="297"/>
        <v>0</v>
      </c>
      <c r="AG419" s="1">
        <f t="shared" si="298"/>
        <v>0</v>
      </c>
      <c r="AH419" s="1">
        <f t="shared" si="299"/>
        <v>0</v>
      </c>
      <c r="AI419" s="1">
        <f t="shared" si="300"/>
        <v>0</v>
      </c>
      <c r="AJ419" s="1">
        <f t="shared" si="301"/>
        <v>1</v>
      </c>
      <c r="AK419" s="17">
        <f t="shared" si="302"/>
        <v>-0.16666666666666666</v>
      </c>
      <c r="AL419" s="17">
        <f t="shared" si="303"/>
        <v>0</v>
      </c>
      <c r="AM419" s="1" t="e">
        <f t="shared" si="304"/>
        <v>#DIV/0!</v>
      </c>
      <c r="AN419" s="1" t="e">
        <f t="shared" si="305"/>
        <v>#DIV/0!</v>
      </c>
      <c r="AO419" s="1" t="e">
        <f t="shared" si="306"/>
        <v>#DIV/0!</v>
      </c>
      <c r="AP419" s="1" t="e">
        <f t="shared" si="307"/>
        <v>#DIV/0!</v>
      </c>
      <c r="AQ419" s="1" t="e">
        <f t="shared" si="308"/>
        <v>#DIV/0!</v>
      </c>
      <c r="AR419" s="1" t="e">
        <f t="shared" si="309"/>
        <v>#DIV/0!</v>
      </c>
      <c r="AS419" s="12" t="e">
        <f t="shared" si="310"/>
        <v>#DIV/0!</v>
      </c>
      <c r="AT419" s="12" t="e">
        <f t="shared" si="311"/>
        <v>#DIV/0!</v>
      </c>
      <c r="AU419" s="1">
        <f t="shared" si="312"/>
        <v>0</v>
      </c>
      <c r="AV419" s="1">
        <f t="shared" si="313"/>
        <v>0</v>
      </c>
      <c r="AW419" s="1">
        <f t="shared" si="314"/>
        <v>0</v>
      </c>
      <c r="AX419" s="1">
        <f t="shared" si="315"/>
        <v>0</v>
      </c>
      <c r="AY419" s="1">
        <f t="shared" si="316"/>
        <v>0</v>
      </c>
      <c r="AZ419" s="1">
        <f t="shared" si="317"/>
        <v>0</v>
      </c>
      <c r="BA419" s="19">
        <f t="shared" si="318"/>
        <v>0</v>
      </c>
      <c r="BB419" s="19">
        <f t="shared" si="319"/>
        <v>0</v>
      </c>
      <c r="BC419" s="9">
        <f t="shared" si="320"/>
        <v>-1</v>
      </c>
      <c r="BD419" s="9" t="e">
        <f t="shared" si="321"/>
        <v>#DIV/0!</v>
      </c>
      <c r="BE419" s="9" t="e">
        <f t="shared" si="322"/>
        <v>#DIV/0!</v>
      </c>
      <c r="BF419" s="9" t="e">
        <f t="shared" si="323"/>
        <v>#DIV/0!</v>
      </c>
      <c r="BG419" s="9" t="e">
        <f t="shared" si="324"/>
        <v>#DIV/0!</v>
      </c>
      <c r="BH419" s="9" t="e">
        <f t="shared" si="325"/>
        <v>#DIV/0!</v>
      </c>
      <c r="BI419" s="12" t="e">
        <f t="shared" si="326"/>
        <v>#DIV/0!</v>
      </c>
      <c r="BJ419" s="13" t="e">
        <f t="shared" si="327"/>
        <v>#DIV/0!</v>
      </c>
      <c r="BK419" s="1">
        <f t="shared" si="328"/>
        <v>-2</v>
      </c>
      <c r="BL419" s="1">
        <f t="shared" si="329"/>
        <v>0</v>
      </c>
      <c r="BM419" s="1">
        <f t="shared" si="330"/>
        <v>0</v>
      </c>
      <c r="BN419" s="1">
        <f t="shared" si="331"/>
        <v>0</v>
      </c>
      <c r="BO419" s="1">
        <f t="shared" si="332"/>
        <v>0</v>
      </c>
      <c r="BP419" s="1">
        <f t="shared" si="333"/>
        <v>1</v>
      </c>
      <c r="BQ419" s="19">
        <f t="shared" si="334"/>
        <v>-0.16666666666666666</v>
      </c>
      <c r="BR419" s="17">
        <f t="shared" si="335"/>
        <v>0</v>
      </c>
    </row>
    <row r="420" spans="1:70" x14ac:dyDescent="0.25">
      <c r="A420" t="s">
        <v>463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1</v>
      </c>
      <c r="K420">
        <v>1</v>
      </c>
      <c r="N420">
        <v>1</v>
      </c>
      <c r="O420">
        <v>1</v>
      </c>
      <c r="P420">
        <v>2</v>
      </c>
      <c r="Q420">
        <v>1</v>
      </c>
      <c r="S420">
        <v>1</v>
      </c>
      <c r="T420">
        <v>2</v>
      </c>
      <c r="U420">
        <v>1</v>
      </c>
      <c r="W420" s="8">
        <f t="shared" si="288"/>
        <v>-0.5</v>
      </c>
      <c r="X420" s="8">
        <f t="shared" si="289"/>
        <v>0</v>
      </c>
      <c r="Y420" s="8">
        <f t="shared" si="290"/>
        <v>0</v>
      </c>
      <c r="Z420" s="8">
        <f t="shared" si="291"/>
        <v>1</v>
      </c>
      <c r="AA420" s="8">
        <f t="shared" si="292"/>
        <v>0</v>
      </c>
      <c r="AB420" s="8">
        <f t="shared" si="293"/>
        <v>-0.5</v>
      </c>
      <c r="AC420" s="12">
        <f t="shared" si="294"/>
        <v>0</v>
      </c>
      <c r="AD420" s="12">
        <f t="shared" si="295"/>
        <v>0</v>
      </c>
      <c r="AE420" s="1">
        <f t="shared" si="296"/>
        <v>-1</v>
      </c>
      <c r="AF420" s="1">
        <f t="shared" si="297"/>
        <v>0</v>
      </c>
      <c r="AG420" s="1">
        <f t="shared" si="298"/>
        <v>0</v>
      </c>
      <c r="AH420" s="1">
        <f t="shared" si="299"/>
        <v>1</v>
      </c>
      <c r="AI420" s="1">
        <f t="shared" si="300"/>
        <v>0</v>
      </c>
      <c r="AJ420" s="1">
        <f t="shared" si="301"/>
        <v>-1</v>
      </c>
      <c r="AK420" s="17">
        <f t="shared" si="302"/>
        <v>-0.16666666666666666</v>
      </c>
      <c r="AL420" s="17">
        <f t="shared" si="303"/>
        <v>0</v>
      </c>
      <c r="AM420" s="1" t="e">
        <f t="shared" si="304"/>
        <v>#DIV/0!</v>
      </c>
      <c r="AN420" s="1" t="e">
        <f t="shared" si="305"/>
        <v>#DIV/0!</v>
      </c>
      <c r="AO420" s="1">
        <f t="shared" si="306"/>
        <v>-1</v>
      </c>
      <c r="AP420" s="1" t="e">
        <f t="shared" si="307"/>
        <v>#DIV/0!</v>
      </c>
      <c r="AQ420" s="1" t="e">
        <f t="shared" si="308"/>
        <v>#DIV/0!</v>
      </c>
      <c r="AR420" s="1">
        <f t="shared" si="309"/>
        <v>0</v>
      </c>
      <c r="AS420" s="12" t="e">
        <f t="shared" si="310"/>
        <v>#DIV/0!</v>
      </c>
      <c r="AT420" s="12" t="e">
        <f t="shared" si="311"/>
        <v>#DIV/0!</v>
      </c>
      <c r="AU420" s="1">
        <f t="shared" si="312"/>
        <v>0</v>
      </c>
      <c r="AV420" s="1">
        <f t="shared" si="313"/>
        <v>1</v>
      </c>
      <c r="AW420" s="1">
        <f t="shared" si="314"/>
        <v>-1</v>
      </c>
      <c r="AX420" s="1">
        <f t="shared" si="315"/>
        <v>0</v>
      </c>
      <c r="AY420" s="1">
        <f t="shared" si="316"/>
        <v>1</v>
      </c>
      <c r="AZ420" s="1">
        <f t="shared" si="317"/>
        <v>0</v>
      </c>
      <c r="BA420" s="19">
        <f t="shared" si="318"/>
        <v>0.16666666666666666</v>
      </c>
      <c r="BB420" s="19">
        <f t="shared" si="319"/>
        <v>0</v>
      </c>
      <c r="BC420" s="9">
        <f t="shared" si="320"/>
        <v>-0.5</v>
      </c>
      <c r="BD420" s="9">
        <f t="shared" si="321"/>
        <v>-1</v>
      </c>
      <c r="BE420" s="9" t="e">
        <f t="shared" si="322"/>
        <v>#DIV/0!</v>
      </c>
      <c r="BF420" s="9">
        <f t="shared" si="323"/>
        <v>1</v>
      </c>
      <c r="BG420" s="9">
        <f t="shared" si="324"/>
        <v>-0.5</v>
      </c>
      <c r="BH420" s="9">
        <f t="shared" si="325"/>
        <v>-1</v>
      </c>
      <c r="BI420" s="12" t="e">
        <f t="shared" si="326"/>
        <v>#DIV/0!</v>
      </c>
      <c r="BJ420" s="13" t="e">
        <f t="shared" si="327"/>
        <v>#DIV/0!</v>
      </c>
      <c r="BK420" s="1">
        <f t="shared" si="328"/>
        <v>-1</v>
      </c>
      <c r="BL420" s="1">
        <f t="shared" si="329"/>
        <v>-1</v>
      </c>
      <c r="BM420" s="1">
        <f t="shared" si="330"/>
        <v>1</v>
      </c>
      <c r="BN420" s="1">
        <f t="shared" si="331"/>
        <v>1</v>
      </c>
      <c r="BO420" s="1">
        <f t="shared" si="332"/>
        <v>-1</v>
      </c>
      <c r="BP420" s="1">
        <f t="shared" si="333"/>
        <v>-1</v>
      </c>
      <c r="BQ420" s="19">
        <f t="shared" si="334"/>
        <v>-0.33333333333333331</v>
      </c>
      <c r="BR420" s="17">
        <f t="shared" si="335"/>
        <v>-1</v>
      </c>
    </row>
    <row r="421" spans="1:70" x14ac:dyDescent="0.25">
      <c r="A421" t="s">
        <v>468</v>
      </c>
      <c r="B421">
        <v>2</v>
      </c>
      <c r="C421">
        <v>3</v>
      </c>
      <c r="D421">
        <v>2</v>
      </c>
      <c r="E421">
        <v>2</v>
      </c>
      <c r="H421">
        <v>1</v>
      </c>
      <c r="I421">
        <v>1</v>
      </c>
      <c r="J421">
        <v>2</v>
      </c>
      <c r="K421">
        <v>2</v>
      </c>
      <c r="L421">
        <v>1</v>
      </c>
      <c r="O421">
        <v>1</v>
      </c>
      <c r="P421">
        <v>1</v>
      </c>
      <c r="Q421">
        <v>1</v>
      </c>
      <c r="S421">
        <v>1</v>
      </c>
      <c r="W421" s="8">
        <f t="shared" si="288"/>
        <v>0.5</v>
      </c>
      <c r="X421" s="8">
        <f t="shared" si="289"/>
        <v>-0.33333333333333331</v>
      </c>
      <c r="Y421" s="8">
        <f t="shared" si="290"/>
        <v>0</v>
      </c>
      <c r="Z421" s="8">
        <f t="shared" si="291"/>
        <v>-1</v>
      </c>
      <c r="AA421" s="8" t="e">
        <f t="shared" si="292"/>
        <v>#DIV/0!</v>
      </c>
      <c r="AB421" s="8" t="e">
        <f t="shared" si="293"/>
        <v>#DIV/0!</v>
      </c>
      <c r="AC421" s="12" t="e">
        <f t="shared" si="294"/>
        <v>#DIV/0!</v>
      </c>
      <c r="AD421" s="12" t="e">
        <f t="shared" si="295"/>
        <v>#DIV/0!</v>
      </c>
      <c r="AE421" s="1">
        <f t="shared" si="296"/>
        <v>1</v>
      </c>
      <c r="AF421" s="1">
        <f t="shared" si="297"/>
        <v>-1</v>
      </c>
      <c r="AG421" s="1">
        <f t="shared" si="298"/>
        <v>0</v>
      </c>
      <c r="AH421" s="1">
        <f t="shared" si="299"/>
        <v>-2</v>
      </c>
      <c r="AI421" s="1">
        <f t="shared" si="300"/>
        <v>0</v>
      </c>
      <c r="AJ421" s="1">
        <f t="shared" si="301"/>
        <v>1</v>
      </c>
      <c r="AK421" s="17">
        <f t="shared" si="302"/>
        <v>-0.16666666666666666</v>
      </c>
      <c r="AL421" s="17">
        <f t="shared" si="303"/>
        <v>0</v>
      </c>
      <c r="AM421" s="1">
        <f t="shared" si="304"/>
        <v>1</v>
      </c>
      <c r="AN421" s="1">
        <f t="shared" si="305"/>
        <v>0</v>
      </c>
      <c r="AO421" s="1">
        <f t="shared" si="306"/>
        <v>-0.5</v>
      </c>
      <c r="AP421" s="1">
        <f t="shared" si="307"/>
        <v>-1</v>
      </c>
      <c r="AQ421" s="1" t="e">
        <f t="shared" si="308"/>
        <v>#DIV/0!</v>
      </c>
      <c r="AR421" s="1" t="e">
        <f t="shared" si="309"/>
        <v>#DIV/0!</v>
      </c>
      <c r="AS421" s="12" t="e">
        <f t="shared" si="310"/>
        <v>#DIV/0!</v>
      </c>
      <c r="AT421" s="12" t="e">
        <f t="shared" si="311"/>
        <v>#DIV/0!</v>
      </c>
      <c r="AU421" s="1">
        <f t="shared" si="312"/>
        <v>1</v>
      </c>
      <c r="AV421" s="1">
        <f t="shared" si="313"/>
        <v>0</v>
      </c>
      <c r="AW421" s="1">
        <f t="shared" si="314"/>
        <v>-1</v>
      </c>
      <c r="AX421" s="1">
        <f t="shared" si="315"/>
        <v>-1</v>
      </c>
      <c r="AY421" s="1">
        <f t="shared" si="316"/>
        <v>0</v>
      </c>
      <c r="AZ421" s="1">
        <f t="shared" si="317"/>
        <v>1</v>
      </c>
      <c r="BA421" s="19">
        <f t="shared" si="318"/>
        <v>0</v>
      </c>
      <c r="BB421" s="19">
        <f t="shared" si="319"/>
        <v>0</v>
      </c>
      <c r="BC421" s="9">
        <f t="shared" si="320"/>
        <v>0</v>
      </c>
      <c r="BD421" s="9">
        <f t="shared" si="321"/>
        <v>-1</v>
      </c>
      <c r="BE421" s="9" t="e">
        <f t="shared" si="322"/>
        <v>#DIV/0!</v>
      </c>
      <c r="BF421" s="9">
        <f t="shared" si="323"/>
        <v>-1</v>
      </c>
      <c r="BG421" s="9" t="e">
        <f t="shared" si="324"/>
        <v>#DIV/0!</v>
      </c>
      <c r="BH421" s="9" t="e">
        <f t="shared" si="325"/>
        <v>#DIV/0!</v>
      </c>
      <c r="BI421" s="12" t="e">
        <f t="shared" si="326"/>
        <v>#DIV/0!</v>
      </c>
      <c r="BJ421" s="13" t="e">
        <f t="shared" si="327"/>
        <v>#DIV/0!</v>
      </c>
      <c r="BK421" s="1">
        <f t="shared" si="328"/>
        <v>0</v>
      </c>
      <c r="BL421" s="1">
        <f t="shared" si="329"/>
        <v>-1</v>
      </c>
      <c r="BM421" s="1">
        <f t="shared" si="330"/>
        <v>1</v>
      </c>
      <c r="BN421" s="1">
        <f t="shared" si="331"/>
        <v>-1</v>
      </c>
      <c r="BO421" s="1">
        <f t="shared" si="332"/>
        <v>0</v>
      </c>
      <c r="BP421" s="1">
        <f t="shared" si="333"/>
        <v>0</v>
      </c>
      <c r="BQ421" s="19">
        <f t="shared" si="334"/>
        <v>-0.16666666666666666</v>
      </c>
      <c r="BR421" s="17">
        <f t="shared" si="335"/>
        <v>0</v>
      </c>
    </row>
    <row r="422" spans="1:70" x14ac:dyDescent="0.25">
      <c r="A422" t="s">
        <v>471</v>
      </c>
      <c r="B422">
        <v>2</v>
      </c>
      <c r="C422">
        <v>4</v>
      </c>
      <c r="D422">
        <v>4</v>
      </c>
      <c r="E422">
        <v>2</v>
      </c>
      <c r="F422">
        <v>4</v>
      </c>
      <c r="G422">
        <v>1</v>
      </c>
      <c r="H422">
        <v>1</v>
      </c>
      <c r="J422">
        <v>2</v>
      </c>
      <c r="K422">
        <v>3</v>
      </c>
      <c r="L422">
        <v>1</v>
      </c>
      <c r="M422">
        <v>1</v>
      </c>
      <c r="N422">
        <v>1</v>
      </c>
      <c r="P422">
        <v>2</v>
      </c>
      <c r="Q422">
        <v>2</v>
      </c>
      <c r="R422">
        <v>1</v>
      </c>
      <c r="S422">
        <v>1</v>
      </c>
      <c r="T422">
        <v>3</v>
      </c>
      <c r="V422">
        <v>1</v>
      </c>
      <c r="W422" s="8">
        <f t="shared" si="288"/>
        <v>1</v>
      </c>
      <c r="X422" s="8">
        <f t="shared" si="289"/>
        <v>0</v>
      </c>
      <c r="Y422" s="8">
        <f t="shared" si="290"/>
        <v>-0.5</v>
      </c>
      <c r="Z422" s="8">
        <f t="shared" si="291"/>
        <v>1</v>
      </c>
      <c r="AA422" s="8">
        <f t="shared" si="292"/>
        <v>-0.75</v>
      </c>
      <c r="AB422" s="8">
        <f t="shared" si="293"/>
        <v>0</v>
      </c>
      <c r="AC422" s="12">
        <f t="shared" si="294"/>
        <v>0.125</v>
      </c>
      <c r="AD422" s="12">
        <f t="shared" si="295"/>
        <v>0</v>
      </c>
      <c r="AE422" s="1">
        <f t="shared" si="296"/>
        <v>2</v>
      </c>
      <c r="AF422" s="1">
        <f t="shared" si="297"/>
        <v>0</v>
      </c>
      <c r="AG422" s="1">
        <f t="shared" si="298"/>
        <v>-2</v>
      </c>
      <c r="AH422" s="1">
        <f t="shared" si="299"/>
        <v>2</v>
      </c>
      <c r="AI422" s="1">
        <f t="shared" si="300"/>
        <v>-3</v>
      </c>
      <c r="AJ422" s="1">
        <f t="shared" si="301"/>
        <v>0</v>
      </c>
      <c r="AK422" s="17">
        <f t="shared" si="302"/>
        <v>-0.16666666666666666</v>
      </c>
      <c r="AL422" s="17">
        <f t="shared" si="303"/>
        <v>0</v>
      </c>
      <c r="AM422" s="1" t="e">
        <f t="shared" si="304"/>
        <v>#DIV/0!</v>
      </c>
      <c r="AN422" s="1">
        <f t="shared" si="305"/>
        <v>0.5</v>
      </c>
      <c r="AO422" s="1">
        <f t="shared" si="306"/>
        <v>-0.66666666666666663</v>
      </c>
      <c r="AP422" s="1">
        <f t="shared" si="307"/>
        <v>0</v>
      </c>
      <c r="AQ422" s="1">
        <f t="shared" si="308"/>
        <v>0</v>
      </c>
      <c r="AR422" s="1">
        <f t="shared" si="309"/>
        <v>-1</v>
      </c>
      <c r="AS422" s="12" t="e">
        <f t="shared" si="310"/>
        <v>#DIV/0!</v>
      </c>
      <c r="AT422" s="12" t="e">
        <f t="shared" si="311"/>
        <v>#DIV/0!</v>
      </c>
      <c r="AU422" s="1">
        <f t="shared" si="312"/>
        <v>2</v>
      </c>
      <c r="AV422" s="1">
        <f t="shared" si="313"/>
        <v>1</v>
      </c>
      <c r="AW422" s="1">
        <f t="shared" si="314"/>
        <v>-2</v>
      </c>
      <c r="AX422" s="1">
        <f t="shared" si="315"/>
        <v>0</v>
      </c>
      <c r="AY422" s="1">
        <f t="shared" si="316"/>
        <v>0</v>
      </c>
      <c r="AZ422" s="1">
        <f t="shared" si="317"/>
        <v>-1</v>
      </c>
      <c r="BA422" s="19">
        <f t="shared" si="318"/>
        <v>0</v>
      </c>
      <c r="BB422" s="19">
        <f t="shared" si="319"/>
        <v>0</v>
      </c>
      <c r="BC422" s="9">
        <f t="shared" si="320"/>
        <v>0</v>
      </c>
      <c r="BD422" s="9">
        <f t="shared" si="321"/>
        <v>-0.5</v>
      </c>
      <c r="BE422" s="9">
        <f t="shared" si="322"/>
        <v>0</v>
      </c>
      <c r="BF422" s="9">
        <f t="shared" si="323"/>
        <v>2</v>
      </c>
      <c r="BG422" s="9">
        <f t="shared" si="324"/>
        <v>-1</v>
      </c>
      <c r="BH422" s="9" t="e">
        <f t="shared" si="325"/>
        <v>#DIV/0!</v>
      </c>
      <c r="BI422" s="12" t="e">
        <f t="shared" si="326"/>
        <v>#DIV/0!</v>
      </c>
      <c r="BJ422" s="13" t="e">
        <f t="shared" si="327"/>
        <v>#DIV/0!</v>
      </c>
      <c r="BK422" s="1">
        <f t="shared" si="328"/>
        <v>0</v>
      </c>
      <c r="BL422" s="1">
        <f t="shared" si="329"/>
        <v>-1</v>
      </c>
      <c r="BM422" s="1">
        <f t="shared" si="330"/>
        <v>0</v>
      </c>
      <c r="BN422" s="1">
        <f t="shared" si="331"/>
        <v>2</v>
      </c>
      <c r="BO422" s="1">
        <f t="shared" si="332"/>
        <v>-3</v>
      </c>
      <c r="BP422" s="1">
        <f t="shared" si="333"/>
        <v>1</v>
      </c>
      <c r="BQ422" s="19">
        <f t="shared" si="334"/>
        <v>-0.16666666666666666</v>
      </c>
      <c r="BR422" s="17">
        <f t="shared" si="335"/>
        <v>0</v>
      </c>
    </row>
    <row r="423" spans="1:70" x14ac:dyDescent="0.25">
      <c r="A423" t="s">
        <v>475</v>
      </c>
      <c r="B423">
        <v>2</v>
      </c>
      <c r="C423">
        <v>2</v>
      </c>
      <c r="D423">
        <v>2</v>
      </c>
      <c r="E423">
        <v>1</v>
      </c>
      <c r="F423">
        <v>2</v>
      </c>
      <c r="G423">
        <v>1</v>
      </c>
      <c r="H423">
        <v>1</v>
      </c>
      <c r="P423">
        <v>2</v>
      </c>
      <c r="Q423">
        <v>2</v>
      </c>
      <c r="R423">
        <v>2</v>
      </c>
      <c r="S423">
        <v>1</v>
      </c>
      <c r="T423">
        <v>2</v>
      </c>
      <c r="U423">
        <v>1</v>
      </c>
      <c r="V423">
        <v>1</v>
      </c>
      <c r="W423" s="8">
        <f t="shared" si="288"/>
        <v>0</v>
      </c>
      <c r="X423" s="8">
        <f t="shared" si="289"/>
        <v>0</v>
      </c>
      <c r="Y423" s="8">
        <f t="shared" si="290"/>
        <v>-0.5</v>
      </c>
      <c r="Z423" s="8">
        <f t="shared" si="291"/>
        <v>1</v>
      </c>
      <c r="AA423" s="8">
        <f t="shared" si="292"/>
        <v>-0.5</v>
      </c>
      <c r="AB423" s="8">
        <f t="shared" si="293"/>
        <v>0</v>
      </c>
      <c r="AC423" s="12">
        <f t="shared" si="294"/>
        <v>0</v>
      </c>
      <c r="AD423" s="12">
        <f t="shared" si="295"/>
        <v>0</v>
      </c>
      <c r="AE423" s="1">
        <f t="shared" si="296"/>
        <v>0</v>
      </c>
      <c r="AF423" s="1">
        <f t="shared" si="297"/>
        <v>0</v>
      </c>
      <c r="AG423" s="1">
        <f t="shared" si="298"/>
        <v>-1</v>
      </c>
      <c r="AH423" s="1">
        <f t="shared" si="299"/>
        <v>1</v>
      </c>
      <c r="AI423" s="1">
        <f t="shared" si="300"/>
        <v>-1</v>
      </c>
      <c r="AJ423" s="1">
        <f t="shared" si="301"/>
        <v>0</v>
      </c>
      <c r="AK423" s="17">
        <f t="shared" si="302"/>
        <v>-0.16666666666666666</v>
      </c>
      <c r="AL423" s="17">
        <f t="shared" si="303"/>
        <v>0</v>
      </c>
      <c r="AM423" s="1" t="e">
        <f t="shared" si="304"/>
        <v>#DIV/0!</v>
      </c>
      <c r="AN423" s="1" t="e">
        <f t="shared" si="305"/>
        <v>#DIV/0!</v>
      </c>
      <c r="AO423" s="1" t="e">
        <f t="shared" si="306"/>
        <v>#DIV/0!</v>
      </c>
      <c r="AP423" s="1" t="e">
        <f t="shared" si="307"/>
        <v>#DIV/0!</v>
      </c>
      <c r="AQ423" s="1" t="e">
        <f t="shared" si="308"/>
        <v>#DIV/0!</v>
      </c>
      <c r="AR423" s="1" t="e">
        <f t="shared" si="309"/>
        <v>#DIV/0!</v>
      </c>
      <c r="AS423" s="12" t="e">
        <f t="shared" si="310"/>
        <v>#DIV/0!</v>
      </c>
      <c r="AT423" s="12" t="e">
        <f t="shared" si="311"/>
        <v>#DIV/0!</v>
      </c>
      <c r="AU423" s="1">
        <f t="shared" si="312"/>
        <v>0</v>
      </c>
      <c r="AV423" s="1">
        <f t="shared" si="313"/>
        <v>0</v>
      </c>
      <c r="AW423" s="1">
        <f t="shared" si="314"/>
        <v>0</v>
      </c>
      <c r="AX423" s="1">
        <f t="shared" si="315"/>
        <v>0</v>
      </c>
      <c r="AY423" s="1">
        <f t="shared" si="316"/>
        <v>0</v>
      </c>
      <c r="AZ423" s="1">
        <f t="shared" si="317"/>
        <v>0</v>
      </c>
      <c r="BA423" s="19">
        <f t="shared" si="318"/>
        <v>0</v>
      </c>
      <c r="BB423" s="19">
        <f t="shared" si="319"/>
        <v>0</v>
      </c>
      <c r="BC423" s="9">
        <f t="shared" si="320"/>
        <v>0</v>
      </c>
      <c r="BD423" s="9">
        <f t="shared" si="321"/>
        <v>0</v>
      </c>
      <c r="BE423" s="9">
        <f t="shared" si="322"/>
        <v>-0.5</v>
      </c>
      <c r="BF423" s="9">
        <f t="shared" si="323"/>
        <v>1</v>
      </c>
      <c r="BG423" s="9">
        <f t="shared" si="324"/>
        <v>-0.5</v>
      </c>
      <c r="BH423" s="9">
        <f t="shared" si="325"/>
        <v>0</v>
      </c>
      <c r="BI423" s="12">
        <f t="shared" si="326"/>
        <v>0</v>
      </c>
      <c r="BJ423" s="13">
        <f t="shared" si="327"/>
        <v>0</v>
      </c>
      <c r="BK423" s="1">
        <f t="shared" si="328"/>
        <v>0</v>
      </c>
      <c r="BL423" s="1">
        <f t="shared" si="329"/>
        <v>0</v>
      </c>
      <c r="BM423" s="1">
        <f t="shared" si="330"/>
        <v>-1</v>
      </c>
      <c r="BN423" s="1">
        <f t="shared" si="331"/>
        <v>1</v>
      </c>
      <c r="BO423" s="1">
        <f t="shared" si="332"/>
        <v>-1</v>
      </c>
      <c r="BP423" s="1">
        <f t="shared" si="333"/>
        <v>0</v>
      </c>
      <c r="BQ423" s="19">
        <f t="shared" si="334"/>
        <v>-0.16666666666666666</v>
      </c>
      <c r="BR423" s="17">
        <f t="shared" si="335"/>
        <v>0</v>
      </c>
    </row>
    <row r="424" spans="1:70" x14ac:dyDescent="0.25">
      <c r="A424" t="s">
        <v>480</v>
      </c>
      <c r="B424">
        <v>2</v>
      </c>
      <c r="C424">
        <v>5</v>
      </c>
      <c r="D424">
        <v>3</v>
      </c>
      <c r="E424">
        <v>1</v>
      </c>
      <c r="F424">
        <v>3</v>
      </c>
      <c r="H424">
        <v>1</v>
      </c>
      <c r="I424">
        <v>1</v>
      </c>
      <c r="J424">
        <v>4</v>
      </c>
      <c r="K424">
        <v>2</v>
      </c>
      <c r="L424">
        <v>1</v>
      </c>
      <c r="M424">
        <v>1</v>
      </c>
      <c r="O424">
        <v>1</v>
      </c>
      <c r="P424">
        <v>1</v>
      </c>
      <c r="Q424">
        <v>1</v>
      </c>
      <c r="R424">
        <v>1</v>
      </c>
      <c r="T424">
        <v>2</v>
      </c>
      <c r="W424" s="8">
        <f t="shared" si="288"/>
        <v>1.5</v>
      </c>
      <c r="X424" s="8">
        <f t="shared" si="289"/>
        <v>-0.4</v>
      </c>
      <c r="Y424" s="8">
        <f t="shared" si="290"/>
        <v>-0.66666666666666663</v>
      </c>
      <c r="Z424" s="8">
        <f t="shared" si="291"/>
        <v>2</v>
      </c>
      <c r="AA424" s="8">
        <f t="shared" si="292"/>
        <v>-1</v>
      </c>
      <c r="AB424" s="8" t="e">
        <f t="shared" si="293"/>
        <v>#DIV/0!</v>
      </c>
      <c r="AC424" s="12" t="e">
        <f t="shared" si="294"/>
        <v>#DIV/0!</v>
      </c>
      <c r="AD424" s="12" t="e">
        <f t="shared" si="295"/>
        <v>#DIV/0!</v>
      </c>
      <c r="AE424" s="1">
        <f t="shared" si="296"/>
        <v>3</v>
      </c>
      <c r="AF424" s="1">
        <f t="shared" si="297"/>
        <v>-2</v>
      </c>
      <c r="AG424" s="1">
        <f t="shared" si="298"/>
        <v>-2</v>
      </c>
      <c r="AH424" s="1">
        <f t="shared" si="299"/>
        <v>2</v>
      </c>
      <c r="AI424" s="1">
        <f t="shared" si="300"/>
        <v>-3</v>
      </c>
      <c r="AJ424" s="1">
        <f t="shared" si="301"/>
        <v>1</v>
      </c>
      <c r="AK424" s="17">
        <f t="shared" si="302"/>
        <v>-0.16666666666666666</v>
      </c>
      <c r="AL424" s="17">
        <f t="shared" si="303"/>
        <v>-0.5</v>
      </c>
      <c r="AM424" s="1">
        <f t="shared" si="304"/>
        <v>3</v>
      </c>
      <c r="AN424" s="1">
        <f t="shared" si="305"/>
        <v>-0.5</v>
      </c>
      <c r="AO424" s="1">
        <f t="shared" si="306"/>
        <v>-0.5</v>
      </c>
      <c r="AP424" s="1">
        <f t="shared" si="307"/>
        <v>0</v>
      </c>
      <c r="AQ424" s="1">
        <f t="shared" si="308"/>
        <v>-1</v>
      </c>
      <c r="AR424" s="1" t="e">
        <f t="shared" si="309"/>
        <v>#DIV/0!</v>
      </c>
      <c r="AS424" s="12" t="e">
        <f t="shared" si="310"/>
        <v>#DIV/0!</v>
      </c>
      <c r="AT424" s="12" t="e">
        <f t="shared" si="311"/>
        <v>#DIV/0!</v>
      </c>
      <c r="AU424" s="1">
        <f t="shared" si="312"/>
        <v>3</v>
      </c>
      <c r="AV424" s="1">
        <f t="shared" si="313"/>
        <v>-2</v>
      </c>
      <c r="AW424" s="1">
        <f t="shared" si="314"/>
        <v>-1</v>
      </c>
      <c r="AX424" s="1">
        <f t="shared" si="315"/>
        <v>0</v>
      </c>
      <c r="AY424" s="1">
        <f t="shared" si="316"/>
        <v>-1</v>
      </c>
      <c r="AZ424" s="1">
        <f t="shared" si="317"/>
        <v>1</v>
      </c>
      <c r="BA424" s="19">
        <f t="shared" si="318"/>
        <v>0</v>
      </c>
      <c r="BB424" s="19">
        <f t="shared" si="319"/>
        <v>-0.5</v>
      </c>
      <c r="BC424" s="9">
        <f t="shared" si="320"/>
        <v>0</v>
      </c>
      <c r="BD424" s="9">
        <f t="shared" si="321"/>
        <v>0</v>
      </c>
      <c r="BE424" s="9">
        <f t="shared" si="322"/>
        <v>-1</v>
      </c>
      <c r="BF424" s="9" t="e">
        <f t="shared" si="323"/>
        <v>#DIV/0!</v>
      </c>
      <c r="BG424" s="9">
        <f t="shared" si="324"/>
        <v>-1</v>
      </c>
      <c r="BH424" s="9" t="e">
        <f t="shared" si="325"/>
        <v>#DIV/0!</v>
      </c>
      <c r="BI424" s="12" t="e">
        <f t="shared" si="326"/>
        <v>#DIV/0!</v>
      </c>
      <c r="BJ424" s="13" t="e">
        <f t="shared" si="327"/>
        <v>#DIV/0!</v>
      </c>
      <c r="BK424" s="1">
        <f t="shared" si="328"/>
        <v>0</v>
      </c>
      <c r="BL424" s="1">
        <f t="shared" si="329"/>
        <v>0</v>
      </c>
      <c r="BM424" s="1">
        <f t="shared" si="330"/>
        <v>-1</v>
      </c>
      <c r="BN424" s="1">
        <f t="shared" si="331"/>
        <v>2</v>
      </c>
      <c r="BO424" s="1">
        <f t="shared" si="332"/>
        <v>-2</v>
      </c>
      <c r="BP424" s="1">
        <f t="shared" si="333"/>
        <v>0</v>
      </c>
      <c r="BQ424" s="19">
        <f t="shared" si="334"/>
        <v>-0.16666666666666666</v>
      </c>
      <c r="BR424" s="17">
        <f t="shared" si="335"/>
        <v>0</v>
      </c>
    </row>
    <row r="425" spans="1:70" x14ac:dyDescent="0.25">
      <c r="A425" t="s">
        <v>481</v>
      </c>
      <c r="B425">
        <v>2</v>
      </c>
      <c r="F425">
        <v>2</v>
      </c>
      <c r="G425">
        <v>3</v>
      </c>
      <c r="H425">
        <v>1</v>
      </c>
      <c r="I425">
        <v>2</v>
      </c>
      <c r="M425">
        <v>1</v>
      </c>
      <c r="O425">
        <v>1</v>
      </c>
      <c r="T425">
        <v>1</v>
      </c>
      <c r="U425">
        <v>3</v>
      </c>
      <c r="W425" s="8">
        <f t="shared" si="288"/>
        <v>-1</v>
      </c>
      <c r="X425" s="8" t="e">
        <f t="shared" si="289"/>
        <v>#DIV/0!</v>
      </c>
      <c r="Y425" s="8" t="e">
        <f t="shared" si="290"/>
        <v>#DIV/0!</v>
      </c>
      <c r="Z425" s="8" t="e">
        <f t="shared" si="291"/>
        <v>#DIV/0!</v>
      </c>
      <c r="AA425" s="8">
        <f t="shared" si="292"/>
        <v>0.5</v>
      </c>
      <c r="AB425" s="8">
        <f t="shared" si="293"/>
        <v>-0.66666666666666663</v>
      </c>
      <c r="AC425" s="12" t="e">
        <f t="shared" si="294"/>
        <v>#DIV/0!</v>
      </c>
      <c r="AD425" s="12" t="e">
        <f t="shared" si="295"/>
        <v>#DIV/0!</v>
      </c>
      <c r="AE425" s="1">
        <f t="shared" si="296"/>
        <v>-2</v>
      </c>
      <c r="AF425" s="1">
        <f t="shared" si="297"/>
        <v>0</v>
      </c>
      <c r="AG425" s="1">
        <f t="shared" si="298"/>
        <v>0</v>
      </c>
      <c r="AH425" s="1">
        <f t="shared" si="299"/>
        <v>2</v>
      </c>
      <c r="AI425" s="1">
        <f t="shared" si="300"/>
        <v>1</v>
      </c>
      <c r="AJ425" s="1">
        <f t="shared" si="301"/>
        <v>-2</v>
      </c>
      <c r="AK425" s="17">
        <f t="shared" si="302"/>
        <v>-0.16666666666666666</v>
      </c>
      <c r="AL425" s="17">
        <f t="shared" si="303"/>
        <v>0</v>
      </c>
      <c r="AM425" s="1">
        <f t="shared" si="304"/>
        <v>-1</v>
      </c>
      <c r="AN425" s="1" t="e">
        <f t="shared" si="305"/>
        <v>#DIV/0!</v>
      </c>
      <c r="AO425" s="1" t="e">
        <f t="shared" si="306"/>
        <v>#DIV/0!</v>
      </c>
      <c r="AP425" s="1" t="e">
        <f t="shared" si="307"/>
        <v>#DIV/0!</v>
      </c>
      <c r="AQ425" s="1">
        <f t="shared" si="308"/>
        <v>-1</v>
      </c>
      <c r="AR425" s="1" t="e">
        <f t="shared" si="309"/>
        <v>#DIV/0!</v>
      </c>
      <c r="AS425" s="12" t="e">
        <f t="shared" si="310"/>
        <v>#DIV/0!</v>
      </c>
      <c r="AT425" s="12" t="e">
        <f t="shared" si="311"/>
        <v>#DIV/0!</v>
      </c>
      <c r="AU425" s="1">
        <f t="shared" si="312"/>
        <v>-2</v>
      </c>
      <c r="AV425" s="1">
        <f t="shared" si="313"/>
        <v>0</v>
      </c>
      <c r="AW425" s="1">
        <f t="shared" si="314"/>
        <v>0</v>
      </c>
      <c r="AX425" s="1">
        <f t="shared" si="315"/>
        <v>1</v>
      </c>
      <c r="AY425" s="1">
        <f t="shared" si="316"/>
        <v>-1</v>
      </c>
      <c r="AZ425" s="1">
        <f t="shared" si="317"/>
        <v>1</v>
      </c>
      <c r="BA425" s="19">
        <f t="shared" si="318"/>
        <v>-0.16666666666666666</v>
      </c>
      <c r="BB425" s="19">
        <f t="shared" si="319"/>
        <v>0</v>
      </c>
      <c r="BC425" s="9" t="e">
        <f t="shared" si="320"/>
        <v>#DIV/0!</v>
      </c>
      <c r="BD425" s="9" t="e">
        <f t="shared" si="321"/>
        <v>#DIV/0!</v>
      </c>
      <c r="BE425" s="9" t="e">
        <f t="shared" si="322"/>
        <v>#DIV/0!</v>
      </c>
      <c r="BF425" s="9" t="e">
        <f t="shared" si="323"/>
        <v>#DIV/0!</v>
      </c>
      <c r="BG425" s="9">
        <f t="shared" si="324"/>
        <v>2</v>
      </c>
      <c r="BH425" s="9">
        <f t="shared" si="325"/>
        <v>-1</v>
      </c>
      <c r="BI425" s="12" t="e">
        <f t="shared" si="326"/>
        <v>#DIV/0!</v>
      </c>
      <c r="BJ425" s="13" t="e">
        <f t="shared" si="327"/>
        <v>#DIV/0!</v>
      </c>
      <c r="BK425" s="1">
        <f t="shared" si="328"/>
        <v>0</v>
      </c>
      <c r="BL425" s="1">
        <f t="shared" si="329"/>
        <v>0</v>
      </c>
      <c r="BM425" s="1">
        <f t="shared" si="330"/>
        <v>0</v>
      </c>
      <c r="BN425" s="1">
        <f t="shared" si="331"/>
        <v>1</v>
      </c>
      <c r="BO425" s="1">
        <f t="shared" si="332"/>
        <v>2</v>
      </c>
      <c r="BP425" s="1">
        <f t="shared" si="333"/>
        <v>-3</v>
      </c>
      <c r="BQ425" s="19">
        <f t="shared" si="334"/>
        <v>0</v>
      </c>
      <c r="BR425" s="17">
        <f t="shared" si="335"/>
        <v>0</v>
      </c>
    </row>
    <row r="426" spans="1:70" x14ac:dyDescent="0.25">
      <c r="A426" t="s">
        <v>487</v>
      </c>
      <c r="B426">
        <v>1</v>
      </c>
      <c r="E426">
        <v>1</v>
      </c>
      <c r="P426">
        <v>1</v>
      </c>
      <c r="S426">
        <v>1</v>
      </c>
      <c r="W426" s="8">
        <f t="shared" si="288"/>
        <v>-1</v>
      </c>
      <c r="X426" s="8" t="e">
        <f t="shared" si="289"/>
        <v>#DIV/0!</v>
      </c>
      <c r="Y426" s="8" t="e">
        <f t="shared" si="290"/>
        <v>#DIV/0!</v>
      </c>
      <c r="Z426" s="8">
        <f t="shared" si="291"/>
        <v>-1</v>
      </c>
      <c r="AA426" s="8" t="e">
        <f t="shared" si="292"/>
        <v>#DIV/0!</v>
      </c>
      <c r="AB426" s="8" t="e">
        <f t="shared" si="293"/>
        <v>#DIV/0!</v>
      </c>
      <c r="AC426" s="12" t="e">
        <f t="shared" si="294"/>
        <v>#DIV/0!</v>
      </c>
      <c r="AD426" s="12" t="e">
        <f t="shared" si="295"/>
        <v>#DIV/0!</v>
      </c>
      <c r="AE426" s="1">
        <f t="shared" si="296"/>
        <v>-1</v>
      </c>
      <c r="AF426" s="1">
        <f t="shared" si="297"/>
        <v>0</v>
      </c>
      <c r="AG426" s="1">
        <f t="shared" si="298"/>
        <v>1</v>
      </c>
      <c r="AH426" s="1">
        <f t="shared" si="299"/>
        <v>-1</v>
      </c>
      <c r="AI426" s="1">
        <f t="shared" si="300"/>
        <v>0</v>
      </c>
      <c r="AJ426" s="1">
        <f t="shared" si="301"/>
        <v>0</v>
      </c>
      <c r="AK426" s="17">
        <f t="shared" si="302"/>
        <v>-0.16666666666666666</v>
      </c>
      <c r="AL426" s="17">
        <f t="shared" si="303"/>
        <v>0</v>
      </c>
      <c r="AM426" s="1" t="e">
        <f t="shared" si="304"/>
        <v>#DIV/0!</v>
      </c>
      <c r="AN426" s="1" t="e">
        <f t="shared" si="305"/>
        <v>#DIV/0!</v>
      </c>
      <c r="AO426" s="1" t="e">
        <f t="shared" si="306"/>
        <v>#DIV/0!</v>
      </c>
      <c r="AP426" s="1" t="e">
        <f t="shared" si="307"/>
        <v>#DIV/0!</v>
      </c>
      <c r="AQ426" s="1" t="e">
        <f t="shared" si="308"/>
        <v>#DIV/0!</v>
      </c>
      <c r="AR426" s="1" t="e">
        <f t="shared" si="309"/>
        <v>#DIV/0!</v>
      </c>
      <c r="AS426" s="12" t="e">
        <f t="shared" si="310"/>
        <v>#DIV/0!</v>
      </c>
      <c r="AT426" s="12" t="e">
        <f t="shared" si="311"/>
        <v>#DIV/0!</v>
      </c>
      <c r="AU426" s="1">
        <f t="shared" si="312"/>
        <v>0</v>
      </c>
      <c r="AV426" s="1">
        <f t="shared" si="313"/>
        <v>0</v>
      </c>
      <c r="AW426" s="1">
        <f t="shared" si="314"/>
        <v>0</v>
      </c>
      <c r="AX426" s="1">
        <f t="shared" si="315"/>
        <v>0</v>
      </c>
      <c r="AY426" s="1">
        <f t="shared" si="316"/>
        <v>0</v>
      </c>
      <c r="AZ426" s="1">
        <f t="shared" si="317"/>
        <v>0</v>
      </c>
      <c r="BA426" s="19">
        <f t="shared" si="318"/>
        <v>0</v>
      </c>
      <c r="BB426" s="19">
        <f t="shared" si="319"/>
        <v>0</v>
      </c>
      <c r="BC426" s="9">
        <f t="shared" si="320"/>
        <v>-1</v>
      </c>
      <c r="BD426" s="9" t="e">
        <f t="shared" si="321"/>
        <v>#DIV/0!</v>
      </c>
      <c r="BE426" s="9" t="e">
        <f t="shared" si="322"/>
        <v>#DIV/0!</v>
      </c>
      <c r="BF426" s="9">
        <f t="shared" si="323"/>
        <v>-1</v>
      </c>
      <c r="BG426" s="9" t="e">
        <f t="shared" si="324"/>
        <v>#DIV/0!</v>
      </c>
      <c r="BH426" s="9" t="e">
        <f t="shared" si="325"/>
        <v>#DIV/0!</v>
      </c>
      <c r="BI426" s="12" t="e">
        <f t="shared" si="326"/>
        <v>#DIV/0!</v>
      </c>
      <c r="BJ426" s="13" t="e">
        <f t="shared" si="327"/>
        <v>#DIV/0!</v>
      </c>
      <c r="BK426" s="1">
        <f t="shared" si="328"/>
        <v>-1</v>
      </c>
      <c r="BL426" s="1">
        <f t="shared" si="329"/>
        <v>0</v>
      </c>
      <c r="BM426" s="1">
        <f t="shared" si="330"/>
        <v>1</v>
      </c>
      <c r="BN426" s="1">
        <f t="shared" si="331"/>
        <v>-1</v>
      </c>
      <c r="BO426" s="1">
        <f t="shared" si="332"/>
        <v>0</v>
      </c>
      <c r="BP426" s="1">
        <f t="shared" si="333"/>
        <v>0</v>
      </c>
      <c r="BQ426" s="19">
        <f t="shared" si="334"/>
        <v>-0.16666666666666666</v>
      </c>
      <c r="BR426" s="17">
        <f t="shared" si="335"/>
        <v>0</v>
      </c>
    </row>
    <row r="427" spans="1:70" x14ac:dyDescent="0.25">
      <c r="A427" t="s">
        <v>490</v>
      </c>
      <c r="B427">
        <v>1</v>
      </c>
      <c r="G427">
        <v>3</v>
      </c>
      <c r="I427">
        <v>1</v>
      </c>
      <c r="N427">
        <v>3</v>
      </c>
      <c r="W427" s="8">
        <f t="shared" si="288"/>
        <v>-1</v>
      </c>
      <c r="X427" s="8" t="e">
        <f t="shared" si="289"/>
        <v>#DIV/0!</v>
      </c>
      <c r="Y427" s="8" t="e">
        <f t="shared" si="290"/>
        <v>#DIV/0!</v>
      </c>
      <c r="Z427" s="8" t="e">
        <f t="shared" si="291"/>
        <v>#DIV/0!</v>
      </c>
      <c r="AA427" s="8" t="e">
        <f t="shared" si="292"/>
        <v>#DIV/0!</v>
      </c>
      <c r="AB427" s="8">
        <f t="shared" si="293"/>
        <v>-1</v>
      </c>
      <c r="AC427" s="12" t="e">
        <f t="shared" si="294"/>
        <v>#DIV/0!</v>
      </c>
      <c r="AD427" s="12" t="e">
        <f t="shared" si="295"/>
        <v>#DIV/0!</v>
      </c>
      <c r="AE427" s="1">
        <f t="shared" si="296"/>
        <v>-1</v>
      </c>
      <c r="AF427" s="1">
        <f t="shared" si="297"/>
        <v>0</v>
      </c>
      <c r="AG427" s="1">
        <f t="shared" si="298"/>
        <v>0</v>
      </c>
      <c r="AH427" s="1">
        <f t="shared" si="299"/>
        <v>0</v>
      </c>
      <c r="AI427" s="1">
        <f t="shared" si="300"/>
        <v>3</v>
      </c>
      <c r="AJ427" s="1">
        <f t="shared" si="301"/>
        <v>-3</v>
      </c>
      <c r="AK427" s="17">
        <f t="shared" si="302"/>
        <v>-0.16666666666666666</v>
      </c>
      <c r="AL427" s="17">
        <f t="shared" si="303"/>
        <v>0</v>
      </c>
      <c r="AM427" s="1">
        <f t="shared" si="304"/>
        <v>-1</v>
      </c>
      <c r="AN427" s="1" t="e">
        <f t="shared" si="305"/>
        <v>#DIV/0!</v>
      </c>
      <c r="AO427" s="1" t="e">
        <f t="shared" si="306"/>
        <v>#DIV/0!</v>
      </c>
      <c r="AP427" s="1" t="e">
        <f t="shared" si="307"/>
        <v>#DIV/0!</v>
      </c>
      <c r="AQ427" s="1" t="e">
        <f t="shared" si="308"/>
        <v>#DIV/0!</v>
      </c>
      <c r="AR427" s="1">
        <f t="shared" si="309"/>
        <v>-1</v>
      </c>
      <c r="AS427" s="12" t="e">
        <f t="shared" si="310"/>
        <v>#DIV/0!</v>
      </c>
      <c r="AT427" s="12" t="e">
        <f t="shared" si="311"/>
        <v>#DIV/0!</v>
      </c>
      <c r="AU427" s="1">
        <f t="shared" si="312"/>
        <v>-1</v>
      </c>
      <c r="AV427" s="1">
        <f t="shared" si="313"/>
        <v>0</v>
      </c>
      <c r="AW427" s="1">
        <f t="shared" si="314"/>
        <v>0</v>
      </c>
      <c r="AX427" s="1">
        <f t="shared" si="315"/>
        <v>0</v>
      </c>
      <c r="AY427" s="1">
        <f t="shared" si="316"/>
        <v>3</v>
      </c>
      <c r="AZ427" s="1">
        <f t="shared" si="317"/>
        <v>-3</v>
      </c>
      <c r="BA427" s="19">
        <f t="shared" si="318"/>
        <v>-0.16666666666666666</v>
      </c>
      <c r="BB427" s="19">
        <f t="shared" si="319"/>
        <v>0</v>
      </c>
      <c r="BC427" s="9" t="e">
        <f t="shared" si="320"/>
        <v>#DIV/0!</v>
      </c>
      <c r="BD427" s="9" t="e">
        <f t="shared" si="321"/>
        <v>#DIV/0!</v>
      </c>
      <c r="BE427" s="9" t="e">
        <f t="shared" si="322"/>
        <v>#DIV/0!</v>
      </c>
      <c r="BF427" s="9" t="e">
        <f t="shared" si="323"/>
        <v>#DIV/0!</v>
      </c>
      <c r="BG427" s="9" t="e">
        <f t="shared" si="324"/>
        <v>#DIV/0!</v>
      </c>
      <c r="BH427" s="9" t="e">
        <f t="shared" si="325"/>
        <v>#DIV/0!</v>
      </c>
      <c r="BI427" s="12" t="e">
        <f t="shared" si="326"/>
        <v>#DIV/0!</v>
      </c>
      <c r="BJ427" s="13" t="e">
        <f t="shared" si="327"/>
        <v>#DIV/0!</v>
      </c>
      <c r="BK427" s="1">
        <f t="shared" si="328"/>
        <v>0</v>
      </c>
      <c r="BL427" s="1">
        <f t="shared" si="329"/>
        <v>0</v>
      </c>
      <c r="BM427" s="1">
        <f t="shared" si="330"/>
        <v>0</v>
      </c>
      <c r="BN427" s="1">
        <f t="shared" si="331"/>
        <v>0</v>
      </c>
      <c r="BO427" s="1">
        <f t="shared" si="332"/>
        <v>0</v>
      </c>
      <c r="BP427" s="1">
        <f t="shared" si="333"/>
        <v>0</v>
      </c>
      <c r="BQ427" s="19">
        <f t="shared" si="334"/>
        <v>0</v>
      </c>
      <c r="BR427" s="17">
        <f t="shared" si="335"/>
        <v>0</v>
      </c>
    </row>
    <row r="428" spans="1:70" x14ac:dyDescent="0.25">
      <c r="A428" t="s">
        <v>492</v>
      </c>
      <c r="B428">
        <v>1</v>
      </c>
      <c r="C428">
        <v>1</v>
      </c>
      <c r="E428">
        <v>2</v>
      </c>
      <c r="J428">
        <v>1</v>
      </c>
      <c r="P428">
        <v>1</v>
      </c>
      <c r="S428">
        <v>2</v>
      </c>
      <c r="W428" s="8">
        <f t="shared" si="288"/>
        <v>0</v>
      </c>
      <c r="X428" s="8">
        <f t="shared" si="289"/>
        <v>-1</v>
      </c>
      <c r="Y428" s="8" t="e">
        <f t="shared" si="290"/>
        <v>#DIV/0!</v>
      </c>
      <c r="Z428" s="8">
        <f t="shared" si="291"/>
        <v>-1</v>
      </c>
      <c r="AA428" s="8" t="e">
        <f t="shared" si="292"/>
        <v>#DIV/0!</v>
      </c>
      <c r="AB428" s="8" t="e">
        <f t="shared" si="293"/>
        <v>#DIV/0!</v>
      </c>
      <c r="AC428" s="12" t="e">
        <f t="shared" si="294"/>
        <v>#DIV/0!</v>
      </c>
      <c r="AD428" s="12" t="e">
        <f t="shared" si="295"/>
        <v>#DIV/0!</v>
      </c>
      <c r="AE428" s="1">
        <f t="shared" si="296"/>
        <v>0</v>
      </c>
      <c r="AF428" s="1">
        <f t="shared" si="297"/>
        <v>-1</v>
      </c>
      <c r="AG428" s="1">
        <f t="shared" si="298"/>
        <v>2</v>
      </c>
      <c r="AH428" s="1">
        <f t="shared" si="299"/>
        <v>-2</v>
      </c>
      <c r="AI428" s="1">
        <f t="shared" si="300"/>
        <v>0</v>
      </c>
      <c r="AJ428" s="1">
        <f t="shared" si="301"/>
        <v>0</v>
      </c>
      <c r="AK428" s="17">
        <f t="shared" si="302"/>
        <v>-0.16666666666666666</v>
      </c>
      <c r="AL428" s="17">
        <f t="shared" si="303"/>
        <v>0</v>
      </c>
      <c r="AM428" s="1" t="e">
        <f t="shared" si="304"/>
        <v>#DIV/0!</v>
      </c>
      <c r="AN428" s="1">
        <f t="shared" si="305"/>
        <v>-1</v>
      </c>
      <c r="AO428" s="1" t="e">
        <f t="shared" si="306"/>
        <v>#DIV/0!</v>
      </c>
      <c r="AP428" s="1" t="e">
        <f t="shared" si="307"/>
        <v>#DIV/0!</v>
      </c>
      <c r="AQ428" s="1" t="e">
        <f t="shared" si="308"/>
        <v>#DIV/0!</v>
      </c>
      <c r="AR428" s="1" t="e">
        <f t="shared" si="309"/>
        <v>#DIV/0!</v>
      </c>
      <c r="AS428" s="12" t="e">
        <f t="shared" si="310"/>
        <v>#DIV/0!</v>
      </c>
      <c r="AT428" s="12" t="e">
        <f t="shared" si="311"/>
        <v>#DIV/0!</v>
      </c>
      <c r="AU428" s="1">
        <f t="shared" si="312"/>
        <v>1</v>
      </c>
      <c r="AV428" s="1">
        <f t="shared" si="313"/>
        <v>-1</v>
      </c>
      <c r="AW428" s="1">
        <f t="shared" si="314"/>
        <v>0</v>
      </c>
      <c r="AX428" s="1">
        <f t="shared" si="315"/>
        <v>0</v>
      </c>
      <c r="AY428" s="1">
        <f t="shared" si="316"/>
        <v>0</v>
      </c>
      <c r="AZ428" s="1">
        <f t="shared" si="317"/>
        <v>0</v>
      </c>
      <c r="BA428" s="19">
        <f t="shared" si="318"/>
        <v>0</v>
      </c>
      <c r="BB428" s="19">
        <f t="shared" si="319"/>
        <v>0</v>
      </c>
      <c r="BC428" s="9">
        <f t="shared" si="320"/>
        <v>-1</v>
      </c>
      <c r="BD428" s="9" t="e">
        <f t="shared" si="321"/>
        <v>#DIV/0!</v>
      </c>
      <c r="BE428" s="9" t="e">
        <f t="shared" si="322"/>
        <v>#DIV/0!</v>
      </c>
      <c r="BF428" s="9">
        <f t="shared" si="323"/>
        <v>-1</v>
      </c>
      <c r="BG428" s="9" t="e">
        <f t="shared" si="324"/>
        <v>#DIV/0!</v>
      </c>
      <c r="BH428" s="9" t="e">
        <f t="shared" si="325"/>
        <v>#DIV/0!</v>
      </c>
      <c r="BI428" s="12" t="e">
        <f t="shared" si="326"/>
        <v>#DIV/0!</v>
      </c>
      <c r="BJ428" s="13" t="e">
        <f t="shared" si="327"/>
        <v>#DIV/0!</v>
      </c>
      <c r="BK428" s="1">
        <f t="shared" si="328"/>
        <v>-1</v>
      </c>
      <c r="BL428" s="1">
        <f t="shared" si="329"/>
        <v>0</v>
      </c>
      <c r="BM428" s="1">
        <f t="shared" si="330"/>
        <v>2</v>
      </c>
      <c r="BN428" s="1">
        <f t="shared" si="331"/>
        <v>-2</v>
      </c>
      <c r="BO428" s="1">
        <f t="shared" si="332"/>
        <v>0</v>
      </c>
      <c r="BP428" s="1">
        <f t="shared" si="333"/>
        <v>0</v>
      </c>
      <c r="BQ428" s="19">
        <f t="shared" si="334"/>
        <v>-0.16666666666666666</v>
      </c>
      <c r="BR428" s="17">
        <f t="shared" si="335"/>
        <v>0</v>
      </c>
    </row>
    <row r="429" spans="1:70" x14ac:dyDescent="0.25">
      <c r="A429" t="s">
        <v>493</v>
      </c>
      <c r="B429">
        <v>1</v>
      </c>
      <c r="C429">
        <v>3</v>
      </c>
      <c r="D429">
        <v>2</v>
      </c>
      <c r="E429">
        <v>1</v>
      </c>
      <c r="F429">
        <v>1</v>
      </c>
      <c r="J429">
        <v>1</v>
      </c>
      <c r="K429">
        <v>1</v>
      </c>
      <c r="M429">
        <v>1</v>
      </c>
      <c r="P429">
        <v>1</v>
      </c>
      <c r="Q429">
        <v>2</v>
      </c>
      <c r="R429">
        <v>1</v>
      </c>
      <c r="S429">
        <v>1</v>
      </c>
      <c r="W429" s="8">
        <f t="shared" si="288"/>
        <v>2</v>
      </c>
      <c r="X429" s="8">
        <f t="shared" si="289"/>
        <v>-0.33333333333333331</v>
      </c>
      <c r="Y429" s="8">
        <f t="shared" si="290"/>
        <v>-0.5</v>
      </c>
      <c r="Z429" s="8">
        <f t="shared" si="291"/>
        <v>0</v>
      </c>
      <c r="AA429" s="8">
        <f t="shared" si="292"/>
        <v>-1</v>
      </c>
      <c r="AB429" s="8" t="e">
        <f t="shared" si="293"/>
        <v>#DIV/0!</v>
      </c>
      <c r="AC429" s="12" t="e">
        <f t="shared" si="294"/>
        <v>#DIV/0!</v>
      </c>
      <c r="AD429" s="12" t="e">
        <f t="shared" si="295"/>
        <v>#DIV/0!</v>
      </c>
      <c r="AE429" s="1">
        <f t="shared" si="296"/>
        <v>2</v>
      </c>
      <c r="AF429" s="1">
        <f t="shared" si="297"/>
        <v>-1</v>
      </c>
      <c r="AG429" s="1">
        <f t="shared" si="298"/>
        <v>-1</v>
      </c>
      <c r="AH429" s="1">
        <f t="shared" si="299"/>
        <v>0</v>
      </c>
      <c r="AI429" s="1">
        <f t="shared" si="300"/>
        <v>-1</v>
      </c>
      <c r="AJ429" s="1">
        <f t="shared" si="301"/>
        <v>0</v>
      </c>
      <c r="AK429" s="17">
        <f t="shared" si="302"/>
        <v>-0.16666666666666666</v>
      </c>
      <c r="AL429" s="17">
        <f t="shared" si="303"/>
        <v>-0.5</v>
      </c>
      <c r="AM429" s="1" t="e">
        <f t="shared" si="304"/>
        <v>#DIV/0!</v>
      </c>
      <c r="AN429" s="1">
        <f t="shared" si="305"/>
        <v>0</v>
      </c>
      <c r="AO429" s="1">
        <f t="shared" si="306"/>
        <v>-1</v>
      </c>
      <c r="AP429" s="1" t="e">
        <f t="shared" si="307"/>
        <v>#DIV/0!</v>
      </c>
      <c r="AQ429" s="1">
        <f t="shared" si="308"/>
        <v>-1</v>
      </c>
      <c r="AR429" s="1" t="e">
        <f t="shared" si="309"/>
        <v>#DIV/0!</v>
      </c>
      <c r="AS429" s="12" t="e">
        <f t="shared" si="310"/>
        <v>#DIV/0!</v>
      </c>
      <c r="AT429" s="12" t="e">
        <f t="shared" si="311"/>
        <v>#DIV/0!</v>
      </c>
      <c r="AU429" s="1">
        <f t="shared" si="312"/>
        <v>1</v>
      </c>
      <c r="AV429" s="1">
        <f t="shared" si="313"/>
        <v>0</v>
      </c>
      <c r="AW429" s="1">
        <f t="shared" si="314"/>
        <v>-1</v>
      </c>
      <c r="AX429" s="1">
        <f t="shared" si="315"/>
        <v>1</v>
      </c>
      <c r="AY429" s="1">
        <f t="shared" si="316"/>
        <v>-1</v>
      </c>
      <c r="AZ429" s="1">
        <f t="shared" si="317"/>
        <v>0</v>
      </c>
      <c r="BA429" s="19">
        <f t="shared" si="318"/>
        <v>0</v>
      </c>
      <c r="BB429" s="19">
        <f t="shared" si="319"/>
        <v>0</v>
      </c>
      <c r="BC429" s="9">
        <f t="shared" si="320"/>
        <v>1</v>
      </c>
      <c r="BD429" s="9">
        <f t="shared" si="321"/>
        <v>-0.5</v>
      </c>
      <c r="BE429" s="9">
        <f t="shared" si="322"/>
        <v>0</v>
      </c>
      <c r="BF429" s="9">
        <f t="shared" si="323"/>
        <v>-1</v>
      </c>
      <c r="BG429" s="9" t="e">
        <f t="shared" si="324"/>
        <v>#DIV/0!</v>
      </c>
      <c r="BH429" s="9" t="e">
        <f t="shared" si="325"/>
        <v>#DIV/0!</v>
      </c>
      <c r="BI429" s="12" t="e">
        <f t="shared" si="326"/>
        <v>#DIV/0!</v>
      </c>
      <c r="BJ429" s="13" t="e">
        <f t="shared" si="327"/>
        <v>#DIV/0!</v>
      </c>
      <c r="BK429" s="1">
        <f t="shared" si="328"/>
        <v>1</v>
      </c>
      <c r="BL429" s="1">
        <f t="shared" si="329"/>
        <v>-1</v>
      </c>
      <c r="BM429" s="1">
        <f t="shared" si="330"/>
        <v>0</v>
      </c>
      <c r="BN429" s="1">
        <f t="shared" si="331"/>
        <v>-1</v>
      </c>
      <c r="BO429" s="1">
        <f t="shared" si="332"/>
        <v>0</v>
      </c>
      <c r="BP429" s="1">
        <f t="shared" si="333"/>
        <v>0</v>
      </c>
      <c r="BQ429" s="19">
        <f t="shared" si="334"/>
        <v>-0.16666666666666666</v>
      </c>
      <c r="BR429" s="17">
        <f t="shared" si="335"/>
        <v>0</v>
      </c>
    </row>
    <row r="430" spans="1:70" x14ac:dyDescent="0.25">
      <c r="A430" t="s">
        <v>494</v>
      </c>
      <c r="B430">
        <v>1</v>
      </c>
      <c r="F430">
        <v>1</v>
      </c>
      <c r="P430">
        <v>1</v>
      </c>
      <c r="T430">
        <v>1</v>
      </c>
      <c r="W430" s="8">
        <f t="shared" si="288"/>
        <v>-1</v>
      </c>
      <c r="X430" s="8" t="e">
        <f t="shared" si="289"/>
        <v>#DIV/0!</v>
      </c>
      <c r="Y430" s="8" t="e">
        <f t="shared" si="290"/>
        <v>#DIV/0!</v>
      </c>
      <c r="Z430" s="8" t="e">
        <f t="shared" si="291"/>
        <v>#DIV/0!</v>
      </c>
      <c r="AA430" s="8">
        <f t="shared" si="292"/>
        <v>-1</v>
      </c>
      <c r="AB430" s="8" t="e">
        <f t="shared" si="293"/>
        <v>#DIV/0!</v>
      </c>
      <c r="AC430" s="12" t="e">
        <f t="shared" si="294"/>
        <v>#DIV/0!</v>
      </c>
      <c r="AD430" s="12" t="e">
        <f t="shared" si="295"/>
        <v>#DIV/0!</v>
      </c>
      <c r="AE430" s="1">
        <f t="shared" si="296"/>
        <v>-1</v>
      </c>
      <c r="AF430" s="1">
        <f t="shared" si="297"/>
        <v>0</v>
      </c>
      <c r="AG430" s="1">
        <f t="shared" si="298"/>
        <v>0</v>
      </c>
      <c r="AH430" s="1">
        <f t="shared" si="299"/>
        <v>1</v>
      </c>
      <c r="AI430" s="1">
        <f t="shared" si="300"/>
        <v>-1</v>
      </c>
      <c r="AJ430" s="1">
        <f t="shared" si="301"/>
        <v>0</v>
      </c>
      <c r="AK430" s="17">
        <f t="shared" si="302"/>
        <v>-0.16666666666666666</v>
      </c>
      <c r="AL430" s="17">
        <f t="shared" si="303"/>
        <v>0</v>
      </c>
      <c r="AM430" s="1" t="e">
        <f t="shared" si="304"/>
        <v>#DIV/0!</v>
      </c>
      <c r="AN430" s="1" t="e">
        <f t="shared" si="305"/>
        <v>#DIV/0!</v>
      </c>
      <c r="AO430" s="1" t="e">
        <f t="shared" si="306"/>
        <v>#DIV/0!</v>
      </c>
      <c r="AP430" s="1" t="e">
        <f t="shared" si="307"/>
        <v>#DIV/0!</v>
      </c>
      <c r="AQ430" s="1" t="e">
        <f t="shared" si="308"/>
        <v>#DIV/0!</v>
      </c>
      <c r="AR430" s="1" t="e">
        <f t="shared" si="309"/>
        <v>#DIV/0!</v>
      </c>
      <c r="AS430" s="12" t="e">
        <f t="shared" si="310"/>
        <v>#DIV/0!</v>
      </c>
      <c r="AT430" s="12" t="e">
        <f t="shared" si="311"/>
        <v>#DIV/0!</v>
      </c>
      <c r="AU430" s="1">
        <f t="shared" si="312"/>
        <v>0</v>
      </c>
      <c r="AV430" s="1">
        <f t="shared" si="313"/>
        <v>0</v>
      </c>
      <c r="AW430" s="1">
        <f t="shared" si="314"/>
        <v>0</v>
      </c>
      <c r="AX430" s="1">
        <f t="shared" si="315"/>
        <v>0</v>
      </c>
      <c r="AY430" s="1">
        <f t="shared" si="316"/>
        <v>0</v>
      </c>
      <c r="AZ430" s="1">
        <f t="shared" si="317"/>
        <v>0</v>
      </c>
      <c r="BA430" s="19">
        <f t="shared" si="318"/>
        <v>0</v>
      </c>
      <c r="BB430" s="19">
        <f t="shared" si="319"/>
        <v>0</v>
      </c>
      <c r="BC430" s="9">
        <f t="shared" si="320"/>
        <v>-1</v>
      </c>
      <c r="BD430" s="9" t="e">
        <f t="shared" si="321"/>
        <v>#DIV/0!</v>
      </c>
      <c r="BE430" s="9" t="e">
        <f t="shared" si="322"/>
        <v>#DIV/0!</v>
      </c>
      <c r="BF430" s="9" t="e">
        <f t="shared" si="323"/>
        <v>#DIV/0!</v>
      </c>
      <c r="BG430" s="9">
        <f t="shared" si="324"/>
        <v>-1</v>
      </c>
      <c r="BH430" s="9" t="e">
        <f t="shared" si="325"/>
        <v>#DIV/0!</v>
      </c>
      <c r="BI430" s="12" t="e">
        <f t="shared" si="326"/>
        <v>#DIV/0!</v>
      </c>
      <c r="BJ430" s="13" t="e">
        <f t="shared" si="327"/>
        <v>#DIV/0!</v>
      </c>
      <c r="BK430" s="1">
        <f t="shared" si="328"/>
        <v>-1</v>
      </c>
      <c r="BL430" s="1">
        <f t="shared" si="329"/>
        <v>0</v>
      </c>
      <c r="BM430" s="1">
        <f t="shared" si="330"/>
        <v>0</v>
      </c>
      <c r="BN430" s="1">
        <f t="shared" si="331"/>
        <v>1</v>
      </c>
      <c r="BO430" s="1">
        <f t="shared" si="332"/>
        <v>-1</v>
      </c>
      <c r="BP430" s="1">
        <f t="shared" si="333"/>
        <v>0</v>
      </c>
      <c r="BQ430" s="19">
        <f t="shared" si="334"/>
        <v>-0.16666666666666666</v>
      </c>
      <c r="BR430" s="17">
        <f t="shared" si="335"/>
        <v>0</v>
      </c>
    </row>
    <row r="431" spans="1:70" x14ac:dyDescent="0.25">
      <c r="A431" t="s">
        <v>495</v>
      </c>
      <c r="B431">
        <v>1</v>
      </c>
      <c r="C431">
        <v>1</v>
      </c>
      <c r="F431">
        <v>1</v>
      </c>
      <c r="P431">
        <v>1</v>
      </c>
      <c r="Q431">
        <v>1</v>
      </c>
      <c r="T431">
        <v>1</v>
      </c>
      <c r="W431" s="8">
        <f t="shared" si="288"/>
        <v>0</v>
      </c>
      <c r="X431" s="8">
        <f t="shared" si="289"/>
        <v>-1</v>
      </c>
      <c r="Y431" s="8" t="e">
        <f t="shared" si="290"/>
        <v>#DIV/0!</v>
      </c>
      <c r="Z431" s="8" t="e">
        <f t="shared" si="291"/>
        <v>#DIV/0!</v>
      </c>
      <c r="AA431" s="8">
        <f t="shared" si="292"/>
        <v>-1</v>
      </c>
      <c r="AB431" s="8" t="e">
        <f t="shared" si="293"/>
        <v>#DIV/0!</v>
      </c>
      <c r="AC431" s="12" t="e">
        <f t="shared" si="294"/>
        <v>#DIV/0!</v>
      </c>
      <c r="AD431" s="12" t="e">
        <f t="shared" si="295"/>
        <v>#DIV/0!</v>
      </c>
      <c r="AE431" s="1">
        <f t="shared" si="296"/>
        <v>0</v>
      </c>
      <c r="AF431" s="1">
        <f t="shared" si="297"/>
        <v>-1</v>
      </c>
      <c r="AG431" s="1">
        <f t="shared" si="298"/>
        <v>0</v>
      </c>
      <c r="AH431" s="1">
        <f t="shared" si="299"/>
        <v>1</v>
      </c>
      <c r="AI431" s="1">
        <f t="shared" si="300"/>
        <v>-1</v>
      </c>
      <c r="AJ431" s="1">
        <f t="shared" si="301"/>
        <v>0</v>
      </c>
      <c r="AK431" s="17">
        <f t="shared" si="302"/>
        <v>-0.16666666666666666</v>
      </c>
      <c r="AL431" s="17">
        <f t="shared" si="303"/>
        <v>0</v>
      </c>
      <c r="AM431" s="1" t="e">
        <f t="shared" si="304"/>
        <v>#DIV/0!</v>
      </c>
      <c r="AN431" s="1" t="e">
        <f t="shared" si="305"/>
        <v>#DIV/0!</v>
      </c>
      <c r="AO431" s="1" t="e">
        <f t="shared" si="306"/>
        <v>#DIV/0!</v>
      </c>
      <c r="AP431" s="1" t="e">
        <f t="shared" si="307"/>
        <v>#DIV/0!</v>
      </c>
      <c r="AQ431" s="1" t="e">
        <f t="shared" si="308"/>
        <v>#DIV/0!</v>
      </c>
      <c r="AR431" s="1" t="e">
        <f t="shared" si="309"/>
        <v>#DIV/0!</v>
      </c>
      <c r="AS431" s="12" t="e">
        <f t="shared" si="310"/>
        <v>#DIV/0!</v>
      </c>
      <c r="AT431" s="12" t="e">
        <f t="shared" si="311"/>
        <v>#DIV/0!</v>
      </c>
      <c r="AU431" s="1">
        <f t="shared" si="312"/>
        <v>0</v>
      </c>
      <c r="AV431" s="1">
        <f t="shared" si="313"/>
        <v>0</v>
      </c>
      <c r="AW431" s="1">
        <f t="shared" si="314"/>
        <v>0</v>
      </c>
      <c r="AX431" s="1">
        <f t="shared" si="315"/>
        <v>0</v>
      </c>
      <c r="AY431" s="1">
        <f t="shared" si="316"/>
        <v>0</v>
      </c>
      <c r="AZ431" s="1">
        <f t="shared" si="317"/>
        <v>0</v>
      </c>
      <c r="BA431" s="19">
        <f t="shared" si="318"/>
        <v>0</v>
      </c>
      <c r="BB431" s="19">
        <f t="shared" si="319"/>
        <v>0</v>
      </c>
      <c r="BC431" s="9">
        <f t="shared" si="320"/>
        <v>0</v>
      </c>
      <c r="BD431" s="9">
        <f t="shared" si="321"/>
        <v>-1</v>
      </c>
      <c r="BE431" s="9" t="e">
        <f t="shared" si="322"/>
        <v>#DIV/0!</v>
      </c>
      <c r="BF431" s="9" t="e">
        <f t="shared" si="323"/>
        <v>#DIV/0!</v>
      </c>
      <c r="BG431" s="9">
        <f t="shared" si="324"/>
        <v>-1</v>
      </c>
      <c r="BH431" s="9" t="e">
        <f t="shared" si="325"/>
        <v>#DIV/0!</v>
      </c>
      <c r="BI431" s="12" t="e">
        <f t="shared" si="326"/>
        <v>#DIV/0!</v>
      </c>
      <c r="BJ431" s="13" t="e">
        <f t="shared" si="327"/>
        <v>#DIV/0!</v>
      </c>
      <c r="BK431" s="1">
        <f t="shared" si="328"/>
        <v>0</v>
      </c>
      <c r="BL431" s="1">
        <f t="shared" si="329"/>
        <v>-1</v>
      </c>
      <c r="BM431" s="1">
        <f t="shared" si="330"/>
        <v>0</v>
      </c>
      <c r="BN431" s="1">
        <f t="shared" si="331"/>
        <v>1</v>
      </c>
      <c r="BO431" s="1">
        <f t="shared" si="332"/>
        <v>-1</v>
      </c>
      <c r="BP431" s="1">
        <f t="shared" si="333"/>
        <v>0</v>
      </c>
      <c r="BQ431" s="19">
        <f t="shared" si="334"/>
        <v>-0.16666666666666666</v>
      </c>
      <c r="BR431" s="17">
        <f t="shared" si="335"/>
        <v>0</v>
      </c>
    </row>
    <row r="432" spans="1:70" x14ac:dyDescent="0.25">
      <c r="A432" t="s">
        <v>496</v>
      </c>
      <c r="B432">
        <v>1</v>
      </c>
      <c r="C432">
        <v>3</v>
      </c>
      <c r="E432">
        <v>2</v>
      </c>
      <c r="F432">
        <v>2</v>
      </c>
      <c r="J432">
        <v>3</v>
      </c>
      <c r="L432">
        <v>1</v>
      </c>
      <c r="M432">
        <v>1</v>
      </c>
      <c r="P432">
        <v>1</v>
      </c>
      <c r="S432">
        <v>1</v>
      </c>
      <c r="T432">
        <v>1</v>
      </c>
      <c r="W432" s="8">
        <f t="shared" si="288"/>
        <v>2</v>
      </c>
      <c r="X432" s="8">
        <f t="shared" si="289"/>
        <v>-1</v>
      </c>
      <c r="Y432" s="8" t="e">
        <f t="shared" si="290"/>
        <v>#DIV/0!</v>
      </c>
      <c r="Z432" s="8">
        <f t="shared" si="291"/>
        <v>0</v>
      </c>
      <c r="AA432" s="8">
        <f t="shared" si="292"/>
        <v>-1</v>
      </c>
      <c r="AB432" s="8" t="e">
        <f t="shared" si="293"/>
        <v>#DIV/0!</v>
      </c>
      <c r="AC432" s="12" t="e">
        <f t="shared" si="294"/>
        <v>#DIV/0!</v>
      </c>
      <c r="AD432" s="12" t="e">
        <f t="shared" si="295"/>
        <v>#DIV/0!</v>
      </c>
      <c r="AE432" s="1">
        <f t="shared" si="296"/>
        <v>2</v>
      </c>
      <c r="AF432" s="1">
        <f t="shared" si="297"/>
        <v>-3</v>
      </c>
      <c r="AG432" s="1">
        <f t="shared" si="298"/>
        <v>2</v>
      </c>
      <c r="AH432" s="1">
        <f t="shared" si="299"/>
        <v>0</v>
      </c>
      <c r="AI432" s="1">
        <f t="shared" si="300"/>
        <v>-2</v>
      </c>
      <c r="AJ432" s="1">
        <f t="shared" si="301"/>
        <v>0</v>
      </c>
      <c r="AK432" s="17">
        <f t="shared" si="302"/>
        <v>-0.16666666666666666</v>
      </c>
      <c r="AL432" s="17">
        <f t="shared" si="303"/>
        <v>0</v>
      </c>
      <c r="AM432" s="1" t="e">
        <f t="shared" si="304"/>
        <v>#DIV/0!</v>
      </c>
      <c r="AN432" s="1">
        <f t="shared" si="305"/>
        <v>-1</v>
      </c>
      <c r="AO432" s="1" t="e">
        <f t="shared" si="306"/>
        <v>#DIV/0!</v>
      </c>
      <c r="AP432" s="1">
        <f t="shared" si="307"/>
        <v>0</v>
      </c>
      <c r="AQ432" s="1">
        <f t="shared" si="308"/>
        <v>-1</v>
      </c>
      <c r="AR432" s="1" t="e">
        <f t="shared" si="309"/>
        <v>#DIV/0!</v>
      </c>
      <c r="AS432" s="12" t="e">
        <f t="shared" si="310"/>
        <v>#DIV/0!</v>
      </c>
      <c r="AT432" s="12" t="e">
        <f t="shared" si="311"/>
        <v>#DIV/0!</v>
      </c>
      <c r="AU432" s="1">
        <f t="shared" si="312"/>
        <v>3</v>
      </c>
      <c r="AV432" s="1">
        <f t="shared" si="313"/>
        <v>-3</v>
      </c>
      <c r="AW432" s="1">
        <f t="shared" si="314"/>
        <v>1</v>
      </c>
      <c r="AX432" s="1">
        <f t="shared" si="315"/>
        <v>0</v>
      </c>
      <c r="AY432" s="1">
        <f t="shared" si="316"/>
        <v>-1</v>
      </c>
      <c r="AZ432" s="1">
        <f t="shared" si="317"/>
        <v>0</v>
      </c>
      <c r="BA432" s="19">
        <f t="shared" si="318"/>
        <v>0</v>
      </c>
      <c r="BB432" s="19">
        <f t="shared" si="319"/>
        <v>0</v>
      </c>
      <c r="BC432" s="9">
        <f t="shared" si="320"/>
        <v>-1</v>
      </c>
      <c r="BD432" s="9" t="e">
        <f t="shared" si="321"/>
        <v>#DIV/0!</v>
      </c>
      <c r="BE432" s="9" t="e">
        <f t="shared" si="322"/>
        <v>#DIV/0!</v>
      </c>
      <c r="BF432" s="9">
        <f t="shared" si="323"/>
        <v>0</v>
      </c>
      <c r="BG432" s="9">
        <f t="shared" si="324"/>
        <v>-1</v>
      </c>
      <c r="BH432" s="9" t="e">
        <f t="shared" si="325"/>
        <v>#DIV/0!</v>
      </c>
      <c r="BI432" s="12" t="e">
        <f t="shared" si="326"/>
        <v>#DIV/0!</v>
      </c>
      <c r="BJ432" s="13" t="e">
        <f t="shared" si="327"/>
        <v>#DIV/0!</v>
      </c>
      <c r="BK432" s="1">
        <f t="shared" si="328"/>
        <v>-1</v>
      </c>
      <c r="BL432" s="1">
        <f t="shared" si="329"/>
        <v>0</v>
      </c>
      <c r="BM432" s="1">
        <f t="shared" si="330"/>
        <v>1</v>
      </c>
      <c r="BN432" s="1">
        <f t="shared" si="331"/>
        <v>0</v>
      </c>
      <c r="BO432" s="1">
        <f t="shared" si="332"/>
        <v>-1</v>
      </c>
      <c r="BP432" s="1">
        <f t="shared" si="333"/>
        <v>0</v>
      </c>
      <c r="BQ432" s="19">
        <f t="shared" si="334"/>
        <v>-0.16666666666666666</v>
      </c>
      <c r="BR432" s="17">
        <f t="shared" si="335"/>
        <v>0</v>
      </c>
    </row>
    <row r="433" spans="1:70" x14ac:dyDescent="0.25">
      <c r="A433" t="s">
        <v>501</v>
      </c>
      <c r="B433">
        <v>1</v>
      </c>
      <c r="D433">
        <v>1</v>
      </c>
      <c r="F433">
        <v>1</v>
      </c>
      <c r="G433">
        <v>1</v>
      </c>
      <c r="P433">
        <v>1</v>
      </c>
      <c r="R433">
        <v>1</v>
      </c>
      <c r="T433">
        <v>1</v>
      </c>
      <c r="U433">
        <v>1</v>
      </c>
      <c r="W433" s="8">
        <f t="shared" si="288"/>
        <v>-1</v>
      </c>
      <c r="X433" s="8" t="e">
        <f t="shared" si="289"/>
        <v>#DIV/0!</v>
      </c>
      <c r="Y433" s="8">
        <f t="shared" si="290"/>
        <v>-1</v>
      </c>
      <c r="Z433" s="8" t="e">
        <f t="shared" si="291"/>
        <v>#DIV/0!</v>
      </c>
      <c r="AA433" s="8">
        <f t="shared" si="292"/>
        <v>0</v>
      </c>
      <c r="AB433" s="8">
        <f t="shared" si="293"/>
        <v>-1</v>
      </c>
      <c r="AC433" s="12" t="e">
        <f t="shared" si="294"/>
        <v>#DIV/0!</v>
      </c>
      <c r="AD433" s="12" t="e">
        <f t="shared" si="295"/>
        <v>#DIV/0!</v>
      </c>
      <c r="AE433" s="1">
        <f t="shared" si="296"/>
        <v>-1</v>
      </c>
      <c r="AF433" s="1">
        <f t="shared" si="297"/>
        <v>1</v>
      </c>
      <c r="AG433" s="1">
        <f t="shared" si="298"/>
        <v>-1</v>
      </c>
      <c r="AH433" s="1">
        <f t="shared" si="299"/>
        <v>1</v>
      </c>
      <c r="AI433" s="1">
        <f t="shared" si="300"/>
        <v>0</v>
      </c>
      <c r="AJ433" s="1">
        <f t="shared" si="301"/>
        <v>-1</v>
      </c>
      <c r="AK433" s="17">
        <f t="shared" si="302"/>
        <v>-0.16666666666666666</v>
      </c>
      <c r="AL433" s="17">
        <f t="shared" si="303"/>
        <v>-0.5</v>
      </c>
      <c r="AM433" s="1" t="e">
        <f t="shared" si="304"/>
        <v>#DIV/0!</v>
      </c>
      <c r="AN433" s="1" t="e">
        <f t="shared" si="305"/>
        <v>#DIV/0!</v>
      </c>
      <c r="AO433" s="1" t="e">
        <f t="shared" si="306"/>
        <v>#DIV/0!</v>
      </c>
      <c r="AP433" s="1" t="e">
        <f t="shared" si="307"/>
        <v>#DIV/0!</v>
      </c>
      <c r="AQ433" s="1" t="e">
        <f t="shared" si="308"/>
        <v>#DIV/0!</v>
      </c>
      <c r="AR433" s="1" t="e">
        <f t="shared" si="309"/>
        <v>#DIV/0!</v>
      </c>
      <c r="AS433" s="12" t="e">
        <f t="shared" si="310"/>
        <v>#DIV/0!</v>
      </c>
      <c r="AT433" s="12" t="e">
        <f t="shared" si="311"/>
        <v>#DIV/0!</v>
      </c>
      <c r="AU433" s="1">
        <f t="shared" si="312"/>
        <v>0</v>
      </c>
      <c r="AV433" s="1">
        <f t="shared" si="313"/>
        <v>0</v>
      </c>
      <c r="AW433" s="1">
        <f t="shared" si="314"/>
        <v>0</v>
      </c>
      <c r="AX433" s="1">
        <f t="shared" si="315"/>
        <v>0</v>
      </c>
      <c r="AY433" s="1">
        <f t="shared" si="316"/>
        <v>0</v>
      </c>
      <c r="AZ433" s="1">
        <f t="shared" si="317"/>
        <v>0</v>
      </c>
      <c r="BA433" s="19">
        <f t="shared" si="318"/>
        <v>0</v>
      </c>
      <c r="BB433" s="19">
        <f t="shared" si="319"/>
        <v>0</v>
      </c>
      <c r="BC433" s="9">
        <f t="shared" si="320"/>
        <v>-1</v>
      </c>
      <c r="BD433" s="9" t="e">
        <f t="shared" si="321"/>
        <v>#DIV/0!</v>
      </c>
      <c r="BE433" s="9">
        <f t="shared" si="322"/>
        <v>-1</v>
      </c>
      <c r="BF433" s="9" t="e">
        <f t="shared" si="323"/>
        <v>#DIV/0!</v>
      </c>
      <c r="BG433" s="9">
        <f t="shared" si="324"/>
        <v>0</v>
      </c>
      <c r="BH433" s="9">
        <f t="shared" si="325"/>
        <v>-1</v>
      </c>
      <c r="BI433" s="12" t="e">
        <f t="shared" si="326"/>
        <v>#DIV/0!</v>
      </c>
      <c r="BJ433" s="13" t="e">
        <f t="shared" si="327"/>
        <v>#DIV/0!</v>
      </c>
      <c r="BK433" s="1">
        <f t="shared" si="328"/>
        <v>-1</v>
      </c>
      <c r="BL433" s="1">
        <f t="shared" si="329"/>
        <v>1</v>
      </c>
      <c r="BM433" s="1">
        <f t="shared" si="330"/>
        <v>-1</v>
      </c>
      <c r="BN433" s="1">
        <f t="shared" si="331"/>
        <v>1</v>
      </c>
      <c r="BO433" s="1">
        <f t="shared" si="332"/>
        <v>0</v>
      </c>
      <c r="BP433" s="1">
        <f t="shared" si="333"/>
        <v>-1</v>
      </c>
      <c r="BQ433" s="19">
        <f t="shared" si="334"/>
        <v>-0.16666666666666666</v>
      </c>
      <c r="BR433" s="17">
        <f t="shared" si="335"/>
        <v>-0.5</v>
      </c>
    </row>
    <row r="434" spans="1:70" x14ac:dyDescent="0.25">
      <c r="A434" t="s">
        <v>503</v>
      </c>
      <c r="B434">
        <v>1</v>
      </c>
      <c r="I434">
        <v>1</v>
      </c>
      <c r="W434" s="8">
        <f t="shared" si="288"/>
        <v>-1</v>
      </c>
      <c r="X434" s="8" t="e">
        <f t="shared" si="289"/>
        <v>#DIV/0!</v>
      </c>
      <c r="Y434" s="8" t="e">
        <f t="shared" si="290"/>
        <v>#DIV/0!</v>
      </c>
      <c r="Z434" s="8" t="e">
        <f t="shared" si="291"/>
        <v>#DIV/0!</v>
      </c>
      <c r="AA434" s="8" t="e">
        <f t="shared" si="292"/>
        <v>#DIV/0!</v>
      </c>
      <c r="AB434" s="8" t="e">
        <f t="shared" si="293"/>
        <v>#DIV/0!</v>
      </c>
      <c r="AC434" s="12" t="e">
        <f t="shared" si="294"/>
        <v>#DIV/0!</v>
      </c>
      <c r="AD434" s="12" t="e">
        <f t="shared" si="295"/>
        <v>#DIV/0!</v>
      </c>
      <c r="AE434" s="1">
        <f t="shared" si="296"/>
        <v>-1</v>
      </c>
      <c r="AF434" s="1">
        <f t="shared" si="297"/>
        <v>0</v>
      </c>
      <c r="AG434" s="1">
        <f t="shared" si="298"/>
        <v>0</v>
      </c>
      <c r="AH434" s="1">
        <f t="shared" si="299"/>
        <v>0</v>
      </c>
      <c r="AI434" s="1">
        <f t="shared" si="300"/>
        <v>0</v>
      </c>
      <c r="AJ434" s="1">
        <f t="shared" si="301"/>
        <v>0</v>
      </c>
      <c r="AK434" s="17">
        <f t="shared" si="302"/>
        <v>-0.16666666666666666</v>
      </c>
      <c r="AL434" s="17">
        <f t="shared" si="303"/>
        <v>0</v>
      </c>
      <c r="AM434" s="1">
        <f t="shared" si="304"/>
        <v>-1</v>
      </c>
      <c r="AN434" s="1" t="e">
        <f t="shared" si="305"/>
        <v>#DIV/0!</v>
      </c>
      <c r="AO434" s="1" t="e">
        <f t="shared" si="306"/>
        <v>#DIV/0!</v>
      </c>
      <c r="AP434" s="1" t="e">
        <f t="shared" si="307"/>
        <v>#DIV/0!</v>
      </c>
      <c r="AQ434" s="1" t="e">
        <f t="shared" si="308"/>
        <v>#DIV/0!</v>
      </c>
      <c r="AR434" s="1" t="e">
        <f t="shared" si="309"/>
        <v>#DIV/0!</v>
      </c>
      <c r="AS434" s="12" t="e">
        <f t="shared" si="310"/>
        <v>#DIV/0!</v>
      </c>
      <c r="AT434" s="12" t="e">
        <f t="shared" si="311"/>
        <v>#DIV/0!</v>
      </c>
      <c r="AU434" s="1">
        <f t="shared" si="312"/>
        <v>-1</v>
      </c>
      <c r="AV434" s="1">
        <f t="shared" si="313"/>
        <v>0</v>
      </c>
      <c r="AW434" s="1">
        <f t="shared" si="314"/>
        <v>0</v>
      </c>
      <c r="AX434" s="1">
        <f t="shared" si="315"/>
        <v>0</v>
      </c>
      <c r="AY434" s="1">
        <f t="shared" si="316"/>
        <v>0</v>
      </c>
      <c r="AZ434" s="1">
        <f t="shared" si="317"/>
        <v>0</v>
      </c>
      <c r="BA434" s="19">
        <f t="shared" si="318"/>
        <v>-0.16666666666666666</v>
      </c>
      <c r="BB434" s="19">
        <f t="shared" si="319"/>
        <v>0</v>
      </c>
      <c r="BC434" s="9" t="e">
        <f t="shared" si="320"/>
        <v>#DIV/0!</v>
      </c>
      <c r="BD434" s="9" t="e">
        <f t="shared" si="321"/>
        <v>#DIV/0!</v>
      </c>
      <c r="BE434" s="9" t="e">
        <f t="shared" si="322"/>
        <v>#DIV/0!</v>
      </c>
      <c r="BF434" s="9" t="e">
        <f t="shared" si="323"/>
        <v>#DIV/0!</v>
      </c>
      <c r="BG434" s="9" t="e">
        <f t="shared" si="324"/>
        <v>#DIV/0!</v>
      </c>
      <c r="BH434" s="9" t="e">
        <f t="shared" si="325"/>
        <v>#DIV/0!</v>
      </c>
      <c r="BI434" s="12" t="e">
        <f t="shared" si="326"/>
        <v>#DIV/0!</v>
      </c>
      <c r="BJ434" s="13" t="e">
        <f t="shared" si="327"/>
        <v>#DIV/0!</v>
      </c>
      <c r="BK434" s="1">
        <f t="shared" si="328"/>
        <v>0</v>
      </c>
      <c r="BL434" s="1">
        <f t="shared" si="329"/>
        <v>0</v>
      </c>
      <c r="BM434" s="1">
        <f t="shared" si="330"/>
        <v>0</v>
      </c>
      <c r="BN434" s="1">
        <f t="shared" si="331"/>
        <v>0</v>
      </c>
      <c r="BO434" s="1">
        <f t="shared" si="332"/>
        <v>0</v>
      </c>
      <c r="BP434" s="1">
        <f t="shared" si="333"/>
        <v>0</v>
      </c>
      <c r="BQ434" s="19">
        <f t="shared" si="334"/>
        <v>0</v>
      </c>
      <c r="BR434" s="17">
        <f t="shared" si="335"/>
        <v>0</v>
      </c>
    </row>
    <row r="435" spans="1:70" x14ac:dyDescent="0.25">
      <c r="A435" t="s">
        <v>504</v>
      </c>
      <c r="B435">
        <v>1</v>
      </c>
      <c r="D435">
        <v>1</v>
      </c>
      <c r="I435">
        <v>1</v>
      </c>
      <c r="K435">
        <v>1</v>
      </c>
      <c r="W435" s="8">
        <f t="shared" si="288"/>
        <v>-1</v>
      </c>
      <c r="X435" s="8" t="e">
        <f t="shared" si="289"/>
        <v>#DIV/0!</v>
      </c>
      <c r="Y435" s="8">
        <f t="shared" si="290"/>
        <v>-1</v>
      </c>
      <c r="Z435" s="8" t="e">
        <f t="shared" si="291"/>
        <v>#DIV/0!</v>
      </c>
      <c r="AA435" s="8" t="e">
        <f t="shared" si="292"/>
        <v>#DIV/0!</v>
      </c>
      <c r="AB435" s="8" t="e">
        <f t="shared" si="293"/>
        <v>#DIV/0!</v>
      </c>
      <c r="AC435" s="12" t="e">
        <f t="shared" si="294"/>
        <v>#DIV/0!</v>
      </c>
      <c r="AD435" s="12" t="e">
        <f t="shared" si="295"/>
        <v>#DIV/0!</v>
      </c>
      <c r="AE435" s="1">
        <f t="shared" si="296"/>
        <v>-1</v>
      </c>
      <c r="AF435" s="1">
        <f t="shared" si="297"/>
        <v>1</v>
      </c>
      <c r="AG435" s="1">
        <f t="shared" si="298"/>
        <v>-1</v>
      </c>
      <c r="AH435" s="1">
        <f t="shared" si="299"/>
        <v>0</v>
      </c>
      <c r="AI435" s="1">
        <f t="shared" si="300"/>
        <v>0</v>
      </c>
      <c r="AJ435" s="1">
        <f t="shared" si="301"/>
        <v>0</v>
      </c>
      <c r="AK435" s="17">
        <f t="shared" si="302"/>
        <v>-0.16666666666666666</v>
      </c>
      <c r="AL435" s="17">
        <f t="shared" si="303"/>
        <v>0</v>
      </c>
      <c r="AM435" s="1">
        <f t="shared" si="304"/>
        <v>-1</v>
      </c>
      <c r="AN435" s="1" t="e">
        <f t="shared" si="305"/>
        <v>#DIV/0!</v>
      </c>
      <c r="AO435" s="1">
        <f t="shared" si="306"/>
        <v>-1</v>
      </c>
      <c r="AP435" s="1" t="e">
        <f t="shared" si="307"/>
        <v>#DIV/0!</v>
      </c>
      <c r="AQ435" s="1" t="e">
        <f t="shared" si="308"/>
        <v>#DIV/0!</v>
      </c>
      <c r="AR435" s="1" t="e">
        <f t="shared" si="309"/>
        <v>#DIV/0!</v>
      </c>
      <c r="AS435" s="12" t="e">
        <f t="shared" si="310"/>
        <v>#DIV/0!</v>
      </c>
      <c r="AT435" s="12" t="e">
        <f t="shared" si="311"/>
        <v>#DIV/0!</v>
      </c>
      <c r="AU435" s="1">
        <f t="shared" si="312"/>
        <v>-1</v>
      </c>
      <c r="AV435" s="1">
        <f t="shared" si="313"/>
        <v>1</v>
      </c>
      <c r="AW435" s="1">
        <f t="shared" si="314"/>
        <v>-1</v>
      </c>
      <c r="AX435" s="1">
        <f t="shared" si="315"/>
        <v>0</v>
      </c>
      <c r="AY435" s="1">
        <f t="shared" si="316"/>
        <v>0</v>
      </c>
      <c r="AZ435" s="1">
        <f t="shared" si="317"/>
        <v>0</v>
      </c>
      <c r="BA435" s="19">
        <f t="shared" si="318"/>
        <v>-0.16666666666666666</v>
      </c>
      <c r="BB435" s="19">
        <f t="shared" si="319"/>
        <v>0</v>
      </c>
      <c r="BC435" s="9" t="e">
        <f t="shared" si="320"/>
        <v>#DIV/0!</v>
      </c>
      <c r="BD435" s="9" t="e">
        <f t="shared" si="321"/>
        <v>#DIV/0!</v>
      </c>
      <c r="BE435" s="9" t="e">
        <f t="shared" si="322"/>
        <v>#DIV/0!</v>
      </c>
      <c r="BF435" s="9" t="e">
        <f t="shared" si="323"/>
        <v>#DIV/0!</v>
      </c>
      <c r="BG435" s="9" t="e">
        <f t="shared" si="324"/>
        <v>#DIV/0!</v>
      </c>
      <c r="BH435" s="9" t="e">
        <f t="shared" si="325"/>
        <v>#DIV/0!</v>
      </c>
      <c r="BI435" s="12" t="e">
        <f t="shared" si="326"/>
        <v>#DIV/0!</v>
      </c>
      <c r="BJ435" s="13" t="e">
        <f t="shared" si="327"/>
        <v>#DIV/0!</v>
      </c>
      <c r="BK435" s="1">
        <f t="shared" si="328"/>
        <v>0</v>
      </c>
      <c r="BL435" s="1">
        <f t="shared" si="329"/>
        <v>0</v>
      </c>
      <c r="BM435" s="1">
        <f t="shared" si="330"/>
        <v>0</v>
      </c>
      <c r="BN435" s="1">
        <f t="shared" si="331"/>
        <v>0</v>
      </c>
      <c r="BO435" s="1">
        <f t="shared" si="332"/>
        <v>0</v>
      </c>
      <c r="BP435" s="1">
        <f t="shared" si="333"/>
        <v>0</v>
      </c>
      <c r="BQ435" s="19">
        <f t="shared" si="334"/>
        <v>0</v>
      </c>
      <c r="BR435" s="17">
        <f t="shared" si="335"/>
        <v>0</v>
      </c>
    </row>
    <row r="436" spans="1:70" x14ac:dyDescent="0.25">
      <c r="A436" t="s">
        <v>505</v>
      </c>
      <c r="B436">
        <v>1</v>
      </c>
      <c r="C436">
        <v>3</v>
      </c>
      <c r="D436">
        <v>1</v>
      </c>
      <c r="E436">
        <v>1</v>
      </c>
      <c r="F436">
        <v>1</v>
      </c>
      <c r="I436">
        <v>1</v>
      </c>
      <c r="J436">
        <v>3</v>
      </c>
      <c r="K436">
        <v>1</v>
      </c>
      <c r="M436">
        <v>1</v>
      </c>
      <c r="S436">
        <v>1</v>
      </c>
      <c r="W436" s="8">
        <f t="shared" si="288"/>
        <v>2</v>
      </c>
      <c r="X436" s="8">
        <f t="shared" si="289"/>
        <v>-0.66666666666666663</v>
      </c>
      <c r="Y436" s="8">
        <f t="shared" si="290"/>
        <v>0</v>
      </c>
      <c r="Z436" s="8">
        <f t="shared" si="291"/>
        <v>0</v>
      </c>
      <c r="AA436" s="8">
        <f t="shared" si="292"/>
        <v>-1</v>
      </c>
      <c r="AB436" s="8" t="e">
        <f t="shared" si="293"/>
        <v>#DIV/0!</v>
      </c>
      <c r="AC436" s="12" t="e">
        <f t="shared" si="294"/>
        <v>#DIV/0!</v>
      </c>
      <c r="AD436" s="12" t="e">
        <f t="shared" si="295"/>
        <v>#DIV/0!</v>
      </c>
      <c r="AE436" s="1">
        <f t="shared" si="296"/>
        <v>2</v>
      </c>
      <c r="AF436" s="1">
        <f t="shared" si="297"/>
        <v>-2</v>
      </c>
      <c r="AG436" s="1">
        <f t="shared" si="298"/>
        <v>0</v>
      </c>
      <c r="AH436" s="1">
        <f t="shared" si="299"/>
        <v>0</v>
      </c>
      <c r="AI436" s="1">
        <f t="shared" si="300"/>
        <v>-1</v>
      </c>
      <c r="AJ436" s="1">
        <f t="shared" si="301"/>
        <v>0</v>
      </c>
      <c r="AK436" s="17">
        <f t="shared" si="302"/>
        <v>-0.16666666666666666</v>
      </c>
      <c r="AL436" s="17">
        <f t="shared" si="303"/>
        <v>0</v>
      </c>
      <c r="AM436" s="1">
        <f t="shared" si="304"/>
        <v>2</v>
      </c>
      <c r="AN436" s="1">
        <f t="shared" si="305"/>
        <v>-0.66666666666666663</v>
      </c>
      <c r="AO436" s="1">
        <f t="shared" si="306"/>
        <v>-1</v>
      </c>
      <c r="AP436" s="1" t="e">
        <f t="shared" si="307"/>
        <v>#DIV/0!</v>
      </c>
      <c r="AQ436" s="1">
        <f t="shared" si="308"/>
        <v>-1</v>
      </c>
      <c r="AR436" s="1" t="e">
        <f t="shared" si="309"/>
        <v>#DIV/0!</v>
      </c>
      <c r="AS436" s="12" t="e">
        <f t="shared" si="310"/>
        <v>#DIV/0!</v>
      </c>
      <c r="AT436" s="12" t="e">
        <f t="shared" si="311"/>
        <v>#DIV/0!</v>
      </c>
      <c r="AU436" s="1">
        <f t="shared" si="312"/>
        <v>2</v>
      </c>
      <c r="AV436" s="1">
        <f t="shared" si="313"/>
        <v>-2</v>
      </c>
      <c r="AW436" s="1">
        <f t="shared" si="314"/>
        <v>-1</v>
      </c>
      <c r="AX436" s="1">
        <f t="shared" si="315"/>
        <v>1</v>
      </c>
      <c r="AY436" s="1">
        <f t="shared" si="316"/>
        <v>-1</v>
      </c>
      <c r="AZ436" s="1">
        <f t="shared" si="317"/>
        <v>0</v>
      </c>
      <c r="BA436" s="19">
        <f t="shared" si="318"/>
        <v>-0.16666666666666666</v>
      </c>
      <c r="BB436" s="19">
        <f t="shared" si="319"/>
        <v>-0.5</v>
      </c>
      <c r="BC436" s="9" t="e">
        <f t="shared" si="320"/>
        <v>#DIV/0!</v>
      </c>
      <c r="BD436" s="9" t="e">
        <f t="shared" si="321"/>
        <v>#DIV/0!</v>
      </c>
      <c r="BE436" s="9" t="e">
        <f t="shared" si="322"/>
        <v>#DIV/0!</v>
      </c>
      <c r="BF436" s="9">
        <f t="shared" si="323"/>
        <v>-1</v>
      </c>
      <c r="BG436" s="9" t="e">
        <f t="shared" si="324"/>
        <v>#DIV/0!</v>
      </c>
      <c r="BH436" s="9" t="e">
        <f t="shared" si="325"/>
        <v>#DIV/0!</v>
      </c>
      <c r="BI436" s="12" t="e">
        <f t="shared" si="326"/>
        <v>#DIV/0!</v>
      </c>
      <c r="BJ436" s="13" t="e">
        <f t="shared" si="327"/>
        <v>#DIV/0!</v>
      </c>
      <c r="BK436" s="1">
        <f t="shared" si="328"/>
        <v>0</v>
      </c>
      <c r="BL436" s="1">
        <f t="shared" si="329"/>
        <v>0</v>
      </c>
      <c r="BM436" s="1">
        <f t="shared" si="330"/>
        <v>1</v>
      </c>
      <c r="BN436" s="1">
        <f t="shared" si="331"/>
        <v>-1</v>
      </c>
      <c r="BO436" s="1">
        <f t="shared" si="332"/>
        <v>0</v>
      </c>
      <c r="BP436" s="1">
        <f t="shared" si="333"/>
        <v>0</v>
      </c>
      <c r="BQ436" s="19">
        <f t="shared" si="334"/>
        <v>0</v>
      </c>
      <c r="BR436" s="17">
        <f t="shared" si="335"/>
        <v>0</v>
      </c>
    </row>
    <row r="437" spans="1:70" x14ac:dyDescent="0.25">
      <c r="A437" t="s">
        <v>506</v>
      </c>
      <c r="B437">
        <v>1</v>
      </c>
      <c r="D437">
        <v>1</v>
      </c>
      <c r="E437">
        <v>1</v>
      </c>
      <c r="L437">
        <v>1</v>
      </c>
      <c r="P437">
        <v>1</v>
      </c>
      <c r="R437">
        <v>1</v>
      </c>
      <c r="W437" s="8">
        <f t="shared" si="288"/>
        <v>-1</v>
      </c>
      <c r="X437" s="8" t="e">
        <f t="shared" si="289"/>
        <v>#DIV/0!</v>
      </c>
      <c r="Y437" s="8">
        <f t="shared" si="290"/>
        <v>0</v>
      </c>
      <c r="Z437" s="8">
        <f t="shared" si="291"/>
        <v>-1</v>
      </c>
      <c r="AA437" s="8" t="e">
        <f t="shared" si="292"/>
        <v>#DIV/0!</v>
      </c>
      <c r="AB437" s="8" t="e">
        <f t="shared" si="293"/>
        <v>#DIV/0!</v>
      </c>
      <c r="AC437" s="12" t="e">
        <f t="shared" si="294"/>
        <v>#DIV/0!</v>
      </c>
      <c r="AD437" s="12" t="e">
        <f t="shared" si="295"/>
        <v>#DIV/0!</v>
      </c>
      <c r="AE437" s="1">
        <f t="shared" si="296"/>
        <v>-1</v>
      </c>
      <c r="AF437" s="1">
        <f t="shared" si="297"/>
        <v>1</v>
      </c>
      <c r="AG437" s="1">
        <f t="shared" si="298"/>
        <v>0</v>
      </c>
      <c r="AH437" s="1">
        <f t="shared" si="299"/>
        <v>-1</v>
      </c>
      <c r="AI437" s="1">
        <f t="shared" si="300"/>
        <v>0</v>
      </c>
      <c r="AJ437" s="1">
        <f t="shared" si="301"/>
        <v>0</v>
      </c>
      <c r="AK437" s="17">
        <f t="shared" si="302"/>
        <v>-0.16666666666666666</v>
      </c>
      <c r="AL437" s="17">
        <f t="shared" si="303"/>
        <v>0</v>
      </c>
      <c r="AM437" s="1" t="e">
        <f t="shared" si="304"/>
        <v>#DIV/0!</v>
      </c>
      <c r="AN437" s="1" t="e">
        <f t="shared" si="305"/>
        <v>#DIV/0!</v>
      </c>
      <c r="AO437" s="1" t="e">
        <f t="shared" si="306"/>
        <v>#DIV/0!</v>
      </c>
      <c r="AP437" s="1">
        <f t="shared" si="307"/>
        <v>-1</v>
      </c>
      <c r="AQ437" s="1" t="e">
        <f t="shared" si="308"/>
        <v>#DIV/0!</v>
      </c>
      <c r="AR437" s="1" t="e">
        <f t="shared" si="309"/>
        <v>#DIV/0!</v>
      </c>
      <c r="AS437" s="12" t="e">
        <f t="shared" si="310"/>
        <v>#DIV/0!</v>
      </c>
      <c r="AT437" s="12" t="e">
        <f t="shared" si="311"/>
        <v>#DIV/0!</v>
      </c>
      <c r="AU437" s="1">
        <f t="shared" si="312"/>
        <v>0</v>
      </c>
      <c r="AV437" s="1">
        <f t="shared" si="313"/>
        <v>0</v>
      </c>
      <c r="AW437" s="1">
        <f t="shared" si="314"/>
        <v>1</v>
      </c>
      <c r="AX437" s="1">
        <f t="shared" si="315"/>
        <v>-1</v>
      </c>
      <c r="AY437" s="1">
        <f t="shared" si="316"/>
        <v>0</v>
      </c>
      <c r="AZ437" s="1">
        <f t="shared" si="317"/>
        <v>0</v>
      </c>
      <c r="BA437" s="19">
        <f t="shared" si="318"/>
        <v>0</v>
      </c>
      <c r="BB437" s="19">
        <f t="shared" si="319"/>
        <v>0</v>
      </c>
      <c r="BC437" s="9">
        <f t="shared" si="320"/>
        <v>-1</v>
      </c>
      <c r="BD437" s="9" t="e">
        <f t="shared" si="321"/>
        <v>#DIV/0!</v>
      </c>
      <c r="BE437" s="9">
        <f t="shared" si="322"/>
        <v>-1</v>
      </c>
      <c r="BF437" s="9" t="e">
        <f t="shared" si="323"/>
        <v>#DIV/0!</v>
      </c>
      <c r="BG437" s="9" t="e">
        <f t="shared" si="324"/>
        <v>#DIV/0!</v>
      </c>
      <c r="BH437" s="9" t="e">
        <f t="shared" si="325"/>
        <v>#DIV/0!</v>
      </c>
      <c r="BI437" s="12" t="e">
        <f t="shared" si="326"/>
        <v>#DIV/0!</v>
      </c>
      <c r="BJ437" s="13" t="e">
        <f t="shared" si="327"/>
        <v>#DIV/0!</v>
      </c>
      <c r="BK437" s="1">
        <f t="shared" si="328"/>
        <v>-1</v>
      </c>
      <c r="BL437" s="1">
        <f t="shared" si="329"/>
        <v>1</v>
      </c>
      <c r="BM437" s="1">
        <f t="shared" si="330"/>
        <v>-1</v>
      </c>
      <c r="BN437" s="1">
        <f t="shared" si="331"/>
        <v>0</v>
      </c>
      <c r="BO437" s="1">
        <f t="shared" si="332"/>
        <v>0</v>
      </c>
      <c r="BP437" s="1">
        <f t="shared" si="333"/>
        <v>0</v>
      </c>
      <c r="BQ437" s="19">
        <f t="shared" si="334"/>
        <v>-0.16666666666666666</v>
      </c>
      <c r="BR437" s="17">
        <f t="shared" si="335"/>
        <v>0</v>
      </c>
    </row>
    <row r="438" spans="1:70" x14ac:dyDescent="0.25">
      <c r="A438" t="s">
        <v>509</v>
      </c>
      <c r="B438">
        <v>1</v>
      </c>
      <c r="C438">
        <v>2</v>
      </c>
      <c r="F438">
        <v>1</v>
      </c>
      <c r="I438">
        <v>1</v>
      </c>
      <c r="J438">
        <v>1</v>
      </c>
      <c r="Q438">
        <v>1</v>
      </c>
      <c r="T438">
        <v>1</v>
      </c>
      <c r="W438" s="8">
        <f t="shared" si="288"/>
        <v>1</v>
      </c>
      <c r="X438" s="8">
        <f t="shared" si="289"/>
        <v>-1</v>
      </c>
      <c r="Y438" s="8" t="e">
        <f t="shared" si="290"/>
        <v>#DIV/0!</v>
      </c>
      <c r="Z438" s="8" t="e">
        <f t="shared" si="291"/>
        <v>#DIV/0!</v>
      </c>
      <c r="AA438" s="8">
        <f t="shared" si="292"/>
        <v>-1</v>
      </c>
      <c r="AB438" s="8" t="e">
        <f t="shared" si="293"/>
        <v>#DIV/0!</v>
      </c>
      <c r="AC438" s="12" t="e">
        <f t="shared" si="294"/>
        <v>#DIV/0!</v>
      </c>
      <c r="AD438" s="12" t="e">
        <f t="shared" si="295"/>
        <v>#DIV/0!</v>
      </c>
      <c r="AE438" s="1">
        <f t="shared" si="296"/>
        <v>1</v>
      </c>
      <c r="AF438" s="1">
        <f t="shared" si="297"/>
        <v>-2</v>
      </c>
      <c r="AG438" s="1">
        <f t="shared" si="298"/>
        <v>0</v>
      </c>
      <c r="AH438" s="1">
        <f t="shared" si="299"/>
        <v>1</v>
      </c>
      <c r="AI438" s="1">
        <f t="shared" si="300"/>
        <v>-1</v>
      </c>
      <c r="AJ438" s="1">
        <f t="shared" si="301"/>
        <v>0</v>
      </c>
      <c r="AK438" s="17">
        <f t="shared" si="302"/>
        <v>-0.16666666666666666</v>
      </c>
      <c r="AL438" s="17">
        <f t="shared" si="303"/>
        <v>0</v>
      </c>
      <c r="AM438" s="1">
        <f t="shared" si="304"/>
        <v>0</v>
      </c>
      <c r="AN438" s="1">
        <f t="shared" si="305"/>
        <v>-1</v>
      </c>
      <c r="AO438" s="1" t="e">
        <f t="shared" si="306"/>
        <v>#DIV/0!</v>
      </c>
      <c r="AP438" s="1" t="e">
        <f t="shared" si="307"/>
        <v>#DIV/0!</v>
      </c>
      <c r="AQ438" s="1" t="e">
        <f t="shared" si="308"/>
        <v>#DIV/0!</v>
      </c>
      <c r="AR438" s="1" t="e">
        <f t="shared" si="309"/>
        <v>#DIV/0!</v>
      </c>
      <c r="AS438" s="12" t="e">
        <f t="shared" si="310"/>
        <v>#DIV/0!</v>
      </c>
      <c r="AT438" s="12" t="e">
        <f t="shared" si="311"/>
        <v>#DIV/0!</v>
      </c>
      <c r="AU438" s="1">
        <f t="shared" si="312"/>
        <v>0</v>
      </c>
      <c r="AV438" s="1">
        <f t="shared" si="313"/>
        <v>-1</v>
      </c>
      <c r="AW438" s="1">
        <f t="shared" si="314"/>
        <v>0</v>
      </c>
      <c r="AX438" s="1">
        <f t="shared" si="315"/>
        <v>0</v>
      </c>
      <c r="AY438" s="1">
        <f t="shared" si="316"/>
        <v>0</v>
      </c>
      <c r="AZ438" s="1">
        <f t="shared" si="317"/>
        <v>0</v>
      </c>
      <c r="BA438" s="19">
        <f t="shared" si="318"/>
        <v>-0.16666666666666666</v>
      </c>
      <c r="BB438" s="19">
        <f t="shared" si="319"/>
        <v>0</v>
      </c>
      <c r="BC438" s="9" t="e">
        <f t="shared" si="320"/>
        <v>#DIV/0!</v>
      </c>
      <c r="BD438" s="9">
        <f t="shared" si="321"/>
        <v>-1</v>
      </c>
      <c r="BE438" s="9" t="e">
        <f t="shared" si="322"/>
        <v>#DIV/0!</v>
      </c>
      <c r="BF438" s="9" t="e">
        <f t="shared" si="323"/>
        <v>#DIV/0!</v>
      </c>
      <c r="BG438" s="9">
        <f t="shared" si="324"/>
        <v>-1</v>
      </c>
      <c r="BH438" s="9" t="e">
        <f t="shared" si="325"/>
        <v>#DIV/0!</v>
      </c>
      <c r="BI438" s="12" t="e">
        <f t="shared" si="326"/>
        <v>#DIV/0!</v>
      </c>
      <c r="BJ438" s="13" t="e">
        <f t="shared" si="327"/>
        <v>#DIV/0!</v>
      </c>
      <c r="BK438" s="1">
        <f t="shared" si="328"/>
        <v>1</v>
      </c>
      <c r="BL438" s="1">
        <f t="shared" si="329"/>
        <v>-1</v>
      </c>
      <c r="BM438" s="1">
        <f t="shared" si="330"/>
        <v>0</v>
      </c>
      <c r="BN438" s="1">
        <f t="shared" si="331"/>
        <v>1</v>
      </c>
      <c r="BO438" s="1">
        <f t="shared" si="332"/>
        <v>-1</v>
      </c>
      <c r="BP438" s="1">
        <f t="shared" si="333"/>
        <v>0</v>
      </c>
      <c r="BQ438" s="19">
        <f t="shared" si="334"/>
        <v>0</v>
      </c>
      <c r="BR438" s="17">
        <f t="shared" si="335"/>
        <v>0</v>
      </c>
    </row>
    <row r="439" spans="1:70" x14ac:dyDescent="0.25">
      <c r="A439" t="s">
        <v>511</v>
      </c>
      <c r="B439">
        <v>1</v>
      </c>
      <c r="D439">
        <v>1</v>
      </c>
      <c r="E439">
        <v>1</v>
      </c>
      <c r="F439">
        <v>2</v>
      </c>
      <c r="G439">
        <v>1</v>
      </c>
      <c r="L439">
        <v>1</v>
      </c>
      <c r="M439">
        <v>1</v>
      </c>
      <c r="N439">
        <v>1</v>
      </c>
      <c r="P439">
        <v>1</v>
      </c>
      <c r="R439">
        <v>1</v>
      </c>
      <c r="T439">
        <v>1</v>
      </c>
      <c r="W439" s="8">
        <f t="shared" si="288"/>
        <v>-1</v>
      </c>
      <c r="X439" s="8" t="e">
        <f t="shared" si="289"/>
        <v>#DIV/0!</v>
      </c>
      <c r="Y439" s="8">
        <f t="shared" si="290"/>
        <v>0</v>
      </c>
      <c r="Z439" s="8">
        <f t="shared" si="291"/>
        <v>1</v>
      </c>
      <c r="AA439" s="8">
        <f t="shared" si="292"/>
        <v>-0.5</v>
      </c>
      <c r="AB439" s="8">
        <f t="shared" si="293"/>
        <v>-1</v>
      </c>
      <c r="AC439" s="12" t="e">
        <f t="shared" si="294"/>
        <v>#DIV/0!</v>
      </c>
      <c r="AD439" s="12" t="e">
        <f t="shared" si="295"/>
        <v>#DIV/0!</v>
      </c>
      <c r="AE439" s="1">
        <f t="shared" si="296"/>
        <v>-1</v>
      </c>
      <c r="AF439" s="1">
        <f t="shared" si="297"/>
        <v>1</v>
      </c>
      <c r="AG439" s="1">
        <f t="shared" si="298"/>
        <v>0</v>
      </c>
      <c r="AH439" s="1">
        <f t="shared" si="299"/>
        <v>1</v>
      </c>
      <c r="AI439" s="1">
        <f t="shared" si="300"/>
        <v>-1</v>
      </c>
      <c r="AJ439" s="1">
        <f t="shared" si="301"/>
        <v>-1</v>
      </c>
      <c r="AK439" s="17">
        <f t="shared" si="302"/>
        <v>-0.16666666666666666</v>
      </c>
      <c r="AL439" s="17">
        <f t="shared" si="303"/>
        <v>-0.5</v>
      </c>
      <c r="AM439" s="1" t="e">
        <f t="shared" si="304"/>
        <v>#DIV/0!</v>
      </c>
      <c r="AN439" s="1" t="e">
        <f t="shared" si="305"/>
        <v>#DIV/0!</v>
      </c>
      <c r="AO439" s="1" t="e">
        <f t="shared" si="306"/>
        <v>#DIV/0!</v>
      </c>
      <c r="AP439" s="1">
        <f t="shared" si="307"/>
        <v>0</v>
      </c>
      <c r="AQ439" s="1">
        <f t="shared" si="308"/>
        <v>0</v>
      </c>
      <c r="AR439" s="1">
        <f t="shared" si="309"/>
        <v>-1</v>
      </c>
      <c r="AS439" s="12" t="e">
        <f t="shared" si="310"/>
        <v>#DIV/0!</v>
      </c>
      <c r="AT439" s="12" t="e">
        <f t="shared" si="311"/>
        <v>#DIV/0!</v>
      </c>
      <c r="AU439" s="1">
        <f t="shared" si="312"/>
        <v>0</v>
      </c>
      <c r="AV439" s="1">
        <f t="shared" si="313"/>
        <v>0</v>
      </c>
      <c r="AW439" s="1">
        <f t="shared" si="314"/>
        <v>1</v>
      </c>
      <c r="AX439" s="1">
        <f t="shared" si="315"/>
        <v>0</v>
      </c>
      <c r="AY439" s="1">
        <f t="shared" si="316"/>
        <v>0</v>
      </c>
      <c r="AZ439" s="1">
        <f t="shared" si="317"/>
        <v>-1</v>
      </c>
      <c r="BA439" s="19">
        <f t="shared" si="318"/>
        <v>0</v>
      </c>
      <c r="BB439" s="19">
        <f t="shared" si="319"/>
        <v>0</v>
      </c>
      <c r="BC439" s="9">
        <f t="shared" si="320"/>
        <v>-1</v>
      </c>
      <c r="BD439" s="9" t="e">
        <f t="shared" si="321"/>
        <v>#DIV/0!</v>
      </c>
      <c r="BE439" s="9">
        <f t="shared" si="322"/>
        <v>-1</v>
      </c>
      <c r="BF439" s="9" t="e">
        <f t="shared" si="323"/>
        <v>#DIV/0!</v>
      </c>
      <c r="BG439" s="9">
        <f t="shared" si="324"/>
        <v>-1</v>
      </c>
      <c r="BH439" s="9" t="e">
        <f t="shared" si="325"/>
        <v>#DIV/0!</v>
      </c>
      <c r="BI439" s="12" t="e">
        <f t="shared" si="326"/>
        <v>#DIV/0!</v>
      </c>
      <c r="BJ439" s="13" t="e">
        <f t="shared" si="327"/>
        <v>#DIV/0!</v>
      </c>
      <c r="BK439" s="1">
        <f t="shared" si="328"/>
        <v>-1</v>
      </c>
      <c r="BL439" s="1">
        <f t="shared" si="329"/>
        <v>1</v>
      </c>
      <c r="BM439" s="1">
        <f t="shared" si="330"/>
        <v>-1</v>
      </c>
      <c r="BN439" s="1">
        <f t="shared" si="331"/>
        <v>1</v>
      </c>
      <c r="BO439" s="1">
        <f t="shared" si="332"/>
        <v>-1</v>
      </c>
      <c r="BP439" s="1">
        <f t="shared" si="333"/>
        <v>0</v>
      </c>
      <c r="BQ439" s="19">
        <f t="shared" si="334"/>
        <v>-0.16666666666666666</v>
      </c>
      <c r="BR439" s="17">
        <f t="shared" si="335"/>
        <v>-0.5</v>
      </c>
    </row>
    <row r="440" spans="1:70" x14ac:dyDescent="0.25">
      <c r="A440" t="s">
        <v>516</v>
      </c>
      <c r="B440">
        <v>1</v>
      </c>
      <c r="D440">
        <v>4</v>
      </c>
      <c r="E440">
        <v>3</v>
      </c>
      <c r="F440">
        <v>4</v>
      </c>
      <c r="G440">
        <v>2</v>
      </c>
      <c r="I440">
        <v>1</v>
      </c>
      <c r="K440">
        <v>4</v>
      </c>
      <c r="L440">
        <v>3</v>
      </c>
      <c r="M440">
        <v>4</v>
      </c>
      <c r="N440">
        <v>2</v>
      </c>
      <c r="W440" s="8">
        <f t="shared" si="288"/>
        <v>-1</v>
      </c>
      <c r="X440" s="8" t="e">
        <f t="shared" si="289"/>
        <v>#DIV/0!</v>
      </c>
      <c r="Y440" s="8">
        <f t="shared" si="290"/>
        <v>-0.25</v>
      </c>
      <c r="Z440" s="8">
        <f t="shared" si="291"/>
        <v>0.33333333333333331</v>
      </c>
      <c r="AA440" s="8">
        <f t="shared" si="292"/>
        <v>-0.5</v>
      </c>
      <c r="AB440" s="8">
        <f t="shared" si="293"/>
        <v>-1</v>
      </c>
      <c r="AC440" s="12" t="e">
        <f t="shared" si="294"/>
        <v>#DIV/0!</v>
      </c>
      <c r="AD440" s="12" t="e">
        <f t="shared" si="295"/>
        <v>#DIV/0!</v>
      </c>
      <c r="AE440" s="1">
        <f t="shared" si="296"/>
        <v>-1</v>
      </c>
      <c r="AF440" s="1">
        <f t="shared" si="297"/>
        <v>4</v>
      </c>
      <c r="AG440" s="1">
        <f t="shared" si="298"/>
        <v>-1</v>
      </c>
      <c r="AH440" s="1">
        <f t="shared" si="299"/>
        <v>1</v>
      </c>
      <c r="AI440" s="1">
        <f t="shared" si="300"/>
        <v>-2</v>
      </c>
      <c r="AJ440" s="1">
        <f t="shared" si="301"/>
        <v>-2</v>
      </c>
      <c r="AK440" s="17">
        <f t="shared" si="302"/>
        <v>-0.16666666666666666</v>
      </c>
      <c r="AL440" s="17">
        <f t="shared" si="303"/>
        <v>-1</v>
      </c>
      <c r="AM440" s="1">
        <f t="shared" si="304"/>
        <v>-1</v>
      </c>
      <c r="AN440" s="1" t="e">
        <f t="shared" si="305"/>
        <v>#DIV/0!</v>
      </c>
      <c r="AO440" s="1">
        <f t="shared" si="306"/>
        <v>-0.25</v>
      </c>
      <c r="AP440" s="1">
        <f t="shared" si="307"/>
        <v>0.33333333333333331</v>
      </c>
      <c r="AQ440" s="1">
        <f t="shared" si="308"/>
        <v>-0.5</v>
      </c>
      <c r="AR440" s="1">
        <f t="shared" si="309"/>
        <v>-1</v>
      </c>
      <c r="AS440" s="12" t="e">
        <f t="shared" si="310"/>
        <v>#DIV/0!</v>
      </c>
      <c r="AT440" s="12" t="e">
        <f t="shared" si="311"/>
        <v>#DIV/0!</v>
      </c>
      <c r="AU440" s="1">
        <f t="shared" si="312"/>
        <v>-1</v>
      </c>
      <c r="AV440" s="1">
        <f t="shared" si="313"/>
        <v>4</v>
      </c>
      <c r="AW440" s="1">
        <f t="shared" si="314"/>
        <v>-1</v>
      </c>
      <c r="AX440" s="1">
        <f t="shared" si="315"/>
        <v>1</v>
      </c>
      <c r="AY440" s="1">
        <f t="shared" si="316"/>
        <v>-2</v>
      </c>
      <c r="AZ440" s="1">
        <f t="shared" si="317"/>
        <v>-2</v>
      </c>
      <c r="BA440" s="19">
        <f t="shared" si="318"/>
        <v>-0.16666666666666666</v>
      </c>
      <c r="BB440" s="19">
        <f t="shared" si="319"/>
        <v>-1</v>
      </c>
      <c r="BC440" s="9" t="e">
        <f t="shared" si="320"/>
        <v>#DIV/0!</v>
      </c>
      <c r="BD440" s="9" t="e">
        <f t="shared" si="321"/>
        <v>#DIV/0!</v>
      </c>
      <c r="BE440" s="9" t="e">
        <f t="shared" si="322"/>
        <v>#DIV/0!</v>
      </c>
      <c r="BF440" s="9" t="e">
        <f t="shared" si="323"/>
        <v>#DIV/0!</v>
      </c>
      <c r="BG440" s="9" t="e">
        <f t="shared" si="324"/>
        <v>#DIV/0!</v>
      </c>
      <c r="BH440" s="9" t="e">
        <f t="shared" si="325"/>
        <v>#DIV/0!</v>
      </c>
      <c r="BI440" s="12" t="e">
        <f t="shared" si="326"/>
        <v>#DIV/0!</v>
      </c>
      <c r="BJ440" s="13" t="e">
        <f t="shared" si="327"/>
        <v>#DIV/0!</v>
      </c>
      <c r="BK440" s="1">
        <f t="shared" si="328"/>
        <v>0</v>
      </c>
      <c r="BL440" s="1">
        <f t="shared" si="329"/>
        <v>0</v>
      </c>
      <c r="BM440" s="1">
        <f t="shared" si="330"/>
        <v>0</v>
      </c>
      <c r="BN440" s="1">
        <f t="shared" si="331"/>
        <v>0</v>
      </c>
      <c r="BO440" s="1">
        <f t="shared" si="332"/>
        <v>0</v>
      </c>
      <c r="BP440" s="1">
        <f t="shared" si="333"/>
        <v>0</v>
      </c>
      <c r="BQ440" s="19">
        <f t="shared" si="334"/>
        <v>0</v>
      </c>
      <c r="BR440" s="17">
        <f t="shared" si="335"/>
        <v>0</v>
      </c>
    </row>
    <row r="441" spans="1:70" x14ac:dyDescent="0.25">
      <c r="A441" t="s">
        <v>519</v>
      </c>
      <c r="B441">
        <v>1</v>
      </c>
      <c r="C441">
        <v>1</v>
      </c>
      <c r="D441">
        <v>2</v>
      </c>
      <c r="F441">
        <v>1</v>
      </c>
      <c r="I441">
        <v>1</v>
      </c>
      <c r="K441">
        <v>2</v>
      </c>
      <c r="M441">
        <v>1</v>
      </c>
      <c r="Q441">
        <v>1</v>
      </c>
      <c r="W441" s="8">
        <f t="shared" si="288"/>
        <v>0</v>
      </c>
      <c r="X441" s="8">
        <f t="shared" si="289"/>
        <v>1</v>
      </c>
      <c r="Y441" s="8">
        <f t="shared" si="290"/>
        <v>-1</v>
      </c>
      <c r="Z441" s="8" t="e">
        <f t="shared" si="291"/>
        <v>#DIV/0!</v>
      </c>
      <c r="AA441" s="8">
        <f t="shared" si="292"/>
        <v>-1</v>
      </c>
      <c r="AB441" s="8" t="e">
        <f t="shared" si="293"/>
        <v>#DIV/0!</v>
      </c>
      <c r="AC441" s="12" t="e">
        <f t="shared" si="294"/>
        <v>#DIV/0!</v>
      </c>
      <c r="AD441" s="12" t="e">
        <f t="shared" si="295"/>
        <v>#DIV/0!</v>
      </c>
      <c r="AE441" s="1">
        <f t="shared" si="296"/>
        <v>0</v>
      </c>
      <c r="AF441" s="1">
        <f t="shared" si="297"/>
        <v>1</v>
      </c>
      <c r="AG441" s="1">
        <f t="shared" si="298"/>
        <v>-2</v>
      </c>
      <c r="AH441" s="1">
        <f t="shared" si="299"/>
        <v>1</v>
      </c>
      <c r="AI441" s="1">
        <f t="shared" si="300"/>
        <v>-1</v>
      </c>
      <c r="AJ441" s="1">
        <f t="shared" si="301"/>
        <v>0</v>
      </c>
      <c r="AK441" s="17">
        <f t="shared" si="302"/>
        <v>-0.16666666666666666</v>
      </c>
      <c r="AL441" s="17">
        <f t="shared" si="303"/>
        <v>0</v>
      </c>
      <c r="AM441" s="1">
        <f t="shared" si="304"/>
        <v>-1</v>
      </c>
      <c r="AN441" s="1" t="e">
        <f t="shared" si="305"/>
        <v>#DIV/0!</v>
      </c>
      <c r="AO441" s="1">
        <f t="shared" si="306"/>
        <v>-1</v>
      </c>
      <c r="AP441" s="1" t="e">
        <f t="shared" si="307"/>
        <v>#DIV/0!</v>
      </c>
      <c r="AQ441" s="1">
        <f t="shared" si="308"/>
        <v>-1</v>
      </c>
      <c r="AR441" s="1" t="e">
        <f t="shared" si="309"/>
        <v>#DIV/0!</v>
      </c>
      <c r="AS441" s="12" t="e">
        <f t="shared" si="310"/>
        <v>#DIV/0!</v>
      </c>
      <c r="AT441" s="12" t="e">
        <f t="shared" si="311"/>
        <v>#DIV/0!</v>
      </c>
      <c r="AU441" s="1">
        <f t="shared" si="312"/>
        <v>-1</v>
      </c>
      <c r="AV441" s="1">
        <f t="shared" si="313"/>
        <v>2</v>
      </c>
      <c r="AW441" s="1">
        <f t="shared" si="314"/>
        <v>-2</v>
      </c>
      <c r="AX441" s="1">
        <f t="shared" si="315"/>
        <v>1</v>
      </c>
      <c r="AY441" s="1">
        <f t="shared" si="316"/>
        <v>-1</v>
      </c>
      <c r="AZ441" s="1">
        <f t="shared" si="317"/>
        <v>0</v>
      </c>
      <c r="BA441" s="19">
        <f t="shared" si="318"/>
        <v>-0.16666666666666666</v>
      </c>
      <c r="BB441" s="19">
        <f t="shared" si="319"/>
        <v>-0.5</v>
      </c>
      <c r="BC441" s="9" t="e">
        <f t="shared" si="320"/>
        <v>#DIV/0!</v>
      </c>
      <c r="BD441" s="9">
        <f t="shared" si="321"/>
        <v>-1</v>
      </c>
      <c r="BE441" s="9" t="e">
        <f t="shared" si="322"/>
        <v>#DIV/0!</v>
      </c>
      <c r="BF441" s="9" t="e">
        <f t="shared" si="323"/>
        <v>#DIV/0!</v>
      </c>
      <c r="BG441" s="9" t="e">
        <f t="shared" si="324"/>
        <v>#DIV/0!</v>
      </c>
      <c r="BH441" s="9" t="e">
        <f t="shared" si="325"/>
        <v>#DIV/0!</v>
      </c>
      <c r="BI441" s="12" t="e">
        <f t="shared" si="326"/>
        <v>#DIV/0!</v>
      </c>
      <c r="BJ441" s="13" t="e">
        <f t="shared" si="327"/>
        <v>#DIV/0!</v>
      </c>
      <c r="BK441" s="1">
        <f t="shared" si="328"/>
        <v>1</v>
      </c>
      <c r="BL441" s="1">
        <f t="shared" si="329"/>
        <v>-1</v>
      </c>
      <c r="BM441" s="1">
        <f t="shared" si="330"/>
        <v>0</v>
      </c>
      <c r="BN441" s="1">
        <f t="shared" si="331"/>
        <v>0</v>
      </c>
      <c r="BO441" s="1">
        <f t="shared" si="332"/>
        <v>0</v>
      </c>
      <c r="BP441" s="1">
        <f t="shared" si="333"/>
        <v>0</v>
      </c>
      <c r="BQ441" s="19">
        <f t="shared" si="334"/>
        <v>0</v>
      </c>
      <c r="BR441" s="17">
        <f t="shared" si="335"/>
        <v>0</v>
      </c>
    </row>
    <row r="442" spans="1:70" x14ac:dyDescent="0.25">
      <c r="A442" t="s">
        <v>521</v>
      </c>
      <c r="B442">
        <v>1</v>
      </c>
      <c r="D442">
        <v>1</v>
      </c>
      <c r="I442">
        <v>1</v>
      </c>
      <c r="K442">
        <v>1</v>
      </c>
      <c r="W442" s="8">
        <f t="shared" si="288"/>
        <v>-1</v>
      </c>
      <c r="X442" s="8" t="e">
        <f t="shared" si="289"/>
        <v>#DIV/0!</v>
      </c>
      <c r="Y442" s="8">
        <f t="shared" si="290"/>
        <v>-1</v>
      </c>
      <c r="Z442" s="8" t="e">
        <f t="shared" si="291"/>
        <v>#DIV/0!</v>
      </c>
      <c r="AA442" s="8" t="e">
        <f t="shared" si="292"/>
        <v>#DIV/0!</v>
      </c>
      <c r="AB442" s="8" t="e">
        <f t="shared" si="293"/>
        <v>#DIV/0!</v>
      </c>
      <c r="AC442" s="12" t="e">
        <f t="shared" si="294"/>
        <v>#DIV/0!</v>
      </c>
      <c r="AD442" s="12" t="e">
        <f t="shared" si="295"/>
        <v>#DIV/0!</v>
      </c>
      <c r="AE442" s="1">
        <f t="shared" si="296"/>
        <v>-1</v>
      </c>
      <c r="AF442" s="1">
        <f t="shared" si="297"/>
        <v>1</v>
      </c>
      <c r="AG442" s="1">
        <f t="shared" si="298"/>
        <v>-1</v>
      </c>
      <c r="AH442" s="1">
        <f t="shared" si="299"/>
        <v>0</v>
      </c>
      <c r="AI442" s="1">
        <f t="shared" si="300"/>
        <v>0</v>
      </c>
      <c r="AJ442" s="1">
        <f t="shared" si="301"/>
        <v>0</v>
      </c>
      <c r="AK442" s="17">
        <f t="shared" si="302"/>
        <v>-0.16666666666666666</v>
      </c>
      <c r="AL442" s="17">
        <f t="shared" si="303"/>
        <v>0</v>
      </c>
      <c r="AM442" s="1">
        <f t="shared" si="304"/>
        <v>-1</v>
      </c>
      <c r="AN442" s="1" t="e">
        <f t="shared" si="305"/>
        <v>#DIV/0!</v>
      </c>
      <c r="AO442" s="1">
        <f t="shared" si="306"/>
        <v>-1</v>
      </c>
      <c r="AP442" s="1" t="e">
        <f t="shared" si="307"/>
        <v>#DIV/0!</v>
      </c>
      <c r="AQ442" s="1" t="e">
        <f t="shared" si="308"/>
        <v>#DIV/0!</v>
      </c>
      <c r="AR442" s="1" t="e">
        <f t="shared" si="309"/>
        <v>#DIV/0!</v>
      </c>
      <c r="AS442" s="12" t="e">
        <f t="shared" si="310"/>
        <v>#DIV/0!</v>
      </c>
      <c r="AT442" s="12" t="e">
        <f t="shared" si="311"/>
        <v>#DIV/0!</v>
      </c>
      <c r="AU442" s="1">
        <f t="shared" si="312"/>
        <v>-1</v>
      </c>
      <c r="AV442" s="1">
        <f t="shared" si="313"/>
        <v>1</v>
      </c>
      <c r="AW442" s="1">
        <f t="shared" si="314"/>
        <v>-1</v>
      </c>
      <c r="AX442" s="1">
        <f t="shared" si="315"/>
        <v>0</v>
      </c>
      <c r="AY442" s="1">
        <f t="shared" si="316"/>
        <v>0</v>
      </c>
      <c r="AZ442" s="1">
        <f t="shared" si="317"/>
        <v>0</v>
      </c>
      <c r="BA442" s="19">
        <f t="shared" si="318"/>
        <v>-0.16666666666666666</v>
      </c>
      <c r="BB442" s="19">
        <f t="shared" si="319"/>
        <v>0</v>
      </c>
      <c r="BC442" s="9" t="e">
        <f t="shared" si="320"/>
        <v>#DIV/0!</v>
      </c>
      <c r="BD442" s="9" t="e">
        <f t="shared" si="321"/>
        <v>#DIV/0!</v>
      </c>
      <c r="BE442" s="9" t="e">
        <f t="shared" si="322"/>
        <v>#DIV/0!</v>
      </c>
      <c r="BF442" s="9" t="e">
        <f t="shared" si="323"/>
        <v>#DIV/0!</v>
      </c>
      <c r="BG442" s="9" t="e">
        <f t="shared" si="324"/>
        <v>#DIV/0!</v>
      </c>
      <c r="BH442" s="9" t="e">
        <f t="shared" si="325"/>
        <v>#DIV/0!</v>
      </c>
      <c r="BI442" s="12" t="e">
        <f t="shared" si="326"/>
        <v>#DIV/0!</v>
      </c>
      <c r="BJ442" s="13" t="e">
        <f t="shared" si="327"/>
        <v>#DIV/0!</v>
      </c>
      <c r="BK442" s="1">
        <f t="shared" si="328"/>
        <v>0</v>
      </c>
      <c r="BL442" s="1">
        <f t="shared" si="329"/>
        <v>0</v>
      </c>
      <c r="BM442" s="1">
        <f t="shared" si="330"/>
        <v>0</v>
      </c>
      <c r="BN442" s="1">
        <f t="shared" si="331"/>
        <v>0</v>
      </c>
      <c r="BO442" s="1">
        <f t="shared" si="332"/>
        <v>0</v>
      </c>
      <c r="BP442" s="1">
        <f t="shared" si="333"/>
        <v>0</v>
      </c>
      <c r="BQ442" s="19">
        <f t="shared" si="334"/>
        <v>0</v>
      </c>
      <c r="BR442" s="17">
        <f t="shared" si="335"/>
        <v>0</v>
      </c>
    </row>
    <row r="443" spans="1:70" x14ac:dyDescent="0.25">
      <c r="A443" t="s">
        <v>522</v>
      </c>
      <c r="B443">
        <v>1</v>
      </c>
      <c r="P443">
        <v>1</v>
      </c>
      <c r="W443" s="8">
        <f t="shared" si="288"/>
        <v>-1</v>
      </c>
      <c r="X443" s="8" t="e">
        <f t="shared" si="289"/>
        <v>#DIV/0!</v>
      </c>
      <c r="Y443" s="8" t="e">
        <f t="shared" si="290"/>
        <v>#DIV/0!</v>
      </c>
      <c r="Z443" s="8" t="e">
        <f t="shared" si="291"/>
        <v>#DIV/0!</v>
      </c>
      <c r="AA443" s="8" t="e">
        <f t="shared" si="292"/>
        <v>#DIV/0!</v>
      </c>
      <c r="AB443" s="8" t="e">
        <f t="shared" si="293"/>
        <v>#DIV/0!</v>
      </c>
      <c r="AC443" s="12" t="e">
        <f t="shared" si="294"/>
        <v>#DIV/0!</v>
      </c>
      <c r="AD443" s="12" t="e">
        <f t="shared" si="295"/>
        <v>#DIV/0!</v>
      </c>
      <c r="AE443" s="1">
        <f t="shared" si="296"/>
        <v>-1</v>
      </c>
      <c r="AF443" s="1">
        <f t="shared" si="297"/>
        <v>0</v>
      </c>
      <c r="AG443" s="1">
        <f t="shared" si="298"/>
        <v>0</v>
      </c>
      <c r="AH443" s="1">
        <f t="shared" si="299"/>
        <v>0</v>
      </c>
      <c r="AI443" s="1">
        <f t="shared" si="300"/>
        <v>0</v>
      </c>
      <c r="AJ443" s="1">
        <f t="shared" si="301"/>
        <v>0</v>
      </c>
      <c r="AK443" s="17">
        <f t="shared" si="302"/>
        <v>-0.16666666666666666</v>
      </c>
      <c r="AL443" s="17">
        <f t="shared" si="303"/>
        <v>0</v>
      </c>
      <c r="AM443" s="1" t="e">
        <f t="shared" si="304"/>
        <v>#DIV/0!</v>
      </c>
      <c r="AN443" s="1" t="e">
        <f t="shared" si="305"/>
        <v>#DIV/0!</v>
      </c>
      <c r="AO443" s="1" t="e">
        <f t="shared" si="306"/>
        <v>#DIV/0!</v>
      </c>
      <c r="AP443" s="1" t="e">
        <f t="shared" si="307"/>
        <v>#DIV/0!</v>
      </c>
      <c r="AQ443" s="1" t="e">
        <f t="shared" si="308"/>
        <v>#DIV/0!</v>
      </c>
      <c r="AR443" s="1" t="e">
        <f t="shared" si="309"/>
        <v>#DIV/0!</v>
      </c>
      <c r="AS443" s="12" t="e">
        <f t="shared" si="310"/>
        <v>#DIV/0!</v>
      </c>
      <c r="AT443" s="12" t="e">
        <f t="shared" si="311"/>
        <v>#DIV/0!</v>
      </c>
      <c r="AU443" s="1">
        <f t="shared" si="312"/>
        <v>0</v>
      </c>
      <c r="AV443" s="1">
        <f t="shared" si="313"/>
        <v>0</v>
      </c>
      <c r="AW443" s="1">
        <f t="shared" si="314"/>
        <v>0</v>
      </c>
      <c r="AX443" s="1">
        <f t="shared" si="315"/>
        <v>0</v>
      </c>
      <c r="AY443" s="1">
        <f t="shared" si="316"/>
        <v>0</v>
      </c>
      <c r="AZ443" s="1">
        <f t="shared" si="317"/>
        <v>0</v>
      </c>
      <c r="BA443" s="19">
        <f t="shared" si="318"/>
        <v>0</v>
      </c>
      <c r="BB443" s="19">
        <f t="shared" si="319"/>
        <v>0</v>
      </c>
      <c r="BC443" s="9">
        <f t="shared" si="320"/>
        <v>-1</v>
      </c>
      <c r="BD443" s="9" t="e">
        <f t="shared" si="321"/>
        <v>#DIV/0!</v>
      </c>
      <c r="BE443" s="9" t="e">
        <f t="shared" si="322"/>
        <v>#DIV/0!</v>
      </c>
      <c r="BF443" s="9" t="e">
        <f t="shared" si="323"/>
        <v>#DIV/0!</v>
      </c>
      <c r="BG443" s="9" t="e">
        <f t="shared" si="324"/>
        <v>#DIV/0!</v>
      </c>
      <c r="BH443" s="9" t="e">
        <f t="shared" si="325"/>
        <v>#DIV/0!</v>
      </c>
      <c r="BI443" s="12" t="e">
        <f t="shared" si="326"/>
        <v>#DIV/0!</v>
      </c>
      <c r="BJ443" s="13" t="e">
        <f t="shared" si="327"/>
        <v>#DIV/0!</v>
      </c>
      <c r="BK443" s="1">
        <f t="shared" si="328"/>
        <v>-1</v>
      </c>
      <c r="BL443" s="1">
        <f t="shared" si="329"/>
        <v>0</v>
      </c>
      <c r="BM443" s="1">
        <f t="shared" si="330"/>
        <v>0</v>
      </c>
      <c r="BN443" s="1">
        <f t="shared" si="331"/>
        <v>0</v>
      </c>
      <c r="BO443" s="1">
        <f t="shared" si="332"/>
        <v>0</v>
      </c>
      <c r="BP443" s="1">
        <f t="shared" si="333"/>
        <v>0</v>
      </c>
      <c r="BQ443" s="19">
        <f t="shared" si="334"/>
        <v>-0.16666666666666666</v>
      </c>
      <c r="BR443" s="17">
        <f t="shared" si="335"/>
        <v>0</v>
      </c>
    </row>
    <row r="444" spans="1:70" x14ac:dyDescent="0.25">
      <c r="A444" t="s">
        <v>523</v>
      </c>
      <c r="B444">
        <v>1</v>
      </c>
      <c r="D444">
        <v>1</v>
      </c>
      <c r="E444">
        <v>1</v>
      </c>
      <c r="F444">
        <v>1</v>
      </c>
      <c r="G444">
        <v>3</v>
      </c>
      <c r="I444">
        <v>1</v>
      </c>
      <c r="K444">
        <v>1</v>
      </c>
      <c r="L444">
        <v>1</v>
      </c>
      <c r="N444">
        <v>3</v>
      </c>
      <c r="T444">
        <v>1</v>
      </c>
      <c r="W444" s="8">
        <f t="shared" si="288"/>
        <v>-1</v>
      </c>
      <c r="X444" s="8" t="e">
        <f t="shared" si="289"/>
        <v>#DIV/0!</v>
      </c>
      <c r="Y444" s="8">
        <f t="shared" si="290"/>
        <v>0</v>
      </c>
      <c r="Z444" s="8">
        <f t="shared" si="291"/>
        <v>0</v>
      </c>
      <c r="AA444" s="8">
        <f t="shared" si="292"/>
        <v>2</v>
      </c>
      <c r="AB444" s="8">
        <f t="shared" si="293"/>
        <v>-1</v>
      </c>
      <c r="AC444" s="12" t="e">
        <f t="shared" si="294"/>
        <v>#DIV/0!</v>
      </c>
      <c r="AD444" s="12" t="e">
        <f t="shared" si="295"/>
        <v>#DIV/0!</v>
      </c>
      <c r="AE444" s="1">
        <f t="shared" si="296"/>
        <v>-1</v>
      </c>
      <c r="AF444" s="1">
        <f t="shared" si="297"/>
        <v>1</v>
      </c>
      <c r="AG444" s="1">
        <f t="shared" si="298"/>
        <v>0</v>
      </c>
      <c r="AH444" s="1">
        <f t="shared" si="299"/>
        <v>0</v>
      </c>
      <c r="AI444" s="1">
        <f t="shared" si="300"/>
        <v>2</v>
      </c>
      <c r="AJ444" s="1">
        <f t="shared" si="301"/>
        <v>-3</v>
      </c>
      <c r="AK444" s="17">
        <f t="shared" si="302"/>
        <v>-0.16666666666666666</v>
      </c>
      <c r="AL444" s="17">
        <f t="shared" si="303"/>
        <v>0</v>
      </c>
      <c r="AM444" s="1">
        <f t="shared" si="304"/>
        <v>-1</v>
      </c>
      <c r="AN444" s="1" t="e">
        <f t="shared" si="305"/>
        <v>#DIV/0!</v>
      </c>
      <c r="AO444" s="1">
        <f t="shared" si="306"/>
        <v>0</v>
      </c>
      <c r="AP444" s="1">
        <f t="shared" si="307"/>
        <v>-1</v>
      </c>
      <c r="AQ444" s="1" t="e">
        <f t="shared" si="308"/>
        <v>#DIV/0!</v>
      </c>
      <c r="AR444" s="1">
        <f t="shared" si="309"/>
        <v>-1</v>
      </c>
      <c r="AS444" s="12" t="e">
        <f t="shared" si="310"/>
        <v>#DIV/0!</v>
      </c>
      <c r="AT444" s="12" t="e">
        <f t="shared" si="311"/>
        <v>#DIV/0!</v>
      </c>
      <c r="AU444" s="1">
        <f t="shared" si="312"/>
        <v>-1</v>
      </c>
      <c r="AV444" s="1">
        <f t="shared" si="313"/>
        <v>1</v>
      </c>
      <c r="AW444" s="1">
        <f t="shared" si="314"/>
        <v>0</v>
      </c>
      <c r="AX444" s="1">
        <f t="shared" si="315"/>
        <v>-1</v>
      </c>
      <c r="AY444" s="1">
        <f t="shared" si="316"/>
        <v>3</v>
      </c>
      <c r="AZ444" s="1">
        <f t="shared" si="317"/>
        <v>-3</v>
      </c>
      <c r="BA444" s="19">
        <f t="shared" si="318"/>
        <v>-0.16666666666666666</v>
      </c>
      <c r="BB444" s="19">
        <f t="shared" si="319"/>
        <v>-0.5</v>
      </c>
      <c r="BC444" s="9" t="e">
        <f t="shared" si="320"/>
        <v>#DIV/0!</v>
      </c>
      <c r="BD444" s="9" t="e">
        <f t="shared" si="321"/>
        <v>#DIV/0!</v>
      </c>
      <c r="BE444" s="9" t="e">
        <f t="shared" si="322"/>
        <v>#DIV/0!</v>
      </c>
      <c r="BF444" s="9" t="e">
        <f t="shared" si="323"/>
        <v>#DIV/0!</v>
      </c>
      <c r="BG444" s="9">
        <f t="shared" si="324"/>
        <v>-1</v>
      </c>
      <c r="BH444" s="9" t="e">
        <f t="shared" si="325"/>
        <v>#DIV/0!</v>
      </c>
      <c r="BI444" s="12" t="e">
        <f t="shared" si="326"/>
        <v>#DIV/0!</v>
      </c>
      <c r="BJ444" s="13" t="e">
        <f t="shared" si="327"/>
        <v>#DIV/0!</v>
      </c>
      <c r="BK444" s="1">
        <f t="shared" si="328"/>
        <v>0</v>
      </c>
      <c r="BL444" s="1">
        <f t="shared" si="329"/>
        <v>0</v>
      </c>
      <c r="BM444" s="1">
        <f t="shared" si="330"/>
        <v>0</v>
      </c>
      <c r="BN444" s="1">
        <f t="shared" si="331"/>
        <v>1</v>
      </c>
      <c r="BO444" s="1">
        <f t="shared" si="332"/>
        <v>-1</v>
      </c>
      <c r="BP444" s="1">
        <f t="shared" si="333"/>
        <v>0</v>
      </c>
      <c r="BQ444" s="19">
        <f t="shared" si="334"/>
        <v>0</v>
      </c>
      <c r="BR444" s="17">
        <f t="shared" si="335"/>
        <v>0</v>
      </c>
    </row>
    <row r="445" spans="1:70" x14ac:dyDescent="0.25">
      <c r="A445" t="s">
        <v>524</v>
      </c>
      <c r="B445">
        <v>1</v>
      </c>
      <c r="I445">
        <v>1</v>
      </c>
      <c r="W445" s="8">
        <f t="shared" si="288"/>
        <v>-1</v>
      </c>
      <c r="X445" s="8" t="e">
        <f t="shared" si="289"/>
        <v>#DIV/0!</v>
      </c>
      <c r="Y445" s="8" t="e">
        <f t="shared" si="290"/>
        <v>#DIV/0!</v>
      </c>
      <c r="Z445" s="8" t="e">
        <f t="shared" si="291"/>
        <v>#DIV/0!</v>
      </c>
      <c r="AA445" s="8" t="e">
        <f t="shared" si="292"/>
        <v>#DIV/0!</v>
      </c>
      <c r="AB445" s="8" t="e">
        <f t="shared" si="293"/>
        <v>#DIV/0!</v>
      </c>
      <c r="AC445" s="12" t="e">
        <f t="shared" si="294"/>
        <v>#DIV/0!</v>
      </c>
      <c r="AD445" s="12" t="e">
        <f t="shared" si="295"/>
        <v>#DIV/0!</v>
      </c>
      <c r="AE445" s="1">
        <f t="shared" si="296"/>
        <v>-1</v>
      </c>
      <c r="AF445" s="1">
        <f t="shared" si="297"/>
        <v>0</v>
      </c>
      <c r="AG445" s="1">
        <f t="shared" si="298"/>
        <v>0</v>
      </c>
      <c r="AH445" s="1">
        <f t="shared" si="299"/>
        <v>0</v>
      </c>
      <c r="AI445" s="1">
        <f t="shared" si="300"/>
        <v>0</v>
      </c>
      <c r="AJ445" s="1">
        <f t="shared" si="301"/>
        <v>0</v>
      </c>
      <c r="AK445" s="17">
        <f t="shared" si="302"/>
        <v>-0.16666666666666666</v>
      </c>
      <c r="AL445" s="17">
        <f t="shared" si="303"/>
        <v>0</v>
      </c>
      <c r="AM445" s="1">
        <f t="shared" si="304"/>
        <v>-1</v>
      </c>
      <c r="AN445" s="1" t="e">
        <f t="shared" si="305"/>
        <v>#DIV/0!</v>
      </c>
      <c r="AO445" s="1" t="e">
        <f t="shared" si="306"/>
        <v>#DIV/0!</v>
      </c>
      <c r="AP445" s="1" t="e">
        <f t="shared" si="307"/>
        <v>#DIV/0!</v>
      </c>
      <c r="AQ445" s="1" t="e">
        <f t="shared" si="308"/>
        <v>#DIV/0!</v>
      </c>
      <c r="AR445" s="1" t="e">
        <f t="shared" si="309"/>
        <v>#DIV/0!</v>
      </c>
      <c r="AS445" s="12" t="e">
        <f t="shared" si="310"/>
        <v>#DIV/0!</v>
      </c>
      <c r="AT445" s="12" t="e">
        <f t="shared" si="311"/>
        <v>#DIV/0!</v>
      </c>
      <c r="AU445" s="1">
        <f t="shared" si="312"/>
        <v>-1</v>
      </c>
      <c r="AV445" s="1">
        <f t="shared" si="313"/>
        <v>0</v>
      </c>
      <c r="AW445" s="1">
        <f t="shared" si="314"/>
        <v>0</v>
      </c>
      <c r="AX445" s="1">
        <f t="shared" si="315"/>
        <v>0</v>
      </c>
      <c r="AY445" s="1">
        <f t="shared" si="316"/>
        <v>0</v>
      </c>
      <c r="AZ445" s="1">
        <f t="shared" si="317"/>
        <v>0</v>
      </c>
      <c r="BA445" s="19">
        <f t="shared" si="318"/>
        <v>-0.16666666666666666</v>
      </c>
      <c r="BB445" s="19">
        <f t="shared" si="319"/>
        <v>0</v>
      </c>
      <c r="BC445" s="9" t="e">
        <f t="shared" si="320"/>
        <v>#DIV/0!</v>
      </c>
      <c r="BD445" s="9" t="e">
        <f t="shared" si="321"/>
        <v>#DIV/0!</v>
      </c>
      <c r="BE445" s="9" t="e">
        <f t="shared" si="322"/>
        <v>#DIV/0!</v>
      </c>
      <c r="BF445" s="9" t="e">
        <f t="shared" si="323"/>
        <v>#DIV/0!</v>
      </c>
      <c r="BG445" s="9" t="e">
        <f t="shared" si="324"/>
        <v>#DIV/0!</v>
      </c>
      <c r="BH445" s="9" t="e">
        <f t="shared" si="325"/>
        <v>#DIV/0!</v>
      </c>
      <c r="BI445" s="12" t="e">
        <f t="shared" si="326"/>
        <v>#DIV/0!</v>
      </c>
      <c r="BJ445" s="13" t="e">
        <f t="shared" si="327"/>
        <v>#DIV/0!</v>
      </c>
      <c r="BK445" s="1">
        <f t="shared" si="328"/>
        <v>0</v>
      </c>
      <c r="BL445" s="1">
        <f t="shared" si="329"/>
        <v>0</v>
      </c>
      <c r="BM445" s="1">
        <f t="shared" si="330"/>
        <v>0</v>
      </c>
      <c r="BN445" s="1">
        <f t="shared" si="331"/>
        <v>0</v>
      </c>
      <c r="BO445" s="1">
        <f t="shared" si="332"/>
        <v>0</v>
      </c>
      <c r="BP445" s="1">
        <f t="shared" si="333"/>
        <v>0</v>
      </c>
      <c r="BQ445" s="19">
        <f t="shared" si="334"/>
        <v>0</v>
      </c>
      <c r="BR445" s="17">
        <f t="shared" si="335"/>
        <v>0</v>
      </c>
    </row>
    <row r="446" spans="1:70" x14ac:dyDescent="0.25">
      <c r="A446" t="s">
        <v>526</v>
      </c>
      <c r="B446">
        <v>1</v>
      </c>
      <c r="E446">
        <v>1</v>
      </c>
      <c r="L446">
        <v>1</v>
      </c>
      <c r="P446">
        <v>1</v>
      </c>
      <c r="W446" s="8">
        <f t="shared" si="288"/>
        <v>-1</v>
      </c>
      <c r="X446" s="8" t="e">
        <f t="shared" si="289"/>
        <v>#DIV/0!</v>
      </c>
      <c r="Y446" s="8" t="e">
        <f t="shared" si="290"/>
        <v>#DIV/0!</v>
      </c>
      <c r="Z446" s="8">
        <f t="shared" si="291"/>
        <v>-1</v>
      </c>
      <c r="AA446" s="8" t="e">
        <f t="shared" si="292"/>
        <v>#DIV/0!</v>
      </c>
      <c r="AB446" s="8" t="e">
        <f t="shared" si="293"/>
        <v>#DIV/0!</v>
      </c>
      <c r="AC446" s="12" t="e">
        <f t="shared" si="294"/>
        <v>#DIV/0!</v>
      </c>
      <c r="AD446" s="12" t="e">
        <f t="shared" si="295"/>
        <v>#DIV/0!</v>
      </c>
      <c r="AE446" s="1">
        <f t="shared" si="296"/>
        <v>-1</v>
      </c>
      <c r="AF446" s="1">
        <f t="shared" si="297"/>
        <v>0</v>
      </c>
      <c r="AG446" s="1">
        <f t="shared" si="298"/>
        <v>1</v>
      </c>
      <c r="AH446" s="1">
        <f t="shared" si="299"/>
        <v>-1</v>
      </c>
      <c r="AI446" s="1">
        <f t="shared" si="300"/>
        <v>0</v>
      </c>
      <c r="AJ446" s="1">
        <f t="shared" si="301"/>
        <v>0</v>
      </c>
      <c r="AK446" s="17">
        <f t="shared" si="302"/>
        <v>-0.16666666666666666</v>
      </c>
      <c r="AL446" s="17">
        <f t="shared" si="303"/>
        <v>0</v>
      </c>
      <c r="AM446" s="1" t="e">
        <f t="shared" si="304"/>
        <v>#DIV/0!</v>
      </c>
      <c r="AN446" s="1" t="e">
        <f t="shared" si="305"/>
        <v>#DIV/0!</v>
      </c>
      <c r="AO446" s="1" t="e">
        <f t="shared" si="306"/>
        <v>#DIV/0!</v>
      </c>
      <c r="AP446" s="1">
        <f t="shared" si="307"/>
        <v>-1</v>
      </c>
      <c r="AQ446" s="1" t="e">
        <f t="shared" si="308"/>
        <v>#DIV/0!</v>
      </c>
      <c r="AR446" s="1" t="e">
        <f t="shared" si="309"/>
        <v>#DIV/0!</v>
      </c>
      <c r="AS446" s="12" t="e">
        <f t="shared" si="310"/>
        <v>#DIV/0!</v>
      </c>
      <c r="AT446" s="12" t="e">
        <f t="shared" si="311"/>
        <v>#DIV/0!</v>
      </c>
      <c r="AU446" s="1">
        <f t="shared" si="312"/>
        <v>0</v>
      </c>
      <c r="AV446" s="1">
        <f t="shared" si="313"/>
        <v>0</v>
      </c>
      <c r="AW446" s="1">
        <f t="shared" si="314"/>
        <v>1</v>
      </c>
      <c r="AX446" s="1">
        <f t="shared" si="315"/>
        <v>-1</v>
      </c>
      <c r="AY446" s="1">
        <f t="shared" si="316"/>
        <v>0</v>
      </c>
      <c r="AZ446" s="1">
        <f t="shared" si="317"/>
        <v>0</v>
      </c>
      <c r="BA446" s="19">
        <f t="shared" si="318"/>
        <v>0</v>
      </c>
      <c r="BB446" s="19">
        <f t="shared" si="319"/>
        <v>0</v>
      </c>
      <c r="BC446" s="9">
        <f t="shared" si="320"/>
        <v>-1</v>
      </c>
      <c r="BD446" s="9" t="e">
        <f t="shared" si="321"/>
        <v>#DIV/0!</v>
      </c>
      <c r="BE446" s="9" t="e">
        <f t="shared" si="322"/>
        <v>#DIV/0!</v>
      </c>
      <c r="BF446" s="9" t="e">
        <f t="shared" si="323"/>
        <v>#DIV/0!</v>
      </c>
      <c r="BG446" s="9" t="e">
        <f t="shared" si="324"/>
        <v>#DIV/0!</v>
      </c>
      <c r="BH446" s="9" t="e">
        <f t="shared" si="325"/>
        <v>#DIV/0!</v>
      </c>
      <c r="BI446" s="12" t="e">
        <f t="shared" si="326"/>
        <v>#DIV/0!</v>
      </c>
      <c r="BJ446" s="13" t="e">
        <f t="shared" si="327"/>
        <v>#DIV/0!</v>
      </c>
      <c r="BK446" s="1">
        <f t="shared" si="328"/>
        <v>-1</v>
      </c>
      <c r="BL446" s="1">
        <f t="shared" si="329"/>
        <v>0</v>
      </c>
      <c r="BM446" s="1">
        <f t="shared" si="330"/>
        <v>0</v>
      </c>
      <c r="BN446" s="1">
        <f t="shared" si="331"/>
        <v>0</v>
      </c>
      <c r="BO446" s="1">
        <f t="shared" si="332"/>
        <v>0</v>
      </c>
      <c r="BP446" s="1">
        <f t="shared" si="333"/>
        <v>0</v>
      </c>
      <c r="BQ446" s="19">
        <f t="shared" si="334"/>
        <v>-0.16666666666666666</v>
      </c>
      <c r="BR446" s="17">
        <f t="shared" si="335"/>
        <v>0</v>
      </c>
    </row>
    <row r="447" spans="1:70" x14ac:dyDescent="0.25">
      <c r="A447" t="s">
        <v>527</v>
      </c>
      <c r="B447">
        <v>1</v>
      </c>
      <c r="P447">
        <v>1</v>
      </c>
      <c r="W447" s="8">
        <f t="shared" si="288"/>
        <v>-1</v>
      </c>
      <c r="X447" s="8" t="e">
        <f t="shared" si="289"/>
        <v>#DIV/0!</v>
      </c>
      <c r="Y447" s="8" t="e">
        <f t="shared" si="290"/>
        <v>#DIV/0!</v>
      </c>
      <c r="Z447" s="8" t="e">
        <f t="shared" si="291"/>
        <v>#DIV/0!</v>
      </c>
      <c r="AA447" s="8" t="e">
        <f t="shared" si="292"/>
        <v>#DIV/0!</v>
      </c>
      <c r="AB447" s="8" t="e">
        <f t="shared" si="293"/>
        <v>#DIV/0!</v>
      </c>
      <c r="AC447" s="12" t="e">
        <f t="shared" si="294"/>
        <v>#DIV/0!</v>
      </c>
      <c r="AD447" s="12" t="e">
        <f t="shared" si="295"/>
        <v>#DIV/0!</v>
      </c>
      <c r="AE447" s="1">
        <f t="shared" si="296"/>
        <v>-1</v>
      </c>
      <c r="AF447" s="1">
        <f t="shared" si="297"/>
        <v>0</v>
      </c>
      <c r="AG447" s="1">
        <f t="shared" si="298"/>
        <v>0</v>
      </c>
      <c r="AH447" s="1">
        <f t="shared" si="299"/>
        <v>0</v>
      </c>
      <c r="AI447" s="1">
        <f t="shared" si="300"/>
        <v>0</v>
      </c>
      <c r="AJ447" s="1">
        <f t="shared" si="301"/>
        <v>0</v>
      </c>
      <c r="AK447" s="17">
        <f t="shared" si="302"/>
        <v>-0.16666666666666666</v>
      </c>
      <c r="AL447" s="17">
        <f t="shared" si="303"/>
        <v>0</v>
      </c>
      <c r="AM447" s="1" t="e">
        <f t="shared" si="304"/>
        <v>#DIV/0!</v>
      </c>
      <c r="AN447" s="1" t="e">
        <f t="shared" si="305"/>
        <v>#DIV/0!</v>
      </c>
      <c r="AO447" s="1" t="e">
        <f t="shared" si="306"/>
        <v>#DIV/0!</v>
      </c>
      <c r="AP447" s="1" t="e">
        <f t="shared" si="307"/>
        <v>#DIV/0!</v>
      </c>
      <c r="AQ447" s="1" t="e">
        <f t="shared" si="308"/>
        <v>#DIV/0!</v>
      </c>
      <c r="AR447" s="1" t="e">
        <f t="shared" si="309"/>
        <v>#DIV/0!</v>
      </c>
      <c r="AS447" s="12" t="e">
        <f t="shared" si="310"/>
        <v>#DIV/0!</v>
      </c>
      <c r="AT447" s="12" t="e">
        <f t="shared" si="311"/>
        <v>#DIV/0!</v>
      </c>
      <c r="AU447" s="1">
        <f t="shared" si="312"/>
        <v>0</v>
      </c>
      <c r="AV447" s="1">
        <f t="shared" si="313"/>
        <v>0</v>
      </c>
      <c r="AW447" s="1">
        <f t="shared" si="314"/>
        <v>0</v>
      </c>
      <c r="AX447" s="1">
        <f t="shared" si="315"/>
        <v>0</v>
      </c>
      <c r="AY447" s="1">
        <f t="shared" si="316"/>
        <v>0</v>
      </c>
      <c r="AZ447" s="1">
        <f t="shared" si="317"/>
        <v>0</v>
      </c>
      <c r="BA447" s="19">
        <f t="shared" si="318"/>
        <v>0</v>
      </c>
      <c r="BB447" s="19">
        <f t="shared" si="319"/>
        <v>0</v>
      </c>
      <c r="BC447" s="9">
        <f t="shared" si="320"/>
        <v>-1</v>
      </c>
      <c r="BD447" s="9" t="e">
        <f t="shared" si="321"/>
        <v>#DIV/0!</v>
      </c>
      <c r="BE447" s="9" t="e">
        <f t="shared" si="322"/>
        <v>#DIV/0!</v>
      </c>
      <c r="BF447" s="9" t="e">
        <f t="shared" si="323"/>
        <v>#DIV/0!</v>
      </c>
      <c r="BG447" s="9" t="e">
        <f t="shared" si="324"/>
        <v>#DIV/0!</v>
      </c>
      <c r="BH447" s="9" t="e">
        <f t="shared" si="325"/>
        <v>#DIV/0!</v>
      </c>
      <c r="BI447" s="12" t="e">
        <f t="shared" si="326"/>
        <v>#DIV/0!</v>
      </c>
      <c r="BJ447" s="13" t="e">
        <f t="shared" si="327"/>
        <v>#DIV/0!</v>
      </c>
      <c r="BK447" s="1">
        <f t="shared" si="328"/>
        <v>-1</v>
      </c>
      <c r="BL447" s="1">
        <f t="shared" si="329"/>
        <v>0</v>
      </c>
      <c r="BM447" s="1">
        <f t="shared" si="330"/>
        <v>0</v>
      </c>
      <c r="BN447" s="1">
        <f t="shared" si="331"/>
        <v>0</v>
      </c>
      <c r="BO447" s="1">
        <f t="shared" si="332"/>
        <v>0</v>
      </c>
      <c r="BP447" s="1">
        <f t="shared" si="333"/>
        <v>0</v>
      </c>
      <c r="BQ447" s="19">
        <f t="shared" si="334"/>
        <v>-0.16666666666666666</v>
      </c>
      <c r="BR447" s="17">
        <f t="shared" si="335"/>
        <v>0</v>
      </c>
    </row>
    <row r="448" spans="1:70" x14ac:dyDescent="0.25">
      <c r="A448" t="s">
        <v>531</v>
      </c>
      <c r="B448">
        <v>1</v>
      </c>
      <c r="P448">
        <v>1</v>
      </c>
      <c r="W448" s="8">
        <f t="shared" si="288"/>
        <v>-1</v>
      </c>
      <c r="X448" s="8" t="e">
        <f t="shared" si="289"/>
        <v>#DIV/0!</v>
      </c>
      <c r="Y448" s="8" t="e">
        <f t="shared" si="290"/>
        <v>#DIV/0!</v>
      </c>
      <c r="Z448" s="8" t="e">
        <f t="shared" si="291"/>
        <v>#DIV/0!</v>
      </c>
      <c r="AA448" s="8" t="e">
        <f t="shared" si="292"/>
        <v>#DIV/0!</v>
      </c>
      <c r="AB448" s="8" t="e">
        <f t="shared" si="293"/>
        <v>#DIV/0!</v>
      </c>
      <c r="AC448" s="12" t="e">
        <f t="shared" si="294"/>
        <v>#DIV/0!</v>
      </c>
      <c r="AD448" s="12" t="e">
        <f t="shared" si="295"/>
        <v>#DIV/0!</v>
      </c>
      <c r="AE448" s="1">
        <f t="shared" si="296"/>
        <v>-1</v>
      </c>
      <c r="AF448" s="1">
        <f t="shared" si="297"/>
        <v>0</v>
      </c>
      <c r="AG448" s="1">
        <f t="shared" si="298"/>
        <v>0</v>
      </c>
      <c r="AH448" s="1">
        <f t="shared" si="299"/>
        <v>0</v>
      </c>
      <c r="AI448" s="1">
        <f t="shared" si="300"/>
        <v>0</v>
      </c>
      <c r="AJ448" s="1">
        <f t="shared" si="301"/>
        <v>0</v>
      </c>
      <c r="AK448" s="17">
        <f t="shared" si="302"/>
        <v>-0.16666666666666666</v>
      </c>
      <c r="AL448" s="17">
        <f t="shared" si="303"/>
        <v>0</v>
      </c>
      <c r="AM448" s="1" t="e">
        <f t="shared" si="304"/>
        <v>#DIV/0!</v>
      </c>
      <c r="AN448" s="1" t="e">
        <f t="shared" si="305"/>
        <v>#DIV/0!</v>
      </c>
      <c r="AO448" s="1" t="e">
        <f t="shared" si="306"/>
        <v>#DIV/0!</v>
      </c>
      <c r="AP448" s="1" t="e">
        <f t="shared" si="307"/>
        <v>#DIV/0!</v>
      </c>
      <c r="AQ448" s="1" t="e">
        <f t="shared" si="308"/>
        <v>#DIV/0!</v>
      </c>
      <c r="AR448" s="1" t="e">
        <f t="shared" si="309"/>
        <v>#DIV/0!</v>
      </c>
      <c r="AS448" s="12" t="e">
        <f t="shared" si="310"/>
        <v>#DIV/0!</v>
      </c>
      <c r="AT448" s="12" t="e">
        <f t="shared" si="311"/>
        <v>#DIV/0!</v>
      </c>
      <c r="AU448" s="1">
        <f t="shared" si="312"/>
        <v>0</v>
      </c>
      <c r="AV448" s="1">
        <f t="shared" si="313"/>
        <v>0</v>
      </c>
      <c r="AW448" s="1">
        <f t="shared" si="314"/>
        <v>0</v>
      </c>
      <c r="AX448" s="1">
        <f t="shared" si="315"/>
        <v>0</v>
      </c>
      <c r="AY448" s="1">
        <f t="shared" si="316"/>
        <v>0</v>
      </c>
      <c r="AZ448" s="1">
        <f t="shared" si="317"/>
        <v>0</v>
      </c>
      <c r="BA448" s="19">
        <f t="shared" si="318"/>
        <v>0</v>
      </c>
      <c r="BB448" s="19">
        <f t="shared" si="319"/>
        <v>0</v>
      </c>
      <c r="BC448" s="9">
        <f t="shared" si="320"/>
        <v>-1</v>
      </c>
      <c r="BD448" s="9" t="e">
        <f t="shared" si="321"/>
        <v>#DIV/0!</v>
      </c>
      <c r="BE448" s="9" t="e">
        <f t="shared" si="322"/>
        <v>#DIV/0!</v>
      </c>
      <c r="BF448" s="9" t="e">
        <f t="shared" si="323"/>
        <v>#DIV/0!</v>
      </c>
      <c r="BG448" s="9" t="e">
        <f t="shared" si="324"/>
        <v>#DIV/0!</v>
      </c>
      <c r="BH448" s="9" t="e">
        <f t="shared" si="325"/>
        <v>#DIV/0!</v>
      </c>
      <c r="BI448" s="12" t="e">
        <f t="shared" si="326"/>
        <v>#DIV/0!</v>
      </c>
      <c r="BJ448" s="13" t="e">
        <f t="shared" si="327"/>
        <v>#DIV/0!</v>
      </c>
      <c r="BK448" s="1">
        <f t="shared" si="328"/>
        <v>-1</v>
      </c>
      <c r="BL448" s="1">
        <f t="shared" si="329"/>
        <v>0</v>
      </c>
      <c r="BM448" s="1">
        <f t="shared" si="330"/>
        <v>0</v>
      </c>
      <c r="BN448" s="1">
        <f t="shared" si="331"/>
        <v>0</v>
      </c>
      <c r="BO448" s="1">
        <f t="shared" si="332"/>
        <v>0</v>
      </c>
      <c r="BP448" s="1">
        <f t="shared" si="333"/>
        <v>0</v>
      </c>
      <c r="BQ448" s="19">
        <f t="shared" si="334"/>
        <v>-0.16666666666666666</v>
      </c>
      <c r="BR448" s="17">
        <f t="shared" si="335"/>
        <v>0</v>
      </c>
    </row>
    <row r="449" spans="1:70" x14ac:dyDescent="0.25">
      <c r="A449" t="s">
        <v>533</v>
      </c>
      <c r="B449">
        <v>1</v>
      </c>
      <c r="G449">
        <v>1</v>
      </c>
      <c r="I449">
        <v>1</v>
      </c>
      <c r="N449">
        <v>1</v>
      </c>
      <c r="W449" s="8">
        <f t="shared" si="288"/>
        <v>-1</v>
      </c>
      <c r="X449" s="8" t="e">
        <f t="shared" si="289"/>
        <v>#DIV/0!</v>
      </c>
      <c r="Y449" s="8" t="e">
        <f t="shared" si="290"/>
        <v>#DIV/0!</v>
      </c>
      <c r="Z449" s="8" t="e">
        <f t="shared" si="291"/>
        <v>#DIV/0!</v>
      </c>
      <c r="AA449" s="8" t="e">
        <f t="shared" si="292"/>
        <v>#DIV/0!</v>
      </c>
      <c r="AB449" s="8">
        <f t="shared" si="293"/>
        <v>-1</v>
      </c>
      <c r="AC449" s="12" t="e">
        <f t="shared" si="294"/>
        <v>#DIV/0!</v>
      </c>
      <c r="AD449" s="12" t="e">
        <f t="shared" si="295"/>
        <v>#DIV/0!</v>
      </c>
      <c r="AE449" s="1">
        <f t="shared" si="296"/>
        <v>-1</v>
      </c>
      <c r="AF449" s="1">
        <f t="shared" si="297"/>
        <v>0</v>
      </c>
      <c r="AG449" s="1">
        <f t="shared" si="298"/>
        <v>0</v>
      </c>
      <c r="AH449" s="1">
        <f t="shared" si="299"/>
        <v>0</v>
      </c>
      <c r="AI449" s="1">
        <f t="shared" si="300"/>
        <v>1</v>
      </c>
      <c r="AJ449" s="1">
        <f t="shared" si="301"/>
        <v>-1</v>
      </c>
      <c r="AK449" s="17">
        <f t="shared" si="302"/>
        <v>-0.16666666666666666</v>
      </c>
      <c r="AL449" s="17">
        <f t="shared" si="303"/>
        <v>0</v>
      </c>
      <c r="AM449" s="1">
        <f t="shared" si="304"/>
        <v>-1</v>
      </c>
      <c r="AN449" s="1" t="e">
        <f t="shared" si="305"/>
        <v>#DIV/0!</v>
      </c>
      <c r="AO449" s="1" t="e">
        <f t="shared" si="306"/>
        <v>#DIV/0!</v>
      </c>
      <c r="AP449" s="1" t="e">
        <f t="shared" si="307"/>
        <v>#DIV/0!</v>
      </c>
      <c r="AQ449" s="1" t="e">
        <f t="shared" si="308"/>
        <v>#DIV/0!</v>
      </c>
      <c r="AR449" s="1">
        <f t="shared" si="309"/>
        <v>-1</v>
      </c>
      <c r="AS449" s="12" t="e">
        <f t="shared" si="310"/>
        <v>#DIV/0!</v>
      </c>
      <c r="AT449" s="12" t="e">
        <f t="shared" si="311"/>
        <v>#DIV/0!</v>
      </c>
      <c r="AU449" s="1">
        <f t="shared" si="312"/>
        <v>-1</v>
      </c>
      <c r="AV449" s="1">
        <f t="shared" si="313"/>
        <v>0</v>
      </c>
      <c r="AW449" s="1">
        <f t="shared" si="314"/>
        <v>0</v>
      </c>
      <c r="AX449" s="1">
        <f t="shared" si="315"/>
        <v>0</v>
      </c>
      <c r="AY449" s="1">
        <f t="shared" si="316"/>
        <v>1</v>
      </c>
      <c r="AZ449" s="1">
        <f t="shared" si="317"/>
        <v>-1</v>
      </c>
      <c r="BA449" s="19">
        <f t="shared" si="318"/>
        <v>-0.16666666666666666</v>
      </c>
      <c r="BB449" s="19">
        <f t="shared" si="319"/>
        <v>0</v>
      </c>
      <c r="BC449" s="9" t="e">
        <f t="shared" si="320"/>
        <v>#DIV/0!</v>
      </c>
      <c r="BD449" s="9" t="e">
        <f t="shared" si="321"/>
        <v>#DIV/0!</v>
      </c>
      <c r="BE449" s="9" t="e">
        <f t="shared" si="322"/>
        <v>#DIV/0!</v>
      </c>
      <c r="BF449" s="9" t="e">
        <f t="shared" si="323"/>
        <v>#DIV/0!</v>
      </c>
      <c r="BG449" s="9" t="e">
        <f t="shared" si="324"/>
        <v>#DIV/0!</v>
      </c>
      <c r="BH449" s="9" t="e">
        <f t="shared" si="325"/>
        <v>#DIV/0!</v>
      </c>
      <c r="BI449" s="12" t="e">
        <f t="shared" si="326"/>
        <v>#DIV/0!</v>
      </c>
      <c r="BJ449" s="13" t="e">
        <f t="shared" si="327"/>
        <v>#DIV/0!</v>
      </c>
      <c r="BK449" s="1">
        <f t="shared" si="328"/>
        <v>0</v>
      </c>
      <c r="BL449" s="1">
        <f t="shared" si="329"/>
        <v>0</v>
      </c>
      <c r="BM449" s="1">
        <f t="shared" si="330"/>
        <v>0</v>
      </c>
      <c r="BN449" s="1">
        <f t="shared" si="331"/>
        <v>0</v>
      </c>
      <c r="BO449" s="1">
        <f t="shared" si="332"/>
        <v>0</v>
      </c>
      <c r="BP449" s="1">
        <f t="shared" si="333"/>
        <v>0</v>
      </c>
      <c r="BQ449" s="19">
        <f t="shared" si="334"/>
        <v>0</v>
      </c>
      <c r="BR449" s="17">
        <f t="shared" si="335"/>
        <v>0</v>
      </c>
    </row>
    <row r="450" spans="1:70" x14ac:dyDescent="0.25">
      <c r="A450" t="s">
        <v>534</v>
      </c>
      <c r="B450">
        <v>1</v>
      </c>
      <c r="P450">
        <v>1</v>
      </c>
      <c r="W450" s="8">
        <f t="shared" ref="W450:W513" si="336">+(C450-B450)/B450</f>
        <v>-1</v>
      </c>
      <c r="X450" s="8" t="e">
        <f t="shared" ref="X450:X513" si="337">+(D450-C450)/C450</f>
        <v>#DIV/0!</v>
      </c>
      <c r="Y450" s="8" t="e">
        <f t="shared" ref="Y450:Y513" si="338">+(E450-D450)/D450</f>
        <v>#DIV/0!</v>
      </c>
      <c r="Z450" s="8" t="e">
        <f t="shared" ref="Z450:Z513" si="339">+(F450-E450)/E450</f>
        <v>#DIV/0!</v>
      </c>
      <c r="AA450" s="8" t="e">
        <f t="shared" ref="AA450:AA513" si="340">+(G450-F450)/F450</f>
        <v>#DIV/0!</v>
      </c>
      <c r="AB450" s="8" t="e">
        <f t="shared" ref="AB450:AB513" si="341">+(H450-G450)/G450</f>
        <v>#DIV/0!</v>
      </c>
      <c r="AC450" s="12" t="e">
        <f t="shared" ref="AC450:AC513" si="342">+AVERAGE(W450:AB450)</f>
        <v>#DIV/0!</v>
      </c>
      <c r="AD450" s="12" t="e">
        <f t="shared" ref="AD450:AD513" si="343">MEDIAN(W450:AB450)</f>
        <v>#DIV/0!</v>
      </c>
      <c r="AE450" s="1">
        <f t="shared" ref="AE450:AE513" si="344">C450-B450</f>
        <v>-1</v>
      </c>
      <c r="AF450" s="1">
        <f t="shared" ref="AF450:AF513" si="345">D450-C450</f>
        <v>0</v>
      </c>
      <c r="AG450" s="1">
        <f t="shared" ref="AG450:AG513" si="346">E450-D450</f>
        <v>0</v>
      </c>
      <c r="AH450" s="1">
        <f t="shared" ref="AH450:AH513" si="347">F450-E450</f>
        <v>0</v>
      </c>
      <c r="AI450" s="1">
        <f t="shared" ref="AI450:AI513" si="348">G450-F450</f>
        <v>0</v>
      </c>
      <c r="AJ450" s="1">
        <f t="shared" ref="AJ450:AJ513" si="349">H450-G450</f>
        <v>0</v>
      </c>
      <c r="AK450" s="17">
        <f t="shared" ref="AK450:AK513" si="350">+AVERAGE(AE450:AJ450)</f>
        <v>-0.16666666666666666</v>
      </c>
      <c r="AL450" s="17">
        <f t="shared" ref="AL450:AL513" si="351">+MEDIAN(AE450:AJ450)</f>
        <v>0</v>
      </c>
      <c r="AM450" s="1" t="e">
        <f t="shared" ref="AM450:AM513" si="352">+(J450-I450)/I450</f>
        <v>#DIV/0!</v>
      </c>
      <c r="AN450" s="1" t="e">
        <f t="shared" ref="AN450:AN513" si="353">+(K450-J450)/J450</f>
        <v>#DIV/0!</v>
      </c>
      <c r="AO450" s="1" t="e">
        <f t="shared" ref="AO450:AO513" si="354">+(L450-K450)/K450</f>
        <v>#DIV/0!</v>
      </c>
      <c r="AP450" s="1" t="e">
        <f t="shared" ref="AP450:AP513" si="355">+(M450-L450)/L450</f>
        <v>#DIV/0!</v>
      </c>
      <c r="AQ450" s="1" t="e">
        <f t="shared" ref="AQ450:AQ513" si="356">+(N450-M450)/M450</f>
        <v>#DIV/0!</v>
      </c>
      <c r="AR450" s="1" t="e">
        <f t="shared" ref="AR450:AR513" si="357">+(O450-N450)/N450</f>
        <v>#DIV/0!</v>
      </c>
      <c r="AS450" s="12" t="e">
        <f t="shared" ref="AS450:AS513" si="358">+AVERAGE(AM450:AR450)</f>
        <v>#DIV/0!</v>
      </c>
      <c r="AT450" s="12" t="e">
        <f t="shared" ref="AT450:AT513" si="359">+MEDIAN(AM450:AR450)</f>
        <v>#DIV/0!</v>
      </c>
      <c r="AU450" s="1">
        <f t="shared" ref="AU450:AU513" si="360">J450-I450</f>
        <v>0</v>
      </c>
      <c r="AV450" s="1">
        <f t="shared" ref="AV450:AV513" si="361">K450-J450</f>
        <v>0</v>
      </c>
      <c r="AW450" s="1">
        <f t="shared" ref="AW450:AW513" si="362">L450-K450</f>
        <v>0</v>
      </c>
      <c r="AX450" s="1">
        <f t="shared" ref="AX450:AX513" si="363">M450-L450</f>
        <v>0</v>
      </c>
      <c r="AY450" s="1">
        <f t="shared" ref="AY450:AY513" si="364">N450-M450</f>
        <v>0</v>
      </c>
      <c r="AZ450" s="1">
        <f t="shared" ref="AZ450:AZ513" si="365">O450-N450</f>
        <v>0</v>
      </c>
      <c r="BA450" s="19">
        <f t="shared" ref="BA450:BA513" si="366">+AVERAGE(AU450:AZ450)</f>
        <v>0</v>
      </c>
      <c r="BB450" s="19">
        <f t="shared" ref="BB450:BB513" si="367">MEDIAN(AU450:AZ450)</f>
        <v>0</v>
      </c>
      <c r="BC450" s="9">
        <f t="shared" ref="BC450:BC513" si="368">+(Q450-P450)/P450</f>
        <v>-1</v>
      </c>
      <c r="BD450" s="9" t="e">
        <f t="shared" ref="BD450:BD513" si="369">+(R450-Q450)/Q450</f>
        <v>#DIV/0!</v>
      </c>
      <c r="BE450" s="9" t="e">
        <f t="shared" ref="BE450:BE513" si="370">+(S450-R450)/R450</f>
        <v>#DIV/0!</v>
      </c>
      <c r="BF450" s="9" t="e">
        <f t="shared" ref="BF450:BF513" si="371">+(T450-S450)/S450</f>
        <v>#DIV/0!</v>
      </c>
      <c r="BG450" s="9" t="e">
        <f t="shared" ref="BG450:BG513" si="372">+(U450-T450)/T450</f>
        <v>#DIV/0!</v>
      </c>
      <c r="BH450" s="9" t="e">
        <f t="shared" ref="BH450:BH513" si="373">+(V450-U450)/U450</f>
        <v>#DIV/0!</v>
      </c>
      <c r="BI450" s="12" t="e">
        <f t="shared" ref="BI450:BI513" si="374">+AVERAGE(BC450:BH450)</f>
        <v>#DIV/0!</v>
      </c>
      <c r="BJ450" s="13" t="e">
        <f t="shared" ref="BJ450:BJ513" si="375">MEDIAN(BC450:BH450)</f>
        <v>#DIV/0!</v>
      </c>
      <c r="BK450" s="1">
        <f t="shared" ref="BK450:BK513" si="376">+Q450-P450</f>
        <v>-1</v>
      </c>
      <c r="BL450" s="1">
        <f t="shared" ref="BL450:BL513" si="377">+R450-Q450</f>
        <v>0</v>
      </c>
      <c r="BM450" s="1">
        <f t="shared" ref="BM450:BM513" si="378">+S450-R450</f>
        <v>0</v>
      </c>
      <c r="BN450" s="1">
        <f t="shared" ref="BN450:BN513" si="379">+T450-S450</f>
        <v>0</v>
      </c>
      <c r="BO450" s="1">
        <f t="shared" ref="BO450:BO513" si="380">+U450-T450</f>
        <v>0</v>
      </c>
      <c r="BP450" s="1">
        <f t="shared" ref="BP450:BP513" si="381">+V450-U450</f>
        <v>0</v>
      </c>
      <c r="BQ450" s="19">
        <f t="shared" ref="BQ450:BQ513" si="382">+AVERAGE(BK450:BP450)</f>
        <v>-0.16666666666666666</v>
      </c>
      <c r="BR450" s="17">
        <f t="shared" ref="BR450:BR513" si="383">MEDIAN(BK450:BP450)</f>
        <v>0</v>
      </c>
    </row>
    <row r="451" spans="1:70" x14ac:dyDescent="0.25">
      <c r="A451" t="s">
        <v>535</v>
      </c>
      <c r="B451">
        <v>1</v>
      </c>
      <c r="I451">
        <v>1</v>
      </c>
      <c r="W451" s="8">
        <f t="shared" si="336"/>
        <v>-1</v>
      </c>
      <c r="X451" s="8" t="e">
        <f t="shared" si="337"/>
        <v>#DIV/0!</v>
      </c>
      <c r="Y451" s="8" t="e">
        <f t="shared" si="338"/>
        <v>#DIV/0!</v>
      </c>
      <c r="Z451" s="8" t="e">
        <f t="shared" si="339"/>
        <v>#DIV/0!</v>
      </c>
      <c r="AA451" s="8" t="e">
        <f t="shared" si="340"/>
        <v>#DIV/0!</v>
      </c>
      <c r="AB451" s="8" t="e">
        <f t="shared" si="341"/>
        <v>#DIV/0!</v>
      </c>
      <c r="AC451" s="12" t="e">
        <f t="shared" si="342"/>
        <v>#DIV/0!</v>
      </c>
      <c r="AD451" s="12" t="e">
        <f t="shared" si="343"/>
        <v>#DIV/0!</v>
      </c>
      <c r="AE451" s="1">
        <f t="shared" si="344"/>
        <v>-1</v>
      </c>
      <c r="AF451" s="1">
        <f t="shared" si="345"/>
        <v>0</v>
      </c>
      <c r="AG451" s="1">
        <f t="shared" si="346"/>
        <v>0</v>
      </c>
      <c r="AH451" s="1">
        <f t="shared" si="347"/>
        <v>0</v>
      </c>
      <c r="AI451" s="1">
        <f t="shared" si="348"/>
        <v>0</v>
      </c>
      <c r="AJ451" s="1">
        <f t="shared" si="349"/>
        <v>0</v>
      </c>
      <c r="AK451" s="17">
        <f t="shared" si="350"/>
        <v>-0.16666666666666666</v>
      </c>
      <c r="AL451" s="17">
        <f t="shared" si="351"/>
        <v>0</v>
      </c>
      <c r="AM451" s="1">
        <f t="shared" si="352"/>
        <v>-1</v>
      </c>
      <c r="AN451" s="1" t="e">
        <f t="shared" si="353"/>
        <v>#DIV/0!</v>
      </c>
      <c r="AO451" s="1" t="e">
        <f t="shared" si="354"/>
        <v>#DIV/0!</v>
      </c>
      <c r="AP451" s="1" t="e">
        <f t="shared" si="355"/>
        <v>#DIV/0!</v>
      </c>
      <c r="AQ451" s="1" t="e">
        <f t="shared" si="356"/>
        <v>#DIV/0!</v>
      </c>
      <c r="AR451" s="1" t="e">
        <f t="shared" si="357"/>
        <v>#DIV/0!</v>
      </c>
      <c r="AS451" s="12" t="e">
        <f t="shared" si="358"/>
        <v>#DIV/0!</v>
      </c>
      <c r="AT451" s="12" t="e">
        <f t="shared" si="359"/>
        <v>#DIV/0!</v>
      </c>
      <c r="AU451" s="1">
        <f t="shared" si="360"/>
        <v>-1</v>
      </c>
      <c r="AV451" s="1">
        <f t="shared" si="361"/>
        <v>0</v>
      </c>
      <c r="AW451" s="1">
        <f t="shared" si="362"/>
        <v>0</v>
      </c>
      <c r="AX451" s="1">
        <f t="shared" si="363"/>
        <v>0</v>
      </c>
      <c r="AY451" s="1">
        <f t="shared" si="364"/>
        <v>0</v>
      </c>
      <c r="AZ451" s="1">
        <f t="shared" si="365"/>
        <v>0</v>
      </c>
      <c r="BA451" s="19">
        <f t="shared" si="366"/>
        <v>-0.16666666666666666</v>
      </c>
      <c r="BB451" s="19">
        <f t="shared" si="367"/>
        <v>0</v>
      </c>
      <c r="BC451" s="9" t="e">
        <f t="shared" si="368"/>
        <v>#DIV/0!</v>
      </c>
      <c r="BD451" s="9" t="e">
        <f t="shared" si="369"/>
        <v>#DIV/0!</v>
      </c>
      <c r="BE451" s="9" t="e">
        <f t="shared" si="370"/>
        <v>#DIV/0!</v>
      </c>
      <c r="BF451" s="9" t="e">
        <f t="shared" si="371"/>
        <v>#DIV/0!</v>
      </c>
      <c r="BG451" s="9" t="e">
        <f t="shared" si="372"/>
        <v>#DIV/0!</v>
      </c>
      <c r="BH451" s="9" t="e">
        <f t="shared" si="373"/>
        <v>#DIV/0!</v>
      </c>
      <c r="BI451" s="12" t="e">
        <f t="shared" si="374"/>
        <v>#DIV/0!</v>
      </c>
      <c r="BJ451" s="13" t="e">
        <f t="shared" si="375"/>
        <v>#DIV/0!</v>
      </c>
      <c r="BK451" s="1">
        <f t="shared" si="376"/>
        <v>0</v>
      </c>
      <c r="BL451" s="1">
        <f t="shared" si="377"/>
        <v>0</v>
      </c>
      <c r="BM451" s="1">
        <f t="shared" si="378"/>
        <v>0</v>
      </c>
      <c r="BN451" s="1">
        <f t="shared" si="379"/>
        <v>0</v>
      </c>
      <c r="BO451" s="1">
        <f t="shared" si="380"/>
        <v>0</v>
      </c>
      <c r="BP451" s="1">
        <f t="shared" si="381"/>
        <v>0</v>
      </c>
      <c r="BQ451" s="19">
        <f t="shared" si="382"/>
        <v>0</v>
      </c>
      <c r="BR451" s="17">
        <f t="shared" si="383"/>
        <v>0</v>
      </c>
    </row>
    <row r="452" spans="1:70" x14ac:dyDescent="0.25">
      <c r="A452" t="s">
        <v>538</v>
      </c>
      <c r="B452">
        <v>1</v>
      </c>
      <c r="C452">
        <v>2</v>
      </c>
      <c r="D452">
        <v>1</v>
      </c>
      <c r="E452">
        <v>1</v>
      </c>
      <c r="F452">
        <v>4</v>
      </c>
      <c r="G452">
        <v>1</v>
      </c>
      <c r="I452">
        <v>1</v>
      </c>
      <c r="J452">
        <v>1</v>
      </c>
      <c r="M452">
        <v>1</v>
      </c>
      <c r="Q452">
        <v>1</v>
      </c>
      <c r="R452">
        <v>1</v>
      </c>
      <c r="S452">
        <v>1</v>
      </c>
      <c r="T452">
        <v>3</v>
      </c>
      <c r="U452">
        <v>1</v>
      </c>
      <c r="W452" s="8">
        <f t="shared" si="336"/>
        <v>1</v>
      </c>
      <c r="X452" s="8">
        <f t="shared" si="337"/>
        <v>-0.5</v>
      </c>
      <c r="Y452" s="8">
        <f t="shared" si="338"/>
        <v>0</v>
      </c>
      <c r="Z452" s="8">
        <f t="shared" si="339"/>
        <v>3</v>
      </c>
      <c r="AA452" s="8">
        <f t="shared" si="340"/>
        <v>-0.75</v>
      </c>
      <c r="AB452" s="8">
        <f t="shared" si="341"/>
        <v>-1</v>
      </c>
      <c r="AC452" s="12">
        <f t="shared" si="342"/>
        <v>0.29166666666666669</v>
      </c>
      <c r="AD452" s="12">
        <f t="shared" si="343"/>
        <v>-0.25</v>
      </c>
      <c r="AE452" s="1">
        <f t="shared" si="344"/>
        <v>1</v>
      </c>
      <c r="AF452" s="1">
        <f t="shared" si="345"/>
        <v>-1</v>
      </c>
      <c r="AG452" s="1">
        <f t="shared" si="346"/>
        <v>0</v>
      </c>
      <c r="AH452" s="1">
        <f t="shared" si="347"/>
        <v>3</v>
      </c>
      <c r="AI452" s="1">
        <f t="shared" si="348"/>
        <v>-3</v>
      </c>
      <c r="AJ452" s="1">
        <f t="shared" si="349"/>
        <v>-1</v>
      </c>
      <c r="AK452" s="17">
        <f t="shared" si="350"/>
        <v>-0.16666666666666666</v>
      </c>
      <c r="AL452" s="17">
        <f t="shared" si="351"/>
        <v>-0.5</v>
      </c>
      <c r="AM452" s="1">
        <f t="shared" si="352"/>
        <v>0</v>
      </c>
      <c r="AN452" s="1">
        <f t="shared" si="353"/>
        <v>-1</v>
      </c>
      <c r="AO452" s="1" t="e">
        <f t="shared" si="354"/>
        <v>#DIV/0!</v>
      </c>
      <c r="AP452" s="1" t="e">
        <f t="shared" si="355"/>
        <v>#DIV/0!</v>
      </c>
      <c r="AQ452" s="1">
        <f t="shared" si="356"/>
        <v>-1</v>
      </c>
      <c r="AR452" s="1" t="e">
        <f t="shared" si="357"/>
        <v>#DIV/0!</v>
      </c>
      <c r="AS452" s="12" t="e">
        <f t="shared" si="358"/>
        <v>#DIV/0!</v>
      </c>
      <c r="AT452" s="12" t="e">
        <f t="shared" si="359"/>
        <v>#DIV/0!</v>
      </c>
      <c r="AU452" s="1">
        <f t="shared" si="360"/>
        <v>0</v>
      </c>
      <c r="AV452" s="1">
        <f t="shared" si="361"/>
        <v>-1</v>
      </c>
      <c r="AW452" s="1">
        <f t="shared" si="362"/>
        <v>0</v>
      </c>
      <c r="AX452" s="1">
        <f t="shared" si="363"/>
        <v>1</v>
      </c>
      <c r="AY452" s="1">
        <f t="shared" si="364"/>
        <v>-1</v>
      </c>
      <c r="AZ452" s="1">
        <f t="shared" si="365"/>
        <v>0</v>
      </c>
      <c r="BA452" s="19">
        <f t="shared" si="366"/>
        <v>-0.16666666666666666</v>
      </c>
      <c r="BB452" s="19">
        <f t="shared" si="367"/>
        <v>0</v>
      </c>
      <c r="BC452" s="9" t="e">
        <f t="shared" si="368"/>
        <v>#DIV/0!</v>
      </c>
      <c r="BD452" s="9">
        <f t="shared" si="369"/>
        <v>0</v>
      </c>
      <c r="BE452" s="9">
        <f t="shared" si="370"/>
        <v>0</v>
      </c>
      <c r="BF452" s="9">
        <f t="shared" si="371"/>
        <v>2</v>
      </c>
      <c r="BG452" s="9">
        <f t="shared" si="372"/>
        <v>-0.66666666666666663</v>
      </c>
      <c r="BH452" s="9">
        <f t="shared" si="373"/>
        <v>-1</v>
      </c>
      <c r="BI452" s="12" t="e">
        <f t="shared" si="374"/>
        <v>#DIV/0!</v>
      </c>
      <c r="BJ452" s="13" t="e">
        <f t="shared" si="375"/>
        <v>#DIV/0!</v>
      </c>
      <c r="BK452" s="1">
        <f t="shared" si="376"/>
        <v>1</v>
      </c>
      <c r="BL452" s="1">
        <f t="shared" si="377"/>
        <v>0</v>
      </c>
      <c r="BM452" s="1">
        <f t="shared" si="378"/>
        <v>0</v>
      </c>
      <c r="BN452" s="1">
        <f t="shared" si="379"/>
        <v>2</v>
      </c>
      <c r="BO452" s="1">
        <f t="shared" si="380"/>
        <v>-2</v>
      </c>
      <c r="BP452" s="1">
        <f t="shared" si="381"/>
        <v>-1</v>
      </c>
      <c r="BQ452" s="19">
        <f t="shared" si="382"/>
        <v>0</v>
      </c>
      <c r="BR452" s="17">
        <f t="shared" si="383"/>
        <v>0</v>
      </c>
    </row>
    <row r="453" spans="1:70" x14ac:dyDescent="0.25">
      <c r="A453" t="s">
        <v>539</v>
      </c>
      <c r="B453">
        <v>1</v>
      </c>
      <c r="I453">
        <v>1</v>
      </c>
      <c r="W453" s="8">
        <f t="shared" si="336"/>
        <v>-1</v>
      </c>
      <c r="X453" s="8" t="e">
        <f t="shared" si="337"/>
        <v>#DIV/0!</v>
      </c>
      <c r="Y453" s="8" t="e">
        <f t="shared" si="338"/>
        <v>#DIV/0!</v>
      </c>
      <c r="Z453" s="8" t="e">
        <f t="shared" si="339"/>
        <v>#DIV/0!</v>
      </c>
      <c r="AA453" s="8" t="e">
        <f t="shared" si="340"/>
        <v>#DIV/0!</v>
      </c>
      <c r="AB453" s="8" t="e">
        <f t="shared" si="341"/>
        <v>#DIV/0!</v>
      </c>
      <c r="AC453" s="12" t="e">
        <f t="shared" si="342"/>
        <v>#DIV/0!</v>
      </c>
      <c r="AD453" s="12" t="e">
        <f t="shared" si="343"/>
        <v>#DIV/0!</v>
      </c>
      <c r="AE453" s="1">
        <f t="shared" si="344"/>
        <v>-1</v>
      </c>
      <c r="AF453" s="1">
        <f t="shared" si="345"/>
        <v>0</v>
      </c>
      <c r="AG453" s="1">
        <f t="shared" si="346"/>
        <v>0</v>
      </c>
      <c r="AH453" s="1">
        <f t="shared" si="347"/>
        <v>0</v>
      </c>
      <c r="AI453" s="1">
        <f t="shared" si="348"/>
        <v>0</v>
      </c>
      <c r="AJ453" s="1">
        <f t="shared" si="349"/>
        <v>0</v>
      </c>
      <c r="AK453" s="17">
        <f t="shared" si="350"/>
        <v>-0.16666666666666666</v>
      </c>
      <c r="AL453" s="17">
        <f t="shared" si="351"/>
        <v>0</v>
      </c>
      <c r="AM453" s="1">
        <f t="shared" si="352"/>
        <v>-1</v>
      </c>
      <c r="AN453" s="1" t="e">
        <f t="shared" si="353"/>
        <v>#DIV/0!</v>
      </c>
      <c r="AO453" s="1" t="e">
        <f t="shared" si="354"/>
        <v>#DIV/0!</v>
      </c>
      <c r="AP453" s="1" t="e">
        <f t="shared" si="355"/>
        <v>#DIV/0!</v>
      </c>
      <c r="AQ453" s="1" t="e">
        <f t="shared" si="356"/>
        <v>#DIV/0!</v>
      </c>
      <c r="AR453" s="1" t="e">
        <f t="shared" si="357"/>
        <v>#DIV/0!</v>
      </c>
      <c r="AS453" s="12" t="e">
        <f t="shared" si="358"/>
        <v>#DIV/0!</v>
      </c>
      <c r="AT453" s="12" t="e">
        <f t="shared" si="359"/>
        <v>#DIV/0!</v>
      </c>
      <c r="AU453" s="1">
        <f t="shared" si="360"/>
        <v>-1</v>
      </c>
      <c r="AV453" s="1">
        <f t="shared" si="361"/>
        <v>0</v>
      </c>
      <c r="AW453" s="1">
        <f t="shared" si="362"/>
        <v>0</v>
      </c>
      <c r="AX453" s="1">
        <f t="shared" si="363"/>
        <v>0</v>
      </c>
      <c r="AY453" s="1">
        <f t="shared" si="364"/>
        <v>0</v>
      </c>
      <c r="AZ453" s="1">
        <f t="shared" si="365"/>
        <v>0</v>
      </c>
      <c r="BA453" s="19">
        <f t="shared" si="366"/>
        <v>-0.16666666666666666</v>
      </c>
      <c r="BB453" s="19">
        <f t="shared" si="367"/>
        <v>0</v>
      </c>
      <c r="BC453" s="9" t="e">
        <f t="shared" si="368"/>
        <v>#DIV/0!</v>
      </c>
      <c r="BD453" s="9" t="e">
        <f t="shared" si="369"/>
        <v>#DIV/0!</v>
      </c>
      <c r="BE453" s="9" t="e">
        <f t="shared" si="370"/>
        <v>#DIV/0!</v>
      </c>
      <c r="BF453" s="9" t="e">
        <f t="shared" si="371"/>
        <v>#DIV/0!</v>
      </c>
      <c r="BG453" s="9" t="e">
        <f t="shared" si="372"/>
        <v>#DIV/0!</v>
      </c>
      <c r="BH453" s="9" t="e">
        <f t="shared" si="373"/>
        <v>#DIV/0!</v>
      </c>
      <c r="BI453" s="12" t="e">
        <f t="shared" si="374"/>
        <v>#DIV/0!</v>
      </c>
      <c r="BJ453" s="13" t="e">
        <f t="shared" si="375"/>
        <v>#DIV/0!</v>
      </c>
      <c r="BK453" s="1">
        <f t="shared" si="376"/>
        <v>0</v>
      </c>
      <c r="BL453" s="1">
        <f t="shared" si="377"/>
        <v>0</v>
      </c>
      <c r="BM453" s="1">
        <f t="shared" si="378"/>
        <v>0</v>
      </c>
      <c r="BN453" s="1">
        <f t="shared" si="379"/>
        <v>0</v>
      </c>
      <c r="BO453" s="1">
        <f t="shared" si="380"/>
        <v>0</v>
      </c>
      <c r="BP453" s="1">
        <f t="shared" si="381"/>
        <v>0</v>
      </c>
      <c r="BQ453" s="19">
        <f t="shared" si="382"/>
        <v>0</v>
      </c>
      <c r="BR453" s="17">
        <f t="shared" si="383"/>
        <v>0</v>
      </c>
    </row>
    <row r="454" spans="1:70" x14ac:dyDescent="0.25">
      <c r="A454" t="s">
        <v>540</v>
      </c>
      <c r="B454">
        <v>1</v>
      </c>
      <c r="I454">
        <v>1</v>
      </c>
      <c r="W454" s="8">
        <f t="shared" si="336"/>
        <v>-1</v>
      </c>
      <c r="X454" s="8" t="e">
        <f t="shared" si="337"/>
        <v>#DIV/0!</v>
      </c>
      <c r="Y454" s="8" t="e">
        <f t="shared" si="338"/>
        <v>#DIV/0!</v>
      </c>
      <c r="Z454" s="8" t="e">
        <f t="shared" si="339"/>
        <v>#DIV/0!</v>
      </c>
      <c r="AA454" s="8" t="e">
        <f t="shared" si="340"/>
        <v>#DIV/0!</v>
      </c>
      <c r="AB454" s="8" t="e">
        <f t="shared" si="341"/>
        <v>#DIV/0!</v>
      </c>
      <c r="AC454" s="12" t="e">
        <f t="shared" si="342"/>
        <v>#DIV/0!</v>
      </c>
      <c r="AD454" s="12" t="e">
        <f t="shared" si="343"/>
        <v>#DIV/0!</v>
      </c>
      <c r="AE454" s="1">
        <f t="shared" si="344"/>
        <v>-1</v>
      </c>
      <c r="AF454" s="1">
        <f t="shared" si="345"/>
        <v>0</v>
      </c>
      <c r="AG454" s="1">
        <f t="shared" si="346"/>
        <v>0</v>
      </c>
      <c r="AH454" s="1">
        <f t="shared" si="347"/>
        <v>0</v>
      </c>
      <c r="AI454" s="1">
        <f t="shared" si="348"/>
        <v>0</v>
      </c>
      <c r="AJ454" s="1">
        <f t="shared" si="349"/>
        <v>0</v>
      </c>
      <c r="AK454" s="17">
        <f t="shared" si="350"/>
        <v>-0.16666666666666666</v>
      </c>
      <c r="AL454" s="17">
        <f t="shared" si="351"/>
        <v>0</v>
      </c>
      <c r="AM454" s="1">
        <f t="shared" si="352"/>
        <v>-1</v>
      </c>
      <c r="AN454" s="1" t="e">
        <f t="shared" si="353"/>
        <v>#DIV/0!</v>
      </c>
      <c r="AO454" s="1" t="e">
        <f t="shared" si="354"/>
        <v>#DIV/0!</v>
      </c>
      <c r="AP454" s="1" t="e">
        <f t="shared" si="355"/>
        <v>#DIV/0!</v>
      </c>
      <c r="AQ454" s="1" t="e">
        <f t="shared" si="356"/>
        <v>#DIV/0!</v>
      </c>
      <c r="AR454" s="1" t="e">
        <f t="shared" si="357"/>
        <v>#DIV/0!</v>
      </c>
      <c r="AS454" s="12" t="e">
        <f t="shared" si="358"/>
        <v>#DIV/0!</v>
      </c>
      <c r="AT454" s="12" t="e">
        <f t="shared" si="359"/>
        <v>#DIV/0!</v>
      </c>
      <c r="AU454" s="1">
        <f t="shared" si="360"/>
        <v>-1</v>
      </c>
      <c r="AV454" s="1">
        <f t="shared" si="361"/>
        <v>0</v>
      </c>
      <c r="AW454" s="1">
        <f t="shared" si="362"/>
        <v>0</v>
      </c>
      <c r="AX454" s="1">
        <f t="shared" si="363"/>
        <v>0</v>
      </c>
      <c r="AY454" s="1">
        <f t="shared" si="364"/>
        <v>0</v>
      </c>
      <c r="AZ454" s="1">
        <f t="shared" si="365"/>
        <v>0</v>
      </c>
      <c r="BA454" s="19">
        <f t="shared" si="366"/>
        <v>-0.16666666666666666</v>
      </c>
      <c r="BB454" s="19">
        <f t="shared" si="367"/>
        <v>0</v>
      </c>
      <c r="BC454" s="9" t="e">
        <f t="shared" si="368"/>
        <v>#DIV/0!</v>
      </c>
      <c r="BD454" s="9" t="e">
        <f t="shared" si="369"/>
        <v>#DIV/0!</v>
      </c>
      <c r="BE454" s="9" t="e">
        <f t="shared" si="370"/>
        <v>#DIV/0!</v>
      </c>
      <c r="BF454" s="9" t="e">
        <f t="shared" si="371"/>
        <v>#DIV/0!</v>
      </c>
      <c r="BG454" s="9" t="e">
        <f t="shared" si="372"/>
        <v>#DIV/0!</v>
      </c>
      <c r="BH454" s="9" t="e">
        <f t="shared" si="373"/>
        <v>#DIV/0!</v>
      </c>
      <c r="BI454" s="12" t="e">
        <f t="shared" si="374"/>
        <v>#DIV/0!</v>
      </c>
      <c r="BJ454" s="13" t="e">
        <f t="shared" si="375"/>
        <v>#DIV/0!</v>
      </c>
      <c r="BK454" s="1">
        <f t="shared" si="376"/>
        <v>0</v>
      </c>
      <c r="BL454" s="1">
        <f t="shared" si="377"/>
        <v>0</v>
      </c>
      <c r="BM454" s="1">
        <f t="shared" si="378"/>
        <v>0</v>
      </c>
      <c r="BN454" s="1">
        <f t="shared" si="379"/>
        <v>0</v>
      </c>
      <c r="BO454" s="1">
        <f t="shared" si="380"/>
        <v>0</v>
      </c>
      <c r="BP454" s="1">
        <f t="shared" si="381"/>
        <v>0</v>
      </c>
      <c r="BQ454" s="19">
        <f t="shared" si="382"/>
        <v>0</v>
      </c>
      <c r="BR454" s="17">
        <f t="shared" si="383"/>
        <v>0</v>
      </c>
    </row>
    <row r="455" spans="1:70" x14ac:dyDescent="0.25">
      <c r="A455" t="s">
        <v>541</v>
      </c>
      <c r="B455">
        <v>1</v>
      </c>
      <c r="P455">
        <v>1</v>
      </c>
      <c r="W455" s="8">
        <f t="shared" si="336"/>
        <v>-1</v>
      </c>
      <c r="X455" s="8" t="e">
        <f t="shared" si="337"/>
        <v>#DIV/0!</v>
      </c>
      <c r="Y455" s="8" t="e">
        <f t="shared" si="338"/>
        <v>#DIV/0!</v>
      </c>
      <c r="Z455" s="8" t="e">
        <f t="shared" si="339"/>
        <v>#DIV/0!</v>
      </c>
      <c r="AA455" s="8" t="e">
        <f t="shared" si="340"/>
        <v>#DIV/0!</v>
      </c>
      <c r="AB455" s="8" t="e">
        <f t="shared" si="341"/>
        <v>#DIV/0!</v>
      </c>
      <c r="AC455" s="12" t="e">
        <f t="shared" si="342"/>
        <v>#DIV/0!</v>
      </c>
      <c r="AD455" s="12" t="e">
        <f t="shared" si="343"/>
        <v>#DIV/0!</v>
      </c>
      <c r="AE455" s="1">
        <f t="shared" si="344"/>
        <v>-1</v>
      </c>
      <c r="AF455" s="1">
        <f t="shared" si="345"/>
        <v>0</v>
      </c>
      <c r="AG455" s="1">
        <f t="shared" si="346"/>
        <v>0</v>
      </c>
      <c r="AH455" s="1">
        <f t="shared" si="347"/>
        <v>0</v>
      </c>
      <c r="AI455" s="1">
        <f t="shared" si="348"/>
        <v>0</v>
      </c>
      <c r="AJ455" s="1">
        <f t="shared" si="349"/>
        <v>0</v>
      </c>
      <c r="AK455" s="17">
        <f t="shared" si="350"/>
        <v>-0.16666666666666666</v>
      </c>
      <c r="AL455" s="17">
        <f t="shared" si="351"/>
        <v>0</v>
      </c>
      <c r="AM455" s="1" t="e">
        <f t="shared" si="352"/>
        <v>#DIV/0!</v>
      </c>
      <c r="AN455" s="1" t="e">
        <f t="shared" si="353"/>
        <v>#DIV/0!</v>
      </c>
      <c r="AO455" s="1" t="e">
        <f t="shared" si="354"/>
        <v>#DIV/0!</v>
      </c>
      <c r="AP455" s="1" t="e">
        <f t="shared" si="355"/>
        <v>#DIV/0!</v>
      </c>
      <c r="AQ455" s="1" t="e">
        <f t="shared" si="356"/>
        <v>#DIV/0!</v>
      </c>
      <c r="AR455" s="1" t="e">
        <f t="shared" si="357"/>
        <v>#DIV/0!</v>
      </c>
      <c r="AS455" s="12" t="e">
        <f t="shared" si="358"/>
        <v>#DIV/0!</v>
      </c>
      <c r="AT455" s="12" t="e">
        <f t="shared" si="359"/>
        <v>#DIV/0!</v>
      </c>
      <c r="AU455" s="1">
        <f t="shared" si="360"/>
        <v>0</v>
      </c>
      <c r="AV455" s="1">
        <f t="shared" si="361"/>
        <v>0</v>
      </c>
      <c r="AW455" s="1">
        <f t="shared" si="362"/>
        <v>0</v>
      </c>
      <c r="AX455" s="1">
        <f t="shared" si="363"/>
        <v>0</v>
      </c>
      <c r="AY455" s="1">
        <f t="shared" si="364"/>
        <v>0</v>
      </c>
      <c r="AZ455" s="1">
        <f t="shared" si="365"/>
        <v>0</v>
      </c>
      <c r="BA455" s="19">
        <f t="shared" si="366"/>
        <v>0</v>
      </c>
      <c r="BB455" s="19">
        <f t="shared" si="367"/>
        <v>0</v>
      </c>
      <c r="BC455" s="9">
        <f t="shared" si="368"/>
        <v>-1</v>
      </c>
      <c r="BD455" s="9" t="e">
        <f t="shared" si="369"/>
        <v>#DIV/0!</v>
      </c>
      <c r="BE455" s="9" t="e">
        <f t="shared" si="370"/>
        <v>#DIV/0!</v>
      </c>
      <c r="BF455" s="9" t="e">
        <f t="shared" si="371"/>
        <v>#DIV/0!</v>
      </c>
      <c r="BG455" s="9" t="e">
        <f t="shared" si="372"/>
        <v>#DIV/0!</v>
      </c>
      <c r="BH455" s="9" t="e">
        <f t="shared" si="373"/>
        <v>#DIV/0!</v>
      </c>
      <c r="BI455" s="12" t="e">
        <f t="shared" si="374"/>
        <v>#DIV/0!</v>
      </c>
      <c r="BJ455" s="13" t="e">
        <f t="shared" si="375"/>
        <v>#DIV/0!</v>
      </c>
      <c r="BK455" s="1">
        <f t="shared" si="376"/>
        <v>-1</v>
      </c>
      <c r="BL455" s="1">
        <f t="shared" si="377"/>
        <v>0</v>
      </c>
      <c r="BM455" s="1">
        <f t="shared" si="378"/>
        <v>0</v>
      </c>
      <c r="BN455" s="1">
        <f t="shared" si="379"/>
        <v>0</v>
      </c>
      <c r="BO455" s="1">
        <f t="shared" si="380"/>
        <v>0</v>
      </c>
      <c r="BP455" s="1">
        <f t="shared" si="381"/>
        <v>0</v>
      </c>
      <c r="BQ455" s="19">
        <f t="shared" si="382"/>
        <v>-0.16666666666666666</v>
      </c>
      <c r="BR455" s="17">
        <f t="shared" si="383"/>
        <v>0</v>
      </c>
    </row>
    <row r="456" spans="1:70" x14ac:dyDescent="0.25">
      <c r="A456" t="s">
        <v>542</v>
      </c>
      <c r="B456">
        <v>1</v>
      </c>
      <c r="E456">
        <v>3</v>
      </c>
      <c r="I456">
        <v>1</v>
      </c>
      <c r="L456">
        <v>3</v>
      </c>
      <c r="W456" s="8">
        <f t="shared" si="336"/>
        <v>-1</v>
      </c>
      <c r="X456" s="8" t="e">
        <f t="shared" si="337"/>
        <v>#DIV/0!</v>
      </c>
      <c r="Y456" s="8" t="e">
        <f t="shared" si="338"/>
        <v>#DIV/0!</v>
      </c>
      <c r="Z456" s="8">
        <f t="shared" si="339"/>
        <v>-1</v>
      </c>
      <c r="AA456" s="8" t="e">
        <f t="shared" si="340"/>
        <v>#DIV/0!</v>
      </c>
      <c r="AB456" s="8" t="e">
        <f t="shared" si="341"/>
        <v>#DIV/0!</v>
      </c>
      <c r="AC456" s="12" t="e">
        <f t="shared" si="342"/>
        <v>#DIV/0!</v>
      </c>
      <c r="AD456" s="12" t="e">
        <f t="shared" si="343"/>
        <v>#DIV/0!</v>
      </c>
      <c r="AE456" s="1">
        <f t="shared" si="344"/>
        <v>-1</v>
      </c>
      <c r="AF456" s="1">
        <f t="shared" si="345"/>
        <v>0</v>
      </c>
      <c r="AG456" s="1">
        <f t="shared" si="346"/>
        <v>3</v>
      </c>
      <c r="AH456" s="1">
        <f t="shared" si="347"/>
        <v>-3</v>
      </c>
      <c r="AI456" s="1">
        <f t="shared" si="348"/>
        <v>0</v>
      </c>
      <c r="AJ456" s="1">
        <f t="shared" si="349"/>
        <v>0</v>
      </c>
      <c r="AK456" s="17">
        <f t="shared" si="350"/>
        <v>-0.16666666666666666</v>
      </c>
      <c r="AL456" s="17">
        <f t="shared" si="351"/>
        <v>0</v>
      </c>
      <c r="AM456" s="1">
        <f t="shared" si="352"/>
        <v>-1</v>
      </c>
      <c r="AN456" s="1" t="e">
        <f t="shared" si="353"/>
        <v>#DIV/0!</v>
      </c>
      <c r="AO456" s="1" t="e">
        <f t="shared" si="354"/>
        <v>#DIV/0!</v>
      </c>
      <c r="AP456" s="1">
        <f t="shared" si="355"/>
        <v>-1</v>
      </c>
      <c r="AQ456" s="1" t="e">
        <f t="shared" si="356"/>
        <v>#DIV/0!</v>
      </c>
      <c r="AR456" s="1" t="e">
        <f t="shared" si="357"/>
        <v>#DIV/0!</v>
      </c>
      <c r="AS456" s="12" t="e">
        <f t="shared" si="358"/>
        <v>#DIV/0!</v>
      </c>
      <c r="AT456" s="12" t="e">
        <f t="shared" si="359"/>
        <v>#DIV/0!</v>
      </c>
      <c r="AU456" s="1">
        <f t="shared" si="360"/>
        <v>-1</v>
      </c>
      <c r="AV456" s="1">
        <f t="shared" si="361"/>
        <v>0</v>
      </c>
      <c r="AW456" s="1">
        <f t="shared" si="362"/>
        <v>3</v>
      </c>
      <c r="AX456" s="1">
        <f t="shared" si="363"/>
        <v>-3</v>
      </c>
      <c r="AY456" s="1">
        <f t="shared" si="364"/>
        <v>0</v>
      </c>
      <c r="AZ456" s="1">
        <f t="shared" si="365"/>
        <v>0</v>
      </c>
      <c r="BA456" s="19">
        <f t="shared" si="366"/>
        <v>-0.16666666666666666</v>
      </c>
      <c r="BB456" s="19">
        <f t="shared" si="367"/>
        <v>0</v>
      </c>
      <c r="BC456" s="9" t="e">
        <f t="shared" si="368"/>
        <v>#DIV/0!</v>
      </c>
      <c r="BD456" s="9" t="e">
        <f t="shared" si="369"/>
        <v>#DIV/0!</v>
      </c>
      <c r="BE456" s="9" t="e">
        <f t="shared" si="370"/>
        <v>#DIV/0!</v>
      </c>
      <c r="BF456" s="9" t="e">
        <f t="shared" si="371"/>
        <v>#DIV/0!</v>
      </c>
      <c r="BG456" s="9" t="e">
        <f t="shared" si="372"/>
        <v>#DIV/0!</v>
      </c>
      <c r="BH456" s="9" t="e">
        <f t="shared" si="373"/>
        <v>#DIV/0!</v>
      </c>
      <c r="BI456" s="12" t="e">
        <f t="shared" si="374"/>
        <v>#DIV/0!</v>
      </c>
      <c r="BJ456" s="13" t="e">
        <f t="shared" si="375"/>
        <v>#DIV/0!</v>
      </c>
      <c r="BK456" s="1">
        <f t="shared" si="376"/>
        <v>0</v>
      </c>
      <c r="BL456" s="1">
        <f t="shared" si="377"/>
        <v>0</v>
      </c>
      <c r="BM456" s="1">
        <f t="shared" si="378"/>
        <v>0</v>
      </c>
      <c r="BN456" s="1">
        <f t="shared" si="379"/>
        <v>0</v>
      </c>
      <c r="BO456" s="1">
        <f t="shared" si="380"/>
        <v>0</v>
      </c>
      <c r="BP456" s="1">
        <f t="shared" si="381"/>
        <v>0</v>
      </c>
      <c r="BQ456" s="19">
        <f t="shared" si="382"/>
        <v>0</v>
      </c>
      <c r="BR456" s="17">
        <f t="shared" si="383"/>
        <v>0</v>
      </c>
    </row>
    <row r="457" spans="1:70" x14ac:dyDescent="0.25">
      <c r="A457" t="s">
        <v>543</v>
      </c>
      <c r="B457">
        <v>1</v>
      </c>
      <c r="C457">
        <v>1</v>
      </c>
      <c r="I457">
        <v>1</v>
      </c>
      <c r="Q457">
        <v>1</v>
      </c>
      <c r="W457" s="8">
        <f t="shared" si="336"/>
        <v>0</v>
      </c>
      <c r="X457" s="8">
        <f t="shared" si="337"/>
        <v>-1</v>
      </c>
      <c r="Y457" s="8" t="e">
        <f t="shared" si="338"/>
        <v>#DIV/0!</v>
      </c>
      <c r="Z457" s="8" t="e">
        <f t="shared" si="339"/>
        <v>#DIV/0!</v>
      </c>
      <c r="AA457" s="8" t="e">
        <f t="shared" si="340"/>
        <v>#DIV/0!</v>
      </c>
      <c r="AB457" s="8" t="e">
        <f t="shared" si="341"/>
        <v>#DIV/0!</v>
      </c>
      <c r="AC457" s="12" t="e">
        <f t="shared" si="342"/>
        <v>#DIV/0!</v>
      </c>
      <c r="AD457" s="12" t="e">
        <f t="shared" si="343"/>
        <v>#DIV/0!</v>
      </c>
      <c r="AE457" s="1">
        <f t="shared" si="344"/>
        <v>0</v>
      </c>
      <c r="AF457" s="1">
        <f t="shared" si="345"/>
        <v>-1</v>
      </c>
      <c r="AG457" s="1">
        <f t="shared" si="346"/>
        <v>0</v>
      </c>
      <c r="AH457" s="1">
        <f t="shared" si="347"/>
        <v>0</v>
      </c>
      <c r="AI457" s="1">
        <f t="shared" si="348"/>
        <v>0</v>
      </c>
      <c r="AJ457" s="1">
        <f t="shared" si="349"/>
        <v>0</v>
      </c>
      <c r="AK457" s="17">
        <f t="shared" si="350"/>
        <v>-0.16666666666666666</v>
      </c>
      <c r="AL457" s="17">
        <f t="shared" si="351"/>
        <v>0</v>
      </c>
      <c r="AM457" s="1">
        <f t="shared" si="352"/>
        <v>-1</v>
      </c>
      <c r="AN457" s="1" t="e">
        <f t="shared" si="353"/>
        <v>#DIV/0!</v>
      </c>
      <c r="AO457" s="1" t="e">
        <f t="shared" si="354"/>
        <v>#DIV/0!</v>
      </c>
      <c r="AP457" s="1" t="e">
        <f t="shared" si="355"/>
        <v>#DIV/0!</v>
      </c>
      <c r="AQ457" s="1" t="e">
        <f t="shared" si="356"/>
        <v>#DIV/0!</v>
      </c>
      <c r="AR457" s="1" t="e">
        <f t="shared" si="357"/>
        <v>#DIV/0!</v>
      </c>
      <c r="AS457" s="12" t="e">
        <f t="shared" si="358"/>
        <v>#DIV/0!</v>
      </c>
      <c r="AT457" s="12" t="e">
        <f t="shared" si="359"/>
        <v>#DIV/0!</v>
      </c>
      <c r="AU457" s="1">
        <f t="shared" si="360"/>
        <v>-1</v>
      </c>
      <c r="AV457" s="1">
        <f t="shared" si="361"/>
        <v>0</v>
      </c>
      <c r="AW457" s="1">
        <f t="shared" si="362"/>
        <v>0</v>
      </c>
      <c r="AX457" s="1">
        <f t="shared" si="363"/>
        <v>0</v>
      </c>
      <c r="AY457" s="1">
        <f t="shared" si="364"/>
        <v>0</v>
      </c>
      <c r="AZ457" s="1">
        <f t="shared" si="365"/>
        <v>0</v>
      </c>
      <c r="BA457" s="19">
        <f t="shared" si="366"/>
        <v>-0.16666666666666666</v>
      </c>
      <c r="BB457" s="19">
        <f t="shared" si="367"/>
        <v>0</v>
      </c>
      <c r="BC457" s="9" t="e">
        <f t="shared" si="368"/>
        <v>#DIV/0!</v>
      </c>
      <c r="BD457" s="9">
        <f t="shared" si="369"/>
        <v>-1</v>
      </c>
      <c r="BE457" s="9" t="e">
        <f t="shared" si="370"/>
        <v>#DIV/0!</v>
      </c>
      <c r="BF457" s="9" t="e">
        <f t="shared" si="371"/>
        <v>#DIV/0!</v>
      </c>
      <c r="BG457" s="9" t="e">
        <f t="shared" si="372"/>
        <v>#DIV/0!</v>
      </c>
      <c r="BH457" s="9" t="e">
        <f t="shared" si="373"/>
        <v>#DIV/0!</v>
      </c>
      <c r="BI457" s="12" t="e">
        <f t="shared" si="374"/>
        <v>#DIV/0!</v>
      </c>
      <c r="BJ457" s="13" t="e">
        <f t="shared" si="375"/>
        <v>#DIV/0!</v>
      </c>
      <c r="BK457" s="1">
        <f t="shared" si="376"/>
        <v>1</v>
      </c>
      <c r="BL457" s="1">
        <f t="shared" si="377"/>
        <v>-1</v>
      </c>
      <c r="BM457" s="1">
        <f t="shared" si="378"/>
        <v>0</v>
      </c>
      <c r="BN457" s="1">
        <f t="shared" si="379"/>
        <v>0</v>
      </c>
      <c r="BO457" s="1">
        <f t="shared" si="380"/>
        <v>0</v>
      </c>
      <c r="BP457" s="1">
        <f t="shared" si="381"/>
        <v>0</v>
      </c>
      <c r="BQ457" s="19">
        <f t="shared" si="382"/>
        <v>0</v>
      </c>
      <c r="BR457" s="17">
        <f t="shared" si="383"/>
        <v>0</v>
      </c>
    </row>
    <row r="458" spans="1:70" x14ac:dyDescent="0.25">
      <c r="A458" t="s">
        <v>546</v>
      </c>
      <c r="B458">
        <v>1</v>
      </c>
      <c r="C458">
        <v>3</v>
      </c>
      <c r="D458">
        <v>1</v>
      </c>
      <c r="G458">
        <v>1</v>
      </c>
      <c r="J458">
        <v>2</v>
      </c>
      <c r="K458">
        <v>1</v>
      </c>
      <c r="P458">
        <v>1</v>
      </c>
      <c r="Q458">
        <v>1</v>
      </c>
      <c r="U458">
        <v>1</v>
      </c>
      <c r="W458" s="8">
        <f t="shared" si="336"/>
        <v>2</v>
      </c>
      <c r="X458" s="8">
        <f t="shared" si="337"/>
        <v>-0.66666666666666663</v>
      </c>
      <c r="Y458" s="8">
        <f t="shared" si="338"/>
        <v>-1</v>
      </c>
      <c r="Z458" s="8" t="e">
        <f t="shared" si="339"/>
        <v>#DIV/0!</v>
      </c>
      <c r="AA458" s="8" t="e">
        <f t="shared" si="340"/>
        <v>#DIV/0!</v>
      </c>
      <c r="AB458" s="8">
        <f t="shared" si="341"/>
        <v>-1</v>
      </c>
      <c r="AC458" s="12" t="e">
        <f t="shared" si="342"/>
        <v>#DIV/0!</v>
      </c>
      <c r="AD458" s="12" t="e">
        <f t="shared" si="343"/>
        <v>#DIV/0!</v>
      </c>
      <c r="AE458" s="1">
        <f t="shared" si="344"/>
        <v>2</v>
      </c>
      <c r="AF458" s="1">
        <f t="shared" si="345"/>
        <v>-2</v>
      </c>
      <c r="AG458" s="1">
        <f t="shared" si="346"/>
        <v>-1</v>
      </c>
      <c r="AH458" s="1">
        <f t="shared" si="347"/>
        <v>0</v>
      </c>
      <c r="AI458" s="1">
        <f t="shared" si="348"/>
        <v>1</v>
      </c>
      <c r="AJ458" s="1">
        <f t="shared" si="349"/>
        <v>-1</v>
      </c>
      <c r="AK458" s="17">
        <f t="shared" si="350"/>
        <v>-0.16666666666666666</v>
      </c>
      <c r="AL458" s="17">
        <f t="shared" si="351"/>
        <v>-0.5</v>
      </c>
      <c r="AM458" s="1" t="e">
        <f t="shared" si="352"/>
        <v>#DIV/0!</v>
      </c>
      <c r="AN458" s="1">
        <f t="shared" si="353"/>
        <v>-0.5</v>
      </c>
      <c r="AO458" s="1">
        <f t="shared" si="354"/>
        <v>-1</v>
      </c>
      <c r="AP458" s="1" t="e">
        <f t="shared" si="355"/>
        <v>#DIV/0!</v>
      </c>
      <c r="AQ458" s="1" t="e">
        <f t="shared" si="356"/>
        <v>#DIV/0!</v>
      </c>
      <c r="AR458" s="1" t="e">
        <f t="shared" si="357"/>
        <v>#DIV/0!</v>
      </c>
      <c r="AS458" s="12" t="e">
        <f t="shared" si="358"/>
        <v>#DIV/0!</v>
      </c>
      <c r="AT458" s="12" t="e">
        <f t="shared" si="359"/>
        <v>#DIV/0!</v>
      </c>
      <c r="AU458" s="1">
        <f t="shared" si="360"/>
        <v>2</v>
      </c>
      <c r="AV458" s="1">
        <f t="shared" si="361"/>
        <v>-1</v>
      </c>
      <c r="AW458" s="1">
        <f t="shared" si="362"/>
        <v>-1</v>
      </c>
      <c r="AX458" s="1">
        <f t="shared" si="363"/>
        <v>0</v>
      </c>
      <c r="AY458" s="1">
        <f t="shared" si="364"/>
        <v>0</v>
      </c>
      <c r="AZ458" s="1">
        <f t="shared" si="365"/>
        <v>0</v>
      </c>
      <c r="BA458" s="19">
        <f t="shared" si="366"/>
        <v>0</v>
      </c>
      <c r="BB458" s="19">
        <f t="shared" si="367"/>
        <v>0</v>
      </c>
      <c r="BC458" s="9">
        <f t="shared" si="368"/>
        <v>0</v>
      </c>
      <c r="BD458" s="9">
        <f t="shared" si="369"/>
        <v>-1</v>
      </c>
      <c r="BE458" s="9" t="e">
        <f t="shared" si="370"/>
        <v>#DIV/0!</v>
      </c>
      <c r="BF458" s="9" t="e">
        <f t="shared" si="371"/>
        <v>#DIV/0!</v>
      </c>
      <c r="BG458" s="9" t="e">
        <f t="shared" si="372"/>
        <v>#DIV/0!</v>
      </c>
      <c r="BH458" s="9">
        <f t="shared" si="373"/>
        <v>-1</v>
      </c>
      <c r="BI458" s="12" t="e">
        <f t="shared" si="374"/>
        <v>#DIV/0!</v>
      </c>
      <c r="BJ458" s="13" t="e">
        <f t="shared" si="375"/>
        <v>#DIV/0!</v>
      </c>
      <c r="BK458" s="1">
        <f t="shared" si="376"/>
        <v>0</v>
      </c>
      <c r="BL458" s="1">
        <f t="shared" si="377"/>
        <v>-1</v>
      </c>
      <c r="BM458" s="1">
        <f t="shared" si="378"/>
        <v>0</v>
      </c>
      <c r="BN458" s="1">
        <f t="shared" si="379"/>
        <v>0</v>
      </c>
      <c r="BO458" s="1">
        <f t="shared" si="380"/>
        <v>1</v>
      </c>
      <c r="BP458" s="1">
        <f t="shared" si="381"/>
        <v>-1</v>
      </c>
      <c r="BQ458" s="19">
        <f t="shared" si="382"/>
        <v>-0.16666666666666666</v>
      </c>
      <c r="BR458" s="17">
        <f t="shared" si="383"/>
        <v>0</v>
      </c>
    </row>
    <row r="459" spans="1:70" x14ac:dyDescent="0.25">
      <c r="A459" t="s">
        <v>549</v>
      </c>
      <c r="B459">
        <v>1</v>
      </c>
      <c r="F459">
        <v>4</v>
      </c>
      <c r="M459">
        <v>3</v>
      </c>
      <c r="P459">
        <v>1</v>
      </c>
      <c r="T459">
        <v>1</v>
      </c>
      <c r="W459" s="8">
        <f t="shared" si="336"/>
        <v>-1</v>
      </c>
      <c r="X459" s="8" t="e">
        <f t="shared" si="337"/>
        <v>#DIV/0!</v>
      </c>
      <c r="Y459" s="8" t="e">
        <f t="shared" si="338"/>
        <v>#DIV/0!</v>
      </c>
      <c r="Z459" s="8" t="e">
        <f t="shared" si="339"/>
        <v>#DIV/0!</v>
      </c>
      <c r="AA459" s="8">
        <f t="shared" si="340"/>
        <v>-1</v>
      </c>
      <c r="AB459" s="8" t="e">
        <f t="shared" si="341"/>
        <v>#DIV/0!</v>
      </c>
      <c r="AC459" s="12" t="e">
        <f t="shared" si="342"/>
        <v>#DIV/0!</v>
      </c>
      <c r="AD459" s="12" t="e">
        <f t="shared" si="343"/>
        <v>#DIV/0!</v>
      </c>
      <c r="AE459" s="1">
        <f t="shared" si="344"/>
        <v>-1</v>
      </c>
      <c r="AF459" s="1">
        <f t="shared" si="345"/>
        <v>0</v>
      </c>
      <c r="AG459" s="1">
        <f t="shared" si="346"/>
        <v>0</v>
      </c>
      <c r="AH459" s="1">
        <f t="shared" si="347"/>
        <v>4</v>
      </c>
      <c r="AI459" s="1">
        <f t="shared" si="348"/>
        <v>-4</v>
      </c>
      <c r="AJ459" s="1">
        <f t="shared" si="349"/>
        <v>0</v>
      </c>
      <c r="AK459" s="17">
        <f t="shared" si="350"/>
        <v>-0.16666666666666666</v>
      </c>
      <c r="AL459" s="17">
        <f t="shared" si="351"/>
        <v>0</v>
      </c>
      <c r="AM459" s="1" t="e">
        <f t="shared" si="352"/>
        <v>#DIV/0!</v>
      </c>
      <c r="AN459" s="1" t="e">
        <f t="shared" si="353"/>
        <v>#DIV/0!</v>
      </c>
      <c r="AO459" s="1" t="e">
        <f t="shared" si="354"/>
        <v>#DIV/0!</v>
      </c>
      <c r="AP459" s="1" t="e">
        <f t="shared" si="355"/>
        <v>#DIV/0!</v>
      </c>
      <c r="AQ459" s="1">
        <f t="shared" si="356"/>
        <v>-1</v>
      </c>
      <c r="AR459" s="1" t="e">
        <f t="shared" si="357"/>
        <v>#DIV/0!</v>
      </c>
      <c r="AS459" s="12" t="e">
        <f t="shared" si="358"/>
        <v>#DIV/0!</v>
      </c>
      <c r="AT459" s="12" t="e">
        <f t="shared" si="359"/>
        <v>#DIV/0!</v>
      </c>
      <c r="AU459" s="1">
        <f t="shared" si="360"/>
        <v>0</v>
      </c>
      <c r="AV459" s="1">
        <f t="shared" si="361"/>
        <v>0</v>
      </c>
      <c r="AW459" s="1">
        <f t="shared" si="362"/>
        <v>0</v>
      </c>
      <c r="AX459" s="1">
        <f t="shared" si="363"/>
        <v>3</v>
      </c>
      <c r="AY459" s="1">
        <f t="shared" si="364"/>
        <v>-3</v>
      </c>
      <c r="AZ459" s="1">
        <f t="shared" si="365"/>
        <v>0</v>
      </c>
      <c r="BA459" s="19">
        <f t="shared" si="366"/>
        <v>0</v>
      </c>
      <c r="BB459" s="19">
        <f t="shared" si="367"/>
        <v>0</v>
      </c>
      <c r="BC459" s="9">
        <f t="shared" si="368"/>
        <v>-1</v>
      </c>
      <c r="BD459" s="9" t="e">
        <f t="shared" si="369"/>
        <v>#DIV/0!</v>
      </c>
      <c r="BE459" s="9" t="e">
        <f t="shared" si="370"/>
        <v>#DIV/0!</v>
      </c>
      <c r="BF459" s="9" t="e">
        <f t="shared" si="371"/>
        <v>#DIV/0!</v>
      </c>
      <c r="BG459" s="9">
        <f t="shared" si="372"/>
        <v>-1</v>
      </c>
      <c r="BH459" s="9" t="e">
        <f t="shared" si="373"/>
        <v>#DIV/0!</v>
      </c>
      <c r="BI459" s="12" t="e">
        <f t="shared" si="374"/>
        <v>#DIV/0!</v>
      </c>
      <c r="BJ459" s="13" t="e">
        <f t="shared" si="375"/>
        <v>#DIV/0!</v>
      </c>
      <c r="BK459" s="1">
        <f t="shared" si="376"/>
        <v>-1</v>
      </c>
      <c r="BL459" s="1">
        <f t="shared" si="377"/>
        <v>0</v>
      </c>
      <c r="BM459" s="1">
        <f t="shared" si="378"/>
        <v>0</v>
      </c>
      <c r="BN459" s="1">
        <f t="shared" si="379"/>
        <v>1</v>
      </c>
      <c r="BO459" s="1">
        <f t="shared" si="380"/>
        <v>-1</v>
      </c>
      <c r="BP459" s="1">
        <f t="shared" si="381"/>
        <v>0</v>
      </c>
      <c r="BQ459" s="19">
        <f t="shared" si="382"/>
        <v>-0.16666666666666666</v>
      </c>
      <c r="BR459" s="17">
        <f t="shared" si="383"/>
        <v>0</v>
      </c>
    </row>
    <row r="460" spans="1:70" x14ac:dyDescent="0.25">
      <c r="A460" t="s">
        <v>550</v>
      </c>
      <c r="B460">
        <v>1</v>
      </c>
      <c r="I460">
        <v>1</v>
      </c>
      <c r="W460" s="8">
        <f t="shared" si="336"/>
        <v>-1</v>
      </c>
      <c r="X460" s="8" t="e">
        <f t="shared" si="337"/>
        <v>#DIV/0!</v>
      </c>
      <c r="Y460" s="8" t="e">
        <f t="shared" si="338"/>
        <v>#DIV/0!</v>
      </c>
      <c r="Z460" s="8" t="e">
        <f t="shared" si="339"/>
        <v>#DIV/0!</v>
      </c>
      <c r="AA460" s="8" t="e">
        <f t="shared" si="340"/>
        <v>#DIV/0!</v>
      </c>
      <c r="AB460" s="8" t="e">
        <f t="shared" si="341"/>
        <v>#DIV/0!</v>
      </c>
      <c r="AC460" s="12" t="e">
        <f t="shared" si="342"/>
        <v>#DIV/0!</v>
      </c>
      <c r="AD460" s="12" t="e">
        <f t="shared" si="343"/>
        <v>#DIV/0!</v>
      </c>
      <c r="AE460" s="1">
        <f t="shared" si="344"/>
        <v>-1</v>
      </c>
      <c r="AF460" s="1">
        <f t="shared" si="345"/>
        <v>0</v>
      </c>
      <c r="AG460" s="1">
        <f t="shared" si="346"/>
        <v>0</v>
      </c>
      <c r="AH460" s="1">
        <f t="shared" si="347"/>
        <v>0</v>
      </c>
      <c r="AI460" s="1">
        <f t="shared" si="348"/>
        <v>0</v>
      </c>
      <c r="AJ460" s="1">
        <f t="shared" si="349"/>
        <v>0</v>
      </c>
      <c r="AK460" s="17">
        <f t="shared" si="350"/>
        <v>-0.16666666666666666</v>
      </c>
      <c r="AL460" s="17">
        <f t="shared" si="351"/>
        <v>0</v>
      </c>
      <c r="AM460" s="1">
        <f t="shared" si="352"/>
        <v>-1</v>
      </c>
      <c r="AN460" s="1" t="e">
        <f t="shared" si="353"/>
        <v>#DIV/0!</v>
      </c>
      <c r="AO460" s="1" t="e">
        <f t="shared" si="354"/>
        <v>#DIV/0!</v>
      </c>
      <c r="AP460" s="1" t="e">
        <f t="shared" si="355"/>
        <v>#DIV/0!</v>
      </c>
      <c r="AQ460" s="1" t="e">
        <f t="shared" si="356"/>
        <v>#DIV/0!</v>
      </c>
      <c r="AR460" s="1" t="e">
        <f t="shared" si="357"/>
        <v>#DIV/0!</v>
      </c>
      <c r="AS460" s="12" t="e">
        <f t="shared" si="358"/>
        <v>#DIV/0!</v>
      </c>
      <c r="AT460" s="12" t="e">
        <f t="shared" si="359"/>
        <v>#DIV/0!</v>
      </c>
      <c r="AU460" s="1">
        <f t="shared" si="360"/>
        <v>-1</v>
      </c>
      <c r="AV460" s="1">
        <f t="shared" si="361"/>
        <v>0</v>
      </c>
      <c r="AW460" s="1">
        <f t="shared" si="362"/>
        <v>0</v>
      </c>
      <c r="AX460" s="1">
        <f t="shared" si="363"/>
        <v>0</v>
      </c>
      <c r="AY460" s="1">
        <f t="shared" si="364"/>
        <v>0</v>
      </c>
      <c r="AZ460" s="1">
        <f t="shared" si="365"/>
        <v>0</v>
      </c>
      <c r="BA460" s="19">
        <f t="shared" si="366"/>
        <v>-0.16666666666666666</v>
      </c>
      <c r="BB460" s="19">
        <f t="shared" si="367"/>
        <v>0</v>
      </c>
      <c r="BC460" s="9" t="e">
        <f t="shared" si="368"/>
        <v>#DIV/0!</v>
      </c>
      <c r="BD460" s="9" t="e">
        <f t="shared" si="369"/>
        <v>#DIV/0!</v>
      </c>
      <c r="BE460" s="9" t="e">
        <f t="shared" si="370"/>
        <v>#DIV/0!</v>
      </c>
      <c r="BF460" s="9" t="e">
        <f t="shared" si="371"/>
        <v>#DIV/0!</v>
      </c>
      <c r="BG460" s="9" t="e">
        <f t="shared" si="372"/>
        <v>#DIV/0!</v>
      </c>
      <c r="BH460" s="9" t="e">
        <f t="shared" si="373"/>
        <v>#DIV/0!</v>
      </c>
      <c r="BI460" s="12" t="e">
        <f t="shared" si="374"/>
        <v>#DIV/0!</v>
      </c>
      <c r="BJ460" s="13" t="e">
        <f t="shared" si="375"/>
        <v>#DIV/0!</v>
      </c>
      <c r="BK460" s="1">
        <f t="shared" si="376"/>
        <v>0</v>
      </c>
      <c r="BL460" s="1">
        <f t="shared" si="377"/>
        <v>0</v>
      </c>
      <c r="BM460" s="1">
        <f t="shared" si="378"/>
        <v>0</v>
      </c>
      <c r="BN460" s="1">
        <f t="shared" si="379"/>
        <v>0</v>
      </c>
      <c r="BO460" s="1">
        <f t="shared" si="380"/>
        <v>0</v>
      </c>
      <c r="BP460" s="1">
        <f t="shared" si="381"/>
        <v>0</v>
      </c>
      <c r="BQ460" s="19">
        <f t="shared" si="382"/>
        <v>0</v>
      </c>
      <c r="BR460" s="17">
        <f t="shared" si="383"/>
        <v>0</v>
      </c>
    </row>
    <row r="461" spans="1:70" x14ac:dyDescent="0.25">
      <c r="A461" t="s">
        <v>552</v>
      </c>
      <c r="B461">
        <v>1</v>
      </c>
      <c r="E461">
        <v>1</v>
      </c>
      <c r="F461">
        <v>2</v>
      </c>
      <c r="G461">
        <v>1</v>
      </c>
      <c r="I461">
        <v>1</v>
      </c>
      <c r="M461">
        <v>1</v>
      </c>
      <c r="N461">
        <v>1</v>
      </c>
      <c r="S461">
        <v>1</v>
      </c>
      <c r="T461">
        <v>1</v>
      </c>
      <c r="W461" s="8">
        <f t="shared" si="336"/>
        <v>-1</v>
      </c>
      <c r="X461" s="8" t="e">
        <f t="shared" si="337"/>
        <v>#DIV/0!</v>
      </c>
      <c r="Y461" s="8" t="e">
        <f t="shared" si="338"/>
        <v>#DIV/0!</v>
      </c>
      <c r="Z461" s="8">
        <f t="shared" si="339"/>
        <v>1</v>
      </c>
      <c r="AA461" s="8">
        <f t="shared" si="340"/>
        <v>-0.5</v>
      </c>
      <c r="AB461" s="8">
        <f t="shared" si="341"/>
        <v>-1</v>
      </c>
      <c r="AC461" s="12" t="e">
        <f t="shared" si="342"/>
        <v>#DIV/0!</v>
      </c>
      <c r="AD461" s="12" t="e">
        <f t="shared" si="343"/>
        <v>#DIV/0!</v>
      </c>
      <c r="AE461" s="1">
        <f t="shared" si="344"/>
        <v>-1</v>
      </c>
      <c r="AF461" s="1">
        <f t="shared" si="345"/>
        <v>0</v>
      </c>
      <c r="AG461" s="1">
        <f t="shared" si="346"/>
        <v>1</v>
      </c>
      <c r="AH461" s="1">
        <f t="shared" si="347"/>
        <v>1</v>
      </c>
      <c r="AI461" s="1">
        <f t="shared" si="348"/>
        <v>-1</v>
      </c>
      <c r="AJ461" s="1">
        <f t="shared" si="349"/>
        <v>-1</v>
      </c>
      <c r="AK461" s="17">
        <f t="shared" si="350"/>
        <v>-0.16666666666666666</v>
      </c>
      <c r="AL461" s="17">
        <f t="shared" si="351"/>
        <v>-0.5</v>
      </c>
      <c r="AM461" s="1">
        <f t="shared" si="352"/>
        <v>-1</v>
      </c>
      <c r="AN461" s="1" t="e">
        <f t="shared" si="353"/>
        <v>#DIV/0!</v>
      </c>
      <c r="AO461" s="1" t="e">
        <f t="shared" si="354"/>
        <v>#DIV/0!</v>
      </c>
      <c r="AP461" s="1" t="e">
        <f t="shared" si="355"/>
        <v>#DIV/0!</v>
      </c>
      <c r="AQ461" s="1">
        <f t="shared" si="356"/>
        <v>0</v>
      </c>
      <c r="AR461" s="1">
        <f t="shared" si="357"/>
        <v>-1</v>
      </c>
      <c r="AS461" s="12" t="e">
        <f t="shared" si="358"/>
        <v>#DIV/0!</v>
      </c>
      <c r="AT461" s="12" t="e">
        <f t="shared" si="359"/>
        <v>#DIV/0!</v>
      </c>
      <c r="AU461" s="1">
        <f t="shared" si="360"/>
        <v>-1</v>
      </c>
      <c r="AV461" s="1">
        <f t="shared" si="361"/>
        <v>0</v>
      </c>
      <c r="AW461" s="1">
        <f t="shared" si="362"/>
        <v>0</v>
      </c>
      <c r="AX461" s="1">
        <f t="shared" si="363"/>
        <v>1</v>
      </c>
      <c r="AY461" s="1">
        <f t="shared" si="364"/>
        <v>0</v>
      </c>
      <c r="AZ461" s="1">
        <f t="shared" si="365"/>
        <v>-1</v>
      </c>
      <c r="BA461" s="19">
        <f t="shared" si="366"/>
        <v>-0.16666666666666666</v>
      </c>
      <c r="BB461" s="19">
        <f t="shared" si="367"/>
        <v>0</v>
      </c>
      <c r="BC461" s="9" t="e">
        <f t="shared" si="368"/>
        <v>#DIV/0!</v>
      </c>
      <c r="BD461" s="9" t="e">
        <f t="shared" si="369"/>
        <v>#DIV/0!</v>
      </c>
      <c r="BE461" s="9" t="e">
        <f t="shared" si="370"/>
        <v>#DIV/0!</v>
      </c>
      <c r="BF461" s="9">
        <f t="shared" si="371"/>
        <v>0</v>
      </c>
      <c r="BG461" s="9">
        <f t="shared" si="372"/>
        <v>-1</v>
      </c>
      <c r="BH461" s="9" t="e">
        <f t="shared" si="373"/>
        <v>#DIV/0!</v>
      </c>
      <c r="BI461" s="12" t="e">
        <f t="shared" si="374"/>
        <v>#DIV/0!</v>
      </c>
      <c r="BJ461" s="13" t="e">
        <f t="shared" si="375"/>
        <v>#DIV/0!</v>
      </c>
      <c r="BK461" s="1">
        <f t="shared" si="376"/>
        <v>0</v>
      </c>
      <c r="BL461" s="1">
        <f t="shared" si="377"/>
        <v>0</v>
      </c>
      <c r="BM461" s="1">
        <f t="shared" si="378"/>
        <v>1</v>
      </c>
      <c r="BN461" s="1">
        <f t="shared" si="379"/>
        <v>0</v>
      </c>
      <c r="BO461" s="1">
        <f t="shared" si="380"/>
        <v>-1</v>
      </c>
      <c r="BP461" s="1">
        <f t="shared" si="381"/>
        <v>0</v>
      </c>
      <c r="BQ461" s="19">
        <f t="shared" si="382"/>
        <v>0</v>
      </c>
      <c r="BR461" s="17">
        <f t="shared" si="383"/>
        <v>0</v>
      </c>
    </row>
    <row r="462" spans="1:70" x14ac:dyDescent="0.25">
      <c r="A462" t="s">
        <v>556</v>
      </c>
      <c r="B462">
        <v>1</v>
      </c>
      <c r="I462">
        <v>1</v>
      </c>
      <c r="W462" s="8">
        <f t="shared" si="336"/>
        <v>-1</v>
      </c>
      <c r="X462" s="8" t="e">
        <f t="shared" si="337"/>
        <v>#DIV/0!</v>
      </c>
      <c r="Y462" s="8" t="e">
        <f t="shared" si="338"/>
        <v>#DIV/0!</v>
      </c>
      <c r="Z462" s="8" t="e">
        <f t="shared" si="339"/>
        <v>#DIV/0!</v>
      </c>
      <c r="AA462" s="8" t="e">
        <f t="shared" si="340"/>
        <v>#DIV/0!</v>
      </c>
      <c r="AB462" s="8" t="e">
        <f t="shared" si="341"/>
        <v>#DIV/0!</v>
      </c>
      <c r="AC462" s="12" t="e">
        <f t="shared" si="342"/>
        <v>#DIV/0!</v>
      </c>
      <c r="AD462" s="12" t="e">
        <f t="shared" si="343"/>
        <v>#DIV/0!</v>
      </c>
      <c r="AE462" s="1">
        <f t="shared" si="344"/>
        <v>-1</v>
      </c>
      <c r="AF462" s="1">
        <f t="shared" si="345"/>
        <v>0</v>
      </c>
      <c r="AG462" s="1">
        <f t="shared" si="346"/>
        <v>0</v>
      </c>
      <c r="AH462" s="1">
        <f t="shared" si="347"/>
        <v>0</v>
      </c>
      <c r="AI462" s="1">
        <f t="shared" si="348"/>
        <v>0</v>
      </c>
      <c r="AJ462" s="1">
        <f t="shared" si="349"/>
        <v>0</v>
      </c>
      <c r="AK462" s="17">
        <f t="shared" si="350"/>
        <v>-0.16666666666666666</v>
      </c>
      <c r="AL462" s="17">
        <f t="shared" si="351"/>
        <v>0</v>
      </c>
      <c r="AM462" s="1">
        <f t="shared" si="352"/>
        <v>-1</v>
      </c>
      <c r="AN462" s="1" t="e">
        <f t="shared" si="353"/>
        <v>#DIV/0!</v>
      </c>
      <c r="AO462" s="1" t="e">
        <f t="shared" si="354"/>
        <v>#DIV/0!</v>
      </c>
      <c r="AP462" s="1" t="e">
        <f t="shared" si="355"/>
        <v>#DIV/0!</v>
      </c>
      <c r="AQ462" s="1" t="e">
        <f t="shared" si="356"/>
        <v>#DIV/0!</v>
      </c>
      <c r="AR462" s="1" t="e">
        <f t="shared" si="357"/>
        <v>#DIV/0!</v>
      </c>
      <c r="AS462" s="12" t="e">
        <f t="shared" si="358"/>
        <v>#DIV/0!</v>
      </c>
      <c r="AT462" s="12" t="e">
        <f t="shared" si="359"/>
        <v>#DIV/0!</v>
      </c>
      <c r="AU462" s="1">
        <f t="shared" si="360"/>
        <v>-1</v>
      </c>
      <c r="AV462" s="1">
        <f t="shared" si="361"/>
        <v>0</v>
      </c>
      <c r="AW462" s="1">
        <f t="shared" si="362"/>
        <v>0</v>
      </c>
      <c r="AX462" s="1">
        <f t="shared" si="363"/>
        <v>0</v>
      </c>
      <c r="AY462" s="1">
        <f t="shared" si="364"/>
        <v>0</v>
      </c>
      <c r="AZ462" s="1">
        <f t="shared" si="365"/>
        <v>0</v>
      </c>
      <c r="BA462" s="19">
        <f t="shared" si="366"/>
        <v>-0.16666666666666666</v>
      </c>
      <c r="BB462" s="19">
        <f t="shared" si="367"/>
        <v>0</v>
      </c>
      <c r="BC462" s="9" t="e">
        <f t="shared" si="368"/>
        <v>#DIV/0!</v>
      </c>
      <c r="BD462" s="9" t="e">
        <f t="shared" si="369"/>
        <v>#DIV/0!</v>
      </c>
      <c r="BE462" s="9" t="e">
        <f t="shared" si="370"/>
        <v>#DIV/0!</v>
      </c>
      <c r="BF462" s="9" t="e">
        <f t="shared" si="371"/>
        <v>#DIV/0!</v>
      </c>
      <c r="BG462" s="9" t="e">
        <f t="shared" si="372"/>
        <v>#DIV/0!</v>
      </c>
      <c r="BH462" s="9" t="e">
        <f t="shared" si="373"/>
        <v>#DIV/0!</v>
      </c>
      <c r="BI462" s="12" t="e">
        <f t="shared" si="374"/>
        <v>#DIV/0!</v>
      </c>
      <c r="BJ462" s="13" t="e">
        <f t="shared" si="375"/>
        <v>#DIV/0!</v>
      </c>
      <c r="BK462" s="1">
        <f t="shared" si="376"/>
        <v>0</v>
      </c>
      <c r="BL462" s="1">
        <f t="shared" si="377"/>
        <v>0</v>
      </c>
      <c r="BM462" s="1">
        <f t="shared" si="378"/>
        <v>0</v>
      </c>
      <c r="BN462" s="1">
        <f t="shared" si="379"/>
        <v>0</v>
      </c>
      <c r="BO462" s="1">
        <f t="shared" si="380"/>
        <v>0</v>
      </c>
      <c r="BP462" s="1">
        <f t="shared" si="381"/>
        <v>0</v>
      </c>
      <c r="BQ462" s="19">
        <f t="shared" si="382"/>
        <v>0</v>
      </c>
      <c r="BR462" s="17">
        <f t="shared" si="383"/>
        <v>0</v>
      </c>
    </row>
    <row r="463" spans="1:70" x14ac:dyDescent="0.25">
      <c r="A463" t="s">
        <v>557</v>
      </c>
      <c r="B463">
        <v>1</v>
      </c>
      <c r="C463">
        <v>1</v>
      </c>
      <c r="E463">
        <v>1</v>
      </c>
      <c r="F463">
        <v>1</v>
      </c>
      <c r="P463">
        <v>1</v>
      </c>
      <c r="Q463">
        <v>1</v>
      </c>
      <c r="S463">
        <v>1</v>
      </c>
      <c r="T463">
        <v>1</v>
      </c>
      <c r="W463" s="8">
        <f t="shared" si="336"/>
        <v>0</v>
      </c>
      <c r="X463" s="8">
        <f t="shared" si="337"/>
        <v>-1</v>
      </c>
      <c r="Y463" s="8" t="e">
        <f t="shared" si="338"/>
        <v>#DIV/0!</v>
      </c>
      <c r="Z463" s="8">
        <f t="shared" si="339"/>
        <v>0</v>
      </c>
      <c r="AA463" s="8">
        <f t="shared" si="340"/>
        <v>-1</v>
      </c>
      <c r="AB463" s="8" t="e">
        <f t="shared" si="341"/>
        <v>#DIV/0!</v>
      </c>
      <c r="AC463" s="12" t="e">
        <f t="shared" si="342"/>
        <v>#DIV/0!</v>
      </c>
      <c r="AD463" s="12" t="e">
        <f t="shared" si="343"/>
        <v>#DIV/0!</v>
      </c>
      <c r="AE463" s="1">
        <f t="shared" si="344"/>
        <v>0</v>
      </c>
      <c r="AF463" s="1">
        <f t="shared" si="345"/>
        <v>-1</v>
      </c>
      <c r="AG463" s="1">
        <f t="shared" si="346"/>
        <v>1</v>
      </c>
      <c r="AH463" s="1">
        <f t="shared" si="347"/>
        <v>0</v>
      </c>
      <c r="AI463" s="1">
        <f t="shared" si="348"/>
        <v>-1</v>
      </c>
      <c r="AJ463" s="1">
        <f t="shared" si="349"/>
        <v>0</v>
      </c>
      <c r="AK463" s="17">
        <f t="shared" si="350"/>
        <v>-0.16666666666666666</v>
      </c>
      <c r="AL463" s="17">
        <f t="shared" si="351"/>
        <v>0</v>
      </c>
      <c r="AM463" s="1" t="e">
        <f t="shared" si="352"/>
        <v>#DIV/0!</v>
      </c>
      <c r="AN463" s="1" t="e">
        <f t="shared" si="353"/>
        <v>#DIV/0!</v>
      </c>
      <c r="AO463" s="1" t="e">
        <f t="shared" si="354"/>
        <v>#DIV/0!</v>
      </c>
      <c r="AP463" s="1" t="e">
        <f t="shared" si="355"/>
        <v>#DIV/0!</v>
      </c>
      <c r="AQ463" s="1" t="e">
        <f t="shared" si="356"/>
        <v>#DIV/0!</v>
      </c>
      <c r="AR463" s="1" t="e">
        <f t="shared" si="357"/>
        <v>#DIV/0!</v>
      </c>
      <c r="AS463" s="12" t="e">
        <f t="shared" si="358"/>
        <v>#DIV/0!</v>
      </c>
      <c r="AT463" s="12" t="e">
        <f t="shared" si="359"/>
        <v>#DIV/0!</v>
      </c>
      <c r="AU463" s="1">
        <f t="shared" si="360"/>
        <v>0</v>
      </c>
      <c r="AV463" s="1">
        <f t="shared" si="361"/>
        <v>0</v>
      </c>
      <c r="AW463" s="1">
        <f t="shared" si="362"/>
        <v>0</v>
      </c>
      <c r="AX463" s="1">
        <f t="shared" si="363"/>
        <v>0</v>
      </c>
      <c r="AY463" s="1">
        <f t="shared" si="364"/>
        <v>0</v>
      </c>
      <c r="AZ463" s="1">
        <f t="shared" si="365"/>
        <v>0</v>
      </c>
      <c r="BA463" s="19">
        <f t="shared" si="366"/>
        <v>0</v>
      </c>
      <c r="BB463" s="19">
        <f t="shared" si="367"/>
        <v>0</v>
      </c>
      <c r="BC463" s="9">
        <f t="shared" si="368"/>
        <v>0</v>
      </c>
      <c r="BD463" s="9">
        <f t="shared" si="369"/>
        <v>-1</v>
      </c>
      <c r="BE463" s="9" t="e">
        <f t="shared" si="370"/>
        <v>#DIV/0!</v>
      </c>
      <c r="BF463" s="9">
        <f t="shared" si="371"/>
        <v>0</v>
      </c>
      <c r="BG463" s="9">
        <f t="shared" si="372"/>
        <v>-1</v>
      </c>
      <c r="BH463" s="9" t="e">
        <f t="shared" si="373"/>
        <v>#DIV/0!</v>
      </c>
      <c r="BI463" s="12" t="e">
        <f t="shared" si="374"/>
        <v>#DIV/0!</v>
      </c>
      <c r="BJ463" s="13" t="e">
        <f t="shared" si="375"/>
        <v>#DIV/0!</v>
      </c>
      <c r="BK463" s="1">
        <f t="shared" si="376"/>
        <v>0</v>
      </c>
      <c r="BL463" s="1">
        <f t="shared" si="377"/>
        <v>-1</v>
      </c>
      <c r="BM463" s="1">
        <f t="shared" si="378"/>
        <v>1</v>
      </c>
      <c r="BN463" s="1">
        <f t="shared" si="379"/>
        <v>0</v>
      </c>
      <c r="BO463" s="1">
        <f t="shared" si="380"/>
        <v>-1</v>
      </c>
      <c r="BP463" s="1">
        <f t="shared" si="381"/>
        <v>0</v>
      </c>
      <c r="BQ463" s="19">
        <f t="shared" si="382"/>
        <v>-0.16666666666666666</v>
      </c>
      <c r="BR463" s="17">
        <f t="shared" si="383"/>
        <v>0</v>
      </c>
    </row>
    <row r="464" spans="1:70" x14ac:dyDescent="0.25">
      <c r="A464" t="s">
        <v>558</v>
      </c>
      <c r="B464">
        <v>1</v>
      </c>
      <c r="P464">
        <v>1</v>
      </c>
      <c r="W464" s="8">
        <f t="shared" si="336"/>
        <v>-1</v>
      </c>
      <c r="X464" s="8" t="e">
        <f t="shared" si="337"/>
        <v>#DIV/0!</v>
      </c>
      <c r="Y464" s="8" t="e">
        <f t="shared" si="338"/>
        <v>#DIV/0!</v>
      </c>
      <c r="Z464" s="8" t="e">
        <f t="shared" si="339"/>
        <v>#DIV/0!</v>
      </c>
      <c r="AA464" s="8" t="e">
        <f t="shared" si="340"/>
        <v>#DIV/0!</v>
      </c>
      <c r="AB464" s="8" t="e">
        <f t="shared" si="341"/>
        <v>#DIV/0!</v>
      </c>
      <c r="AC464" s="12" t="e">
        <f t="shared" si="342"/>
        <v>#DIV/0!</v>
      </c>
      <c r="AD464" s="12" t="e">
        <f t="shared" si="343"/>
        <v>#DIV/0!</v>
      </c>
      <c r="AE464" s="1">
        <f t="shared" si="344"/>
        <v>-1</v>
      </c>
      <c r="AF464" s="1">
        <f t="shared" si="345"/>
        <v>0</v>
      </c>
      <c r="AG464" s="1">
        <f t="shared" si="346"/>
        <v>0</v>
      </c>
      <c r="AH464" s="1">
        <f t="shared" si="347"/>
        <v>0</v>
      </c>
      <c r="AI464" s="1">
        <f t="shared" si="348"/>
        <v>0</v>
      </c>
      <c r="AJ464" s="1">
        <f t="shared" si="349"/>
        <v>0</v>
      </c>
      <c r="AK464" s="17">
        <f t="shared" si="350"/>
        <v>-0.16666666666666666</v>
      </c>
      <c r="AL464" s="17">
        <f t="shared" si="351"/>
        <v>0</v>
      </c>
      <c r="AM464" s="1" t="e">
        <f t="shared" si="352"/>
        <v>#DIV/0!</v>
      </c>
      <c r="AN464" s="1" t="e">
        <f t="shared" si="353"/>
        <v>#DIV/0!</v>
      </c>
      <c r="AO464" s="1" t="e">
        <f t="shared" si="354"/>
        <v>#DIV/0!</v>
      </c>
      <c r="AP464" s="1" t="e">
        <f t="shared" si="355"/>
        <v>#DIV/0!</v>
      </c>
      <c r="AQ464" s="1" t="e">
        <f t="shared" si="356"/>
        <v>#DIV/0!</v>
      </c>
      <c r="AR464" s="1" t="e">
        <f t="shared" si="357"/>
        <v>#DIV/0!</v>
      </c>
      <c r="AS464" s="12" t="e">
        <f t="shared" si="358"/>
        <v>#DIV/0!</v>
      </c>
      <c r="AT464" s="12" t="e">
        <f t="shared" si="359"/>
        <v>#DIV/0!</v>
      </c>
      <c r="AU464" s="1">
        <f t="shared" si="360"/>
        <v>0</v>
      </c>
      <c r="AV464" s="1">
        <f t="shared" si="361"/>
        <v>0</v>
      </c>
      <c r="AW464" s="1">
        <f t="shared" si="362"/>
        <v>0</v>
      </c>
      <c r="AX464" s="1">
        <f t="shared" si="363"/>
        <v>0</v>
      </c>
      <c r="AY464" s="1">
        <f t="shared" si="364"/>
        <v>0</v>
      </c>
      <c r="AZ464" s="1">
        <f t="shared" si="365"/>
        <v>0</v>
      </c>
      <c r="BA464" s="19">
        <f t="shared" si="366"/>
        <v>0</v>
      </c>
      <c r="BB464" s="19">
        <f t="shared" si="367"/>
        <v>0</v>
      </c>
      <c r="BC464" s="9">
        <f t="shared" si="368"/>
        <v>-1</v>
      </c>
      <c r="BD464" s="9" t="e">
        <f t="shared" si="369"/>
        <v>#DIV/0!</v>
      </c>
      <c r="BE464" s="9" t="e">
        <f t="shared" si="370"/>
        <v>#DIV/0!</v>
      </c>
      <c r="BF464" s="9" t="e">
        <f t="shared" si="371"/>
        <v>#DIV/0!</v>
      </c>
      <c r="BG464" s="9" t="e">
        <f t="shared" si="372"/>
        <v>#DIV/0!</v>
      </c>
      <c r="BH464" s="9" t="e">
        <f t="shared" si="373"/>
        <v>#DIV/0!</v>
      </c>
      <c r="BI464" s="12" t="e">
        <f t="shared" si="374"/>
        <v>#DIV/0!</v>
      </c>
      <c r="BJ464" s="13" t="e">
        <f t="shared" si="375"/>
        <v>#DIV/0!</v>
      </c>
      <c r="BK464" s="1">
        <f t="shared" si="376"/>
        <v>-1</v>
      </c>
      <c r="BL464" s="1">
        <f t="shared" si="377"/>
        <v>0</v>
      </c>
      <c r="BM464" s="1">
        <f t="shared" si="378"/>
        <v>0</v>
      </c>
      <c r="BN464" s="1">
        <f t="shared" si="379"/>
        <v>0</v>
      </c>
      <c r="BO464" s="1">
        <f t="shared" si="380"/>
        <v>0</v>
      </c>
      <c r="BP464" s="1">
        <f t="shared" si="381"/>
        <v>0</v>
      </c>
      <c r="BQ464" s="19">
        <f t="shared" si="382"/>
        <v>-0.16666666666666666</v>
      </c>
      <c r="BR464" s="17">
        <f t="shared" si="383"/>
        <v>0</v>
      </c>
    </row>
    <row r="465" spans="1:70" x14ac:dyDescent="0.25">
      <c r="A465" t="s">
        <v>559</v>
      </c>
      <c r="B465">
        <v>1</v>
      </c>
      <c r="G465">
        <v>1</v>
      </c>
      <c r="P465">
        <v>1</v>
      </c>
      <c r="U465">
        <v>1</v>
      </c>
      <c r="W465" s="8">
        <f t="shared" si="336"/>
        <v>-1</v>
      </c>
      <c r="X465" s="8" t="e">
        <f t="shared" si="337"/>
        <v>#DIV/0!</v>
      </c>
      <c r="Y465" s="8" t="e">
        <f t="shared" si="338"/>
        <v>#DIV/0!</v>
      </c>
      <c r="Z465" s="8" t="e">
        <f t="shared" si="339"/>
        <v>#DIV/0!</v>
      </c>
      <c r="AA465" s="8" t="e">
        <f t="shared" si="340"/>
        <v>#DIV/0!</v>
      </c>
      <c r="AB465" s="8">
        <f t="shared" si="341"/>
        <v>-1</v>
      </c>
      <c r="AC465" s="12" t="e">
        <f t="shared" si="342"/>
        <v>#DIV/0!</v>
      </c>
      <c r="AD465" s="12" t="e">
        <f t="shared" si="343"/>
        <v>#DIV/0!</v>
      </c>
      <c r="AE465" s="1">
        <f t="shared" si="344"/>
        <v>-1</v>
      </c>
      <c r="AF465" s="1">
        <f t="shared" si="345"/>
        <v>0</v>
      </c>
      <c r="AG465" s="1">
        <f t="shared" si="346"/>
        <v>0</v>
      </c>
      <c r="AH465" s="1">
        <f t="shared" si="347"/>
        <v>0</v>
      </c>
      <c r="AI465" s="1">
        <f t="shared" si="348"/>
        <v>1</v>
      </c>
      <c r="AJ465" s="1">
        <f t="shared" si="349"/>
        <v>-1</v>
      </c>
      <c r="AK465" s="17">
        <f t="shared" si="350"/>
        <v>-0.16666666666666666</v>
      </c>
      <c r="AL465" s="17">
        <f t="shared" si="351"/>
        <v>0</v>
      </c>
      <c r="AM465" s="1" t="e">
        <f t="shared" si="352"/>
        <v>#DIV/0!</v>
      </c>
      <c r="AN465" s="1" t="e">
        <f t="shared" si="353"/>
        <v>#DIV/0!</v>
      </c>
      <c r="AO465" s="1" t="e">
        <f t="shared" si="354"/>
        <v>#DIV/0!</v>
      </c>
      <c r="AP465" s="1" t="e">
        <f t="shared" si="355"/>
        <v>#DIV/0!</v>
      </c>
      <c r="AQ465" s="1" t="e">
        <f t="shared" si="356"/>
        <v>#DIV/0!</v>
      </c>
      <c r="AR465" s="1" t="e">
        <f t="shared" si="357"/>
        <v>#DIV/0!</v>
      </c>
      <c r="AS465" s="12" t="e">
        <f t="shared" si="358"/>
        <v>#DIV/0!</v>
      </c>
      <c r="AT465" s="12" t="e">
        <f t="shared" si="359"/>
        <v>#DIV/0!</v>
      </c>
      <c r="AU465" s="1">
        <f t="shared" si="360"/>
        <v>0</v>
      </c>
      <c r="AV465" s="1">
        <f t="shared" si="361"/>
        <v>0</v>
      </c>
      <c r="AW465" s="1">
        <f t="shared" si="362"/>
        <v>0</v>
      </c>
      <c r="AX465" s="1">
        <f t="shared" si="363"/>
        <v>0</v>
      </c>
      <c r="AY465" s="1">
        <f t="shared" si="364"/>
        <v>0</v>
      </c>
      <c r="AZ465" s="1">
        <f t="shared" si="365"/>
        <v>0</v>
      </c>
      <c r="BA465" s="19">
        <f t="shared" si="366"/>
        <v>0</v>
      </c>
      <c r="BB465" s="19">
        <f t="shared" si="367"/>
        <v>0</v>
      </c>
      <c r="BC465" s="9">
        <f t="shared" si="368"/>
        <v>-1</v>
      </c>
      <c r="BD465" s="9" t="e">
        <f t="shared" si="369"/>
        <v>#DIV/0!</v>
      </c>
      <c r="BE465" s="9" t="e">
        <f t="shared" si="370"/>
        <v>#DIV/0!</v>
      </c>
      <c r="BF465" s="9" t="e">
        <f t="shared" si="371"/>
        <v>#DIV/0!</v>
      </c>
      <c r="BG465" s="9" t="e">
        <f t="shared" si="372"/>
        <v>#DIV/0!</v>
      </c>
      <c r="BH465" s="9">
        <f t="shared" si="373"/>
        <v>-1</v>
      </c>
      <c r="BI465" s="12" t="e">
        <f t="shared" si="374"/>
        <v>#DIV/0!</v>
      </c>
      <c r="BJ465" s="13" t="e">
        <f t="shared" si="375"/>
        <v>#DIV/0!</v>
      </c>
      <c r="BK465" s="1">
        <f t="shared" si="376"/>
        <v>-1</v>
      </c>
      <c r="BL465" s="1">
        <f t="shared" si="377"/>
        <v>0</v>
      </c>
      <c r="BM465" s="1">
        <f t="shared" si="378"/>
        <v>0</v>
      </c>
      <c r="BN465" s="1">
        <f t="shared" si="379"/>
        <v>0</v>
      </c>
      <c r="BO465" s="1">
        <f t="shared" si="380"/>
        <v>1</v>
      </c>
      <c r="BP465" s="1">
        <f t="shared" si="381"/>
        <v>-1</v>
      </c>
      <c r="BQ465" s="19">
        <f t="shared" si="382"/>
        <v>-0.16666666666666666</v>
      </c>
      <c r="BR465" s="17">
        <f t="shared" si="383"/>
        <v>0</v>
      </c>
    </row>
    <row r="466" spans="1:70" x14ac:dyDescent="0.25">
      <c r="A466" t="s">
        <v>562</v>
      </c>
      <c r="B466">
        <v>1</v>
      </c>
      <c r="I466">
        <v>1</v>
      </c>
      <c r="W466" s="8">
        <f t="shared" si="336"/>
        <v>-1</v>
      </c>
      <c r="X466" s="8" t="e">
        <f t="shared" si="337"/>
        <v>#DIV/0!</v>
      </c>
      <c r="Y466" s="8" t="e">
        <f t="shared" si="338"/>
        <v>#DIV/0!</v>
      </c>
      <c r="Z466" s="8" t="e">
        <f t="shared" si="339"/>
        <v>#DIV/0!</v>
      </c>
      <c r="AA466" s="8" t="e">
        <f t="shared" si="340"/>
        <v>#DIV/0!</v>
      </c>
      <c r="AB466" s="8" t="e">
        <f t="shared" si="341"/>
        <v>#DIV/0!</v>
      </c>
      <c r="AC466" s="12" t="e">
        <f t="shared" si="342"/>
        <v>#DIV/0!</v>
      </c>
      <c r="AD466" s="12" t="e">
        <f t="shared" si="343"/>
        <v>#DIV/0!</v>
      </c>
      <c r="AE466" s="1">
        <f t="shared" si="344"/>
        <v>-1</v>
      </c>
      <c r="AF466" s="1">
        <f t="shared" si="345"/>
        <v>0</v>
      </c>
      <c r="AG466" s="1">
        <f t="shared" si="346"/>
        <v>0</v>
      </c>
      <c r="AH466" s="1">
        <f t="shared" si="347"/>
        <v>0</v>
      </c>
      <c r="AI466" s="1">
        <f t="shared" si="348"/>
        <v>0</v>
      </c>
      <c r="AJ466" s="1">
        <f t="shared" si="349"/>
        <v>0</v>
      </c>
      <c r="AK466" s="17">
        <f t="shared" si="350"/>
        <v>-0.16666666666666666</v>
      </c>
      <c r="AL466" s="17">
        <f t="shared" si="351"/>
        <v>0</v>
      </c>
      <c r="AM466" s="1">
        <f t="shared" si="352"/>
        <v>-1</v>
      </c>
      <c r="AN466" s="1" t="e">
        <f t="shared" si="353"/>
        <v>#DIV/0!</v>
      </c>
      <c r="AO466" s="1" t="e">
        <f t="shared" si="354"/>
        <v>#DIV/0!</v>
      </c>
      <c r="AP466" s="1" t="e">
        <f t="shared" si="355"/>
        <v>#DIV/0!</v>
      </c>
      <c r="AQ466" s="1" t="e">
        <f t="shared" si="356"/>
        <v>#DIV/0!</v>
      </c>
      <c r="AR466" s="1" t="e">
        <f t="shared" si="357"/>
        <v>#DIV/0!</v>
      </c>
      <c r="AS466" s="12" t="e">
        <f t="shared" si="358"/>
        <v>#DIV/0!</v>
      </c>
      <c r="AT466" s="12" t="e">
        <f t="shared" si="359"/>
        <v>#DIV/0!</v>
      </c>
      <c r="AU466" s="1">
        <f t="shared" si="360"/>
        <v>-1</v>
      </c>
      <c r="AV466" s="1">
        <f t="shared" si="361"/>
        <v>0</v>
      </c>
      <c r="AW466" s="1">
        <f t="shared" si="362"/>
        <v>0</v>
      </c>
      <c r="AX466" s="1">
        <f t="shared" si="363"/>
        <v>0</v>
      </c>
      <c r="AY466" s="1">
        <f t="shared" si="364"/>
        <v>0</v>
      </c>
      <c r="AZ466" s="1">
        <f t="shared" si="365"/>
        <v>0</v>
      </c>
      <c r="BA466" s="19">
        <f t="shared" si="366"/>
        <v>-0.16666666666666666</v>
      </c>
      <c r="BB466" s="19">
        <f t="shared" si="367"/>
        <v>0</v>
      </c>
      <c r="BC466" s="9" t="e">
        <f t="shared" si="368"/>
        <v>#DIV/0!</v>
      </c>
      <c r="BD466" s="9" t="e">
        <f t="shared" si="369"/>
        <v>#DIV/0!</v>
      </c>
      <c r="BE466" s="9" t="e">
        <f t="shared" si="370"/>
        <v>#DIV/0!</v>
      </c>
      <c r="BF466" s="9" t="e">
        <f t="shared" si="371"/>
        <v>#DIV/0!</v>
      </c>
      <c r="BG466" s="9" t="e">
        <f t="shared" si="372"/>
        <v>#DIV/0!</v>
      </c>
      <c r="BH466" s="9" t="e">
        <f t="shared" si="373"/>
        <v>#DIV/0!</v>
      </c>
      <c r="BI466" s="12" t="e">
        <f t="shared" si="374"/>
        <v>#DIV/0!</v>
      </c>
      <c r="BJ466" s="13" t="e">
        <f t="shared" si="375"/>
        <v>#DIV/0!</v>
      </c>
      <c r="BK466" s="1">
        <f t="shared" si="376"/>
        <v>0</v>
      </c>
      <c r="BL466" s="1">
        <f t="shared" si="377"/>
        <v>0</v>
      </c>
      <c r="BM466" s="1">
        <f t="shared" si="378"/>
        <v>0</v>
      </c>
      <c r="BN466" s="1">
        <f t="shared" si="379"/>
        <v>0</v>
      </c>
      <c r="BO466" s="1">
        <f t="shared" si="380"/>
        <v>0</v>
      </c>
      <c r="BP466" s="1">
        <f t="shared" si="381"/>
        <v>0</v>
      </c>
      <c r="BQ466" s="19">
        <f t="shared" si="382"/>
        <v>0</v>
      </c>
      <c r="BR466" s="17">
        <f t="shared" si="383"/>
        <v>0</v>
      </c>
    </row>
    <row r="467" spans="1:70" x14ac:dyDescent="0.25">
      <c r="A467" t="s">
        <v>564</v>
      </c>
      <c r="B467">
        <v>1</v>
      </c>
      <c r="C467">
        <v>1</v>
      </c>
      <c r="F467">
        <v>1</v>
      </c>
      <c r="I467">
        <v>1</v>
      </c>
      <c r="J467">
        <v>1</v>
      </c>
      <c r="M467">
        <v>1</v>
      </c>
      <c r="W467" s="8">
        <f t="shared" si="336"/>
        <v>0</v>
      </c>
      <c r="X467" s="8">
        <f t="shared" si="337"/>
        <v>-1</v>
      </c>
      <c r="Y467" s="8" t="e">
        <f t="shared" si="338"/>
        <v>#DIV/0!</v>
      </c>
      <c r="Z467" s="8" t="e">
        <f t="shared" si="339"/>
        <v>#DIV/0!</v>
      </c>
      <c r="AA467" s="8">
        <f t="shared" si="340"/>
        <v>-1</v>
      </c>
      <c r="AB467" s="8" t="e">
        <f t="shared" si="341"/>
        <v>#DIV/0!</v>
      </c>
      <c r="AC467" s="12" t="e">
        <f t="shared" si="342"/>
        <v>#DIV/0!</v>
      </c>
      <c r="AD467" s="12" t="e">
        <f t="shared" si="343"/>
        <v>#DIV/0!</v>
      </c>
      <c r="AE467" s="1">
        <f t="shared" si="344"/>
        <v>0</v>
      </c>
      <c r="AF467" s="1">
        <f t="shared" si="345"/>
        <v>-1</v>
      </c>
      <c r="AG467" s="1">
        <f t="shared" si="346"/>
        <v>0</v>
      </c>
      <c r="AH467" s="1">
        <f t="shared" si="347"/>
        <v>1</v>
      </c>
      <c r="AI467" s="1">
        <f t="shared" si="348"/>
        <v>-1</v>
      </c>
      <c r="AJ467" s="1">
        <f t="shared" si="349"/>
        <v>0</v>
      </c>
      <c r="AK467" s="17">
        <f t="shared" si="350"/>
        <v>-0.16666666666666666</v>
      </c>
      <c r="AL467" s="17">
        <f t="shared" si="351"/>
        <v>0</v>
      </c>
      <c r="AM467" s="1">
        <f t="shared" si="352"/>
        <v>0</v>
      </c>
      <c r="AN467" s="1">
        <f t="shared" si="353"/>
        <v>-1</v>
      </c>
      <c r="AO467" s="1" t="e">
        <f t="shared" si="354"/>
        <v>#DIV/0!</v>
      </c>
      <c r="AP467" s="1" t="e">
        <f t="shared" si="355"/>
        <v>#DIV/0!</v>
      </c>
      <c r="AQ467" s="1">
        <f t="shared" si="356"/>
        <v>-1</v>
      </c>
      <c r="AR467" s="1" t="e">
        <f t="shared" si="357"/>
        <v>#DIV/0!</v>
      </c>
      <c r="AS467" s="12" t="e">
        <f t="shared" si="358"/>
        <v>#DIV/0!</v>
      </c>
      <c r="AT467" s="12" t="e">
        <f t="shared" si="359"/>
        <v>#DIV/0!</v>
      </c>
      <c r="AU467" s="1">
        <f t="shared" si="360"/>
        <v>0</v>
      </c>
      <c r="AV467" s="1">
        <f t="shared" si="361"/>
        <v>-1</v>
      </c>
      <c r="AW467" s="1">
        <f t="shared" si="362"/>
        <v>0</v>
      </c>
      <c r="AX467" s="1">
        <f t="shared" si="363"/>
        <v>1</v>
      </c>
      <c r="AY467" s="1">
        <f t="shared" si="364"/>
        <v>-1</v>
      </c>
      <c r="AZ467" s="1">
        <f t="shared" si="365"/>
        <v>0</v>
      </c>
      <c r="BA467" s="19">
        <f t="shared" si="366"/>
        <v>-0.16666666666666666</v>
      </c>
      <c r="BB467" s="19">
        <f t="shared" si="367"/>
        <v>0</v>
      </c>
      <c r="BC467" s="9" t="e">
        <f t="shared" si="368"/>
        <v>#DIV/0!</v>
      </c>
      <c r="BD467" s="9" t="e">
        <f t="shared" si="369"/>
        <v>#DIV/0!</v>
      </c>
      <c r="BE467" s="9" t="e">
        <f t="shared" si="370"/>
        <v>#DIV/0!</v>
      </c>
      <c r="BF467" s="9" t="e">
        <f t="shared" si="371"/>
        <v>#DIV/0!</v>
      </c>
      <c r="BG467" s="9" t="e">
        <f t="shared" si="372"/>
        <v>#DIV/0!</v>
      </c>
      <c r="BH467" s="9" t="e">
        <f t="shared" si="373"/>
        <v>#DIV/0!</v>
      </c>
      <c r="BI467" s="12" t="e">
        <f t="shared" si="374"/>
        <v>#DIV/0!</v>
      </c>
      <c r="BJ467" s="13" t="e">
        <f t="shared" si="375"/>
        <v>#DIV/0!</v>
      </c>
      <c r="BK467" s="1">
        <f t="shared" si="376"/>
        <v>0</v>
      </c>
      <c r="BL467" s="1">
        <f t="shared" si="377"/>
        <v>0</v>
      </c>
      <c r="BM467" s="1">
        <f t="shared" si="378"/>
        <v>0</v>
      </c>
      <c r="BN467" s="1">
        <f t="shared" si="379"/>
        <v>0</v>
      </c>
      <c r="BO467" s="1">
        <f t="shared" si="380"/>
        <v>0</v>
      </c>
      <c r="BP467" s="1">
        <f t="shared" si="381"/>
        <v>0</v>
      </c>
      <c r="BQ467" s="19">
        <f t="shared" si="382"/>
        <v>0</v>
      </c>
      <c r="BR467" s="17">
        <f t="shared" si="383"/>
        <v>0</v>
      </c>
    </row>
    <row r="468" spans="1:70" x14ac:dyDescent="0.25">
      <c r="A468" t="s">
        <v>565</v>
      </c>
      <c r="B468">
        <v>1</v>
      </c>
      <c r="I468">
        <v>1</v>
      </c>
      <c r="W468" s="8">
        <f t="shared" si="336"/>
        <v>-1</v>
      </c>
      <c r="X468" s="8" t="e">
        <f t="shared" si="337"/>
        <v>#DIV/0!</v>
      </c>
      <c r="Y468" s="8" t="e">
        <f t="shared" si="338"/>
        <v>#DIV/0!</v>
      </c>
      <c r="Z468" s="8" t="e">
        <f t="shared" si="339"/>
        <v>#DIV/0!</v>
      </c>
      <c r="AA468" s="8" t="e">
        <f t="shared" si="340"/>
        <v>#DIV/0!</v>
      </c>
      <c r="AB468" s="8" t="e">
        <f t="shared" si="341"/>
        <v>#DIV/0!</v>
      </c>
      <c r="AC468" s="12" t="e">
        <f t="shared" si="342"/>
        <v>#DIV/0!</v>
      </c>
      <c r="AD468" s="12" t="e">
        <f t="shared" si="343"/>
        <v>#DIV/0!</v>
      </c>
      <c r="AE468" s="1">
        <f t="shared" si="344"/>
        <v>-1</v>
      </c>
      <c r="AF468" s="1">
        <f t="shared" si="345"/>
        <v>0</v>
      </c>
      <c r="AG468" s="1">
        <f t="shared" si="346"/>
        <v>0</v>
      </c>
      <c r="AH468" s="1">
        <f t="shared" si="347"/>
        <v>0</v>
      </c>
      <c r="AI468" s="1">
        <f t="shared" si="348"/>
        <v>0</v>
      </c>
      <c r="AJ468" s="1">
        <f t="shared" si="349"/>
        <v>0</v>
      </c>
      <c r="AK468" s="17">
        <f t="shared" si="350"/>
        <v>-0.16666666666666666</v>
      </c>
      <c r="AL468" s="17">
        <f t="shared" si="351"/>
        <v>0</v>
      </c>
      <c r="AM468" s="1">
        <f t="shared" si="352"/>
        <v>-1</v>
      </c>
      <c r="AN468" s="1" t="e">
        <f t="shared" si="353"/>
        <v>#DIV/0!</v>
      </c>
      <c r="AO468" s="1" t="e">
        <f t="shared" si="354"/>
        <v>#DIV/0!</v>
      </c>
      <c r="AP468" s="1" t="e">
        <f t="shared" si="355"/>
        <v>#DIV/0!</v>
      </c>
      <c r="AQ468" s="1" t="e">
        <f t="shared" si="356"/>
        <v>#DIV/0!</v>
      </c>
      <c r="AR468" s="1" t="e">
        <f t="shared" si="357"/>
        <v>#DIV/0!</v>
      </c>
      <c r="AS468" s="12" t="e">
        <f t="shared" si="358"/>
        <v>#DIV/0!</v>
      </c>
      <c r="AT468" s="12" t="e">
        <f t="shared" si="359"/>
        <v>#DIV/0!</v>
      </c>
      <c r="AU468" s="1">
        <f t="shared" si="360"/>
        <v>-1</v>
      </c>
      <c r="AV468" s="1">
        <f t="shared" si="361"/>
        <v>0</v>
      </c>
      <c r="AW468" s="1">
        <f t="shared" si="362"/>
        <v>0</v>
      </c>
      <c r="AX468" s="1">
        <f t="shared" si="363"/>
        <v>0</v>
      </c>
      <c r="AY468" s="1">
        <f t="shared" si="364"/>
        <v>0</v>
      </c>
      <c r="AZ468" s="1">
        <f t="shared" si="365"/>
        <v>0</v>
      </c>
      <c r="BA468" s="19">
        <f t="shared" si="366"/>
        <v>-0.16666666666666666</v>
      </c>
      <c r="BB468" s="19">
        <f t="shared" si="367"/>
        <v>0</v>
      </c>
      <c r="BC468" s="9" t="e">
        <f t="shared" si="368"/>
        <v>#DIV/0!</v>
      </c>
      <c r="BD468" s="9" t="e">
        <f t="shared" si="369"/>
        <v>#DIV/0!</v>
      </c>
      <c r="BE468" s="9" t="e">
        <f t="shared" si="370"/>
        <v>#DIV/0!</v>
      </c>
      <c r="BF468" s="9" t="e">
        <f t="shared" si="371"/>
        <v>#DIV/0!</v>
      </c>
      <c r="BG468" s="9" t="e">
        <f t="shared" si="372"/>
        <v>#DIV/0!</v>
      </c>
      <c r="BH468" s="9" t="e">
        <f t="shared" si="373"/>
        <v>#DIV/0!</v>
      </c>
      <c r="BI468" s="12" t="e">
        <f t="shared" si="374"/>
        <v>#DIV/0!</v>
      </c>
      <c r="BJ468" s="13" t="e">
        <f t="shared" si="375"/>
        <v>#DIV/0!</v>
      </c>
      <c r="BK468" s="1">
        <f t="shared" si="376"/>
        <v>0</v>
      </c>
      <c r="BL468" s="1">
        <f t="shared" si="377"/>
        <v>0</v>
      </c>
      <c r="BM468" s="1">
        <f t="shared" si="378"/>
        <v>0</v>
      </c>
      <c r="BN468" s="1">
        <f t="shared" si="379"/>
        <v>0</v>
      </c>
      <c r="BO468" s="1">
        <f t="shared" si="380"/>
        <v>0</v>
      </c>
      <c r="BP468" s="1">
        <f t="shared" si="381"/>
        <v>0</v>
      </c>
      <c r="BQ468" s="19">
        <f t="shared" si="382"/>
        <v>0</v>
      </c>
      <c r="BR468" s="17">
        <f t="shared" si="383"/>
        <v>0</v>
      </c>
    </row>
    <row r="469" spans="1:70" x14ac:dyDescent="0.25">
      <c r="A469" t="s">
        <v>566</v>
      </c>
      <c r="B469">
        <v>1</v>
      </c>
      <c r="P469">
        <v>1</v>
      </c>
      <c r="W469" s="8">
        <f t="shared" si="336"/>
        <v>-1</v>
      </c>
      <c r="X469" s="8" t="e">
        <f t="shared" si="337"/>
        <v>#DIV/0!</v>
      </c>
      <c r="Y469" s="8" t="e">
        <f t="shared" si="338"/>
        <v>#DIV/0!</v>
      </c>
      <c r="Z469" s="8" t="e">
        <f t="shared" si="339"/>
        <v>#DIV/0!</v>
      </c>
      <c r="AA469" s="8" t="e">
        <f t="shared" si="340"/>
        <v>#DIV/0!</v>
      </c>
      <c r="AB469" s="8" t="e">
        <f t="shared" si="341"/>
        <v>#DIV/0!</v>
      </c>
      <c r="AC469" s="12" t="e">
        <f t="shared" si="342"/>
        <v>#DIV/0!</v>
      </c>
      <c r="AD469" s="12" t="e">
        <f t="shared" si="343"/>
        <v>#DIV/0!</v>
      </c>
      <c r="AE469" s="1">
        <f t="shared" si="344"/>
        <v>-1</v>
      </c>
      <c r="AF469" s="1">
        <f t="shared" si="345"/>
        <v>0</v>
      </c>
      <c r="AG469" s="1">
        <f t="shared" si="346"/>
        <v>0</v>
      </c>
      <c r="AH469" s="1">
        <f t="shared" si="347"/>
        <v>0</v>
      </c>
      <c r="AI469" s="1">
        <f t="shared" si="348"/>
        <v>0</v>
      </c>
      <c r="AJ469" s="1">
        <f t="shared" si="349"/>
        <v>0</v>
      </c>
      <c r="AK469" s="17">
        <f t="shared" si="350"/>
        <v>-0.16666666666666666</v>
      </c>
      <c r="AL469" s="17">
        <f t="shared" si="351"/>
        <v>0</v>
      </c>
      <c r="AM469" s="1" t="e">
        <f t="shared" si="352"/>
        <v>#DIV/0!</v>
      </c>
      <c r="AN469" s="1" t="e">
        <f t="shared" si="353"/>
        <v>#DIV/0!</v>
      </c>
      <c r="AO469" s="1" t="e">
        <f t="shared" si="354"/>
        <v>#DIV/0!</v>
      </c>
      <c r="AP469" s="1" t="e">
        <f t="shared" si="355"/>
        <v>#DIV/0!</v>
      </c>
      <c r="AQ469" s="1" t="e">
        <f t="shared" si="356"/>
        <v>#DIV/0!</v>
      </c>
      <c r="AR469" s="1" t="e">
        <f t="shared" si="357"/>
        <v>#DIV/0!</v>
      </c>
      <c r="AS469" s="12" t="e">
        <f t="shared" si="358"/>
        <v>#DIV/0!</v>
      </c>
      <c r="AT469" s="12" t="e">
        <f t="shared" si="359"/>
        <v>#DIV/0!</v>
      </c>
      <c r="AU469" s="1">
        <f t="shared" si="360"/>
        <v>0</v>
      </c>
      <c r="AV469" s="1">
        <f t="shared" si="361"/>
        <v>0</v>
      </c>
      <c r="AW469" s="1">
        <f t="shared" si="362"/>
        <v>0</v>
      </c>
      <c r="AX469" s="1">
        <f t="shared" si="363"/>
        <v>0</v>
      </c>
      <c r="AY469" s="1">
        <f t="shared" si="364"/>
        <v>0</v>
      </c>
      <c r="AZ469" s="1">
        <f t="shared" si="365"/>
        <v>0</v>
      </c>
      <c r="BA469" s="19">
        <f t="shared" si="366"/>
        <v>0</v>
      </c>
      <c r="BB469" s="19">
        <f t="shared" si="367"/>
        <v>0</v>
      </c>
      <c r="BC469" s="9">
        <f t="shared" si="368"/>
        <v>-1</v>
      </c>
      <c r="BD469" s="9" t="e">
        <f t="shared" si="369"/>
        <v>#DIV/0!</v>
      </c>
      <c r="BE469" s="9" t="e">
        <f t="shared" si="370"/>
        <v>#DIV/0!</v>
      </c>
      <c r="BF469" s="9" t="e">
        <f t="shared" si="371"/>
        <v>#DIV/0!</v>
      </c>
      <c r="BG469" s="9" t="e">
        <f t="shared" si="372"/>
        <v>#DIV/0!</v>
      </c>
      <c r="BH469" s="9" t="e">
        <f t="shared" si="373"/>
        <v>#DIV/0!</v>
      </c>
      <c r="BI469" s="12" t="e">
        <f t="shared" si="374"/>
        <v>#DIV/0!</v>
      </c>
      <c r="BJ469" s="13" t="e">
        <f t="shared" si="375"/>
        <v>#DIV/0!</v>
      </c>
      <c r="BK469" s="1">
        <f t="shared" si="376"/>
        <v>-1</v>
      </c>
      <c r="BL469" s="1">
        <f t="shared" si="377"/>
        <v>0</v>
      </c>
      <c r="BM469" s="1">
        <f t="shared" si="378"/>
        <v>0</v>
      </c>
      <c r="BN469" s="1">
        <f t="shared" si="379"/>
        <v>0</v>
      </c>
      <c r="BO469" s="1">
        <f t="shared" si="380"/>
        <v>0</v>
      </c>
      <c r="BP469" s="1">
        <f t="shared" si="381"/>
        <v>0</v>
      </c>
      <c r="BQ469" s="19">
        <f t="shared" si="382"/>
        <v>-0.16666666666666666</v>
      </c>
      <c r="BR469" s="17">
        <f t="shared" si="383"/>
        <v>0</v>
      </c>
    </row>
    <row r="470" spans="1:70" x14ac:dyDescent="0.25">
      <c r="A470" t="s">
        <v>567</v>
      </c>
      <c r="B470">
        <v>1</v>
      </c>
      <c r="C470">
        <v>2</v>
      </c>
      <c r="E470">
        <v>1</v>
      </c>
      <c r="I470">
        <v>1</v>
      </c>
      <c r="J470">
        <v>2</v>
      </c>
      <c r="L470">
        <v>1</v>
      </c>
      <c r="W470" s="8">
        <f t="shared" si="336"/>
        <v>1</v>
      </c>
      <c r="X470" s="8">
        <f t="shared" si="337"/>
        <v>-1</v>
      </c>
      <c r="Y470" s="8" t="e">
        <f t="shared" si="338"/>
        <v>#DIV/0!</v>
      </c>
      <c r="Z470" s="8">
        <f t="shared" si="339"/>
        <v>-1</v>
      </c>
      <c r="AA470" s="8" t="e">
        <f t="shared" si="340"/>
        <v>#DIV/0!</v>
      </c>
      <c r="AB470" s="8" t="e">
        <f t="shared" si="341"/>
        <v>#DIV/0!</v>
      </c>
      <c r="AC470" s="12" t="e">
        <f t="shared" si="342"/>
        <v>#DIV/0!</v>
      </c>
      <c r="AD470" s="12" t="e">
        <f t="shared" si="343"/>
        <v>#DIV/0!</v>
      </c>
      <c r="AE470" s="1">
        <f t="shared" si="344"/>
        <v>1</v>
      </c>
      <c r="AF470" s="1">
        <f t="shared" si="345"/>
        <v>-2</v>
      </c>
      <c r="AG470" s="1">
        <f t="shared" si="346"/>
        <v>1</v>
      </c>
      <c r="AH470" s="1">
        <f t="shared" si="347"/>
        <v>-1</v>
      </c>
      <c r="AI470" s="1">
        <f t="shared" si="348"/>
        <v>0</v>
      </c>
      <c r="AJ470" s="1">
        <f t="shared" si="349"/>
        <v>0</v>
      </c>
      <c r="AK470" s="17">
        <f t="shared" si="350"/>
        <v>-0.16666666666666666</v>
      </c>
      <c r="AL470" s="17">
        <f t="shared" si="351"/>
        <v>0</v>
      </c>
      <c r="AM470" s="1">
        <f t="shared" si="352"/>
        <v>1</v>
      </c>
      <c r="AN470" s="1">
        <f t="shared" si="353"/>
        <v>-1</v>
      </c>
      <c r="AO470" s="1" t="e">
        <f t="shared" si="354"/>
        <v>#DIV/0!</v>
      </c>
      <c r="AP470" s="1">
        <f t="shared" si="355"/>
        <v>-1</v>
      </c>
      <c r="AQ470" s="1" t="e">
        <f t="shared" si="356"/>
        <v>#DIV/0!</v>
      </c>
      <c r="AR470" s="1" t="e">
        <f t="shared" si="357"/>
        <v>#DIV/0!</v>
      </c>
      <c r="AS470" s="12" t="e">
        <f t="shared" si="358"/>
        <v>#DIV/0!</v>
      </c>
      <c r="AT470" s="12" t="e">
        <f t="shared" si="359"/>
        <v>#DIV/0!</v>
      </c>
      <c r="AU470" s="1">
        <f t="shared" si="360"/>
        <v>1</v>
      </c>
      <c r="AV470" s="1">
        <f t="shared" si="361"/>
        <v>-2</v>
      </c>
      <c r="AW470" s="1">
        <f t="shared" si="362"/>
        <v>1</v>
      </c>
      <c r="AX470" s="1">
        <f t="shared" si="363"/>
        <v>-1</v>
      </c>
      <c r="AY470" s="1">
        <f t="shared" si="364"/>
        <v>0</v>
      </c>
      <c r="AZ470" s="1">
        <f t="shared" si="365"/>
        <v>0</v>
      </c>
      <c r="BA470" s="19">
        <f t="shared" si="366"/>
        <v>-0.16666666666666666</v>
      </c>
      <c r="BB470" s="19">
        <f t="shared" si="367"/>
        <v>0</v>
      </c>
      <c r="BC470" s="9" t="e">
        <f t="shared" si="368"/>
        <v>#DIV/0!</v>
      </c>
      <c r="BD470" s="9" t="e">
        <f t="shared" si="369"/>
        <v>#DIV/0!</v>
      </c>
      <c r="BE470" s="9" t="e">
        <f t="shared" si="370"/>
        <v>#DIV/0!</v>
      </c>
      <c r="BF470" s="9" t="e">
        <f t="shared" si="371"/>
        <v>#DIV/0!</v>
      </c>
      <c r="BG470" s="9" t="e">
        <f t="shared" si="372"/>
        <v>#DIV/0!</v>
      </c>
      <c r="BH470" s="9" t="e">
        <f t="shared" si="373"/>
        <v>#DIV/0!</v>
      </c>
      <c r="BI470" s="12" t="e">
        <f t="shared" si="374"/>
        <v>#DIV/0!</v>
      </c>
      <c r="BJ470" s="13" t="e">
        <f t="shared" si="375"/>
        <v>#DIV/0!</v>
      </c>
      <c r="BK470" s="1">
        <f t="shared" si="376"/>
        <v>0</v>
      </c>
      <c r="BL470" s="1">
        <f t="shared" si="377"/>
        <v>0</v>
      </c>
      <c r="BM470" s="1">
        <f t="shared" si="378"/>
        <v>0</v>
      </c>
      <c r="BN470" s="1">
        <f t="shared" si="379"/>
        <v>0</v>
      </c>
      <c r="BO470" s="1">
        <f t="shared" si="380"/>
        <v>0</v>
      </c>
      <c r="BP470" s="1">
        <f t="shared" si="381"/>
        <v>0</v>
      </c>
      <c r="BQ470" s="19">
        <f t="shared" si="382"/>
        <v>0</v>
      </c>
      <c r="BR470" s="17">
        <f t="shared" si="383"/>
        <v>0</v>
      </c>
    </row>
    <row r="471" spans="1:70" x14ac:dyDescent="0.25">
      <c r="A471" t="s">
        <v>569</v>
      </c>
      <c r="B471">
        <v>1</v>
      </c>
      <c r="P471">
        <v>1</v>
      </c>
      <c r="W471" s="8">
        <f t="shared" si="336"/>
        <v>-1</v>
      </c>
      <c r="X471" s="8" t="e">
        <f t="shared" si="337"/>
        <v>#DIV/0!</v>
      </c>
      <c r="Y471" s="8" t="e">
        <f t="shared" si="338"/>
        <v>#DIV/0!</v>
      </c>
      <c r="Z471" s="8" t="e">
        <f t="shared" si="339"/>
        <v>#DIV/0!</v>
      </c>
      <c r="AA471" s="8" t="e">
        <f t="shared" si="340"/>
        <v>#DIV/0!</v>
      </c>
      <c r="AB471" s="8" t="e">
        <f t="shared" si="341"/>
        <v>#DIV/0!</v>
      </c>
      <c r="AC471" s="12" t="e">
        <f t="shared" si="342"/>
        <v>#DIV/0!</v>
      </c>
      <c r="AD471" s="12" t="e">
        <f t="shared" si="343"/>
        <v>#DIV/0!</v>
      </c>
      <c r="AE471" s="1">
        <f t="shared" si="344"/>
        <v>-1</v>
      </c>
      <c r="AF471" s="1">
        <f t="shared" si="345"/>
        <v>0</v>
      </c>
      <c r="AG471" s="1">
        <f t="shared" si="346"/>
        <v>0</v>
      </c>
      <c r="AH471" s="1">
        <f t="shared" si="347"/>
        <v>0</v>
      </c>
      <c r="AI471" s="1">
        <f t="shared" si="348"/>
        <v>0</v>
      </c>
      <c r="AJ471" s="1">
        <f t="shared" si="349"/>
        <v>0</v>
      </c>
      <c r="AK471" s="17">
        <f t="shared" si="350"/>
        <v>-0.16666666666666666</v>
      </c>
      <c r="AL471" s="17">
        <f t="shared" si="351"/>
        <v>0</v>
      </c>
      <c r="AM471" s="1" t="e">
        <f t="shared" si="352"/>
        <v>#DIV/0!</v>
      </c>
      <c r="AN471" s="1" t="e">
        <f t="shared" si="353"/>
        <v>#DIV/0!</v>
      </c>
      <c r="AO471" s="1" t="e">
        <f t="shared" si="354"/>
        <v>#DIV/0!</v>
      </c>
      <c r="AP471" s="1" t="e">
        <f t="shared" si="355"/>
        <v>#DIV/0!</v>
      </c>
      <c r="AQ471" s="1" t="e">
        <f t="shared" si="356"/>
        <v>#DIV/0!</v>
      </c>
      <c r="AR471" s="1" t="e">
        <f t="shared" si="357"/>
        <v>#DIV/0!</v>
      </c>
      <c r="AS471" s="12" t="e">
        <f t="shared" si="358"/>
        <v>#DIV/0!</v>
      </c>
      <c r="AT471" s="12" t="e">
        <f t="shared" si="359"/>
        <v>#DIV/0!</v>
      </c>
      <c r="AU471" s="1">
        <f t="shared" si="360"/>
        <v>0</v>
      </c>
      <c r="AV471" s="1">
        <f t="shared" si="361"/>
        <v>0</v>
      </c>
      <c r="AW471" s="1">
        <f t="shared" si="362"/>
        <v>0</v>
      </c>
      <c r="AX471" s="1">
        <f t="shared" si="363"/>
        <v>0</v>
      </c>
      <c r="AY471" s="1">
        <f t="shared" si="364"/>
        <v>0</v>
      </c>
      <c r="AZ471" s="1">
        <f t="shared" si="365"/>
        <v>0</v>
      </c>
      <c r="BA471" s="19">
        <f t="shared" si="366"/>
        <v>0</v>
      </c>
      <c r="BB471" s="19">
        <f t="shared" si="367"/>
        <v>0</v>
      </c>
      <c r="BC471" s="9">
        <f t="shared" si="368"/>
        <v>-1</v>
      </c>
      <c r="BD471" s="9" t="e">
        <f t="shared" si="369"/>
        <v>#DIV/0!</v>
      </c>
      <c r="BE471" s="9" t="e">
        <f t="shared" si="370"/>
        <v>#DIV/0!</v>
      </c>
      <c r="BF471" s="9" t="e">
        <f t="shared" si="371"/>
        <v>#DIV/0!</v>
      </c>
      <c r="BG471" s="9" t="e">
        <f t="shared" si="372"/>
        <v>#DIV/0!</v>
      </c>
      <c r="BH471" s="9" t="e">
        <f t="shared" si="373"/>
        <v>#DIV/0!</v>
      </c>
      <c r="BI471" s="12" t="e">
        <f t="shared" si="374"/>
        <v>#DIV/0!</v>
      </c>
      <c r="BJ471" s="13" t="e">
        <f t="shared" si="375"/>
        <v>#DIV/0!</v>
      </c>
      <c r="BK471" s="1">
        <f t="shared" si="376"/>
        <v>-1</v>
      </c>
      <c r="BL471" s="1">
        <f t="shared" si="377"/>
        <v>0</v>
      </c>
      <c r="BM471" s="1">
        <f t="shared" si="378"/>
        <v>0</v>
      </c>
      <c r="BN471" s="1">
        <f t="shared" si="379"/>
        <v>0</v>
      </c>
      <c r="BO471" s="1">
        <f t="shared" si="380"/>
        <v>0</v>
      </c>
      <c r="BP471" s="1">
        <f t="shared" si="381"/>
        <v>0</v>
      </c>
      <c r="BQ471" s="19">
        <f t="shared" si="382"/>
        <v>-0.16666666666666666</v>
      </c>
      <c r="BR471" s="17">
        <f t="shared" si="383"/>
        <v>0</v>
      </c>
    </row>
    <row r="472" spans="1:70" x14ac:dyDescent="0.25">
      <c r="A472" t="s">
        <v>570</v>
      </c>
      <c r="B472">
        <v>1</v>
      </c>
      <c r="C472">
        <v>1</v>
      </c>
      <c r="E472">
        <v>1</v>
      </c>
      <c r="L472">
        <v>1</v>
      </c>
      <c r="P472">
        <v>1</v>
      </c>
      <c r="Q472">
        <v>1</v>
      </c>
      <c r="W472" s="8">
        <f t="shared" si="336"/>
        <v>0</v>
      </c>
      <c r="X472" s="8">
        <f t="shared" si="337"/>
        <v>-1</v>
      </c>
      <c r="Y472" s="8" t="e">
        <f t="shared" si="338"/>
        <v>#DIV/0!</v>
      </c>
      <c r="Z472" s="8">
        <f t="shared" si="339"/>
        <v>-1</v>
      </c>
      <c r="AA472" s="8" t="e">
        <f t="shared" si="340"/>
        <v>#DIV/0!</v>
      </c>
      <c r="AB472" s="8" t="e">
        <f t="shared" si="341"/>
        <v>#DIV/0!</v>
      </c>
      <c r="AC472" s="12" t="e">
        <f t="shared" si="342"/>
        <v>#DIV/0!</v>
      </c>
      <c r="AD472" s="12" t="e">
        <f t="shared" si="343"/>
        <v>#DIV/0!</v>
      </c>
      <c r="AE472" s="1">
        <f t="shared" si="344"/>
        <v>0</v>
      </c>
      <c r="AF472" s="1">
        <f t="shared" si="345"/>
        <v>-1</v>
      </c>
      <c r="AG472" s="1">
        <f t="shared" si="346"/>
        <v>1</v>
      </c>
      <c r="AH472" s="1">
        <f t="shared" si="347"/>
        <v>-1</v>
      </c>
      <c r="AI472" s="1">
        <f t="shared" si="348"/>
        <v>0</v>
      </c>
      <c r="AJ472" s="1">
        <f t="shared" si="349"/>
        <v>0</v>
      </c>
      <c r="AK472" s="17">
        <f t="shared" si="350"/>
        <v>-0.16666666666666666</v>
      </c>
      <c r="AL472" s="17">
        <f t="shared" si="351"/>
        <v>0</v>
      </c>
      <c r="AM472" s="1" t="e">
        <f t="shared" si="352"/>
        <v>#DIV/0!</v>
      </c>
      <c r="AN472" s="1" t="e">
        <f t="shared" si="353"/>
        <v>#DIV/0!</v>
      </c>
      <c r="AO472" s="1" t="e">
        <f t="shared" si="354"/>
        <v>#DIV/0!</v>
      </c>
      <c r="AP472" s="1">
        <f t="shared" si="355"/>
        <v>-1</v>
      </c>
      <c r="AQ472" s="1" t="e">
        <f t="shared" si="356"/>
        <v>#DIV/0!</v>
      </c>
      <c r="AR472" s="1" t="e">
        <f t="shared" si="357"/>
        <v>#DIV/0!</v>
      </c>
      <c r="AS472" s="12" t="e">
        <f t="shared" si="358"/>
        <v>#DIV/0!</v>
      </c>
      <c r="AT472" s="12" t="e">
        <f t="shared" si="359"/>
        <v>#DIV/0!</v>
      </c>
      <c r="AU472" s="1">
        <f t="shared" si="360"/>
        <v>0</v>
      </c>
      <c r="AV472" s="1">
        <f t="shared" si="361"/>
        <v>0</v>
      </c>
      <c r="AW472" s="1">
        <f t="shared" si="362"/>
        <v>1</v>
      </c>
      <c r="AX472" s="1">
        <f t="shared" si="363"/>
        <v>-1</v>
      </c>
      <c r="AY472" s="1">
        <f t="shared" si="364"/>
        <v>0</v>
      </c>
      <c r="AZ472" s="1">
        <f t="shared" si="365"/>
        <v>0</v>
      </c>
      <c r="BA472" s="19">
        <f t="shared" si="366"/>
        <v>0</v>
      </c>
      <c r="BB472" s="19">
        <f t="shared" si="367"/>
        <v>0</v>
      </c>
      <c r="BC472" s="9">
        <f t="shared" si="368"/>
        <v>0</v>
      </c>
      <c r="BD472" s="9">
        <f t="shared" si="369"/>
        <v>-1</v>
      </c>
      <c r="BE472" s="9" t="e">
        <f t="shared" si="370"/>
        <v>#DIV/0!</v>
      </c>
      <c r="BF472" s="9" t="e">
        <f t="shared" si="371"/>
        <v>#DIV/0!</v>
      </c>
      <c r="BG472" s="9" t="e">
        <f t="shared" si="372"/>
        <v>#DIV/0!</v>
      </c>
      <c r="BH472" s="9" t="e">
        <f t="shared" si="373"/>
        <v>#DIV/0!</v>
      </c>
      <c r="BI472" s="12" t="e">
        <f t="shared" si="374"/>
        <v>#DIV/0!</v>
      </c>
      <c r="BJ472" s="13" t="e">
        <f t="shared" si="375"/>
        <v>#DIV/0!</v>
      </c>
      <c r="BK472" s="1">
        <f t="shared" si="376"/>
        <v>0</v>
      </c>
      <c r="BL472" s="1">
        <f t="shared" si="377"/>
        <v>-1</v>
      </c>
      <c r="BM472" s="1">
        <f t="shared" si="378"/>
        <v>0</v>
      </c>
      <c r="BN472" s="1">
        <f t="shared" si="379"/>
        <v>0</v>
      </c>
      <c r="BO472" s="1">
        <f t="shared" si="380"/>
        <v>0</v>
      </c>
      <c r="BP472" s="1">
        <f t="shared" si="381"/>
        <v>0</v>
      </c>
      <c r="BQ472" s="19">
        <f t="shared" si="382"/>
        <v>-0.16666666666666666</v>
      </c>
      <c r="BR472" s="17">
        <f t="shared" si="383"/>
        <v>0</v>
      </c>
    </row>
    <row r="473" spans="1:70" x14ac:dyDescent="0.25">
      <c r="A473" t="s">
        <v>188</v>
      </c>
      <c r="B473">
        <v>44</v>
      </c>
      <c r="C473">
        <v>46</v>
      </c>
      <c r="D473">
        <v>78</v>
      </c>
      <c r="E473">
        <v>51</v>
      </c>
      <c r="F473">
        <v>51</v>
      </c>
      <c r="G473">
        <v>42</v>
      </c>
      <c r="H473">
        <v>42</v>
      </c>
      <c r="I473">
        <v>15</v>
      </c>
      <c r="J473">
        <v>19</v>
      </c>
      <c r="K473">
        <v>40</v>
      </c>
      <c r="L473">
        <v>20</v>
      </c>
      <c r="M473">
        <v>18</v>
      </c>
      <c r="N473">
        <v>22</v>
      </c>
      <c r="O473">
        <v>18</v>
      </c>
      <c r="P473">
        <v>29</v>
      </c>
      <c r="Q473">
        <v>27</v>
      </c>
      <c r="R473">
        <v>38</v>
      </c>
      <c r="S473">
        <v>31</v>
      </c>
      <c r="T473">
        <v>33</v>
      </c>
      <c r="U473">
        <v>20</v>
      </c>
      <c r="V473">
        <v>24</v>
      </c>
      <c r="W473" s="8">
        <f t="shared" si="336"/>
        <v>4.5454545454545456E-2</v>
      </c>
      <c r="X473" s="8">
        <f t="shared" si="337"/>
        <v>0.69565217391304346</v>
      </c>
      <c r="Y473" s="8">
        <f t="shared" si="338"/>
        <v>-0.34615384615384615</v>
      </c>
      <c r="Z473" s="8">
        <f t="shared" si="339"/>
        <v>0</v>
      </c>
      <c r="AA473" s="8">
        <f t="shared" si="340"/>
        <v>-0.17647058823529413</v>
      </c>
      <c r="AB473" s="8">
        <f t="shared" si="341"/>
        <v>0</v>
      </c>
      <c r="AC473" s="12">
        <f t="shared" si="342"/>
        <v>3.6413714163074769E-2</v>
      </c>
      <c r="AD473" s="12">
        <f t="shared" si="343"/>
        <v>0</v>
      </c>
      <c r="AE473" s="1">
        <f t="shared" si="344"/>
        <v>2</v>
      </c>
      <c r="AF473" s="1">
        <f t="shared" si="345"/>
        <v>32</v>
      </c>
      <c r="AG473" s="1">
        <f t="shared" si="346"/>
        <v>-27</v>
      </c>
      <c r="AH473" s="1">
        <f t="shared" si="347"/>
        <v>0</v>
      </c>
      <c r="AI473" s="1">
        <f t="shared" si="348"/>
        <v>-9</v>
      </c>
      <c r="AJ473" s="1">
        <f t="shared" si="349"/>
        <v>0</v>
      </c>
      <c r="AK473" s="17">
        <f t="shared" si="350"/>
        <v>-0.33333333333333331</v>
      </c>
      <c r="AL473" s="17">
        <f t="shared" si="351"/>
        <v>0</v>
      </c>
      <c r="AM473" s="1">
        <f t="shared" si="352"/>
        <v>0.26666666666666666</v>
      </c>
      <c r="AN473" s="1">
        <f t="shared" si="353"/>
        <v>1.1052631578947369</v>
      </c>
      <c r="AO473" s="1">
        <f t="shared" si="354"/>
        <v>-0.5</v>
      </c>
      <c r="AP473" s="1">
        <f t="shared" si="355"/>
        <v>-0.1</v>
      </c>
      <c r="AQ473" s="1">
        <f t="shared" si="356"/>
        <v>0.22222222222222221</v>
      </c>
      <c r="AR473" s="1">
        <f t="shared" si="357"/>
        <v>-0.18181818181818182</v>
      </c>
      <c r="AS473" s="12">
        <f t="shared" si="358"/>
        <v>0.13538897749424064</v>
      </c>
      <c r="AT473" s="12">
        <f t="shared" si="359"/>
        <v>6.1111111111111088E-2</v>
      </c>
      <c r="AU473" s="1">
        <f t="shared" si="360"/>
        <v>4</v>
      </c>
      <c r="AV473" s="1">
        <f t="shared" si="361"/>
        <v>21</v>
      </c>
      <c r="AW473" s="1">
        <f t="shared" si="362"/>
        <v>-20</v>
      </c>
      <c r="AX473" s="1">
        <f t="shared" si="363"/>
        <v>-2</v>
      </c>
      <c r="AY473" s="1">
        <f t="shared" si="364"/>
        <v>4</v>
      </c>
      <c r="AZ473" s="1">
        <f t="shared" si="365"/>
        <v>-4</v>
      </c>
      <c r="BA473" s="19">
        <f t="shared" si="366"/>
        <v>0.5</v>
      </c>
      <c r="BB473" s="19">
        <f t="shared" si="367"/>
        <v>1</v>
      </c>
      <c r="BC473" s="9">
        <f t="shared" si="368"/>
        <v>-6.8965517241379309E-2</v>
      </c>
      <c r="BD473" s="9">
        <f t="shared" si="369"/>
        <v>0.40740740740740738</v>
      </c>
      <c r="BE473" s="9">
        <f t="shared" si="370"/>
        <v>-0.18421052631578946</v>
      </c>
      <c r="BF473" s="9">
        <f t="shared" si="371"/>
        <v>6.4516129032258063E-2</v>
      </c>
      <c r="BG473" s="9">
        <f t="shared" si="372"/>
        <v>-0.39393939393939392</v>
      </c>
      <c r="BH473" s="9">
        <f t="shared" si="373"/>
        <v>0.2</v>
      </c>
      <c r="BI473" s="12">
        <f t="shared" si="374"/>
        <v>4.1346831571837982E-3</v>
      </c>
      <c r="BJ473" s="13">
        <f t="shared" si="375"/>
        <v>-2.2246941045606233E-3</v>
      </c>
      <c r="BK473" s="1">
        <f t="shared" si="376"/>
        <v>-2</v>
      </c>
      <c r="BL473" s="1">
        <f t="shared" si="377"/>
        <v>11</v>
      </c>
      <c r="BM473" s="1">
        <f t="shared" si="378"/>
        <v>-7</v>
      </c>
      <c r="BN473" s="1">
        <f t="shared" si="379"/>
        <v>2</v>
      </c>
      <c r="BO473" s="1">
        <f t="shared" si="380"/>
        <v>-13</v>
      </c>
      <c r="BP473" s="1">
        <f t="shared" si="381"/>
        <v>4</v>
      </c>
      <c r="BQ473" s="19">
        <f t="shared" si="382"/>
        <v>-0.83333333333333337</v>
      </c>
      <c r="BR473" s="17">
        <f t="shared" si="383"/>
        <v>0</v>
      </c>
    </row>
    <row r="474" spans="1:70" x14ac:dyDescent="0.25">
      <c r="A474" t="s">
        <v>229</v>
      </c>
      <c r="B474">
        <v>24</v>
      </c>
      <c r="C474">
        <v>29</v>
      </c>
      <c r="D474">
        <v>25</v>
      </c>
      <c r="E474">
        <v>34</v>
      </c>
      <c r="F474">
        <v>46</v>
      </c>
      <c r="G474">
        <v>24</v>
      </c>
      <c r="H474">
        <v>22</v>
      </c>
      <c r="I474">
        <v>19</v>
      </c>
      <c r="J474">
        <v>20</v>
      </c>
      <c r="K474">
        <v>16</v>
      </c>
      <c r="L474">
        <v>20</v>
      </c>
      <c r="M474">
        <v>24</v>
      </c>
      <c r="N474">
        <v>16</v>
      </c>
      <c r="O474">
        <v>12</v>
      </c>
      <c r="P474">
        <v>5</v>
      </c>
      <c r="Q474">
        <v>9</v>
      </c>
      <c r="R474">
        <v>9</v>
      </c>
      <c r="S474">
        <v>14</v>
      </c>
      <c r="T474">
        <v>22</v>
      </c>
      <c r="U474">
        <v>8</v>
      </c>
      <c r="V474">
        <v>10</v>
      </c>
      <c r="W474" s="8">
        <f t="shared" si="336"/>
        <v>0.20833333333333334</v>
      </c>
      <c r="X474" s="8">
        <f t="shared" si="337"/>
        <v>-0.13793103448275862</v>
      </c>
      <c r="Y474" s="8">
        <f t="shared" si="338"/>
        <v>0.36</v>
      </c>
      <c r="Z474" s="8">
        <f t="shared" si="339"/>
        <v>0.35294117647058826</v>
      </c>
      <c r="AA474" s="8">
        <f t="shared" si="340"/>
        <v>-0.47826086956521741</v>
      </c>
      <c r="AB474" s="8">
        <f t="shared" si="341"/>
        <v>-8.3333333333333329E-2</v>
      </c>
      <c r="AC474" s="12">
        <f t="shared" si="342"/>
        <v>3.6958212070435377E-2</v>
      </c>
      <c r="AD474" s="12">
        <f t="shared" si="343"/>
        <v>6.2500000000000014E-2</v>
      </c>
      <c r="AE474" s="1">
        <f t="shared" si="344"/>
        <v>5</v>
      </c>
      <c r="AF474" s="1">
        <f t="shared" si="345"/>
        <v>-4</v>
      </c>
      <c r="AG474" s="1">
        <f t="shared" si="346"/>
        <v>9</v>
      </c>
      <c r="AH474" s="1">
        <f t="shared" si="347"/>
        <v>12</v>
      </c>
      <c r="AI474" s="1">
        <f t="shared" si="348"/>
        <v>-22</v>
      </c>
      <c r="AJ474" s="1">
        <f t="shared" si="349"/>
        <v>-2</v>
      </c>
      <c r="AK474" s="17">
        <f t="shared" si="350"/>
        <v>-0.33333333333333331</v>
      </c>
      <c r="AL474" s="17">
        <f t="shared" si="351"/>
        <v>1.5</v>
      </c>
      <c r="AM474" s="1">
        <f t="shared" si="352"/>
        <v>5.2631578947368418E-2</v>
      </c>
      <c r="AN474" s="1">
        <f t="shared" si="353"/>
        <v>-0.2</v>
      </c>
      <c r="AO474" s="1">
        <f t="shared" si="354"/>
        <v>0.25</v>
      </c>
      <c r="AP474" s="1">
        <f t="shared" si="355"/>
        <v>0.2</v>
      </c>
      <c r="AQ474" s="1">
        <f t="shared" si="356"/>
        <v>-0.33333333333333331</v>
      </c>
      <c r="AR474" s="1">
        <f t="shared" si="357"/>
        <v>-0.25</v>
      </c>
      <c r="AS474" s="12">
        <f t="shared" si="358"/>
        <v>-4.6783625730994149E-2</v>
      </c>
      <c r="AT474" s="12">
        <f t="shared" si="359"/>
        <v>-7.3684210526315796E-2</v>
      </c>
      <c r="AU474" s="1">
        <f t="shared" si="360"/>
        <v>1</v>
      </c>
      <c r="AV474" s="1">
        <f t="shared" si="361"/>
        <v>-4</v>
      </c>
      <c r="AW474" s="1">
        <f t="shared" si="362"/>
        <v>4</v>
      </c>
      <c r="AX474" s="1">
        <f t="shared" si="363"/>
        <v>4</v>
      </c>
      <c r="AY474" s="1">
        <f t="shared" si="364"/>
        <v>-8</v>
      </c>
      <c r="AZ474" s="1">
        <f t="shared" si="365"/>
        <v>-4</v>
      </c>
      <c r="BA474" s="19">
        <f t="shared" si="366"/>
        <v>-1.1666666666666667</v>
      </c>
      <c r="BB474" s="19">
        <f t="shared" si="367"/>
        <v>-1.5</v>
      </c>
      <c r="BC474" s="9">
        <f t="shared" si="368"/>
        <v>0.8</v>
      </c>
      <c r="BD474" s="9">
        <f t="shared" si="369"/>
        <v>0</v>
      </c>
      <c r="BE474" s="9">
        <f t="shared" si="370"/>
        <v>0.55555555555555558</v>
      </c>
      <c r="BF474" s="9">
        <f t="shared" si="371"/>
        <v>0.5714285714285714</v>
      </c>
      <c r="BG474" s="9">
        <f t="shared" si="372"/>
        <v>-0.63636363636363635</v>
      </c>
      <c r="BH474" s="9">
        <f t="shared" si="373"/>
        <v>0.25</v>
      </c>
      <c r="BI474" s="12">
        <f t="shared" si="374"/>
        <v>0.25677008177008176</v>
      </c>
      <c r="BJ474" s="13">
        <f t="shared" si="375"/>
        <v>0.40277777777777779</v>
      </c>
      <c r="BK474" s="1">
        <f t="shared" si="376"/>
        <v>4</v>
      </c>
      <c r="BL474" s="1">
        <f t="shared" si="377"/>
        <v>0</v>
      </c>
      <c r="BM474" s="1">
        <f t="shared" si="378"/>
        <v>5</v>
      </c>
      <c r="BN474" s="1">
        <f t="shared" si="379"/>
        <v>8</v>
      </c>
      <c r="BO474" s="1">
        <f t="shared" si="380"/>
        <v>-14</v>
      </c>
      <c r="BP474" s="1">
        <f t="shared" si="381"/>
        <v>2</v>
      </c>
      <c r="BQ474" s="19">
        <f t="shared" si="382"/>
        <v>0.83333333333333337</v>
      </c>
      <c r="BR474" s="17">
        <f t="shared" si="383"/>
        <v>3</v>
      </c>
    </row>
    <row r="475" spans="1:70" x14ac:dyDescent="0.25">
      <c r="A475" t="s">
        <v>298</v>
      </c>
      <c r="B475">
        <v>11</v>
      </c>
      <c r="C475">
        <v>9</v>
      </c>
      <c r="D475">
        <v>2</v>
      </c>
      <c r="E475">
        <v>2</v>
      </c>
      <c r="F475">
        <v>6</v>
      </c>
      <c r="G475">
        <v>6</v>
      </c>
      <c r="H475">
        <v>9</v>
      </c>
      <c r="I475">
        <v>8</v>
      </c>
      <c r="J475">
        <v>4</v>
      </c>
      <c r="K475">
        <v>1</v>
      </c>
      <c r="L475">
        <v>1</v>
      </c>
      <c r="M475">
        <v>4</v>
      </c>
      <c r="N475">
        <v>5</v>
      </c>
      <c r="O475">
        <v>5</v>
      </c>
      <c r="P475">
        <v>3</v>
      </c>
      <c r="Q475">
        <v>5</v>
      </c>
      <c r="R475">
        <v>1</v>
      </c>
      <c r="S475">
        <v>1</v>
      </c>
      <c r="T475">
        <v>2</v>
      </c>
      <c r="U475">
        <v>1</v>
      </c>
      <c r="V475">
        <v>4</v>
      </c>
      <c r="W475" s="8">
        <f t="shared" si="336"/>
        <v>-0.18181818181818182</v>
      </c>
      <c r="X475" s="8">
        <f t="shared" si="337"/>
        <v>-0.77777777777777779</v>
      </c>
      <c r="Y475" s="8">
        <f t="shared" si="338"/>
        <v>0</v>
      </c>
      <c r="Z475" s="8">
        <f t="shared" si="339"/>
        <v>2</v>
      </c>
      <c r="AA475" s="8">
        <f t="shared" si="340"/>
        <v>0</v>
      </c>
      <c r="AB475" s="8">
        <f t="shared" si="341"/>
        <v>0.5</v>
      </c>
      <c r="AC475" s="12">
        <f t="shared" si="342"/>
        <v>0.25673400673400676</v>
      </c>
      <c r="AD475" s="12">
        <f t="shared" si="343"/>
        <v>0</v>
      </c>
      <c r="AE475" s="1">
        <f t="shared" si="344"/>
        <v>-2</v>
      </c>
      <c r="AF475" s="1">
        <f t="shared" si="345"/>
        <v>-7</v>
      </c>
      <c r="AG475" s="1">
        <f t="shared" si="346"/>
        <v>0</v>
      </c>
      <c r="AH475" s="1">
        <f t="shared" si="347"/>
        <v>4</v>
      </c>
      <c r="AI475" s="1">
        <f t="shared" si="348"/>
        <v>0</v>
      </c>
      <c r="AJ475" s="1">
        <f t="shared" si="349"/>
        <v>3</v>
      </c>
      <c r="AK475" s="17">
        <f t="shared" si="350"/>
        <v>-0.33333333333333331</v>
      </c>
      <c r="AL475" s="17">
        <f t="shared" si="351"/>
        <v>0</v>
      </c>
      <c r="AM475" s="1">
        <f t="shared" si="352"/>
        <v>-0.5</v>
      </c>
      <c r="AN475" s="1">
        <f t="shared" si="353"/>
        <v>-0.75</v>
      </c>
      <c r="AO475" s="1">
        <f t="shared" si="354"/>
        <v>0</v>
      </c>
      <c r="AP475" s="1">
        <f t="shared" si="355"/>
        <v>3</v>
      </c>
      <c r="AQ475" s="1">
        <f t="shared" si="356"/>
        <v>0.25</v>
      </c>
      <c r="AR475" s="1">
        <f t="shared" si="357"/>
        <v>0</v>
      </c>
      <c r="AS475" s="12">
        <f t="shared" si="358"/>
        <v>0.33333333333333331</v>
      </c>
      <c r="AT475" s="12">
        <f t="shared" si="359"/>
        <v>0</v>
      </c>
      <c r="AU475" s="1">
        <f t="shared" si="360"/>
        <v>-4</v>
      </c>
      <c r="AV475" s="1">
        <f t="shared" si="361"/>
        <v>-3</v>
      </c>
      <c r="AW475" s="1">
        <f t="shared" si="362"/>
        <v>0</v>
      </c>
      <c r="AX475" s="1">
        <f t="shared" si="363"/>
        <v>3</v>
      </c>
      <c r="AY475" s="1">
        <f t="shared" si="364"/>
        <v>1</v>
      </c>
      <c r="AZ475" s="1">
        <f t="shared" si="365"/>
        <v>0</v>
      </c>
      <c r="BA475" s="19">
        <f t="shared" si="366"/>
        <v>-0.5</v>
      </c>
      <c r="BB475" s="19">
        <f t="shared" si="367"/>
        <v>0</v>
      </c>
      <c r="BC475" s="9">
        <f t="shared" si="368"/>
        <v>0.66666666666666663</v>
      </c>
      <c r="BD475" s="9">
        <f t="shared" si="369"/>
        <v>-0.8</v>
      </c>
      <c r="BE475" s="9">
        <f t="shared" si="370"/>
        <v>0</v>
      </c>
      <c r="BF475" s="9">
        <f t="shared" si="371"/>
        <v>1</v>
      </c>
      <c r="BG475" s="9">
        <f t="shared" si="372"/>
        <v>-0.5</v>
      </c>
      <c r="BH475" s="9">
        <f t="shared" si="373"/>
        <v>3</v>
      </c>
      <c r="BI475" s="12">
        <f t="shared" si="374"/>
        <v>0.56111111111111112</v>
      </c>
      <c r="BJ475" s="13">
        <f t="shared" si="375"/>
        <v>0.33333333333333331</v>
      </c>
      <c r="BK475" s="1">
        <f t="shared" si="376"/>
        <v>2</v>
      </c>
      <c r="BL475" s="1">
        <f t="shared" si="377"/>
        <v>-4</v>
      </c>
      <c r="BM475" s="1">
        <f t="shared" si="378"/>
        <v>0</v>
      </c>
      <c r="BN475" s="1">
        <f t="shared" si="379"/>
        <v>1</v>
      </c>
      <c r="BO475" s="1">
        <f t="shared" si="380"/>
        <v>-1</v>
      </c>
      <c r="BP475" s="1">
        <f t="shared" si="381"/>
        <v>3</v>
      </c>
      <c r="BQ475" s="19">
        <f t="shared" si="382"/>
        <v>0.16666666666666666</v>
      </c>
      <c r="BR475" s="17">
        <f t="shared" si="383"/>
        <v>0.5</v>
      </c>
    </row>
    <row r="476" spans="1:70" x14ac:dyDescent="0.25">
      <c r="A476" t="s">
        <v>326</v>
      </c>
      <c r="B476">
        <v>9</v>
      </c>
      <c r="C476">
        <v>13</v>
      </c>
      <c r="D476">
        <v>5</v>
      </c>
      <c r="E476">
        <v>16</v>
      </c>
      <c r="F476">
        <v>12</v>
      </c>
      <c r="G476">
        <v>10</v>
      </c>
      <c r="H476">
        <v>7</v>
      </c>
      <c r="I476">
        <v>3</v>
      </c>
      <c r="J476">
        <v>5</v>
      </c>
      <c r="K476">
        <v>1</v>
      </c>
      <c r="L476">
        <v>5</v>
      </c>
      <c r="M476">
        <v>5</v>
      </c>
      <c r="N476">
        <v>2</v>
      </c>
      <c r="O476">
        <v>3</v>
      </c>
      <c r="P476">
        <v>6</v>
      </c>
      <c r="Q476">
        <v>8</v>
      </c>
      <c r="R476">
        <v>4</v>
      </c>
      <c r="S476">
        <v>11</v>
      </c>
      <c r="T476">
        <v>7</v>
      </c>
      <c r="U476">
        <v>8</v>
      </c>
      <c r="V476">
        <v>4</v>
      </c>
      <c r="W476" s="8">
        <f t="shared" si="336"/>
        <v>0.44444444444444442</v>
      </c>
      <c r="X476" s="8">
        <f t="shared" si="337"/>
        <v>-0.61538461538461542</v>
      </c>
      <c r="Y476" s="8">
        <f t="shared" si="338"/>
        <v>2.2000000000000002</v>
      </c>
      <c r="Z476" s="8">
        <f t="shared" si="339"/>
        <v>-0.25</v>
      </c>
      <c r="AA476" s="8">
        <f t="shared" si="340"/>
        <v>-0.16666666666666666</v>
      </c>
      <c r="AB476" s="8">
        <f t="shared" si="341"/>
        <v>-0.3</v>
      </c>
      <c r="AC476" s="12">
        <f t="shared" si="342"/>
        <v>0.21873219373219369</v>
      </c>
      <c r="AD476" s="12">
        <f t="shared" si="343"/>
        <v>-0.20833333333333331</v>
      </c>
      <c r="AE476" s="1">
        <f t="shared" si="344"/>
        <v>4</v>
      </c>
      <c r="AF476" s="1">
        <f t="shared" si="345"/>
        <v>-8</v>
      </c>
      <c r="AG476" s="1">
        <f t="shared" si="346"/>
        <v>11</v>
      </c>
      <c r="AH476" s="1">
        <f t="shared" si="347"/>
        <v>-4</v>
      </c>
      <c r="AI476" s="1">
        <f t="shared" si="348"/>
        <v>-2</v>
      </c>
      <c r="AJ476" s="1">
        <f t="shared" si="349"/>
        <v>-3</v>
      </c>
      <c r="AK476" s="17">
        <f t="shared" si="350"/>
        <v>-0.33333333333333331</v>
      </c>
      <c r="AL476" s="17">
        <f t="shared" si="351"/>
        <v>-2.5</v>
      </c>
      <c r="AM476" s="1">
        <f t="shared" si="352"/>
        <v>0.66666666666666663</v>
      </c>
      <c r="AN476" s="1">
        <f t="shared" si="353"/>
        <v>-0.8</v>
      </c>
      <c r="AO476" s="1">
        <f t="shared" si="354"/>
        <v>4</v>
      </c>
      <c r="AP476" s="1">
        <f t="shared" si="355"/>
        <v>0</v>
      </c>
      <c r="AQ476" s="1">
        <f t="shared" si="356"/>
        <v>-0.6</v>
      </c>
      <c r="AR476" s="1">
        <f t="shared" si="357"/>
        <v>0.5</v>
      </c>
      <c r="AS476" s="12">
        <f t="shared" si="358"/>
        <v>0.62777777777777777</v>
      </c>
      <c r="AT476" s="12">
        <f t="shared" si="359"/>
        <v>0.25</v>
      </c>
      <c r="AU476" s="1">
        <f t="shared" si="360"/>
        <v>2</v>
      </c>
      <c r="AV476" s="1">
        <f t="shared" si="361"/>
        <v>-4</v>
      </c>
      <c r="AW476" s="1">
        <f t="shared" si="362"/>
        <v>4</v>
      </c>
      <c r="AX476" s="1">
        <f t="shared" si="363"/>
        <v>0</v>
      </c>
      <c r="AY476" s="1">
        <f t="shared" si="364"/>
        <v>-3</v>
      </c>
      <c r="AZ476" s="1">
        <f t="shared" si="365"/>
        <v>1</v>
      </c>
      <c r="BA476" s="19">
        <f t="shared" si="366"/>
        <v>0</v>
      </c>
      <c r="BB476" s="19">
        <f t="shared" si="367"/>
        <v>0.5</v>
      </c>
      <c r="BC476" s="9">
        <f t="shared" si="368"/>
        <v>0.33333333333333331</v>
      </c>
      <c r="BD476" s="9">
        <f t="shared" si="369"/>
        <v>-0.5</v>
      </c>
      <c r="BE476" s="9">
        <f t="shared" si="370"/>
        <v>1.75</v>
      </c>
      <c r="BF476" s="9">
        <f t="shared" si="371"/>
        <v>-0.36363636363636365</v>
      </c>
      <c r="BG476" s="9">
        <f t="shared" si="372"/>
        <v>0.14285714285714285</v>
      </c>
      <c r="BH476" s="9">
        <f t="shared" si="373"/>
        <v>-0.5</v>
      </c>
      <c r="BI476" s="12">
        <f t="shared" si="374"/>
        <v>0.14375901875901875</v>
      </c>
      <c r="BJ476" s="13">
        <f t="shared" si="375"/>
        <v>-0.11038961038961037</v>
      </c>
      <c r="BK476" s="1">
        <f t="shared" si="376"/>
        <v>2</v>
      </c>
      <c r="BL476" s="1">
        <f t="shared" si="377"/>
        <v>-4</v>
      </c>
      <c r="BM476" s="1">
        <f t="shared" si="378"/>
        <v>7</v>
      </c>
      <c r="BN476" s="1">
        <f t="shared" si="379"/>
        <v>-4</v>
      </c>
      <c r="BO476" s="1">
        <f t="shared" si="380"/>
        <v>1</v>
      </c>
      <c r="BP476" s="1">
        <f t="shared" si="381"/>
        <v>-4</v>
      </c>
      <c r="BQ476" s="19">
        <f t="shared" si="382"/>
        <v>-0.33333333333333331</v>
      </c>
      <c r="BR476" s="17">
        <f t="shared" si="383"/>
        <v>-1.5</v>
      </c>
    </row>
    <row r="477" spans="1:70" x14ac:dyDescent="0.25">
      <c r="A477" t="s">
        <v>334</v>
      </c>
      <c r="B477">
        <v>8</v>
      </c>
      <c r="C477">
        <v>3</v>
      </c>
      <c r="D477">
        <v>14</v>
      </c>
      <c r="E477">
        <v>6</v>
      </c>
      <c r="F477">
        <v>11</v>
      </c>
      <c r="G477">
        <v>5</v>
      </c>
      <c r="H477">
        <v>6</v>
      </c>
      <c r="I477">
        <v>3</v>
      </c>
      <c r="J477">
        <v>3</v>
      </c>
      <c r="K477">
        <v>8</v>
      </c>
      <c r="L477">
        <v>4</v>
      </c>
      <c r="N477">
        <v>3</v>
      </c>
      <c r="O477">
        <v>1</v>
      </c>
      <c r="P477">
        <v>5</v>
      </c>
      <c r="R477">
        <v>6</v>
      </c>
      <c r="S477">
        <v>2</v>
      </c>
      <c r="T477">
        <v>11</v>
      </c>
      <c r="U477">
        <v>2</v>
      </c>
      <c r="V477">
        <v>5</v>
      </c>
      <c r="W477" s="8">
        <f t="shared" si="336"/>
        <v>-0.625</v>
      </c>
      <c r="X477" s="8">
        <f t="shared" si="337"/>
        <v>3.6666666666666665</v>
      </c>
      <c r="Y477" s="8">
        <f t="shared" si="338"/>
        <v>-0.5714285714285714</v>
      </c>
      <c r="Z477" s="8">
        <f t="shared" si="339"/>
        <v>0.83333333333333337</v>
      </c>
      <c r="AA477" s="8">
        <f t="shared" si="340"/>
        <v>-0.54545454545454541</v>
      </c>
      <c r="AB477" s="8">
        <f t="shared" si="341"/>
        <v>0.2</v>
      </c>
      <c r="AC477" s="12">
        <f t="shared" si="342"/>
        <v>0.49301948051948052</v>
      </c>
      <c r="AD477" s="12">
        <f t="shared" si="343"/>
        <v>-0.17272727272727273</v>
      </c>
      <c r="AE477" s="1">
        <f t="shared" si="344"/>
        <v>-5</v>
      </c>
      <c r="AF477" s="1">
        <f t="shared" si="345"/>
        <v>11</v>
      </c>
      <c r="AG477" s="1">
        <f t="shared" si="346"/>
        <v>-8</v>
      </c>
      <c r="AH477" s="1">
        <f t="shared" si="347"/>
        <v>5</v>
      </c>
      <c r="AI477" s="1">
        <f t="shared" si="348"/>
        <v>-6</v>
      </c>
      <c r="AJ477" s="1">
        <f t="shared" si="349"/>
        <v>1</v>
      </c>
      <c r="AK477" s="17">
        <f t="shared" si="350"/>
        <v>-0.33333333333333331</v>
      </c>
      <c r="AL477" s="17">
        <f t="shared" si="351"/>
        <v>-2</v>
      </c>
      <c r="AM477" s="1">
        <f t="shared" si="352"/>
        <v>0</v>
      </c>
      <c r="AN477" s="1">
        <f t="shared" si="353"/>
        <v>1.6666666666666667</v>
      </c>
      <c r="AO477" s="1">
        <f t="shared" si="354"/>
        <v>-0.5</v>
      </c>
      <c r="AP477" s="1">
        <f t="shared" si="355"/>
        <v>-1</v>
      </c>
      <c r="AQ477" s="1" t="e">
        <f t="shared" si="356"/>
        <v>#DIV/0!</v>
      </c>
      <c r="AR477" s="1">
        <f t="shared" si="357"/>
        <v>-0.66666666666666663</v>
      </c>
      <c r="AS477" s="12" t="e">
        <f t="shared" si="358"/>
        <v>#DIV/0!</v>
      </c>
      <c r="AT477" s="12" t="e">
        <f t="shared" si="359"/>
        <v>#DIV/0!</v>
      </c>
      <c r="AU477" s="1">
        <f t="shared" si="360"/>
        <v>0</v>
      </c>
      <c r="AV477" s="1">
        <f t="shared" si="361"/>
        <v>5</v>
      </c>
      <c r="AW477" s="1">
        <f t="shared" si="362"/>
        <v>-4</v>
      </c>
      <c r="AX477" s="1">
        <f t="shared" si="363"/>
        <v>-4</v>
      </c>
      <c r="AY477" s="1">
        <f t="shared" si="364"/>
        <v>3</v>
      </c>
      <c r="AZ477" s="1">
        <f t="shared" si="365"/>
        <v>-2</v>
      </c>
      <c r="BA477" s="19">
        <f t="shared" si="366"/>
        <v>-0.33333333333333331</v>
      </c>
      <c r="BB477" s="19">
        <f t="shared" si="367"/>
        <v>-1</v>
      </c>
      <c r="BC477" s="9">
        <f t="shared" si="368"/>
        <v>-1</v>
      </c>
      <c r="BD477" s="9" t="e">
        <f t="shared" si="369"/>
        <v>#DIV/0!</v>
      </c>
      <c r="BE477" s="9">
        <f t="shared" si="370"/>
        <v>-0.66666666666666663</v>
      </c>
      <c r="BF477" s="9">
        <f t="shared" si="371"/>
        <v>4.5</v>
      </c>
      <c r="BG477" s="9">
        <f t="shared" si="372"/>
        <v>-0.81818181818181823</v>
      </c>
      <c r="BH477" s="9">
        <f t="shared" si="373"/>
        <v>1.5</v>
      </c>
      <c r="BI477" s="12" t="e">
        <f t="shared" si="374"/>
        <v>#DIV/0!</v>
      </c>
      <c r="BJ477" s="13" t="e">
        <f t="shared" si="375"/>
        <v>#DIV/0!</v>
      </c>
      <c r="BK477" s="1">
        <f t="shared" si="376"/>
        <v>-5</v>
      </c>
      <c r="BL477" s="1">
        <f t="shared" si="377"/>
        <v>6</v>
      </c>
      <c r="BM477" s="1">
        <f t="shared" si="378"/>
        <v>-4</v>
      </c>
      <c r="BN477" s="1">
        <f t="shared" si="379"/>
        <v>9</v>
      </c>
      <c r="BO477" s="1">
        <f t="shared" si="380"/>
        <v>-9</v>
      </c>
      <c r="BP477" s="1">
        <f t="shared" si="381"/>
        <v>3</v>
      </c>
      <c r="BQ477" s="19">
        <f t="shared" si="382"/>
        <v>0</v>
      </c>
      <c r="BR477" s="17">
        <f t="shared" si="383"/>
        <v>-0.5</v>
      </c>
    </row>
    <row r="478" spans="1:70" x14ac:dyDescent="0.25">
      <c r="A478" t="s">
        <v>341</v>
      </c>
      <c r="B478">
        <v>7</v>
      </c>
      <c r="C478">
        <v>5</v>
      </c>
      <c r="D478">
        <v>3</v>
      </c>
      <c r="E478">
        <v>5</v>
      </c>
      <c r="F478">
        <v>4</v>
      </c>
      <c r="G478">
        <v>7</v>
      </c>
      <c r="H478">
        <v>5</v>
      </c>
      <c r="I478">
        <v>2</v>
      </c>
      <c r="K478">
        <v>1</v>
      </c>
      <c r="L478">
        <v>3</v>
      </c>
      <c r="O478">
        <v>1</v>
      </c>
      <c r="P478">
        <v>5</v>
      </c>
      <c r="Q478">
        <v>5</v>
      </c>
      <c r="R478">
        <v>2</v>
      </c>
      <c r="S478">
        <v>2</v>
      </c>
      <c r="T478">
        <v>4</v>
      </c>
      <c r="U478">
        <v>7</v>
      </c>
      <c r="V478">
        <v>4</v>
      </c>
      <c r="W478" s="8">
        <f t="shared" si="336"/>
        <v>-0.2857142857142857</v>
      </c>
      <c r="X478" s="8">
        <f t="shared" si="337"/>
        <v>-0.4</v>
      </c>
      <c r="Y478" s="8">
        <f t="shared" si="338"/>
        <v>0.66666666666666663</v>
      </c>
      <c r="Z478" s="8">
        <f t="shared" si="339"/>
        <v>-0.2</v>
      </c>
      <c r="AA478" s="8">
        <f t="shared" si="340"/>
        <v>0.75</v>
      </c>
      <c r="AB478" s="8">
        <f t="shared" si="341"/>
        <v>-0.2857142857142857</v>
      </c>
      <c r="AC478" s="12">
        <f t="shared" si="342"/>
        <v>4.087301587301586E-2</v>
      </c>
      <c r="AD478" s="12">
        <f t="shared" si="343"/>
        <v>-0.24285714285714285</v>
      </c>
      <c r="AE478" s="1">
        <f t="shared" si="344"/>
        <v>-2</v>
      </c>
      <c r="AF478" s="1">
        <f t="shared" si="345"/>
        <v>-2</v>
      </c>
      <c r="AG478" s="1">
        <f t="shared" si="346"/>
        <v>2</v>
      </c>
      <c r="AH478" s="1">
        <f t="shared" si="347"/>
        <v>-1</v>
      </c>
      <c r="AI478" s="1">
        <f t="shared" si="348"/>
        <v>3</v>
      </c>
      <c r="AJ478" s="1">
        <f t="shared" si="349"/>
        <v>-2</v>
      </c>
      <c r="AK478" s="17">
        <f t="shared" si="350"/>
        <v>-0.33333333333333331</v>
      </c>
      <c r="AL478" s="17">
        <f t="shared" si="351"/>
        <v>-1.5</v>
      </c>
      <c r="AM478" s="1">
        <f t="shared" si="352"/>
        <v>-1</v>
      </c>
      <c r="AN478" s="1" t="e">
        <f t="shared" si="353"/>
        <v>#DIV/0!</v>
      </c>
      <c r="AO478" s="1">
        <f t="shared" si="354"/>
        <v>2</v>
      </c>
      <c r="AP478" s="1">
        <f t="shared" si="355"/>
        <v>-1</v>
      </c>
      <c r="AQ478" s="1" t="e">
        <f t="shared" si="356"/>
        <v>#DIV/0!</v>
      </c>
      <c r="AR478" s="1" t="e">
        <f t="shared" si="357"/>
        <v>#DIV/0!</v>
      </c>
      <c r="AS478" s="12" t="e">
        <f t="shared" si="358"/>
        <v>#DIV/0!</v>
      </c>
      <c r="AT478" s="12" t="e">
        <f t="shared" si="359"/>
        <v>#DIV/0!</v>
      </c>
      <c r="AU478" s="1">
        <f t="shared" si="360"/>
        <v>-2</v>
      </c>
      <c r="AV478" s="1">
        <f t="shared" si="361"/>
        <v>1</v>
      </c>
      <c r="AW478" s="1">
        <f t="shared" si="362"/>
        <v>2</v>
      </c>
      <c r="AX478" s="1">
        <f t="shared" si="363"/>
        <v>-3</v>
      </c>
      <c r="AY478" s="1">
        <f t="shared" si="364"/>
        <v>0</v>
      </c>
      <c r="AZ478" s="1">
        <f t="shared" si="365"/>
        <v>1</v>
      </c>
      <c r="BA478" s="19">
        <f t="shared" si="366"/>
        <v>-0.16666666666666666</v>
      </c>
      <c r="BB478" s="19">
        <f t="shared" si="367"/>
        <v>0.5</v>
      </c>
      <c r="BC478" s="9">
        <f t="shared" si="368"/>
        <v>0</v>
      </c>
      <c r="BD478" s="9">
        <f t="shared" si="369"/>
        <v>-0.6</v>
      </c>
      <c r="BE478" s="9">
        <f t="shared" si="370"/>
        <v>0</v>
      </c>
      <c r="BF478" s="9">
        <f t="shared" si="371"/>
        <v>1</v>
      </c>
      <c r="BG478" s="9">
        <f t="shared" si="372"/>
        <v>0.75</v>
      </c>
      <c r="BH478" s="9">
        <f t="shared" si="373"/>
        <v>-0.42857142857142855</v>
      </c>
      <c r="BI478" s="12">
        <f t="shared" si="374"/>
        <v>0.12023809523809521</v>
      </c>
      <c r="BJ478" s="13">
        <f t="shared" si="375"/>
        <v>0</v>
      </c>
      <c r="BK478" s="1">
        <f t="shared" si="376"/>
        <v>0</v>
      </c>
      <c r="BL478" s="1">
        <f t="shared" si="377"/>
        <v>-3</v>
      </c>
      <c r="BM478" s="1">
        <f t="shared" si="378"/>
        <v>0</v>
      </c>
      <c r="BN478" s="1">
        <f t="shared" si="379"/>
        <v>2</v>
      </c>
      <c r="BO478" s="1">
        <f t="shared" si="380"/>
        <v>3</v>
      </c>
      <c r="BP478" s="1">
        <f t="shared" si="381"/>
        <v>-3</v>
      </c>
      <c r="BQ478" s="19">
        <f t="shared" si="382"/>
        <v>-0.16666666666666666</v>
      </c>
      <c r="BR478" s="17">
        <f t="shared" si="383"/>
        <v>0</v>
      </c>
    </row>
    <row r="479" spans="1:70" x14ac:dyDescent="0.25">
      <c r="A479" t="s">
        <v>347</v>
      </c>
      <c r="B479">
        <v>7</v>
      </c>
      <c r="C479">
        <v>10</v>
      </c>
      <c r="D479">
        <v>12</v>
      </c>
      <c r="E479">
        <v>17</v>
      </c>
      <c r="F479">
        <v>11</v>
      </c>
      <c r="G479">
        <v>7</v>
      </c>
      <c r="H479">
        <v>5</v>
      </c>
      <c r="I479">
        <v>5</v>
      </c>
      <c r="J479">
        <v>6</v>
      </c>
      <c r="K479">
        <v>5</v>
      </c>
      <c r="L479">
        <v>10</v>
      </c>
      <c r="M479">
        <v>5</v>
      </c>
      <c r="N479">
        <v>3</v>
      </c>
      <c r="O479">
        <v>3</v>
      </c>
      <c r="P479">
        <v>2</v>
      </c>
      <c r="Q479">
        <v>4</v>
      </c>
      <c r="R479">
        <v>7</v>
      </c>
      <c r="S479">
        <v>7</v>
      </c>
      <c r="T479">
        <v>6</v>
      </c>
      <c r="U479">
        <v>4</v>
      </c>
      <c r="V479">
        <v>2</v>
      </c>
      <c r="W479" s="8">
        <f t="shared" si="336"/>
        <v>0.42857142857142855</v>
      </c>
      <c r="X479" s="8">
        <f t="shared" si="337"/>
        <v>0.2</v>
      </c>
      <c r="Y479" s="8">
        <f t="shared" si="338"/>
        <v>0.41666666666666669</v>
      </c>
      <c r="Z479" s="8">
        <f t="shared" si="339"/>
        <v>-0.35294117647058826</v>
      </c>
      <c r="AA479" s="8">
        <f t="shared" si="340"/>
        <v>-0.36363636363636365</v>
      </c>
      <c r="AB479" s="8">
        <f t="shared" si="341"/>
        <v>-0.2857142857142857</v>
      </c>
      <c r="AC479" s="12">
        <f t="shared" si="342"/>
        <v>7.1577115694762732E-3</v>
      </c>
      <c r="AD479" s="12">
        <f t="shared" si="343"/>
        <v>-4.2857142857142844E-2</v>
      </c>
      <c r="AE479" s="1">
        <f t="shared" si="344"/>
        <v>3</v>
      </c>
      <c r="AF479" s="1">
        <f t="shared" si="345"/>
        <v>2</v>
      </c>
      <c r="AG479" s="1">
        <f t="shared" si="346"/>
        <v>5</v>
      </c>
      <c r="AH479" s="1">
        <f t="shared" si="347"/>
        <v>-6</v>
      </c>
      <c r="AI479" s="1">
        <f t="shared" si="348"/>
        <v>-4</v>
      </c>
      <c r="AJ479" s="1">
        <f t="shared" si="349"/>
        <v>-2</v>
      </c>
      <c r="AK479" s="17">
        <f t="shared" si="350"/>
        <v>-0.33333333333333331</v>
      </c>
      <c r="AL479" s="17">
        <f t="shared" si="351"/>
        <v>0</v>
      </c>
      <c r="AM479" s="1">
        <f t="shared" si="352"/>
        <v>0.2</v>
      </c>
      <c r="AN479" s="1">
        <f t="shared" si="353"/>
        <v>-0.16666666666666666</v>
      </c>
      <c r="AO479" s="1">
        <f t="shared" si="354"/>
        <v>1</v>
      </c>
      <c r="AP479" s="1">
        <f t="shared" si="355"/>
        <v>-0.5</v>
      </c>
      <c r="AQ479" s="1">
        <f t="shared" si="356"/>
        <v>-0.4</v>
      </c>
      <c r="AR479" s="1">
        <f t="shared" si="357"/>
        <v>0</v>
      </c>
      <c r="AS479" s="12">
        <f t="shared" si="358"/>
        <v>2.2222222222222237E-2</v>
      </c>
      <c r="AT479" s="12">
        <f t="shared" si="359"/>
        <v>-8.3333333333333329E-2</v>
      </c>
      <c r="AU479" s="1">
        <f t="shared" si="360"/>
        <v>1</v>
      </c>
      <c r="AV479" s="1">
        <f t="shared" si="361"/>
        <v>-1</v>
      </c>
      <c r="AW479" s="1">
        <f t="shared" si="362"/>
        <v>5</v>
      </c>
      <c r="AX479" s="1">
        <f t="shared" si="363"/>
        <v>-5</v>
      </c>
      <c r="AY479" s="1">
        <f t="shared" si="364"/>
        <v>-2</v>
      </c>
      <c r="AZ479" s="1">
        <f t="shared" si="365"/>
        <v>0</v>
      </c>
      <c r="BA479" s="19">
        <f t="shared" si="366"/>
        <v>-0.33333333333333331</v>
      </c>
      <c r="BB479" s="19">
        <f t="shared" si="367"/>
        <v>-0.5</v>
      </c>
      <c r="BC479" s="9">
        <f t="shared" si="368"/>
        <v>1</v>
      </c>
      <c r="BD479" s="9">
        <f t="shared" si="369"/>
        <v>0.75</v>
      </c>
      <c r="BE479" s="9">
        <f t="shared" si="370"/>
        <v>0</v>
      </c>
      <c r="BF479" s="9">
        <f t="shared" si="371"/>
        <v>-0.14285714285714285</v>
      </c>
      <c r="BG479" s="9">
        <f t="shared" si="372"/>
        <v>-0.33333333333333331</v>
      </c>
      <c r="BH479" s="9">
        <f t="shared" si="373"/>
        <v>-0.5</v>
      </c>
      <c r="BI479" s="12">
        <f t="shared" si="374"/>
        <v>0.12896825396825398</v>
      </c>
      <c r="BJ479" s="13">
        <f t="shared" si="375"/>
        <v>-7.1428571428571425E-2</v>
      </c>
      <c r="BK479" s="1">
        <f t="shared" si="376"/>
        <v>2</v>
      </c>
      <c r="BL479" s="1">
        <f t="shared" si="377"/>
        <v>3</v>
      </c>
      <c r="BM479" s="1">
        <f t="shared" si="378"/>
        <v>0</v>
      </c>
      <c r="BN479" s="1">
        <f t="shared" si="379"/>
        <v>-1</v>
      </c>
      <c r="BO479" s="1">
        <f t="shared" si="380"/>
        <v>-2</v>
      </c>
      <c r="BP479" s="1">
        <f t="shared" si="381"/>
        <v>-2</v>
      </c>
      <c r="BQ479" s="19">
        <f t="shared" si="382"/>
        <v>0</v>
      </c>
      <c r="BR479" s="17">
        <f t="shared" si="383"/>
        <v>-0.5</v>
      </c>
    </row>
    <row r="480" spans="1:70" x14ac:dyDescent="0.25">
      <c r="A480" t="s">
        <v>370</v>
      </c>
      <c r="B480">
        <v>5</v>
      </c>
      <c r="C480">
        <v>3</v>
      </c>
      <c r="D480">
        <v>4</v>
      </c>
      <c r="E480">
        <v>4</v>
      </c>
      <c r="F480">
        <v>2</v>
      </c>
      <c r="G480">
        <v>2</v>
      </c>
      <c r="H480">
        <v>3</v>
      </c>
      <c r="I480">
        <v>1</v>
      </c>
      <c r="J480">
        <v>2</v>
      </c>
      <c r="K480">
        <v>2</v>
      </c>
      <c r="L480">
        <v>2</v>
      </c>
      <c r="N480">
        <v>1</v>
      </c>
      <c r="O480">
        <v>1</v>
      </c>
      <c r="P480">
        <v>4</v>
      </c>
      <c r="Q480">
        <v>1</v>
      </c>
      <c r="R480">
        <v>2</v>
      </c>
      <c r="S480">
        <v>2</v>
      </c>
      <c r="T480">
        <v>2</v>
      </c>
      <c r="U480">
        <v>1</v>
      </c>
      <c r="V480">
        <v>2</v>
      </c>
      <c r="W480" s="8">
        <f t="shared" si="336"/>
        <v>-0.4</v>
      </c>
      <c r="X480" s="8">
        <f t="shared" si="337"/>
        <v>0.33333333333333331</v>
      </c>
      <c r="Y480" s="8">
        <f t="shared" si="338"/>
        <v>0</v>
      </c>
      <c r="Z480" s="8">
        <f t="shared" si="339"/>
        <v>-0.5</v>
      </c>
      <c r="AA480" s="8">
        <f t="shared" si="340"/>
        <v>0</v>
      </c>
      <c r="AB480" s="8">
        <f t="shared" si="341"/>
        <v>0.5</v>
      </c>
      <c r="AC480" s="12">
        <f t="shared" si="342"/>
        <v>-1.1111111111111108E-2</v>
      </c>
      <c r="AD480" s="12">
        <f t="shared" si="343"/>
        <v>0</v>
      </c>
      <c r="AE480" s="1">
        <f t="shared" si="344"/>
        <v>-2</v>
      </c>
      <c r="AF480" s="1">
        <f t="shared" si="345"/>
        <v>1</v>
      </c>
      <c r="AG480" s="1">
        <f t="shared" si="346"/>
        <v>0</v>
      </c>
      <c r="AH480" s="1">
        <f t="shared" si="347"/>
        <v>-2</v>
      </c>
      <c r="AI480" s="1">
        <f t="shared" si="348"/>
        <v>0</v>
      </c>
      <c r="AJ480" s="1">
        <f t="shared" si="349"/>
        <v>1</v>
      </c>
      <c r="AK480" s="17">
        <f t="shared" si="350"/>
        <v>-0.33333333333333331</v>
      </c>
      <c r="AL480" s="17">
        <f t="shared" si="351"/>
        <v>0</v>
      </c>
      <c r="AM480" s="1">
        <f t="shared" si="352"/>
        <v>1</v>
      </c>
      <c r="AN480" s="1">
        <f t="shared" si="353"/>
        <v>0</v>
      </c>
      <c r="AO480" s="1">
        <f t="shared" si="354"/>
        <v>0</v>
      </c>
      <c r="AP480" s="1">
        <f t="shared" si="355"/>
        <v>-1</v>
      </c>
      <c r="AQ480" s="1" t="e">
        <f t="shared" si="356"/>
        <v>#DIV/0!</v>
      </c>
      <c r="AR480" s="1">
        <f t="shared" si="357"/>
        <v>0</v>
      </c>
      <c r="AS480" s="12" t="e">
        <f t="shared" si="358"/>
        <v>#DIV/0!</v>
      </c>
      <c r="AT480" s="12" t="e">
        <f t="shared" si="359"/>
        <v>#DIV/0!</v>
      </c>
      <c r="AU480" s="1">
        <f t="shared" si="360"/>
        <v>1</v>
      </c>
      <c r="AV480" s="1">
        <f t="shared" si="361"/>
        <v>0</v>
      </c>
      <c r="AW480" s="1">
        <f t="shared" si="362"/>
        <v>0</v>
      </c>
      <c r="AX480" s="1">
        <f t="shared" si="363"/>
        <v>-2</v>
      </c>
      <c r="AY480" s="1">
        <f t="shared" si="364"/>
        <v>1</v>
      </c>
      <c r="AZ480" s="1">
        <f t="shared" si="365"/>
        <v>0</v>
      </c>
      <c r="BA480" s="19">
        <f t="shared" si="366"/>
        <v>0</v>
      </c>
      <c r="BB480" s="19">
        <f t="shared" si="367"/>
        <v>0</v>
      </c>
      <c r="BC480" s="9">
        <f t="shared" si="368"/>
        <v>-0.75</v>
      </c>
      <c r="BD480" s="9">
        <f t="shared" si="369"/>
        <v>1</v>
      </c>
      <c r="BE480" s="9">
        <f t="shared" si="370"/>
        <v>0</v>
      </c>
      <c r="BF480" s="9">
        <f t="shared" si="371"/>
        <v>0</v>
      </c>
      <c r="BG480" s="9">
        <f t="shared" si="372"/>
        <v>-0.5</v>
      </c>
      <c r="BH480" s="9">
        <f t="shared" si="373"/>
        <v>1</v>
      </c>
      <c r="BI480" s="12">
        <f t="shared" si="374"/>
        <v>0.125</v>
      </c>
      <c r="BJ480" s="13">
        <f t="shared" si="375"/>
        <v>0</v>
      </c>
      <c r="BK480" s="1">
        <f t="shared" si="376"/>
        <v>-3</v>
      </c>
      <c r="BL480" s="1">
        <f t="shared" si="377"/>
        <v>1</v>
      </c>
      <c r="BM480" s="1">
        <f t="shared" si="378"/>
        <v>0</v>
      </c>
      <c r="BN480" s="1">
        <f t="shared" si="379"/>
        <v>0</v>
      </c>
      <c r="BO480" s="1">
        <f t="shared" si="380"/>
        <v>-1</v>
      </c>
      <c r="BP480" s="1">
        <f t="shared" si="381"/>
        <v>1</v>
      </c>
      <c r="BQ480" s="19">
        <f t="shared" si="382"/>
        <v>-0.33333333333333331</v>
      </c>
      <c r="BR480" s="17">
        <f t="shared" si="383"/>
        <v>0</v>
      </c>
    </row>
    <row r="481" spans="1:70" x14ac:dyDescent="0.25">
      <c r="A481" t="s">
        <v>372</v>
      </c>
      <c r="B481">
        <v>5</v>
      </c>
      <c r="C481">
        <v>4</v>
      </c>
      <c r="E481">
        <v>3</v>
      </c>
      <c r="F481">
        <v>2</v>
      </c>
      <c r="G481">
        <v>2</v>
      </c>
      <c r="H481">
        <v>3</v>
      </c>
      <c r="I481">
        <v>3</v>
      </c>
      <c r="J481">
        <v>1</v>
      </c>
      <c r="L481">
        <v>2</v>
      </c>
      <c r="M481">
        <v>1</v>
      </c>
      <c r="N481">
        <v>1</v>
      </c>
      <c r="P481">
        <v>2</v>
      </c>
      <c r="Q481">
        <v>3</v>
      </c>
      <c r="S481">
        <v>1</v>
      </c>
      <c r="T481">
        <v>1</v>
      </c>
      <c r="U481">
        <v>1</v>
      </c>
      <c r="V481">
        <v>3</v>
      </c>
      <c r="W481" s="8">
        <f t="shared" si="336"/>
        <v>-0.2</v>
      </c>
      <c r="X481" s="8">
        <f t="shared" si="337"/>
        <v>-1</v>
      </c>
      <c r="Y481" s="8" t="e">
        <f t="shared" si="338"/>
        <v>#DIV/0!</v>
      </c>
      <c r="Z481" s="8">
        <f t="shared" si="339"/>
        <v>-0.33333333333333331</v>
      </c>
      <c r="AA481" s="8">
        <f t="shared" si="340"/>
        <v>0</v>
      </c>
      <c r="AB481" s="8">
        <f t="shared" si="341"/>
        <v>0.5</v>
      </c>
      <c r="AC481" s="12" t="e">
        <f t="shared" si="342"/>
        <v>#DIV/0!</v>
      </c>
      <c r="AD481" s="12" t="e">
        <f t="shared" si="343"/>
        <v>#DIV/0!</v>
      </c>
      <c r="AE481" s="1">
        <f t="shared" si="344"/>
        <v>-1</v>
      </c>
      <c r="AF481" s="1">
        <f t="shared" si="345"/>
        <v>-4</v>
      </c>
      <c r="AG481" s="1">
        <f t="shared" si="346"/>
        <v>3</v>
      </c>
      <c r="AH481" s="1">
        <f t="shared" si="347"/>
        <v>-1</v>
      </c>
      <c r="AI481" s="1">
        <f t="shared" si="348"/>
        <v>0</v>
      </c>
      <c r="AJ481" s="1">
        <f t="shared" si="349"/>
        <v>1</v>
      </c>
      <c r="AK481" s="17">
        <f t="shared" si="350"/>
        <v>-0.33333333333333331</v>
      </c>
      <c r="AL481" s="17">
        <f t="shared" si="351"/>
        <v>-0.5</v>
      </c>
      <c r="AM481" s="1">
        <f t="shared" si="352"/>
        <v>-0.66666666666666663</v>
      </c>
      <c r="AN481" s="1">
        <f t="shared" si="353"/>
        <v>-1</v>
      </c>
      <c r="AO481" s="1" t="e">
        <f t="shared" si="354"/>
        <v>#DIV/0!</v>
      </c>
      <c r="AP481" s="1">
        <f t="shared" si="355"/>
        <v>-0.5</v>
      </c>
      <c r="AQ481" s="1">
        <f t="shared" si="356"/>
        <v>0</v>
      </c>
      <c r="AR481" s="1">
        <f t="shared" si="357"/>
        <v>-1</v>
      </c>
      <c r="AS481" s="12" t="e">
        <f t="shared" si="358"/>
        <v>#DIV/0!</v>
      </c>
      <c r="AT481" s="12" t="e">
        <f t="shared" si="359"/>
        <v>#DIV/0!</v>
      </c>
      <c r="AU481" s="1">
        <f t="shared" si="360"/>
        <v>-2</v>
      </c>
      <c r="AV481" s="1">
        <f t="shared" si="361"/>
        <v>-1</v>
      </c>
      <c r="AW481" s="1">
        <f t="shared" si="362"/>
        <v>2</v>
      </c>
      <c r="AX481" s="1">
        <f t="shared" si="363"/>
        <v>-1</v>
      </c>
      <c r="AY481" s="1">
        <f t="shared" si="364"/>
        <v>0</v>
      </c>
      <c r="AZ481" s="1">
        <f t="shared" si="365"/>
        <v>-1</v>
      </c>
      <c r="BA481" s="19">
        <f t="shared" si="366"/>
        <v>-0.5</v>
      </c>
      <c r="BB481" s="19">
        <f t="shared" si="367"/>
        <v>-1</v>
      </c>
      <c r="BC481" s="9">
        <f t="shared" si="368"/>
        <v>0.5</v>
      </c>
      <c r="BD481" s="9">
        <f t="shared" si="369"/>
        <v>-1</v>
      </c>
      <c r="BE481" s="9" t="e">
        <f t="shared" si="370"/>
        <v>#DIV/0!</v>
      </c>
      <c r="BF481" s="9">
        <f t="shared" si="371"/>
        <v>0</v>
      </c>
      <c r="BG481" s="9">
        <f t="shared" si="372"/>
        <v>0</v>
      </c>
      <c r="BH481" s="9">
        <f t="shared" si="373"/>
        <v>2</v>
      </c>
      <c r="BI481" s="12" t="e">
        <f t="shared" si="374"/>
        <v>#DIV/0!</v>
      </c>
      <c r="BJ481" s="13" t="e">
        <f t="shared" si="375"/>
        <v>#DIV/0!</v>
      </c>
      <c r="BK481" s="1">
        <f t="shared" si="376"/>
        <v>1</v>
      </c>
      <c r="BL481" s="1">
        <f t="shared" si="377"/>
        <v>-3</v>
      </c>
      <c r="BM481" s="1">
        <f t="shared" si="378"/>
        <v>1</v>
      </c>
      <c r="BN481" s="1">
        <f t="shared" si="379"/>
        <v>0</v>
      </c>
      <c r="BO481" s="1">
        <f t="shared" si="380"/>
        <v>0</v>
      </c>
      <c r="BP481" s="1">
        <f t="shared" si="381"/>
        <v>2</v>
      </c>
      <c r="BQ481" s="19">
        <f t="shared" si="382"/>
        <v>0.16666666666666666</v>
      </c>
      <c r="BR481" s="17">
        <f t="shared" si="383"/>
        <v>0.5</v>
      </c>
    </row>
    <row r="482" spans="1:70" x14ac:dyDescent="0.25">
      <c r="A482" t="s">
        <v>402</v>
      </c>
      <c r="B482">
        <v>4</v>
      </c>
      <c r="D482">
        <v>1</v>
      </c>
      <c r="E482">
        <v>3</v>
      </c>
      <c r="F482">
        <v>1</v>
      </c>
      <c r="G482">
        <v>1</v>
      </c>
      <c r="H482">
        <v>2</v>
      </c>
      <c r="I482">
        <v>3</v>
      </c>
      <c r="L482">
        <v>2</v>
      </c>
      <c r="N482">
        <v>1</v>
      </c>
      <c r="O482">
        <v>1</v>
      </c>
      <c r="P482">
        <v>1</v>
      </c>
      <c r="R482">
        <v>1</v>
      </c>
      <c r="S482">
        <v>1</v>
      </c>
      <c r="T482">
        <v>1</v>
      </c>
      <c r="V482">
        <v>1</v>
      </c>
      <c r="W482" s="8">
        <f t="shared" si="336"/>
        <v>-1</v>
      </c>
      <c r="X482" s="8" t="e">
        <f t="shared" si="337"/>
        <v>#DIV/0!</v>
      </c>
      <c r="Y482" s="8">
        <f t="shared" si="338"/>
        <v>2</v>
      </c>
      <c r="Z482" s="8">
        <f t="shared" si="339"/>
        <v>-0.66666666666666663</v>
      </c>
      <c r="AA482" s="8">
        <f t="shared" si="340"/>
        <v>0</v>
      </c>
      <c r="AB482" s="8">
        <f t="shared" si="341"/>
        <v>1</v>
      </c>
      <c r="AC482" s="12" t="e">
        <f t="shared" si="342"/>
        <v>#DIV/0!</v>
      </c>
      <c r="AD482" s="12" t="e">
        <f t="shared" si="343"/>
        <v>#DIV/0!</v>
      </c>
      <c r="AE482" s="1">
        <f t="shared" si="344"/>
        <v>-4</v>
      </c>
      <c r="AF482" s="1">
        <f t="shared" si="345"/>
        <v>1</v>
      </c>
      <c r="AG482" s="1">
        <f t="shared" si="346"/>
        <v>2</v>
      </c>
      <c r="AH482" s="1">
        <f t="shared" si="347"/>
        <v>-2</v>
      </c>
      <c r="AI482" s="1">
        <f t="shared" si="348"/>
        <v>0</v>
      </c>
      <c r="AJ482" s="1">
        <f t="shared" si="349"/>
        <v>1</v>
      </c>
      <c r="AK482" s="17">
        <f t="shared" si="350"/>
        <v>-0.33333333333333331</v>
      </c>
      <c r="AL482" s="17">
        <f t="shared" si="351"/>
        <v>0.5</v>
      </c>
      <c r="AM482" s="1">
        <f t="shared" si="352"/>
        <v>-1</v>
      </c>
      <c r="AN482" s="1" t="e">
        <f t="shared" si="353"/>
        <v>#DIV/0!</v>
      </c>
      <c r="AO482" s="1" t="e">
        <f t="shared" si="354"/>
        <v>#DIV/0!</v>
      </c>
      <c r="AP482" s="1">
        <f t="shared" si="355"/>
        <v>-1</v>
      </c>
      <c r="AQ482" s="1" t="e">
        <f t="shared" si="356"/>
        <v>#DIV/0!</v>
      </c>
      <c r="AR482" s="1">
        <f t="shared" si="357"/>
        <v>0</v>
      </c>
      <c r="AS482" s="12" t="e">
        <f t="shared" si="358"/>
        <v>#DIV/0!</v>
      </c>
      <c r="AT482" s="12" t="e">
        <f t="shared" si="359"/>
        <v>#DIV/0!</v>
      </c>
      <c r="AU482" s="1">
        <f t="shared" si="360"/>
        <v>-3</v>
      </c>
      <c r="AV482" s="1">
        <f t="shared" si="361"/>
        <v>0</v>
      </c>
      <c r="AW482" s="1">
        <f t="shared" si="362"/>
        <v>2</v>
      </c>
      <c r="AX482" s="1">
        <f t="shared" si="363"/>
        <v>-2</v>
      </c>
      <c r="AY482" s="1">
        <f t="shared" si="364"/>
        <v>1</v>
      </c>
      <c r="AZ482" s="1">
        <f t="shared" si="365"/>
        <v>0</v>
      </c>
      <c r="BA482" s="19">
        <f t="shared" si="366"/>
        <v>-0.33333333333333331</v>
      </c>
      <c r="BB482" s="19">
        <f t="shared" si="367"/>
        <v>0</v>
      </c>
      <c r="BC482" s="9">
        <f t="shared" si="368"/>
        <v>-1</v>
      </c>
      <c r="BD482" s="9" t="e">
        <f t="shared" si="369"/>
        <v>#DIV/0!</v>
      </c>
      <c r="BE482" s="9">
        <f t="shared" si="370"/>
        <v>0</v>
      </c>
      <c r="BF482" s="9">
        <f t="shared" si="371"/>
        <v>0</v>
      </c>
      <c r="BG482" s="9">
        <f t="shared" si="372"/>
        <v>-1</v>
      </c>
      <c r="BH482" s="9" t="e">
        <f t="shared" si="373"/>
        <v>#DIV/0!</v>
      </c>
      <c r="BI482" s="12" t="e">
        <f t="shared" si="374"/>
        <v>#DIV/0!</v>
      </c>
      <c r="BJ482" s="13" t="e">
        <f t="shared" si="375"/>
        <v>#DIV/0!</v>
      </c>
      <c r="BK482" s="1">
        <f t="shared" si="376"/>
        <v>-1</v>
      </c>
      <c r="BL482" s="1">
        <f t="shared" si="377"/>
        <v>1</v>
      </c>
      <c r="BM482" s="1">
        <f t="shared" si="378"/>
        <v>0</v>
      </c>
      <c r="BN482" s="1">
        <f t="shared" si="379"/>
        <v>0</v>
      </c>
      <c r="BO482" s="1">
        <f t="shared" si="380"/>
        <v>-1</v>
      </c>
      <c r="BP482" s="1">
        <f t="shared" si="381"/>
        <v>1</v>
      </c>
      <c r="BQ482" s="19">
        <f t="shared" si="382"/>
        <v>0</v>
      </c>
      <c r="BR482" s="17">
        <f t="shared" si="383"/>
        <v>0</v>
      </c>
    </row>
    <row r="483" spans="1:70" x14ac:dyDescent="0.25">
      <c r="A483" t="s">
        <v>419</v>
      </c>
      <c r="B483">
        <v>3</v>
      </c>
      <c r="C483">
        <v>4</v>
      </c>
      <c r="D483">
        <v>3</v>
      </c>
      <c r="E483">
        <v>2</v>
      </c>
      <c r="F483">
        <v>4</v>
      </c>
      <c r="G483">
        <v>1</v>
      </c>
      <c r="H483">
        <v>1</v>
      </c>
      <c r="I483">
        <v>2</v>
      </c>
      <c r="J483">
        <v>1</v>
      </c>
      <c r="K483">
        <v>3</v>
      </c>
      <c r="L483">
        <v>1</v>
      </c>
      <c r="M483">
        <v>3</v>
      </c>
      <c r="N483">
        <v>1</v>
      </c>
      <c r="O483">
        <v>1</v>
      </c>
      <c r="P483">
        <v>1</v>
      </c>
      <c r="Q483">
        <v>3</v>
      </c>
      <c r="S483">
        <v>1</v>
      </c>
      <c r="T483">
        <v>1</v>
      </c>
      <c r="W483" s="8">
        <f t="shared" si="336"/>
        <v>0.33333333333333331</v>
      </c>
      <c r="X483" s="8">
        <f t="shared" si="337"/>
        <v>-0.25</v>
      </c>
      <c r="Y483" s="8">
        <f t="shared" si="338"/>
        <v>-0.33333333333333331</v>
      </c>
      <c r="Z483" s="8">
        <f t="shared" si="339"/>
        <v>1</v>
      </c>
      <c r="AA483" s="8">
        <f t="shared" si="340"/>
        <v>-0.75</v>
      </c>
      <c r="AB483" s="8">
        <f t="shared" si="341"/>
        <v>0</v>
      </c>
      <c r="AC483" s="12">
        <f t="shared" si="342"/>
        <v>0</v>
      </c>
      <c r="AD483" s="12">
        <f t="shared" si="343"/>
        <v>-0.125</v>
      </c>
      <c r="AE483" s="1">
        <f t="shared" si="344"/>
        <v>1</v>
      </c>
      <c r="AF483" s="1">
        <f t="shared" si="345"/>
        <v>-1</v>
      </c>
      <c r="AG483" s="1">
        <f t="shared" si="346"/>
        <v>-1</v>
      </c>
      <c r="AH483" s="1">
        <f t="shared" si="347"/>
        <v>2</v>
      </c>
      <c r="AI483" s="1">
        <f t="shared" si="348"/>
        <v>-3</v>
      </c>
      <c r="AJ483" s="1">
        <f t="shared" si="349"/>
        <v>0</v>
      </c>
      <c r="AK483" s="17">
        <f t="shared" si="350"/>
        <v>-0.33333333333333331</v>
      </c>
      <c r="AL483" s="17">
        <f t="shared" si="351"/>
        <v>-0.5</v>
      </c>
      <c r="AM483" s="1">
        <f t="shared" si="352"/>
        <v>-0.5</v>
      </c>
      <c r="AN483" s="1">
        <f t="shared" si="353"/>
        <v>2</v>
      </c>
      <c r="AO483" s="1">
        <f t="shared" si="354"/>
        <v>-0.66666666666666663</v>
      </c>
      <c r="AP483" s="1">
        <f t="shared" si="355"/>
        <v>2</v>
      </c>
      <c r="AQ483" s="1">
        <f t="shared" si="356"/>
        <v>-0.66666666666666663</v>
      </c>
      <c r="AR483" s="1">
        <f t="shared" si="357"/>
        <v>0</v>
      </c>
      <c r="AS483" s="12">
        <f t="shared" si="358"/>
        <v>0.36111111111111116</v>
      </c>
      <c r="AT483" s="12">
        <f t="shared" si="359"/>
        <v>-0.25</v>
      </c>
      <c r="AU483" s="1">
        <f t="shared" si="360"/>
        <v>-1</v>
      </c>
      <c r="AV483" s="1">
        <f t="shared" si="361"/>
        <v>2</v>
      </c>
      <c r="AW483" s="1">
        <f t="shared" si="362"/>
        <v>-2</v>
      </c>
      <c r="AX483" s="1">
        <f t="shared" si="363"/>
        <v>2</v>
      </c>
      <c r="AY483" s="1">
        <f t="shared" si="364"/>
        <v>-2</v>
      </c>
      <c r="AZ483" s="1">
        <f t="shared" si="365"/>
        <v>0</v>
      </c>
      <c r="BA483" s="19">
        <f t="shared" si="366"/>
        <v>-0.16666666666666666</v>
      </c>
      <c r="BB483" s="19">
        <f t="shared" si="367"/>
        <v>-0.5</v>
      </c>
      <c r="BC483" s="9">
        <f t="shared" si="368"/>
        <v>2</v>
      </c>
      <c r="BD483" s="9">
        <f t="shared" si="369"/>
        <v>-1</v>
      </c>
      <c r="BE483" s="9" t="e">
        <f t="shared" si="370"/>
        <v>#DIV/0!</v>
      </c>
      <c r="BF483" s="9">
        <f t="shared" si="371"/>
        <v>0</v>
      </c>
      <c r="BG483" s="9">
        <f t="shared" si="372"/>
        <v>-1</v>
      </c>
      <c r="BH483" s="9" t="e">
        <f t="shared" si="373"/>
        <v>#DIV/0!</v>
      </c>
      <c r="BI483" s="12" t="e">
        <f t="shared" si="374"/>
        <v>#DIV/0!</v>
      </c>
      <c r="BJ483" s="13" t="e">
        <f t="shared" si="375"/>
        <v>#DIV/0!</v>
      </c>
      <c r="BK483" s="1">
        <f t="shared" si="376"/>
        <v>2</v>
      </c>
      <c r="BL483" s="1">
        <f t="shared" si="377"/>
        <v>-3</v>
      </c>
      <c r="BM483" s="1">
        <f t="shared" si="378"/>
        <v>1</v>
      </c>
      <c r="BN483" s="1">
        <f t="shared" si="379"/>
        <v>0</v>
      </c>
      <c r="BO483" s="1">
        <f t="shared" si="380"/>
        <v>-1</v>
      </c>
      <c r="BP483" s="1">
        <f t="shared" si="381"/>
        <v>0</v>
      </c>
      <c r="BQ483" s="19">
        <f t="shared" si="382"/>
        <v>-0.16666666666666666</v>
      </c>
      <c r="BR483" s="17">
        <f t="shared" si="383"/>
        <v>0</v>
      </c>
    </row>
    <row r="484" spans="1:70" x14ac:dyDescent="0.25">
      <c r="A484" t="s">
        <v>423</v>
      </c>
      <c r="B484">
        <v>3</v>
      </c>
      <c r="C484">
        <v>2</v>
      </c>
      <c r="D484">
        <v>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2</v>
      </c>
      <c r="O484">
        <v>1</v>
      </c>
      <c r="P484">
        <v>2</v>
      </c>
      <c r="Q484">
        <v>1</v>
      </c>
      <c r="S484">
        <v>1</v>
      </c>
      <c r="T484">
        <v>1</v>
      </c>
      <c r="U484">
        <v>1</v>
      </c>
      <c r="W484" s="8">
        <f t="shared" si="336"/>
        <v>-0.33333333333333331</v>
      </c>
      <c r="X484" s="8">
        <f t="shared" si="337"/>
        <v>0</v>
      </c>
      <c r="Y484" s="8">
        <f t="shared" si="338"/>
        <v>-0.5</v>
      </c>
      <c r="Z484" s="8">
        <f t="shared" si="339"/>
        <v>0</v>
      </c>
      <c r="AA484" s="8">
        <f t="shared" si="340"/>
        <v>0</v>
      </c>
      <c r="AB484" s="8">
        <f t="shared" si="341"/>
        <v>0</v>
      </c>
      <c r="AC484" s="12">
        <f t="shared" si="342"/>
        <v>-0.13888888888888887</v>
      </c>
      <c r="AD484" s="12">
        <f t="shared" si="343"/>
        <v>0</v>
      </c>
      <c r="AE484" s="1">
        <f t="shared" si="344"/>
        <v>-1</v>
      </c>
      <c r="AF484" s="1">
        <f t="shared" si="345"/>
        <v>0</v>
      </c>
      <c r="AG484" s="1">
        <f t="shared" si="346"/>
        <v>-1</v>
      </c>
      <c r="AH484" s="1">
        <f t="shared" si="347"/>
        <v>0</v>
      </c>
      <c r="AI484" s="1">
        <f t="shared" si="348"/>
        <v>0</v>
      </c>
      <c r="AJ484" s="1">
        <f t="shared" si="349"/>
        <v>0</v>
      </c>
      <c r="AK484" s="17">
        <f t="shared" si="350"/>
        <v>-0.33333333333333331</v>
      </c>
      <c r="AL484" s="17">
        <f t="shared" si="351"/>
        <v>0</v>
      </c>
      <c r="AM484" s="1">
        <f t="shared" si="352"/>
        <v>0</v>
      </c>
      <c r="AN484" s="1">
        <f t="shared" si="353"/>
        <v>1</v>
      </c>
      <c r="AO484" s="1">
        <f t="shared" si="354"/>
        <v>-1</v>
      </c>
      <c r="AP484" s="1" t="e">
        <f t="shared" si="355"/>
        <v>#DIV/0!</v>
      </c>
      <c r="AQ484" s="1" t="e">
        <f t="shared" si="356"/>
        <v>#DIV/0!</v>
      </c>
      <c r="AR484" s="1" t="e">
        <f t="shared" si="357"/>
        <v>#DIV/0!</v>
      </c>
      <c r="AS484" s="12" t="e">
        <f t="shared" si="358"/>
        <v>#DIV/0!</v>
      </c>
      <c r="AT484" s="12" t="e">
        <f t="shared" si="359"/>
        <v>#DIV/0!</v>
      </c>
      <c r="AU484" s="1">
        <f t="shared" si="360"/>
        <v>0</v>
      </c>
      <c r="AV484" s="1">
        <f t="shared" si="361"/>
        <v>1</v>
      </c>
      <c r="AW484" s="1">
        <f t="shared" si="362"/>
        <v>-2</v>
      </c>
      <c r="AX484" s="1">
        <f t="shared" si="363"/>
        <v>0</v>
      </c>
      <c r="AY484" s="1">
        <f t="shared" si="364"/>
        <v>0</v>
      </c>
      <c r="AZ484" s="1">
        <f t="shared" si="365"/>
        <v>1</v>
      </c>
      <c r="BA484" s="19">
        <f t="shared" si="366"/>
        <v>0</v>
      </c>
      <c r="BB484" s="19">
        <f t="shared" si="367"/>
        <v>0</v>
      </c>
      <c r="BC484" s="9">
        <f t="shared" si="368"/>
        <v>-0.5</v>
      </c>
      <c r="BD484" s="9">
        <f t="shared" si="369"/>
        <v>-1</v>
      </c>
      <c r="BE484" s="9" t="e">
        <f t="shared" si="370"/>
        <v>#DIV/0!</v>
      </c>
      <c r="BF484" s="9">
        <f t="shared" si="371"/>
        <v>0</v>
      </c>
      <c r="BG484" s="9">
        <f t="shared" si="372"/>
        <v>0</v>
      </c>
      <c r="BH484" s="9">
        <f t="shared" si="373"/>
        <v>-1</v>
      </c>
      <c r="BI484" s="12" t="e">
        <f t="shared" si="374"/>
        <v>#DIV/0!</v>
      </c>
      <c r="BJ484" s="13" t="e">
        <f t="shared" si="375"/>
        <v>#DIV/0!</v>
      </c>
      <c r="BK484" s="1">
        <f t="shared" si="376"/>
        <v>-1</v>
      </c>
      <c r="BL484" s="1">
        <f t="shared" si="377"/>
        <v>-1</v>
      </c>
      <c r="BM484" s="1">
        <f t="shared" si="378"/>
        <v>1</v>
      </c>
      <c r="BN484" s="1">
        <f t="shared" si="379"/>
        <v>0</v>
      </c>
      <c r="BO484" s="1">
        <f t="shared" si="380"/>
        <v>0</v>
      </c>
      <c r="BP484" s="1">
        <f t="shared" si="381"/>
        <v>-1</v>
      </c>
      <c r="BQ484" s="19">
        <f t="shared" si="382"/>
        <v>-0.33333333333333331</v>
      </c>
      <c r="BR484" s="17">
        <f t="shared" si="383"/>
        <v>-0.5</v>
      </c>
    </row>
    <row r="485" spans="1:70" x14ac:dyDescent="0.25">
      <c r="A485" t="s">
        <v>431</v>
      </c>
      <c r="B485">
        <v>3</v>
      </c>
      <c r="C485">
        <v>2</v>
      </c>
      <c r="D485">
        <v>5</v>
      </c>
      <c r="E485">
        <v>1</v>
      </c>
      <c r="H485">
        <v>1</v>
      </c>
      <c r="I485">
        <v>1</v>
      </c>
      <c r="J485">
        <v>2</v>
      </c>
      <c r="K485">
        <v>2</v>
      </c>
      <c r="O485">
        <v>1</v>
      </c>
      <c r="P485">
        <v>2</v>
      </c>
      <c r="R485">
        <v>3</v>
      </c>
      <c r="S485">
        <v>1</v>
      </c>
      <c r="W485" s="8">
        <f t="shared" si="336"/>
        <v>-0.33333333333333331</v>
      </c>
      <c r="X485" s="8">
        <f t="shared" si="337"/>
        <v>1.5</v>
      </c>
      <c r="Y485" s="8">
        <f t="shared" si="338"/>
        <v>-0.8</v>
      </c>
      <c r="Z485" s="8">
        <f t="shared" si="339"/>
        <v>-1</v>
      </c>
      <c r="AA485" s="8" t="e">
        <f t="shared" si="340"/>
        <v>#DIV/0!</v>
      </c>
      <c r="AB485" s="8" t="e">
        <f t="shared" si="341"/>
        <v>#DIV/0!</v>
      </c>
      <c r="AC485" s="12" t="e">
        <f t="shared" si="342"/>
        <v>#DIV/0!</v>
      </c>
      <c r="AD485" s="12" t="e">
        <f t="shared" si="343"/>
        <v>#DIV/0!</v>
      </c>
      <c r="AE485" s="1">
        <f t="shared" si="344"/>
        <v>-1</v>
      </c>
      <c r="AF485" s="1">
        <f t="shared" si="345"/>
        <v>3</v>
      </c>
      <c r="AG485" s="1">
        <f t="shared" si="346"/>
        <v>-4</v>
      </c>
      <c r="AH485" s="1">
        <f t="shared" si="347"/>
        <v>-1</v>
      </c>
      <c r="AI485" s="1">
        <f t="shared" si="348"/>
        <v>0</v>
      </c>
      <c r="AJ485" s="1">
        <f t="shared" si="349"/>
        <v>1</v>
      </c>
      <c r="AK485" s="17">
        <f t="shared" si="350"/>
        <v>-0.33333333333333331</v>
      </c>
      <c r="AL485" s="17">
        <f t="shared" si="351"/>
        <v>-0.5</v>
      </c>
      <c r="AM485" s="1">
        <f t="shared" si="352"/>
        <v>1</v>
      </c>
      <c r="AN485" s="1">
        <f t="shared" si="353"/>
        <v>0</v>
      </c>
      <c r="AO485" s="1">
        <f t="shared" si="354"/>
        <v>-1</v>
      </c>
      <c r="AP485" s="1" t="e">
        <f t="shared" si="355"/>
        <v>#DIV/0!</v>
      </c>
      <c r="AQ485" s="1" t="e">
        <f t="shared" si="356"/>
        <v>#DIV/0!</v>
      </c>
      <c r="AR485" s="1" t="e">
        <f t="shared" si="357"/>
        <v>#DIV/0!</v>
      </c>
      <c r="AS485" s="12" t="e">
        <f t="shared" si="358"/>
        <v>#DIV/0!</v>
      </c>
      <c r="AT485" s="12" t="e">
        <f t="shared" si="359"/>
        <v>#DIV/0!</v>
      </c>
      <c r="AU485" s="1">
        <f t="shared" si="360"/>
        <v>1</v>
      </c>
      <c r="AV485" s="1">
        <f t="shared" si="361"/>
        <v>0</v>
      </c>
      <c r="AW485" s="1">
        <f t="shared" si="362"/>
        <v>-2</v>
      </c>
      <c r="AX485" s="1">
        <f t="shared" si="363"/>
        <v>0</v>
      </c>
      <c r="AY485" s="1">
        <f t="shared" si="364"/>
        <v>0</v>
      </c>
      <c r="AZ485" s="1">
        <f t="shared" si="365"/>
        <v>1</v>
      </c>
      <c r="BA485" s="19">
        <f t="shared" si="366"/>
        <v>0</v>
      </c>
      <c r="BB485" s="19">
        <f t="shared" si="367"/>
        <v>0</v>
      </c>
      <c r="BC485" s="9">
        <f t="shared" si="368"/>
        <v>-1</v>
      </c>
      <c r="BD485" s="9" t="e">
        <f t="shared" si="369"/>
        <v>#DIV/0!</v>
      </c>
      <c r="BE485" s="9">
        <f t="shared" si="370"/>
        <v>-0.66666666666666663</v>
      </c>
      <c r="BF485" s="9">
        <f t="shared" si="371"/>
        <v>-1</v>
      </c>
      <c r="BG485" s="9" t="e">
        <f t="shared" si="372"/>
        <v>#DIV/0!</v>
      </c>
      <c r="BH485" s="9" t="e">
        <f t="shared" si="373"/>
        <v>#DIV/0!</v>
      </c>
      <c r="BI485" s="12" t="e">
        <f t="shared" si="374"/>
        <v>#DIV/0!</v>
      </c>
      <c r="BJ485" s="13" t="e">
        <f t="shared" si="375"/>
        <v>#DIV/0!</v>
      </c>
      <c r="BK485" s="1">
        <f t="shared" si="376"/>
        <v>-2</v>
      </c>
      <c r="BL485" s="1">
        <f t="shared" si="377"/>
        <v>3</v>
      </c>
      <c r="BM485" s="1">
        <f t="shared" si="378"/>
        <v>-2</v>
      </c>
      <c r="BN485" s="1">
        <f t="shared" si="379"/>
        <v>-1</v>
      </c>
      <c r="BO485" s="1">
        <f t="shared" si="380"/>
        <v>0</v>
      </c>
      <c r="BP485" s="1">
        <f t="shared" si="381"/>
        <v>0</v>
      </c>
      <c r="BQ485" s="19">
        <f t="shared" si="382"/>
        <v>-0.33333333333333331</v>
      </c>
      <c r="BR485" s="17">
        <f t="shared" si="383"/>
        <v>-0.5</v>
      </c>
    </row>
    <row r="486" spans="1:70" x14ac:dyDescent="0.25">
      <c r="A486" t="s">
        <v>440</v>
      </c>
      <c r="B486">
        <v>3</v>
      </c>
      <c r="C486">
        <v>4</v>
      </c>
      <c r="D486">
        <v>1</v>
      </c>
      <c r="E486">
        <v>4</v>
      </c>
      <c r="G486">
        <v>4</v>
      </c>
      <c r="H486">
        <v>1</v>
      </c>
      <c r="I486">
        <v>3</v>
      </c>
      <c r="J486">
        <v>3</v>
      </c>
      <c r="K486">
        <v>1</v>
      </c>
      <c r="L486">
        <v>2</v>
      </c>
      <c r="N486">
        <v>1</v>
      </c>
      <c r="Q486">
        <v>1</v>
      </c>
      <c r="S486">
        <v>2</v>
      </c>
      <c r="U486">
        <v>3</v>
      </c>
      <c r="V486">
        <v>1</v>
      </c>
      <c r="W486" s="8">
        <f t="shared" si="336"/>
        <v>0.33333333333333331</v>
      </c>
      <c r="X486" s="8">
        <f t="shared" si="337"/>
        <v>-0.75</v>
      </c>
      <c r="Y486" s="8">
        <f t="shared" si="338"/>
        <v>3</v>
      </c>
      <c r="Z486" s="8">
        <f t="shared" si="339"/>
        <v>-1</v>
      </c>
      <c r="AA486" s="8" t="e">
        <f t="shared" si="340"/>
        <v>#DIV/0!</v>
      </c>
      <c r="AB486" s="8">
        <f t="shared" si="341"/>
        <v>-0.75</v>
      </c>
      <c r="AC486" s="12" t="e">
        <f t="shared" si="342"/>
        <v>#DIV/0!</v>
      </c>
      <c r="AD486" s="12" t="e">
        <f t="shared" si="343"/>
        <v>#DIV/0!</v>
      </c>
      <c r="AE486" s="1">
        <f t="shared" si="344"/>
        <v>1</v>
      </c>
      <c r="AF486" s="1">
        <f t="shared" si="345"/>
        <v>-3</v>
      </c>
      <c r="AG486" s="1">
        <f t="shared" si="346"/>
        <v>3</v>
      </c>
      <c r="AH486" s="1">
        <f t="shared" si="347"/>
        <v>-4</v>
      </c>
      <c r="AI486" s="1">
        <f t="shared" si="348"/>
        <v>4</v>
      </c>
      <c r="AJ486" s="1">
        <f t="shared" si="349"/>
        <v>-3</v>
      </c>
      <c r="AK486" s="17">
        <f t="shared" si="350"/>
        <v>-0.33333333333333331</v>
      </c>
      <c r="AL486" s="17">
        <f t="shared" si="351"/>
        <v>-1</v>
      </c>
      <c r="AM486" s="1">
        <f t="shared" si="352"/>
        <v>0</v>
      </c>
      <c r="AN486" s="1">
        <f t="shared" si="353"/>
        <v>-0.66666666666666663</v>
      </c>
      <c r="AO486" s="1">
        <f t="shared" si="354"/>
        <v>1</v>
      </c>
      <c r="AP486" s="1">
        <f t="shared" si="355"/>
        <v>-1</v>
      </c>
      <c r="AQ486" s="1" t="e">
        <f t="shared" si="356"/>
        <v>#DIV/0!</v>
      </c>
      <c r="AR486" s="1">
        <f t="shared" si="357"/>
        <v>-1</v>
      </c>
      <c r="AS486" s="12" t="e">
        <f t="shared" si="358"/>
        <v>#DIV/0!</v>
      </c>
      <c r="AT486" s="12" t="e">
        <f t="shared" si="359"/>
        <v>#DIV/0!</v>
      </c>
      <c r="AU486" s="1">
        <f t="shared" si="360"/>
        <v>0</v>
      </c>
      <c r="AV486" s="1">
        <f t="shared" si="361"/>
        <v>-2</v>
      </c>
      <c r="AW486" s="1">
        <f t="shared" si="362"/>
        <v>1</v>
      </c>
      <c r="AX486" s="1">
        <f t="shared" si="363"/>
        <v>-2</v>
      </c>
      <c r="AY486" s="1">
        <f t="shared" si="364"/>
        <v>1</v>
      </c>
      <c r="AZ486" s="1">
        <f t="shared" si="365"/>
        <v>-1</v>
      </c>
      <c r="BA486" s="19">
        <f t="shared" si="366"/>
        <v>-0.5</v>
      </c>
      <c r="BB486" s="19">
        <f t="shared" si="367"/>
        <v>-0.5</v>
      </c>
      <c r="BC486" s="9" t="e">
        <f t="shared" si="368"/>
        <v>#DIV/0!</v>
      </c>
      <c r="BD486" s="9">
        <f t="shared" si="369"/>
        <v>-1</v>
      </c>
      <c r="BE486" s="9" t="e">
        <f t="shared" si="370"/>
        <v>#DIV/0!</v>
      </c>
      <c r="BF486" s="9">
        <f t="shared" si="371"/>
        <v>-1</v>
      </c>
      <c r="BG486" s="9" t="e">
        <f t="shared" si="372"/>
        <v>#DIV/0!</v>
      </c>
      <c r="BH486" s="9">
        <f t="shared" si="373"/>
        <v>-0.66666666666666663</v>
      </c>
      <c r="BI486" s="12" t="e">
        <f t="shared" si="374"/>
        <v>#DIV/0!</v>
      </c>
      <c r="BJ486" s="13" t="e">
        <f t="shared" si="375"/>
        <v>#DIV/0!</v>
      </c>
      <c r="BK486" s="1">
        <f t="shared" si="376"/>
        <v>1</v>
      </c>
      <c r="BL486" s="1">
        <f t="shared" si="377"/>
        <v>-1</v>
      </c>
      <c r="BM486" s="1">
        <f t="shared" si="378"/>
        <v>2</v>
      </c>
      <c r="BN486" s="1">
        <f t="shared" si="379"/>
        <v>-2</v>
      </c>
      <c r="BO486" s="1">
        <f t="shared" si="380"/>
        <v>3</v>
      </c>
      <c r="BP486" s="1">
        <f t="shared" si="381"/>
        <v>-2</v>
      </c>
      <c r="BQ486" s="19">
        <f t="shared" si="382"/>
        <v>0.16666666666666666</v>
      </c>
      <c r="BR486" s="17">
        <f t="shared" si="383"/>
        <v>0</v>
      </c>
    </row>
    <row r="487" spans="1:70" x14ac:dyDescent="0.25">
      <c r="A487" t="s">
        <v>441</v>
      </c>
      <c r="B487">
        <v>3</v>
      </c>
      <c r="C487">
        <v>4</v>
      </c>
      <c r="D487">
        <v>4</v>
      </c>
      <c r="F487">
        <v>1</v>
      </c>
      <c r="G487">
        <v>2</v>
      </c>
      <c r="H487">
        <v>1</v>
      </c>
      <c r="I487">
        <v>1</v>
      </c>
      <c r="J487">
        <v>3</v>
      </c>
      <c r="K487">
        <v>3</v>
      </c>
      <c r="M487">
        <v>1</v>
      </c>
      <c r="P487">
        <v>2</v>
      </c>
      <c r="Q487">
        <v>1</v>
      </c>
      <c r="R487">
        <v>1</v>
      </c>
      <c r="U487">
        <v>2</v>
      </c>
      <c r="V487">
        <v>1</v>
      </c>
      <c r="W487" s="8">
        <f t="shared" si="336"/>
        <v>0.33333333333333331</v>
      </c>
      <c r="X487" s="8">
        <f t="shared" si="337"/>
        <v>0</v>
      </c>
      <c r="Y487" s="8">
        <f t="shared" si="338"/>
        <v>-1</v>
      </c>
      <c r="Z487" s="8" t="e">
        <f t="shared" si="339"/>
        <v>#DIV/0!</v>
      </c>
      <c r="AA487" s="8">
        <f t="shared" si="340"/>
        <v>1</v>
      </c>
      <c r="AB487" s="8">
        <f t="shared" si="341"/>
        <v>-0.5</v>
      </c>
      <c r="AC487" s="12" t="e">
        <f t="shared" si="342"/>
        <v>#DIV/0!</v>
      </c>
      <c r="AD487" s="12" t="e">
        <f t="shared" si="343"/>
        <v>#DIV/0!</v>
      </c>
      <c r="AE487" s="1">
        <f t="shared" si="344"/>
        <v>1</v>
      </c>
      <c r="AF487" s="1">
        <f t="shared" si="345"/>
        <v>0</v>
      </c>
      <c r="AG487" s="1">
        <f t="shared" si="346"/>
        <v>-4</v>
      </c>
      <c r="AH487" s="1">
        <f t="shared" si="347"/>
        <v>1</v>
      </c>
      <c r="AI487" s="1">
        <f t="shared" si="348"/>
        <v>1</v>
      </c>
      <c r="AJ487" s="1">
        <f t="shared" si="349"/>
        <v>-1</v>
      </c>
      <c r="AK487" s="17">
        <f t="shared" si="350"/>
        <v>-0.33333333333333331</v>
      </c>
      <c r="AL487" s="17">
        <f t="shared" si="351"/>
        <v>0.5</v>
      </c>
      <c r="AM487" s="1">
        <f t="shared" si="352"/>
        <v>2</v>
      </c>
      <c r="AN487" s="1">
        <f t="shared" si="353"/>
        <v>0</v>
      </c>
      <c r="AO487" s="1">
        <f t="shared" si="354"/>
        <v>-1</v>
      </c>
      <c r="AP487" s="1" t="e">
        <f t="shared" si="355"/>
        <v>#DIV/0!</v>
      </c>
      <c r="AQ487" s="1">
        <f t="shared" si="356"/>
        <v>-1</v>
      </c>
      <c r="AR487" s="1" t="e">
        <f t="shared" si="357"/>
        <v>#DIV/0!</v>
      </c>
      <c r="AS487" s="12" t="e">
        <f t="shared" si="358"/>
        <v>#DIV/0!</v>
      </c>
      <c r="AT487" s="12" t="e">
        <f t="shared" si="359"/>
        <v>#DIV/0!</v>
      </c>
      <c r="AU487" s="1">
        <f t="shared" si="360"/>
        <v>2</v>
      </c>
      <c r="AV487" s="1">
        <f t="shared" si="361"/>
        <v>0</v>
      </c>
      <c r="AW487" s="1">
        <f t="shared" si="362"/>
        <v>-3</v>
      </c>
      <c r="AX487" s="1">
        <f t="shared" si="363"/>
        <v>1</v>
      </c>
      <c r="AY487" s="1">
        <f t="shared" si="364"/>
        <v>-1</v>
      </c>
      <c r="AZ487" s="1">
        <f t="shared" si="365"/>
        <v>0</v>
      </c>
      <c r="BA487" s="19">
        <f t="shared" si="366"/>
        <v>-0.16666666666666666</v>
      </c>
      <c r="BB487" s="19">
        <f t="shared" si="367"/>
        <v>0</v>
      </c>
      <c r="BC487" s="9">
        <f t="shared" si="368"/>
        <v>-0.5</v>
      </c>
      <c r="BD487" s="9">
        <f t="shared" si="369"/>
        <v>0</v>
      </c>
      <c r="BE487" s="9">
        <f t="shared" si="370"/>
        <v>-1</v>
      </c>
      <c r="BF487" s="9" t="e">
        <f t="shared" si="371"/>
        <v>#DIV/0!</v>
      </c>
      <c r="BG487" s="9" t="e">
        <f t="shared" si="372"/>
        <v>#DIV/0!</v>
      </c>
      <c r="BH487" s="9">
        <f t="shared" si="373"/>
        <v>-0.5</v>
      </c>
      <c r="BI487" s="12" t="e">
        <f t="shared" si="374"/>
        <v>#DIV/0!</v>
      </c>
      <c r="BJ487" s="13" t="e">
        <f t="shared" si="375"/>
        <v>#DIV/0!</v>
      </c>
      <c r="BK487" s="1">
        <f t="shared" si="376"/>
        <v>-1</v>
      </c>
      <c r="BL487" s="1">
        <f t="shared" si="377"/>
        <v>0</v>
      </c>
      <c r="BM487" s="1">
        <f t="shared" si="378"/>
        <v>-1</v>
      </c>
      <c r="BN487" s="1">
        <f t="shared" si="379"/>
        <v>0</v>
      </c>
      <c r="BO487" s="1">
        <f t="shared" si="380"/>
        <v>2</v>
      </c>
      <c r="BP487" s="1">
        <f t="shared" si="381"/>
        <v>-1</v>
      </c>
      <c r="BQ487" s="19">
        <f t="shared" si="382"/>
        <v>-0.16666666666666666</v>
      </c>
      <c r="BR487" s="17">
        <f t="shared" si="383"/>
        <v>-0.5</v>
      </c>
    </row>
    <row r="488" spans="1:70" x14ac:dyDescent="0.25">
      <c r="A488" t="s">
        <v>448</v>
      </c>
      <c r="B488">
        <v>2</v>
      </c>
      <c r="I488">
        <v>1</v>
      </c>
      <c r="P488">
        <v>1</v>
      </c>
      <c r="W488" s="8">
        <f t="shared" si="336"/>
        <v>-1</v>
      </c>
      <c r="X488" s="8" t="e">
        <f t="shared" si="337"/>
        <v>#DIV/0!</v>
      </c>
      <c r="Y488" s="8" t="e">
        <f t="shared" si="338"/>
        <v>#DIV/0!</v>
      </c>
      <c r="Z488" s="8" t="e">
        <f t="shared" si="339"/>
        <v>#DIV/0!</v>
      </c>
      <c r="AA488" s="8" t="e">
        <f t="shared" si="340"/>
        <v>#DIV/0!</v>
      </c>
      <c r="AB488" s="8" t="e">
        <f t="shared" si="341"/>
        <v>#DIV/0!</v>
      </c>
      <c r="AC488" s="12" t="e">
        <f t="shared" si="342"/>
        <v>#DIV/0!</v>
      </c>
      <c r="AD488" s="12" t="e">
        <f t="shared" si="343"/>
        <v>#DIV/0!</v>
      </c>
      <c r="AE488" s="1">
        <f t="shared" si="344"/>
        <v>-2</v>
      </c>
      <c r="AF488" s="1">
        <f t="shared" si="345"/>
        <v>0</v>
      </c>
      <c r="AG488" s="1">
        <f t="shared" si="346"/>
        <v>0</v>
      </c>
      <c r="AH488" s="1">
        <f t="shared" si="347"/>
        <v>0</v>
      </c>
      <c r="AI488" s="1">
        <f t="shared" si="348"/>
        <v>0</v>
      </c>
      <c r="AJ488" s="1">
        <f t="shared" si="349"/>
        <v>0</v>
      </c>
      <c r="AK488" s="17">
        <f t="shared" si="350"/>
        <v>-0.33333333333333331</v>
      </c>
      <c r="AL488" s="17">
        <f t="shared" si="351"/>
        <v>0</v>
      </c>
      <c r="AM488" s="1">
        <f t="shared" si="352"/>
        <v>-1</v>
      </c>
      <c r="AN488" s="1" t="e">
        <f t="shared" si="353"/>
        <v>#DIV/0!</v>
      </c>
      <c r="AO488" s="1" t="e">
        <f t="shared" si="354"/>
        <v>#DIV/0!</v>
      </c>
      <c r="AP488" s="1" t="e">
        <f t="shared" si="355"/>
        <v>#DIV/0!</v>
      </c>
      <c r="AQ488" s="1" t="e">
        <f t="shared" si="356"/>
        <v>#DIV/0!</v>
      </c>
      <c r="AR488" s="1" t="e">
        <f t="shared" si="357"/>
        <v>#DIV/0!</v>
      </c>
      <c r="AS488" s="12" t="e">
        <f t="shared" si="358"/>
        <v>#DIV/0!</v>
      </c>
      <c r="AT488" s="12" t="e">
        <f t="shared" si="359"/>
        <v>#DIV/0!</v>
      </c>
      <c r="AU488" s="1">
        <f t="shared" si="360"/>
        <v>-1</v>
      </c>
      <c r="AV488" s="1">
        <f t="shared" si="361"/>
        <v>0</v>
      </c>
      <c r="AW488" s="1">
        <f t="shared" si="362"/>
        <v>0</v>
      </c>
      <c r="AX488" s="1">
        <f t="shared" si="363"/>
        <v>0</v>
      </c>
      <c r="AY488" s="1">
        <f t="shared" si="364"/>
        <v>0</v>
      </c>
      <c r="AZ488" s="1">
        <f t="shared" si="365"/>
        <v>0</v>
      </c>
      <c r="BA488" s="19">
        <f t="shared" si="366"/>
        <v>-0.16666666666666666</v>
      </c>
      <c r="BB488" s="19">
        <f t="shared" si="367"/>
        <v>0</v>
      </c>
      <c r="BC488" s="9">
        <f t="shared" si="368"/>
        <v>-1</v>
      </c>
      <c r="BD488" s="9" t="e">
        <f t="shared" si="369"/>
        <v>#DIV/0!</v>
      </c>
      <c r="BE488" s="9" t="e">
        <f t="shared" si="370"/>
        <v>#DIV/0!</v>
      </c>
      <c r="BF488" s="9" t="e">
        <f t="shared" si="371"/>
        <v>#DIV/0!</v>
      </c>
      <c r="BG488" s="9" t="e">
        <f t="shared" si="372"/>
        <v>#DIV/0!</v>
      </c>
      <c r="BH488" s="9" t="e">
        <f t="shared" si="373"/>
        <v>#DIV/0!</v>
      </c>
      <c r="BI488" s="12" t="e">
        <f t="shared" si="374"/>
        <v>#DIV/0!</v>
      </c>
      <c r="BJ488" s="13" t="e">
        <f t="shared" si="375"/>
        <v>#DIV/0!</v>
      </c>
      <c r="BK488" s="1">
        <f t="shared" si="376"/>
        <v>-1</v>
      </c>
      <c r="BL488" s="1">
        <f t="shared" si="377"/>
        <v>0</v>
      </c>
      <c r="BM488" s="1">
        <f t="shared" si="378"/>
        <v>0</v>
      </c>
      <c r="BN488" s="1">
        <f t="shared" si="379"/>
        <v>0</v>
      </c>
      <c r="BO488" s="1">
        <f t="shared" si="380"/>
        <v>0</v>
      </c>
      <c r="BP488" s="1">
        <f t="shared" si="381"/>
        <v>0</v>
      </c>
      <c r="BQ488" s="19">
        <f t="shared" si="382"/>
        <v>-0.16666666666666666</v>
      </c>
      <c r="BR488" s="17">
        <f t="shared" si="383"/>
        <v>0</v>
      </c>
    </row>
    <row r="489" spans="1:70" x14ac:dyDescent="0.25">
      <c r="A489" t="s">
        <v>457</v>
      </c>
      <c r="B489">
        <v>2</v>
      </c>
      <c r="D489">
        <v>2</v>
      </c>
      <c r="E489">
        <v>2</v>
      </c>
      <c r="F489">
        <v>4</v>
      </c>
      <c r="I489">
        <v>1</v>
      </c>
      <c r="K489">
        <v>1</v>
      </c>
      <c r="L489">
        <v>2</v>
      </c>
      <c r="M489">
        <v>2</v>
      </c>
      <c r="P489">
        <v>1</v>
      </c>
      <c r="R489">
        <v>1</v>
      </c>
      <c r="T489">
        <v>2</v>
      </c>
      <c r="W489" s="8">
        <f t="shared" si="336"/>
        <v>-1</v>
      </c>
      <c r="X489" s="8" t="e">
        <f t="shared" si="337"/>
        <v>#DIV/0!</v>
      </c>
      <c r="Y489" s="8">
        <f t="shared" si="338"/>
        <v>0</v>
      </c>
      <c r="Z489" s="8">
        <f t="shared" si="339"/>
        <v>1</v>
      </c>
      <c r="AA489" s="8">
        <f t="shared" si="340"/>
        <v>-1</v>
      </c>
      <c r="AB489" s="8" t="e">
        <f t="shared" si="341"/>
        <v>#DIV/0!</v>
      </c>
      <c r="AC489" s="12" t="e">
        <f t="shared" si="342"/>
        <v>#DIV/0!</v>
      </c>
      <c r="AD489" s="12" t="e">
        <f t="shared" si="343"/>
        <v>#DIV/0!</v>
      </c>
      <c r="AE489" s="1">
        <f t="shared" si="344"/>
        <v>-2</v>
      </c>
      <c r="AF489" s="1">
        <f t="shared" si="345"/>
        <v>2</v>
      </c>
      <c r="AG489" s="1">
        <f t="shared" si="346"/>
        <v>0</v>
      </c>
      <c r="AH489" s="1">
        <f t="shared" si="347"/>
        <v>2</v>
      </c>
      <c r="AI489" s="1">
        <f t="shared" si="348"/>
        <v>-4</v>
      </c>
      <c r="AJ489" s="1">
        <f t="shared" si="349"/>
        <v>0</v>
      </c>
      <c r="AK489" s="17">
        <f t="shared" si="350"/>
        <v>-0.33333333333333331</v>
      </c>
      <c r="AL489" s="17">
        <f t="shared" si="351"/>
        <v>0</v>
      </c>
      <c r="AM489" s="1">
        <f t="shared" si="352"/>
        <v>-1</v>
      </c>
      <c r="AN489" s="1" t="e">
        <f t="shared" si="353"/>
        <v>#DIV/0!</v>
      </c>
      <c r="AO489" s="1">
        <f t="shared" si="354"/>
        <v>1</v>
      </c>
      <c r="AP489" s="1">
        <f t="shared" si="355"/>
        <v>0</v>
      </c>
      <c r="AQ489" s="1">
        <f t="shared" si="356"/>
        <v>-1</v>
      </c>
      <c r="AR489" s="1" t="e">
        <f t="shared" si="357"/>
        <v>#DIV/0!</v>
      </c>
      <c r="AS489" s="12" t="e">
        <f t="shared" si="358"/>
        <v>#DIV/0!</v>
      </c>
      <c r="AT489" s="12" t="e">
        <f t="shared" si="359"/>
        <v>#DIV/0!</v>
      </c>
      <c r="AU489" s="1">
        <f t="shared" si="360"/>
        <v>-1</v>
      </c>
      <c r="AV489" s="1">
        <f t="shared" si="361"/>
        <v>1</v>
      </c>
      <c r="AW489" s="1">
        <f t="shared" si="362"/>
        <v>1</v>
      </c>
      <c r="AX489" s="1">
        <f t="shared" si="363"/>
        <v>0</v>
      </c>
      <c r="AY489" s="1">
        <f t="shared" si="364"/>
        <v>-2</v>
      </c>
      <c r="AZ489" s="1">
        <f t="shared" si="365"/>
        <v>0</v>
      </c>
      <c r="BA489" s="19">
        <f t="shared" si="366"/>
        <v>-0.16666666666666666</v>
      </c>
      <c r="BB489" s="19">
        <f t="shared" si="367"/>
        <v>0</v>
      </c>
      <c r="BC489" s="9">
        <f t="shared" si="368"/>
        <v>-1</v>
      </c>
      <c r="BD489" s="9" t="e">
        <f t="shared" si="369"/>
        <v>#DIV/0!</v>
      </c>
      <c r="BE489" s="9">
        <f t="shared" si="370"/>
        <v>-1</v>
      </c>
      <c r="BF489" s="9" t="e">
        <f t="shared" si="371"/>
        <v>#DIV/0!</v>
      </c>
      <c r="BG489" s="9">
        <f t="shared" si="372"/>
        <v>-1</v>
      </c>
      <c r="BH489" s="9" t="e">
        <f t="shared" si="373"/>
        <v>#DIV/0!</v>
      </c>
      <c r="BI489" s="12" t="e">
        <f t="shared" si="374"/>
        <v>#DIV/0!</v>
      </c>
      <c r="BJ489" s="13" t="e">
        <f t="shared" si="375"/>
        <v>#DIV/0!</v>
      </c>
      <c r="BK489" s="1">
        <f t="shared" si="376"/>
        <v>-1</v>
      </c>
      <c r="BL489" s="1">
        <f t="shared" si="377"/>
        <v>1</v>
      </c>
      <c r="BM489" s="1">
        <f t="shared" si="378"/>
        <v>-1</v>
      </c>
      <c r="BN489" s="1">
        <f t="shared" si="379"/>
        <v>2</v>
      </c>
      <c r="BO489" s="1">
        <f t="shared" si="380"/>
        <v>-2</v>
      </c>
      <c r="BP489" s="1">
        <f t="shared" si="381"/>
        <v>0</v>
      </c>
      <c r="BQ489" s="19">
        <f t="shared" si="382"/>
        <v>-0.16666666666666666</v>
      </c>
      <c r="BR489" s="17">
        <f t="shared" si="383"/>
        <v>-0.5</v>
      </c>
    </row>
    <row r="490" spans="1:70" x14ac:dyDescent="0.25">
      <c r="A490" t="s">
        <v>458</v>
      </c>
      <c r="B490">
        <v>2</v>
      </c>
      <c r="C490">
        <v>3</v>
      </c>
      <c r="F490">
        <v>1</v>
      </c>
      <c r="I490">
        <v>1</v>
      </c>
      <c r="J490">
        <v>2</v>
      </c>
      <c r="M490">
        <v>1</v>
      </c>
      <c r="P490">
        <v>1</v>
      </c>
      <c r="Q490">
        <v>1</v>
      </c>
      <c r="W490" s="8">
        <f t="shared" si="336"/>
        <v>0.5</v>
      </c>
      <c r="X490" s="8">
        <f t="shared" si="337"/>
        <v>-1</v>
      </c>
      <c r="Y490" s="8" t="e">
        <f t="shared" si="338"/>
        <v>#DIV/0!</v>
      </c>
      <c r="Z490" s="8" t="e">
        <f t="shared" si="339"/>
        <v>#DIV/0!</v>
      </c>
      <c r="AA490" s="8">
        <f t="shared" si="340"/>
        <v>-1</v>
      </c>
      <c r="AB490" s="8" t="e">
        <f t="shared" si="341"/>
        <v>#DIV/0!</v>
      </c>
      <c r="AC490" s="12" t="e">
        <f t="shared" si="342"/>
        <v>#DIV/0!</v>
      </c>
      <c r="AD490" s="12" t="e">
        <f t="shared" si="343"/>
        <v>#DIV/0!</v>
      </c>
      <c r="AE490" s="1">
        <f t="shared" si="344"/>
        <v>1</v>
      </c>
      <c r="AF490" s="1">
        <f t="shared" si="345"/>
        <v>-3</v>
      </c>
      <c r="AG490" s="1">
        <f t="shared" si="346"/>
        <v>0</v>
      </c>
      <c r="AH490" s="1">
        <f t="shared" si="347"/>
        <v>1</v>
      </c>
      <c r="AI490" s="1">
        <f t="shared" si="348"/>
        <v>-1</v>
      </c>
      <c r="AJ490" s="1">
        <f t="shared" si="349"/>
        <v>0</v>
      </c>
      <c r="AK490" s="17">
        <f t="shared" si="350"/>
        <v>-0.33333333333333331</v>
      </c>
      <c r="AL490" s="17">
        <f t="shared" si="351"/>
        <v>0</v>
      </c>
      <c r="AM490" s="1">
        <f t="shared" si="352"/>
        <v>1</v>
      </c>
      <c r="AN490" s="1">
        <f t="shared" si="353"/>
        <v>-1</v>
      </c>
      <c r="AO490" s="1" t="e">
        <f t="shared" si="354"/>
        <v>#DIV/0!</v>
      </c>
      <c r="AP490" s="1" t="e">
        <f t="shared" si="355"/>
        <v>#DIV/0!</v>
      </c>
      <c r="AQ490" s="1">
        <f t="shared" si="356"/>
        <v>-1</v>
      </c>
      <c r="AR490" s="1" t="e">
        <f t="shared" si="357"/>
        <v>#DIV/0!</v>
      </c>
      <c r="AS490" s="12" t="e">
        <f t="shared" si="358"/>
        <v>#DIV/0!</v>
      </c>
      <c r="AT490" s="12" t="e">
        <f t="shared" si="359"/>
        <v>#DIV/0!</v>
      </c>
      <c r="AU490" s="1">
        <f t="shared" si="360"/>
        <v>1</v>
      </c>
      <c r="AV490" s="1">
        <f t="shared" si="361"/>
        <v>-2</v>
      </c>
      <c r="AW490" s="1">
        <f t="shared" si="362"/>
        <v>0</v>
      </c>
      <c r="AX490" s="1">
        <f t="shared" si="363"/>
        <v>1</v>
      </c>
      <c r="AY490" s="1">
        <f t="shared" si="364"/>
        <v>-1</v>
      </c>
      <c r="AZ490" s="1">
        <f t="shared" si="365"/>
        <v>0</v>
      </c>
      <c r="BA490" s="19">
        <f t="shared" si="366"/>
        <v>-0.16666666666666666</v>
      </c>
      <c r="BB490" s="19">
        <f t="shared" si="367"/>
        <v>0</v>
      </c>
      <c r="BC490" s="9">
        <f t="shared" si="368"/>
        <v>0</v>
      </c>
      <c r="BD490" s="9">
        <f t="shared" si="369"/>
        <v>-1</v>
      </c>
      <c r="BE490" s="9" t="e">
        <f t="shared" si="370"/>
        <v>#DIV/0!</v>
      </c>
      <c r="BF490" s="9" t="e">
        <f t="shared" si="371"/>
        <v>#DIV/0!</v>
      </c>
      <c r="BG490" s="9" t="e">
        <f t="shared" si="372"/>
        <v>#DIV/0!</v>
      </c>
      <c r="BH490" s="9" t="e">
        <f t="shared" si="373"/>
        <v>#DIV/0!</v>
      </c>
      <c r="BI490" s="12" t="e">
        <f t="shared" si="374"/>
        <v>#DIV/0!</v>
      </c>
      <c r="BJ490" s="13" t="e">
        <f t="shared" si="375"/>
        <v>#DIV/0!</v>
      </c>
      <c r="BK490" s="1">
        <f t="shared" si="376"/>
        <v>0</v>
      </c>
      <c r="BL490" s="1">
        <f t="shared" si="377"/>
        <v>-1</v>
      </c>
      <c r="BM490" s="1">
        <f t="shared" si="378"/>
        <v>0</v>
      </c>
      <c r="BN490" s="1">
        <f t="shared" si="379"/>
        <v>0</v>
      </c>
      <c r="BO490" s="1">
        <f t="shared" si="380"/>
        <v>0</v>
      </c>
      <c r="BP490" s="1">
        <f t="shared" si="381"/>
        <v>0</v>
      </c>
      <c r="BQ490" s="19">
        <f t="shared" si="382"/>
        <v>-0.16666666666666666</v>
      </c>
      <c r="BR490" s="17">
        <f t="shared" si="383"/>
        <v>0</v>
      </c>
    </row>
    <row r="491" spans="1:70" x14ac:dyDescent="0.25">
      <c r="A491" t="s">
        <v>464</v>
      </c>
      <c r="B491">
        <v>2</v>
      </c>
      <c r="C491">
        <v>3</v>
      </c>
      <c r="D491">
        <v>1</v>
      </c>
      <c r="E491">
        <v>3</v>
      </c>
      <c r="F491">
        <v>1</v>
      </c>
      <c r="G491">
        <v>2</v>
      </c>
      <c r="I491">
        <v>1</v>
      </c>
      <c r="J491">
        <v>2</v>
      </c>
      <c r="L491">
        <v>2</v>
      </c>
      <c r="M491">
        <v>1</v>
      </c>
      <c r="N491">
        <v>2</v>
      </c>
      <c r="P491">
        <v>1</v>
      </c>
      <c r="Q491">
        <v>1</v>
      </c>
      <c r="R491">
        <v>1</v>
      </c>
      <c r="S491">
        <v>1</v>
      </c>
      <c r="W491" s="8">
        <f t="shared" si="336"/>
        <v>0.5</v>
      </c>
      <c r="X491" s="8">
        <f t="shared" si="337"/>
        <v>-0.66666666666666663</v>
      </c>
      <c r="Y491" s="8">
        <f t="shared" si="338"/>
        <v>2</v>
      </c>
      <c r="Z491" s="8">
        <f t="shared" si="339"/>
        <v>-0.66666666666666663</v>
      </c>
      <c r="AA491" s="8">
        <f t="shared" si="340"/>
        <v>1</v>
      </c>
      <c r="AB491" s="8">
        <f t="shared" si="341"/>
        <v>-1</v>
      </c>
      <c r="AC491" s="12">
        <f t="shared" si="342"/>
        <v>0.1944444444444445</v>
      </c>
      <c r="AD491" s="12">
        <f t="shared" si="343"/>
        <v>-8.333333333333337E-2</v>
      </c>
      <c r="AE491" s="1">
        <f t="shared" si="344"/>
        <v>1</v>
      </c>
      <c r="AF491" s="1">
        <f t="shared" si="345"/>
        <v>-2</v>
      </c>
      <c r="AG491" s="1">
        <f t="shared" si="346"/>
        <v>2</v>
      </c>
      <c r="AH491" s="1">
        <f t="shared" si="347"/>
        <v>-2</v>
      </c>
      <c r="AI491" s="1">
        <f t="shared" si="348"/>
        <v>1</v>
      </c>
      <c r="AJ491" s="1">
        <f t="shared" si="349"/>
        <v>-2</v>
      </c>
      <c r="AK491" s="17">
        <f t="shared" si="350"/>
        <v>-0.33333333333333331</v>
      </c>
      <c r="AL491" s="17">
        <f t="shared" si="351"/>
        <v>-0.5</v>
      </c>
      <c r="AM491" s="1">
        <f t="shared" si="352"/>
        <v>1</v>
      </c>
      <c r="AN491" s="1">
        <f t="shared" si="353"/>
        <v>-1</v>
      </c>
      <c r="AO491" s="1" t="e">
        <f t="shared" si="354"/>
        <v>#DIV/0!</v>
      </c>
      <c r="AP491" s="1">
        <f t="shared" si="355"/>
        <v>-0.5</v>
      </c>
      <c r="AQ491" s="1">
        <f t="shared" si="356"/>
        <v>1</v>
      </c>
      <c r="AR491" s="1">
        <f t="shared" si="357"/>
        <v>-1</v>
      </c>
      <c r="AS491" s="12" t="e">
        <f t="shared" si="358"/>
        <v>#DIV/0!</v>
      </c>
      <c r="AT491" s="12" t="e">
        <f t="shared" si="359"/>
        <v>#DIV/0!</v>
      </c>
      <c r="AU491" s="1">
        <f t="shared" si="360"/>
        <v>1</v>
      </c>
      <c r="AV491" s="1">
        <f t="shared" si="361"/>
        <v>-2</v>
      </c>
      <c r="AW491" s="1">
        <f t="shared" si="362"/>
        <v>2</v>
      </c>
      <c r="AX491" s="1">
        <f t="shared" si="363"/>
        <v>-1</v>
      </c>
      <c r="AY491" s="1">
        <f t="shared" si="364"/>
        <v>1</v>
      </c>
      <c r="AZ491" s="1">
        <f t="shared" si="365"/>
        <v>-2</v>
      </c>
      <c r="BA491" s="19">
        <f t="shared" si="366"/>
        <v>-0.16666666666666666</v>
      </c>
      <c r="BB491" s="19">
        <f t="shared" si="367"/>
        <v>0</v>
      </c>
      <c r="BC491" s="9">
        <f t="shared" si="368"/>
        <v>0</v>
      </c>
      <c r="BD491" s="9">
        <f t="shared" si="369"/>
        <v>0</v>
      </c>
      <c r="BE491" s="9">
        <f t="shared" si="370"/>
        <v>0</v>
      </c>
      <c r="BF491" s="9">
        <f t="shared" si="371"/>
        <v>-1</v>
      </c>
      <c r="BG491" s="9" t="e">
        <f t="shared" si="372"/>
        <v>#DIV/0!</v>
      </c>
      <c r="BH491" s="9" t="e">
        <f t="shared" si="373"/>
        <v>#DIV/0!</v>
      </c>
      <c r="BI491" s="12" t="e">
        <f t="shared" si="374"/>
        <v>#DIV/0!</v>
      </c>
      <c r="BJ491" s="13" t="e">
        <f t="shared" si="375"/>
        <v>#DIV/0!</v>
      </c>
      <c r="BK491" s="1">
        <f t="shared" si="376"/>
        <v>0</v>
      </c>
      <c r="BL491" s="1">
        <f t="shared" si="377"/>
        <v>0</v>
      </c>
      <c r="BM491" s="1">
        <f t="shared" si="378"/>
        <v>0</v>
      </c>
      <c r="BN491" s="1">
        <f t="shared" si="379"/>
        <v>-1</v>
      </c>
      <c r="BO491" s="1">
        <f t="shared" si="380"/>
        <v>0</v>
      </c>
      <c r="BP491" s="1">
        <f t="shared" si="381"/>
        <v>0</v>
      </c>
      <c r="BQ491" s="19">
        <f t="shared" si="382"/>
        <v>-0.16666666666666666</v>
      </c>
      <c r="BR491" s="17">
        <f t="shared" si="383"/>
        <v>0</v>
      </c>
    </row>
    <row r="492" spans="1:70" x14ac:dyDescent="0.25">
      <c r="A492" t="s">
        <v>465</v>
      </c>
      <c r="B492">
        <v>2</v>
      </c>
      <c r="E492">
        <v>2</v>
      </c>
      <c r="I492">
        <v>1</v>
      </c>
      <c r="L492">
        <v>1</v>
      </c>
      <c r="P492">
        <v>1</v>
      </c>
      <c r="S492">
        <v>1</v>
      </c>
      <c r="W492" s="8">
        <f t="shared" si="336"/>
        <v>-1</v>
      </c>
      <c r="X492" s="8" t="e">
        <f t="shared" si="337"/>
        <v>#DIV/0!</v>
      </c>
      <c r="Y492" s="8" t="e">
        <f t="shared" si="338"/>
        <v>#DIV/0!</v>
      </c>
      <c r="Z492" s="8">
        <f t="shared" si="339"/>
        <v>-1</v>
      </c>
      <c r="AA492" s="8" t="e">
        <f t="shared" si="340"/>
        <v>#DIV/0!</v>
      </c>
      <c r="AB492" s="8" t="e">
        <f t="shared" si="341"/>
        <v>#DIV/0!</v>
      </c>
      <c r="AC492" s="12" t="e">
        <f t="shared" si="342"/>
        <v>#DIV/0!</v>
      </c>
      <c r="AD492" s="12" t="e">
        <f t="shared" si="343"/>
        <v>#DIV/0!</v>
      </c>
      <c r="AE492" s="1">
        <f t="shared" si="344"/>
        <v>-2</v>
      </c>
      <c r="AF492" s="1">
        <f t="shared" si="345"/>
        <v>0</v>
      </c>
      <c r="AG492" s="1">
        <f t="shared" si="346"/>
        <v>2</v>
      </c>
      <c r="AH492" s="1">
        <f t="shared" si="347"/>
        <v>-2</v>
      </c>
      <c r="AI492" s="1">
        <f t="shared" si="348"/>
        <v>0</v>
      </c>
      <c r="AJ492" s="1">
        <f t="shared" si="349"/>
        <v>0</v>
      </c>
      <c r="AK492" s="17">
        <f t="shared" si="350"/>
        <v>-0.33333333333333331</v>
      </c>
      <c r="AL492" s="17">
        <f t="shared" si="351"/>
        <v>0</v>
      </c>
      <c r="AM492" s="1">
        <f t="shared" si="352"/>
        <v>-1</v>
      </c>
      <c r="AN492" s="1" t="e">
        <f t="shared" si="353"/>
        <v>#DIV/0!</v>
      </c>
      <c r="AO492" s="1" t="e">
        <f t="shared" si="354"/>
        <v>#DIV/0!</v>
      </c>
      <c r="AP492" s="1">
        <f t="shared" si="355"/>
        <v>-1</v>
      </c>
      <c r="AQ492" s="1" t="e">
        <f t="shared" si="356"/>
        <v>#DIV/0!</v>
      </c>
      <c r="AR492" s="1" t="e">
        <f t="shared" si="357"/>
        <v>#DIV/0!</v>
      </c>
      <c r="AS492" s="12" t="e">
        <f t="shared" si="358"/>
        <v>#DIV/0!</v>
      </c>
      <c r="AT492" s="12" t="e">
        <f t="shared" si="359"/>
        <v>#DIV/0!</v>
      </c>
      <c r="AU492" s="1">
        <f t="shared" si="360"/>
        <v>-1</v>
      </c>
      <c r="AV492" s="1">
        <f t="shared" si="361"/>
        <v>0</v>
      </c>
      <c r="AW492" s="1">
        <f t="shared" si="362"/>
        <v>1</v>
      </c>
      <c r="AX492" s="1">
        <f t="shared" si="363"/>
        <v>-1</v>
      </c>
      <c r="AY492" s="1">
        <f t="shared" si="364"/>
        <v>0</v>
      </c>
      <c r="AZ492" s="1">
        <f t="shared" si="365"/>
        <v>0</v>
      </c>
      <c r="BA492" s="19">
        <f t="shared" si="366"/>
        <v>-0.16666666666666666</v>
      </c>
      <c r="BB492" s="19">
        <f t="shared" si="367"/>
        <v>0</v>
      </c>
      <c r="BC492" s="9">
        <f t="shared" si="368"/>
        <v>-1</v>
      </c>
      <c r="BD492" s="9" t="e">
        <f t="shared" si="369"/>
        <v>#DIV/0!</v>
      </c>
      <c r="BE492" s="9" t="e">
        <f t="shared" si="370"/>
        <v>#DIV/0!</v>
      </c>
      <c r="BF492" s="9">
        <f t="shared" si="371"/>
        <v>-1</v>
      </c>
      <c r="BG492" s="9" t="e">
        <f t="shared" si="372"/>
        <v>#DIV/0!</v>
      </c>
      <c r="BH492" s="9" t="e">
        <f t="shared" si="373"/>
        <v>#DIV/0!</v>
      </c>
      <c r="BI492" s="12" t="e">
        <f t="shared" si="374"/>
        <v>#DIV/0!</v>
      </c>
      <c r="BJ492" s="13" t="e">
        <f t="shared" si="375"/>
        <v>#DIV/0!</v>
      </c>
      <c r="BK492" s="1">
        <f t="shared" si="376"/>
        <v>-1</v>
      </c>
      <c r="BL492" s="1">
        <f t="shared" si="377"/>
        <v>0</v>
      </c>
      <c r="BM492" s="1">
        <f t="shared" si="378"/>
        <v>1</v>
      </c>
      <c r="BN492" s="1">
        <f t="shared" si="379"/>
        <v>-1</v>
      </c>
      <c r="BO492" s="1">
        <f t="shared" si="380"/>
        <v>0</v>
      </c>
      <c r="BP492" s="1">
        <f t="shared" si="381"/>
        <v>0</v>
      </c>
      <c r="BQ492" s="19">
        <f t="shared" si="382"/>
        <v>-0.16666666666666666</v>
      </c>
      <c r="BR492" s="17">
        <f t="shared" si="383"/>
        <v>0</v>
      </c>
    </row>
    <row r="493" spans="1:70" x14ac:dyDescent="0.25">
      <c r="A493" t="s">
        <v>470</v>
      </c>
      <c r="B493">
        <v>2</v>
      </c>
      <c r="E493">
        <v>2</v>
      </c>
      <c r="I493">
        <v>1</v>
      </c>
      <c r="P493">
        <v>1</v>
      </c>
      <c r="S493">
        <v>2</v>
      </c>
      <c r="W493" s="8">
        <f t="shared" si="336"/>
        <v>-1</v>
      </c>
      <c r="X493" s="8" t="e">
        <f t="shared" si="337"/>
        <v>#DIV/0!</v>
      </c>
      <c r="Y493" s="8" t="e">
        <f t="shared" si="338"/>
        <v>#DIV/0!</v>
      </c>
      <c r="Z493" s="8">
        <f t="shared" si="339"/>
        <v>-1</v>
      </c>
      <c r="AA493" s="8" t="e">
        <f t="shared" si="340"/>
        <v>#DIV/0!</v>
      </c>
      <c r="AB493" s="8" t="e">
        <f t="shared" si="341"/>
        <v>#DIV/0!</v>
      </c>
      <c r="AC493" s="12" t="e">
        <f t="shared" si="342"/>
        <v>#DIV/0!</v>
      </c>
      <c r="AD493" s="12" t="e">
        <f t="shared" si="343"/>
        <v>#DIV/0!</v>
      </c>
      <c r="AE493" s="1">
        <f t="shared" si="344"/>
        <v>-2</v>
      </c>
      <c r="AF493" s="1">
        <f t="shared" si="345"/>
        <v>0</v>
      </c>
      <c r="AG493" s="1">
        <f t="shared" si="346"/>
        <v>2</v>
      </c>
      <c r="AH493" s="1">
        <f t="shared" si="347"/>
        <v>-2</v>
      </c>
      <c r="AI493" s="1">
        <f t="shared" si="348"/>
        <v>0</v>
      </c>
      <c r="AJ493" s="1">
        <f t="shared" si="349"/>
        <v>0</v>
      </c>
      <c r="AK493" s="17">
        <f t="shared" si="350"/>
        <v>-0.33333333333333331</v>
      </c>
      <c r="AL493" s="17">
        <f t="shared" si="351"/>
        <v>0</v>
      </c>
      <c r="AM493" s="1">
        <f t="shared" si="352"/>
        <v>-1</v>
      </c>
      <c r="AN493" s="1" t="e">
        <f t="shared" si="353"/>
        <v>#DIV/0!</v>
      </c>
      <c r="AO493" s="1" t="e">
        <f t="shared" si="354"/>
        <v>#DIV/0!</v>
      </c>
      <c r="AP493" s="1" t="e">
        <f t="shared" si="355"/>
        <v>#DIV/0!</v>
      </c>
      <c r="AQ493" s="1" t="e">
        <f t="shared" si="356"/>
        <v>#DIV/0!</v>
      </c>
      <c r="AR493" s="1" t="e">
        <f t="shared" si="357"/>
        <v>#DIV/0!</v>
      </c>
      <c r="AS493" s="12" t="e">
        <f t="shared" si="358"/>
        <v>#DIV/0!</v>
      </c>
      <c r="AT493" s="12" t="e">
        <f t="shared" si="359"/>
        <v>#DIV/0!</v>
      </c>
      <c r="AU493" s="1">
        <f t="shared" si="360"/>
        <v>-1</v>
      </c>
      <c r="AV493" s="1">
        <f t="shared" si="361"/>
        <v>0</v>
      </c>
      <c r="AW493" s="1">
        <f t="shared" si="362"/>
        <v>0</v>
      </c>
      <c r="AX493" s="1">
        <f t="shared" si="363"/>
        <v>0</v>
      </c>
      <c r="AY493" s="1">
        <f t="shared" si="364"/>
        <v>0</v>
      </c>
      <c r="AZ493" s="1">
        <f t="shared" si="365"/>
        <v>0</v>
      </c>
      <c r="BA493" s="19">
        <f t="shared" si="366"/>
        <v>-0.16666666666666666</v>
      </c>
      <c r="BB493" s="19">
        <f t="shared" si="367"/>
        <v>0</v>
      </c>
      <c r="BC493" s="9">
        <f t="shared" si="368"/>
        <v>-1</v>
      </c>
      <c r="BD493" s="9" t="e">
        <f t="shared" si="369"/>
        <v>#DIV/0!</v>
      </c>
      <c r="BE493" s="9" t="e">
        <f t="shared" si="370"/>
        <v>#DIV/0!</v>
      </c>
      <c r="BF493" s="9">
        <f t="shared" si="371"/>
        <v>-1</v>
      </c>
      <c r="BG493" s="9" t="e">
        <f t="shared" si="372"/>
        <v>#DIV/0!</v>
      </c>
      <c r="BH493" s="9" t="e">
        <f t="shared" si="373"/>
        <v>#DIV/0!</v>
      </c>
      <c r="BI493" s="12" t="e">
        <f t="shared" si="374"/>
        <v>#DIV/0!</v>
      </c>
      <c r="BJ493" s="13" t="e">
        <f t="shared" si="375"/>
        <v>#DIV/0!</v>
      </c>
      <c r="BK493" s="1">
        <f t="shared" si="376"/>
        <v>-1</v>
      </c>
      <c r="BL493" s="1">
        <f t="shared" si="377"/>
        <v>0</v>
      </c>
      <c r="BM493" s="1">
        <f t="shared" si="378"/>
        <v>2</v>
      </c>
      <c r="BN493" s="1">
        <f t="shared" si="379"/>
        <v>-2</v>
      </c>
      <c r="BO493" s="1">
        <f t="shared" si="380"/>
        <v>0</v>
      </c>
      <c r="BP493" s="1">
        <f t="shared" si="381"/>
        <v>0</v>
      </c>
      <c r="BQ493" s="19">
        <f t="shared" si="382"/>
        <v>-0.16666666666666666</v>
      </c>
      <c r="BR493" s="17">
        <f t="shared" si="383"/>
        <v>0</v>
      </c>
    </row>
    <row r="494" spans="1:70" x14ac:dyDescent="0.25">
      <c r="A494" t="s">
        <v>472</v>
      </c>
      <c r="B494">
        <v>2</v>
      </c>
      <c r="C494">
        <v>3</v>
      </c>
      <c r="F494">
        <v>1</v>
      </c>
      <c r="I494">
        <v>1</v>
      </c>
      <c r="M494">
        <v>1</v>
      </c>
      <c r="P494">
        <v>1</v>
      </c>
      <c r="Q494">
        <v>3</v>
      </c>
      <c r="W494" s="8">
        <f t="shared" si="336"/>
        <v>0.5</v>
      </c>
      <c r="X494" s="8">
        <f t="shared" si="337"/>
        <v>-1</v>
      </c>
      <c r="Y494" s="8" t="e">
        <f t="shared" si="338"/>
        <v>#DIV/0!</v>
      </c>
      <c r="Z494" s="8" t="e">
        <f t="shared" si="339"/>
        <v>#DIV/0!</v>
      </c>
      <c r="AA494" s="8">
        <f t="shared" si="340"/>
        <v>-1</v>
      </c>
      <c r="AB494" s="8" t="e">
        <f t="shared" si="341"/>
        <v>#DIV/0!</v>
      </c>
      <c r="AC494" s="12" t="e">
        <f t="shared" si="342"/>
        <v>#DIV/0!</v>
      </c>
      <c r="AD494" s="12" t="e">
        <f t="shared" si="343"/>
        <v>#DIV/0!</v>
      </c>
      <c r="AE494" s="1">
        <f t="shared" si="344"/>
        <v>1</v>
      </c>
      <c r="AF494" s="1">
        <f t="shared" si="345"/>
        <v>-3</v>
      </c>
      <c r="AG494" s="1">
        <f t="shared" si="346"/>
        <v>0</v>
      </c>
      <c r="AH494" s="1">
        <f t="shared" si="347"/>
        <v>1</v>
      </c>
      <c r="AI494" s="1">
        <f t="shared" si="348"/>
        <v>-1</v>
      </c>
      <c r="AJ494" s="1">
        <f t="shared" si="349"/>
        <v>0</v>
      </c>
      <c r="AK494" s="17">
        <f t="shared" si="350"/>
        <v>-0.33333333333333331</v>
      </c>
      <c r="AL494" s="17">
        <f t="shared" si="351"/>
        <v>0</v>
      </c>
      <c r="AM494" s="1">
        <f t="shared" si="352"/>
        <v>-1</v>
      </c>
      <c r="AN494" s="1" t="e">
        <f t="shared" si="353"/>
        <v>#DIV/0!</v>
      </c>
      <c r="AO494" s="1" t="e">
        <f t="shared" si="354"/>
        <v>#DIV/0!</v>
      </c>
      <c r="AP494" s="1" t="e">
        <f t="shared" si="355"/>
        <v>#DIV/0!</v>
      </c>
      <c r="AQ494" s="1">
        <f t="shared" si="356"/>
        <v>-1</v>
      </c>
      <c r="AR494" s="1" t="e">
        <f t="shared" si="357"/>
        <v>#DIV/0!</v>
      </c>
      <c r="AS494" s="12" t="e">
        <f t="shared" si="358"/>
        <v>#DIV/0!</v>
      </c>
      <c r="AT494" s="12" t="e">
        <f t="shared" si="359"/>
        <v>#DIV/0!</v>
      </c>
      <c r="AU494" s="1">
        <f t="shared" si="360"/>
        <v>-1</v>
      </c>
      <c r="AV494" s="1">
        <f t="shared" si="361"/>
        <v>0</v>
      </c>
      <c r="AW494" s="1">
        <f t="shared" si="362"/>
        <v>0</v>
      </c>
      <c r="AX494" s="1">
        <f t="shared" si="363"/>
        <v>1</v>
      </c>
      <c r="AY494" s="1">
        <f t="shared" si="364"/>
        <v>-1</v>
      </c>
      <c r="AZ494" s="1">
        <f t="shared" si="365"/>
        <v>0</v>
      </c>
      <c r="BA494" s="19">
        <f t="shared" si="366"/>
        <v>-0.16666666666666666</v>
      </c>
      <c r="BB494" s="19">
        <f t="shared" si="367"/>
        <v>0</v>
      </c>
      <c r="BC494" s="9">
        <f t="shared" si="368"/>
        <v>2</v>
      </c>
      <c r="BD494" s="9">
        <f t="shared" si="369"/>
        <v>-1</v>
      </c>
      <c r="BE494" s="9" t="e">
        <f t="shared" si="370"/>
        <v>#DIV/0!</v>
      </c>
      <c r="BF494" s="9" t="e">
        <f t="shared" si="371"/>
        <v>#DIV/0!</v>
      </c>
      <c r="BG494" s="9" t="e">
        <f t="shared" si="372"/>
        <v>#DIV/0!</v>
      </c>
      <c r="BH494" s="9" t="e">
        <f t="shared" si="373"/>
        <v>#DIV/0!</v>
      </c>
      <c r="BI494" s="12" t="e">
        <f t="shared" si="374"/>
        <v>#DIV/0!</v>
      </c>
      <c r="BJ494" s="13" t="e">
        <f t="shared" si="375"/>
        <v>#DIV/0!</v>
      </c>
      <c r="BK494" s="1">
        <f t="shared" si="376"/>
        <v>2</v>
      </c>
      <c r="BL494" s="1">
        <f t="shared" si="377"/>
        <v>-3</v>
      </c>
      <c r="BM494" s="1">
        <f t="shared" si="378"/>
        <v>0</v>
      </c>
      <c r="BN494" s="1">
        <f t="shared" si="379"/>
        <v>0</v>
      </c>
      <c r="BO494" s="1">
        <f t="shared" si="380"/>
        <v>0</v>
      </c>
      <c r="BP494" s="1">
        <f t="shared" si="381"/>
        <v>0</v>
      </c>
      <c r="BQ494" s="19">
        <f t="shared" si="382"/>
        <v>-0.16666666666666666</v>
      </c>
      <c r="BR494" s="17">
        <f t="shared" si="383"/>
        <v>0</v>
      </c>
    </row>
    <row r="495" spans="1:70" x14ac:dyDescent="0.25">
      <c r="A495" t="s">
        <v>474</v>
      </c>
      <c r="B495">
        <v>2</v>
      </c>
      <c r="E495">
        <v>2</v>
      </c>
      <c r="G495">
        <v>1</v>
      </c>
      <c r="P495">
        <v>2</v>
      </c>
      <c r="S495">
        <v>2</v>
      </c>
      <c r="U495">
        <v>1</v>
      </c>
      <c r="W495" s="8">
        <f t="shared" si="336"/>
        <v>-1</v>
      </c>
      <c r="X495" s="8" t="e">
        <f t="shared" si="337"/>
        <v>#DIV/0!</v>
      </c>
      <c r="Y495" s="8" t="e">
        <f t="shared" si="338"/>
        <v>#DIV/0!</v>
      </c>
      <c r="Z495" s="8">
        <f t="shared" si="339"/>
        <v>-1</v>
      </c>
      <c r="AA495" s="8" t="e">
        <f t="shared" si="340"/>
        <v>#DIV/0!</v>
      </c>
      <c r="AB495" s="8">
        <f t="shared" si="341"/>
        <v>-1</v>
      </c>
      <c r="AC495" s="12" t="e">
        <f t="shared" si="342"/>
        <v>#DIV/0!</v>
      </c>
      <c r="AD495" s="12" t="e">
        <f t="shared" si="343"/>
        <v>#DIV/0!</v>
      </c>
      <c r="AE495" s="1">
        <f t="shared" si="344"/>
        <v>-2</v>
      </c>
      <c r="AF495" s="1">
        <f t="shared" si="345"/>
        <v>0</v>
      </c>
      <c r="AG495" s="1">
        <f t="shared" si="346"/>
        <v>2</v>
      </c>
      <c r="AH495" s="1">
        <f t="shared" si="347"/>
        <v>-2</v>
      </c>
      <c r="AI495" s="1">
        <f t="shared" si="348"/>
        <v>1</v>
      </c>
      <c r="AJ495" s="1">
        <f t="shared" si="349"/>
        <v>-1</v>
      </c>
      <c r="AK495" s="17">
        <f t="shared" si="350"/>
        <v>-0.33333333333333331</v>
      </c>
      <c r="AL495" s="17">
        <f t="shared" si="351"/>
        <v>-0.5</v>
      </c>
      <c r="AM495" s="1" t="e">
        <f t="shared" si="352"/>
        <v>#DIV/0!</v>
      </c>
      <c r="AN495" s="1" t="e">
        <f t="shared" si="353"/>
        <v>#DIV/0!</v>
      </c>
      <c r="AO495" s="1" t="e">
        <f t="shared" si="354"/>
        <v>#DIV/0!</v>
      </c>
      <c r="AP495" s="1" t="e">
        <f t="shared" si="355"/>
        <v>#DIV/0!</v>
      </c>
      <c r="AQ495" s="1" t="e">
        <f t="shared" si="356"/>
        <v>#DIV/0!</v>
      </c>
      <c r="AR495" s="1" t="e">
        <f t="shared" si="357"/>
        <v>#DIV/0!</v>
      </c>
      <c r="AS495" s="12" t="e">
        <f t="shared" si="358"/>
        <v>#DIV/0!</v>
      </c>
      <c r="AT495" s="12" t="e">
        <f t="shared" si="359"/>
        <v>#DIV/0!</v>
      </c>
      <c r="AU495" s="1">
        <f t="shared" si="360"/>
        <v>0</v>
      </c>
      <c r="AV495" s="1">
        <f t="shared" si="361"/>
        <v>0</v>
      </c>
      <c r="AW495" s="1">
        <f t="shared" si="362"/>
        <v>0</v>
      </c>
      <c r="AX495" s="1">
        <f t="shared" si="363"/>
        <v>0</v>
      </c>
      <c r="AY495" s="1">
        <f t="shared" si="364"/>
        <v>0</v>
      </c>
      <c r="AZ495" s="1">
        <f t="shared" si="365"/>
        <v>0</v>
      </c>
      <c r="BA495" s="19">
        <f t="shared" si="366"/>
        <v>0</v>
      </c>
      <c r="BB495" s="19">
        <f t="shared" si="367"/>
        <v>0</v>
      </c>
      <c r="BC495" s="9">
        <f t="shared" si="368"/>
        <v>-1</v>
      </c>
      <c r="BD495" s="9" t="e">
        <f t="shared" si="369"/>
        <v>#DIV/0!</v>
      </c>
      <c r="BE495" s="9" t="e">
        <f t="shared" si="370"/>
        <v>#DIV/0!</v>
      </c>
      <c r="BF495" s="9">
        <f t="shared" si="371"/>
        <v>-1</v>
      </c>
      <c r="BG495" s="9" t="e">
        <f t="shared" si="372"/>
        <v>#DIV/0!</v>
      </c>
      <c r="BH495" s="9">
        <f t="shared" si="373"/>
        <v>-1</v>
      </c>
      <c r="BI495" s="12" t="e">
        <f t="shared" si="374"/>
        <v>#DIV/0!</v>
      </c>
      <c r="BJ495" s="13" t="e">
        <f t="shared" si="375"/>
        <v>#DIV/0!</v>
      </c>
      <c r="BK495" s="1">
        <f t="shared" si="376"/>
        <v>-2</v>
      </c>
      <c r="BL495" s="1">
        <f t="shared" si="377"/>
        <v>0</v>
      </c>
      <c r="BM495" s="1">
        <f t="shared" si="378"/>
        <v>2</v>
      </c>
      <c r="BN495" s="1">
        <f t="shared" si="379"/>
        <v>-2</v>
      </c>
      <c r="BO495" s="1">
        <f t="shared" si="380"/>
        <v>1</v>
      </c>
      <c r="BP495" s="1">
        <f t="shared" si="381"/>
        <v>-1</v>
      </c>
      <c r="BQ495" s="19">
        <f t="shared" si="382"/>
        <v>-0.33333333333333331</v>
      </c>
      <c r="BR495" s="17">
        <f t="shared" si="383"/>
        <v>-0.5</v>
      </c>
    </row>
    <row r="496" spans="1:70" x14ac:dyDescent="0.25">
      <c r="A496" t="s">
        <v>476</v>
      </c>
      <c r="B496">
        <v>2</v>
      </c>
      <c r="C496">
        <v>2</v>
      </c>
      <c r="D496">
        <v>1</v>
      </c>
      <c r="F496">
        <v>2</v>
      </c>
      <c r="G496">
        <v>1</v>
      </c>
      <c r="I496">
        <v>1</v>
      </c>
      <c r="P496">
        <v>1</v>
      </c>
      <c r="Q496">
        <v>2</v>
      </c>
      <c r="R496">
        <v>1</v>
      </c>
      <c r="T496">
        <v>2</v>
      </c>
      <c r="U496">
        <v>1</v>
      </c>
      <c r="W496" s="8">
        <f t="shared" si="336"/>
        <v>0</v>
      </c>
      <c r="X496" s="8">
        <f t="shared" si="337"/>
        <v>-0.5</v>
      </c>
      <c r="Y496" s="8">
        <f t="shared" si="338"/>
        <v>-1</v>
      </c>
      <c r="Z496" s="8" t="e">
        <f t="shared" si="339"/>
        <v>#DIV/0!</v>
      </c>
      <c r="AA496" s="8">
        <f t="shared" si="340"/>
        <v>-0.5</v>
      </c>
      <c r="AB496" s="8">
        <f t="shared" si="341"/>
        <v>-1</v>
      </c>
      <c r="AC496" s="12" t="e">
        <f t="shared" si="342"/>
        <v>#DIV/0!</v>
      </c>
      <c r="AD496" s="12" t="e">
        <f t="shared" si="343"/>
        <v>#DIV/0!</v>
      </c>
      <c r="AE496" s="1">
        <f t="shared" si="344"/>
        <v>0</v>
      </c>
      <c r="AF496" s="1">
        <f t="shared" si="345"/>
        <v>-1</v>
      </c>
      <c r="AG496" s="1">
        <f t="shared" si="346"/>
        <v>-1</v>
      </c>
      <c r="AH496" s="1">
        <f t="shared" si="347"/>
        <v>2</v>
      </c>
      <c r="AI496" s="1">
        <f t="shared" si="348"/>
        <v>-1</v>
      </c>
      <c r="AJ496" s="1">
        <f t="shared" si="349"/>
        <v>-1</v>
      </c>
      <c r="AK496" s="17">
        <f t="shared" si="350"/>
        <v>-0.33333333333333331</v>
      </c>
      <c r="AL496" s="17">
        <f t="shared" si="351"/>
        <v>-1</v>
      </c>
      <c r="AM496" s="1">
        <f t="shared" si="352"/>
        <v>-1</v>
      </c>
      <c r="AN496" s="1" t="e">
        <f t="shared" si="353"/>
        <v>#DIV/0!</v>
      </c>
      <c r="AO496" s="1" t="e">
        <f t="shared" si="354"/>
        <v>#DIV/0!</v>
      </c>
      <c r="AP496" s="1" t="e">
        <f t="shared" si="355"/>
        <v>#DIV/0!</v>
      </c>
      <c r="AQ496" s="1" t="e">
        <f t="shared" si="356"/>
        <v>#DIV/0!</v>
      </c>
      <c r="AR496" s="1" t="e">
        <f t="shared" si="357"/>
        <v>#DIV/0!</v>
      </c>
      <c r="AS496" s="12" t="e">
        <f t="shared" si="358"/>
        <v>#DIV/0!</v>
      </c>
      <c r="AT496" s="12" t="e">
        <f t="shared" si="359"/>
        <v>#DIV/0!</v>
      </c>
      <c r="AU496" s="1">
        <f t="shared" si="360"/>
        <v>-1</v>
      </c>
      <c r="AV496" s="1">
        <f t="shared" si="361"/>
        <v>0</v>
      </c>
      <c r="AW496" s="1">
        <f t="shared" si="362"/>
        <v>0</v>
      </c>
      <c r="AX496" s="1">
        <f t="shared" si="363"/>
        <v>0</v>
      </c>
      <c r="AY496" s="1">
        <f t="shared" si="364"/>
        <v>0</v>
      </c>
      <c r="AZ496" s="1">
        <f t="shared" si="365"/>
        <v>0</v>
      </c>
      <c r="BA496" s="19">
        <f t="shared" si="366"/>
        <v>-0.16666666666666666</v>
      </c>
      <c r="BB496" s="19">
        <f t="shared" si="367"/>
        <v>0</v>
      </c>
      <c r="BC496" s="9">
        <f t="shared" si="368"/>
        <v>1</v>
      </c>
      <c r="BD496" s="9">
        <f t="shared" si="369"/>
        <v>-0.5</v>
      </c>
      <c r="BE496" s="9">
        <f t="shared" si="370"/>
        <v>-1</v>
      </c>
      <c r="BF496" s="9" t="e">
        <f t="shared" si="371"/>
        <v>#DIV/0!</v>
      </c>
      <c r="BG496" s="9">
        <f t="shared" si="372"/>
        <v>-0.5</v>
      </c>
      <c r="BH496" s="9">
        <f t="shared" si="373"/>
        <v>-1</v>
      </c>
      <c r="BI496" s="12" t="e">
        <f t="shared" si="374"/>
        <v>#DIV/0!</v>
      </c>
      <c r="BJ496" s="13" t="e">
        <f t="shared" si="375"/>
        <v>#DIV/0!</v>
      </c>
      <c r="BK496" s="1">
        <f t="shared" si="376"/>
        <v>1</v>
      </c>
      <c r="BL496" s="1">
        <f t="shared" si="377"/>
        <v>-1</v>
      </c>
      <c r="BM496" s="1">
        <f t="shared" si="378"/>
        <v>-1</v>
      </c>
      <c r="BN496" s="1">
        <f t="shared" si="379"/>
        <v>2</v>
      </c>
      <c r="BO496" s="1">
        <f t="shared" si="380"/>
        <v>-1</v>
      </c>
      <c r="BP496" s="1">
        <f t="shared" si="381"/>
        <v>-1</v>
      </c>
      <c r="BQ496" s="19">
        <f t="shared" si="382"/>
        <v>-0.16666666666666666</v>
      </c>
      <c r="BR496" s="17">
        <f t="shared" si="383"/>
        <v>-1</v>
      </c>
    </row>
    <row r="497" spans="1:70" x14ac:dyDescent="0.25">
      <c r="A497" t="s">
        <v>478</v>
      </c>
      <c r="B497">
        <v>2</v>
      </c>
      <c r="D497">
        <v>1</v>
      </c>
      <c r="G497">
        <v>1</v>
      </c>
      <c r="I497">
        <v>1</v>
      </c>
      <c r="P497">
        <v>1</v>
      </c>
      <c r="R497">
        <v>1</v>
      </c>
      <c r="U497">
        <v>1</v>
      </c>
      <c r="W497" s="8">
        <f t="shared" si="336"/>
        <v>-1</v>
      </c>
      <c r="X497" s="8" t="e">
        <f t="shared" si="337"/>
        <v>#DIV/0!</v>
      </c>
      <c r="Y497" s="8">
        <f t="shared" si="338"/>
        <v>-1</v>
      </c>
      <c r="Z497" s="8" t="e">
        <f t="shared" si="339"/>
        <v>#DIV/0!</v>
      </c>
      <c r="AA497" s="8" t="e">
        <f t="shared" si="340"/>
        <v>#DIV/0!</v>
      </c>
      <c r="AB497" s="8">
        <f t="shared" si="341"/>
        <v>-1</v>
      </c>
      <c r="AC497" s="12" t="e">
        <f t="shared" si="342"/>
        <v>#DIV/0!</v>
      </c>
      <c r="AD497" s="12" t="e">
        <f t="shared" si="343"/>
        <v>#DIV/0!</v>
      </c>
      <c r="AE497" s="1">
        <f t="shared" si="344"/>
        <v>-2</v>
      </c>
      <c r="AF497" s="1">
        <f t="shared" si="345"/>
        <v>1</v>
      </c>
      <c r="AG497" s="1">
        <f t="shared" si="346"/>
        <v>-1</v>
      </c>
      <c r="AH497" s="1">
        <f t="shared" si="347"/>
        <v>0</v>
      </c>
      <c r="AI497" s="1">
        <f t="shared" si="348"/>
        <v>1</v>
      </c>
      <c r="AJ497" s="1">
        <f t="shared" si="349"/>
        <v>-1</v>
      </c>
      <c r="AK497" s="17">
        <f t="shared" si="350"/>
        <v>-0.33333333333333331</v>
      </c>
      <c r="AL497" s="17">
        <f t="shared" si="351"/>
        <v>-0.5</v>
      </c>
      <c r="AM497" s="1">
        <f t="shared" si="352"/>
        <v>-1</v>
      </c>
      <c r="AN497" s="1" t="e">
        <f t="shared" si="353"/>
        <v>#DIV/0!</v>
      </c>
      <c r="AO497" s="1" t="e">
        <f t="shared" si="354"/>
        <v>#DIV/0!</v>
      </c>
      <c r="AP497" s="1" t="e">
        <f t="shared" si="355"/>
        <v>#DIV/0!</v>
      </c>
      <c r="AQ497" s="1" t="e">
        <f t="shared" si="356"/>
        <v>#DIV/0!</v>
      </c>
      <c r="AR497" s="1" t="e">
        <f t="shared" si="357"/>
        <v>#DIV/0!</v>
      </c>
      <c r="AS497" s="12" t="e">
        <f t="shared" si="358"/>
        <v>#DIV/0!</v>
      </c>
      <c r="AT497" s="12" t="e">
        <f t="shared" si="359"/>
        <v>#DIV/0!</v>
      </c>
      <c r="AU497" s="1">
        <f t="shared" si="360"/>
        <v>-1</v>
      </c>
      <c r="AV497" s="1">
        <f t="shared" si="361"/>
        <v>0</v>
      </c>
      <c r="AW497" s="1">
        <f t="shared" si="362"/>
        <v>0</v>
      </c>
      <c r="AX497" s="1">
        <f t="shared" si="363"/>
        <v>0</v>
      </c>
      <c r="AY497" s="1">
        <f t="shared" si="364"/>
        <v>0</v>
      </c>
      <c r="AZ497" s="1">
        <f t="shared" si="365"/>
        <v>0</v>
      </c>
      <c r="BA497" s="19">
        <f t="shared" si="366"/>
        <v>-0.16666666666666666</v>
      </c>
      <c r="BB497" s="19">
        <f t="shared" si="367"/>
        <v>0</v>
      </c>
      <c r="BC497" s="9">
        <f t="shared" si="368"/>
        <v>-1</v>
      </c>
      <c r="BD497" s="9" t="e">
        <f t="shared" si="369"/>
        <v>#DIV/0!</v>
      </c>
      <c r="BE497" s="9">
        <f t="shared" si="370"/>
        <v>-1</v>
      </c>
      <c r="BF497" s="9" t="e">
        <f t="shared" si="371"/>
        <v>#DIV/0!</v>
      </c>
      <c r="BG497" s="9" t="e">
        <f t="shared" si="372"/>
        <v>#DIV/0!</v>
      </c>
      <c r="BH497" s="9">
        <f t="shared" si="373"/>
        <v>-1</v>
      </c>
      <c r="BI497" s="12" t="e">
        <f t="shared" si="374"/>
        <v>#DIV/0!</v>
      </c>
      <c r="BJ497" s="13" t="e">
        <f t="shared" si="375"/>
        <v>#DIV/0!</v>
      </c>
      <c r="BK497" s="1">
        <f t="shared" si="376"/>
        <v>-1</v>
      </c>
      <c r="BL497" s="1">
        <f t="shared" si="377"/>
        <v>1</v>
      </c>
      <c r="BM497" s="1">
        <f t="shared" si="378"/>
        <v>-1</v>
      </c>
      <c r="BN497" s="1">
        <f t="shared" si="379"/>
        <v>0</v>
      </c>
      <c r="BO497" s="1">
        <f t="shared" si="380"/>
        <v>1</v>
      </c>
      <c r="BP497" s="1">
        <f t="shared" si="381"/>
        <v>-1</v>
      </c>
      <c r="BQ497" s="19">
        <f t="shared" si="382"/>
        <v>-0.16666666666666666</v>
      </c>
      <c r="BR497" s="17">
        <f t="shared" si="383"/>
        <v>-0.5</v>
      </c>
    </row>
    <row r="498" spans="1:70" x14ac:dyDescent="0.25">
      <c r="A498" t="s">
        <v>482</v>
      </c>
      <c r="B498">
        <v>2</v>
      </c>
      <c r="E498">
        <v>1</v>
      </c>
      <c r="I498">
        <v>1</v>
      </c>
      <c r="P498">
        <v>1</v>
      </c>
      <c r="S498">
        <v>1</v>
      </c>
      <c r="W498" s="8">
        <f t="shared" si="336"/>
        <v>-1</v>
      </c>
      <c r="X498" s="8" t="e">
        <f t="shared" si="337"/>
        <v>#DIV/0!</v>
      </c>
      <c r="Y498" s="8" t="e">
        <f t="shared" si="338"/>
        <v>#DIV/0!</v>
      </c>
      <c r="Z498" s="8">
        <f t="shared" si="339"/>
        <v>-1</v>
      </c>
      <c r="AA498" s="8" t="e">
        <f t="shared" si="340"/>
        <v>#DIV/0!</v>
      </c>
      <c r="AB498" s="8" t="e">
        <f t="shared" si="341"/>
        <v>#DIV/0!</v>
      </c>
      <c r="AC498" s="12" t="e">
        <f t="shared" si="342"/>
        <v>#DIV/0!</v>
      </c>
      <c r="AD498" s="12" t="e">
        <f t="shared" si="343"/>
        <v>#DIV/0!</v>
      </c>
      <c r="AE498" s="1">
        <f t="shared" si="344"/>
        <v>-2</v>
      </c>
      <c r="AF498" s="1">
        <f t="shared" si="345"/>
        <v>0</v>
      </c>
      <c r="AG498" s="1">
        <f t="shared" si="346"/>
        <v>1</v>
      </c>
      <c r="AH498" s="1">
        <f t="shared" si="347"/>
        <v>-1</v>
      </c>
      <c r="AI498" s="1">
        <f t="shared" si="348"/>
        <v>0</v>
      </c>
      <c r="AJ498" s="1">
        <f t="shared" si="349"/>
        <v>0</v>
      </c>
      <c r="AK498" s="17">
        <f t="shared" si="350"/>
        <v>-0.33333333333333331</v>
      </c>
      <c r="AL498" s="17">
        <f t="shared" si="351"/>
        <v>0</v>
      </c>
      <c r="AM498" s="1">
        <f t="shared" si="352"/>
        <v>-1</v>
      </c>
      <c r="AN498" s="1" t="e">
        <f t="shared" si="353"/>
        <v>#DIV/0!</v>
      </c>
      <c r="AO498" s="1" t="e">
        <f t="shared" si="354"/>
        <v>#DIV/0!</v>
      </c>
      <c r="AP498" s="1" t="e">
        <f t="shared" si="355"/>
        <v>#DIV/0!</v>
      </c>
      <c r="AQ498" s="1" t="e">
        <f t="shared" si="356"/>
        <v>#DIV/0!</v>
      </c>
      <c r="AR498" s="1" t="e">
        <f t="shared" si="357"/>
        <v>#DIV/0!</v>
      </c>
      <c r="AS498" s="12" t="e">
        <f t="shared" si="358"/>
        <v>#DIV/0!</v>
      </c>
      <c r="AT498" s="12" t="e">
        <f t="shared" si="359"/>
        <v>#DIV/0!</v>
      </c>
      <c r="AU498" s="1">
        <f t="shared" si="360"/>
        <v>-1</v>
      </c>
      <c r="AV498" s="1">
        <f t="shared" si="361"/>
        <v>0</v>
      </c>
      <c r="AW498" s="1">
        <f t="shared" si="362"/>
        <v>0</v>
      </c>
      <c r="AX498" s="1">
        <f t="shared" si="363"/>
        <v>0</v>
      </c>
      <c r="AY498" s="1">
        <f t="shared" si="364"/>
        <v>0</v>
      </c>
      <c r="AZ498" s="1">
        <f t="shared" si="365"/>
        <v>0</v>
      </c>
      <c r="BA498" s="19">
        <f t="shared" si="366"/>
        <v>-0.16666666666666666</v>
      </c>
      <c r="BB498" s="19">
        <f t="shared" si="367"/>
        <v>0</v>
      </c>
      <c r="BC498" s="9">
        <f t="shared" si="368"/>
        <v>-1</v>
      </c>
      <c r="BD498" s="9" t="e">
        <f t="shared" si="369"/>
        <v>#DIV/0!</v>
      </c>
      <c r="BE498" s="9" t="e">
        <f t="shared" si="370"/>
        <v>#DIV/0!</v>
      </c>
      <c r="BF498" s="9">
        <f t="shared" si="371"/>
        <v>-1</v>
      </c>
      <c r="BG498" s="9" t="e">
        <f t="shared" si="372"/>
        <v>#DIV/0!</v>
      </c>
      <c r="BH498" s="9" t="e">
        <f t="shared" si="373"/>
        <v>#DIV/0!</v>
      </c>
      <c r="BI498" s="12" t="e">
        <f t="shared" si="374"/>
        <v>#DIV/0!</v>
      </c>
      <c r="BJ498" s="13" t="e">
        <f t="shared" si="375"/>
        <v>#DIV/0!</v>
      </c>
      <c r="BK498" s="1">
        <f t="shared" si="376"/>
        <v>-1</v>
      </c>
      <c r="BL498" s="1">
        <f t="shared" si="377"/>
        <v>0</v>
      </c>
      <c r="BM498" s="1">
        <f t="shared" si="378"/>
        <v>1</v>
      </c>
      <c r="BN498" s="1">
        <f t="shared" si="379"/>
        <v>-1</v>
      </c>
      <c r="BO498" s="1">
        <f t="shared" si="380"/>
        <v>0</v>
      </c>
      <c r="BP498" s="1">
        <f t="shared" si="381"/>
        <v>0</v>
      </c>
      <c r="BQ498" s="19">
        <f t="shared" si="382"/>
        <v>-0.16666666666666666</v>
      </c>
      <c r="BR498" s="17">
        <f t="shared" si="383"/>
        <v>0</v>
      </c>
    </row>
    <row r="499" spans="1:70" x14ac:dyDescent="0.25">
      <c r="A499" t="s">
        <v>483</v>
      </c>
      <c r="B499">
        <v>2</v>
      </c>
      <c r="C499">
        <v>3</v>
      </c>
      <c r="D499">
        <v>1</v>
      </c>
      <c r="E499">
        <v>1</v>
      </c>
      <c r="G499">
        <v>1</v>
      </c>
      <c r="J499">
        <v>2</v>
      </c>
      <c r="K499">
        <v>1</v>
      </c>
      <c r="N499">
        <v>1</v>
      </c>
      <c r="P499">
        <v>2</v>
      </c>
      <c r="Q499">
        <v>1</v>
      </c>
      <c r="S499">
        <v>1</v>
      </c>
      <c r="W499" s="8">
        <f t="shared" si="336"/>
        <v>0.5</v>
      </c>
      <c r="X499" s="8">
        <f t="shared" si="337"/>
        <v>-0.66666666666666663</v>
      </c>
      <c r="Y499" s="8">
        <f t="shared" si="338"/>
        <v>0</v>
      </c>
      <c r="Z499" s="8">
        <f t="shared" si="339"/>
        <v>-1</v>
      </c>
      <c r="AA499" s="8" t="e">
        <f t="shared" si="340"/>
        <v>#DIV/0!</v>
      </c>
      <c r="AB499" s="8">
        <f t="shared" si="341"/>
        <v>-1</v>
      </c>
      <c r="AC499" s="12" t="e">
        <f t="shared" si="342"/>
        <v>#DIV/0!</v>
      </c>
      <c r="AD499" s="12" t="e">
        <f t="shared" si="343"/>
        <v>#DIV/0!</v>
      </c>
      <c r="AE499" s="1">
        <f t="shared" si="344"/>
        <v>1</v>
      </c>
      <c r="AF499" s="1">
        <f t="shared" si="345"/>
        <v>-2</v>
      </c>
      <c r="AG499" s="1">
        <f t="shared" si="346"/>
        <v>0</v>
      </c>
      <c r="AH499" s="1">
        <f t="shared" si="347"/>
        <v>-1</v>
      </c>
      <c r="AI499" s="1">
        <f t="shared" si="348"/>
        <v>1</v>
      </c>
      <c r="AJ499" s="1">
        <f t="shared" si="349"/>
        <v>-1</v>
      </c>
      <c r="AK499" s="17">
        <f t="shared" si="350"/>
        <v>-0.33333333333333331</v>
      </c>
      <c r="AL499" s="17">
        <f t="shared" si="351"/>
        <v>-0.5</v>
      </c>
      <c r="AM499" s="1" t="e">
        <f t="shared" si="352"/>
        <v>#DIV/0!</v>
      </c>
      <c r="AN499" s="1">
        <f t="shared" si="353"/>
        <v>-0.5</v>
      </c>
      <c r="AO499" s="1">
        <f t="shared" si="354"/>
        <v>-1</v>
      </c>
      <c r="AP499" s="1" t="e">
        <f t="shared" si="355"/>
        <v>#DIV/0!</v>
      </c>
      <c r="AQ499" s="1" t="e">
        <f t="shared" si="356"/>
        <v>#DIV/0!</v>
      </c>
      <c r="AR499" s="1">
        <f t="shared" si="357"/>
        <v>-1</v>
      </c>
      <c r="AS499" s="12" t="e">
        <f t="shared" si="358"/>
        <v>#DIV/0!</v>
      </c>
      <c r="AT499" s="12" t="e">
        <f t="shared" si="359"/>
        <v>#DIV/0!</v>
      </c>
      <c r="AU499" s="1">
        <f t="shared" si="360"/>
        <v>2</v>
      </c>
      <c r="AV499" s="1">
        <f t="shared" si="361"/>
        <v>-1</v>
      </c>
      <c r="AW499" s="1">
        <f t="shared" si="362"/>
        <v>-1</v>
      </c>
      <c r="AX499" s="1">
        <f t="shared" si="363"/>
        <v>0</v>
      </c>
      <c r="AY499" s="1">
        <f t="shared" si="364"/>
        <v>1</v>
      </c>
      <c r="AZ499" s="1">
        <f t="shared" si="365"/>
        <v>-1</v>
      </c>
      <c r="BA499" s="19">
        <f t="shared" si="366"/>
        <v>0</v>
      </c>
      <c r="BB499" s="19">
        <f t="shared" si="367"/>
        <v>-0.5</v>
      </c>
      <c r="BC499" s="9">
        <f t="shared" si="368"/>
        <v>-0.5</v>
      </c>
      <c r="BD499" s="9">
        <f t="shared" si="369"/>
        <v>-1</v>
      </c>
      <c r="BE499" s="9" t="e">
        <f t="shared" si="370"/>
        <v>#DIV/0!</v>
      </c>
      <c r="BF499" s="9">
        <f t="shared" si="371"/>
        <v>-1</v>
      </c>
      <c r="BG499" s="9" t="e">
        <f t="shared" si="372"/>
        <v>#DIV/0!</v>
      </c>
      <c r="BH499" s="9" t="e">
        <f t="shared" si="373"/>
        <v>#DIV/0!</v>
      </c>
      <c r="BI499" s="12" t="e">
        <f t="shared" si="374"/>
        <v>#DIV/0!</v>
      </c>
      <c r="BJ499" s="13" t="e">
        <f t="shared" si="375"/>
        <v>#DIV/0!</v>
      </c>
      <c r="BK499" s="1">
        <f t="shared" si="376"/>
        <v>-1</v>
      </c>
      <c r="BL499" s="1">
        <f t="shared" si="377"/>
        <v>-1</v>
      </c>
      <c r="BM499" s="1">
        <f t="shared" si="378"/>
        <v>1</v>
      </c>
      <c r="BN499" s="1">
        <f t="shared" si="379"/>
        <v>-1</v>
      </c>
      <c r="BO499" s="1">
        <f t="shared" si="380"/>
        <v>0</v>
      </c>
      <c r="BP499" s="1">
        <f t="shared" si="381"/>
        <v>0</v>
      </c>
      <c r="BQ499" s="19">
        <f t="shared" si="382"/>
        <v>-0.33333333333333331</v>
      </c>
      <c r="BR499" s="17">
        <f t="shared" si="383"/>
        <v>-0.5</v>
      </c>
    </row>
    <row r="500" spans="1:70" x14ac:dyDescent="0.25">
      <c r="A500" t="s">
        <v>221</v>
      </c>
      <c r="B500">
        <v>26</v>
      </c>
      <c r="C500">
        <v>28</v>
      </c>
      <c r="D500">
        <v>28</v>
      </c>
      <c r="E500">
        <v>21</v>
      </c>
      <c r="F500">
        <v>34</v>
      </c>
      <c r="G500">
        <v>42</v>
      </c>
      <c r="H500">
        <v>23</v>
      </c>
      <c r="I500">
        <v>13</v>
      </c>
      <c r="J500">
        <v>11</v>
      </c>
      <c r="K500">
        <v>12</v>
      </c>
      <c r="L500">
        <v>12</v>
      </c>
      <c r="M500">
        <v>19</v>
      </c>
      <c r="N500">
        <v>22</v>
      </c>
      <c r="O500">
        <v>11</v>
      </c>
      <c r="P500">
        <v>13</v>
      </c>
      <c r="Q500">
        <v>17</v>
      </c>
      <c r="R500">
        <v>16</v>
      </c>
      <c r="S500">
        <v>9</v>
      </c>
      <c r="T500">
        <v>15</v>
      </c>
      <c r="U500">
        <v>20</v>
      </c>
      <c r="V500">
        <v>12</v>
      </c>
      <c r="W500" s="8">
        <f t="shared" si="336"/>
        <v>7.6923076923076927E-2</v>
      </c>
      <c r="X500" s="8">
        <f t="shared" si="337"/>
        <v>0</v>
      </c>
      <c r="Y500" s="8">
        <f t="shared" si="338"/>
        <v>-0.25</v>
      </c>
      <c r="Z500" s="8">
        <f t="shared" si="339"/>
        <v>0.61904761904761907</v>
      </c>
      <c r="AA500" s="8">
        <f t="shared" si="340"/>
        <v>0.23529411764705882</v>
      </c>
      <c r="AB500" s="8">
        <f t="shared" si="341"/>
        <v>-0.45238095238095238</v>
      </c>
      <c r="AC500" s="12">
        <f t="shared" si="342"/>
        <v>3.8147310206133739E-2</v>
      </c>
      <c r="AD500" s="12">
        <f t="shared" si="343"/>
        <v>3.8461538461538464E-2</v>
      </c>
      <c r="AE500" s="1">
        <f t="shared" si="344"/>
        <v>2</v>
      </c>
      <c r="AF500" s="1">
        <f t="shared" si="345"/>
        <v>0</v>
      </c>
      <c r="AG500" s="1">
        <f t="shared" si="346"/>
        <v>-7</v>
      </c>
      <c r="AH500" s="1">
        <f t="shared" si="347"/>
        <v>13</v>
      </c>
      <c r="AI500" s="1">
        <f t="shared" si="348"/>
        <v>8</v>
      </c>
      <c r="AJ500" s="1">
        <f t="shared" si="349"/>
        <v>-19</v>
      </c>
      <c r="AK500" s="17">
        <f t="shared" si="350"/>
        <v>-0.5</v>
      </c>
      <c r="AL500" s="17">
        <f t="shared" si="351"/>
        <v>1</v>
      </c>
      <c r="AM500" s="1">
        <f t="shared" si="352"/>
        <v>-0.15384615384615385</v>
      </c>
      <c r="AN500" s="1">
        <f t="shared" si="353"/>
        <v>9.0909090909090912E-2</v>
      </c>
      <c r="AO500" s="1">
        <f t="shared" si="354"/>
        <v>0</v>
      </c>
      <c r="AP500" s="1">
        <f t="shared" si="355"/>
        <v>0.58333333333333337</v>
      </c>
      <c r="AQ500" s="1">
        <f t="shared" si="356"/>
        <v>0.15789473684210525</v>
      </c>
      <c r="AR500" s="1">
        <f t="shared" si="357"/>
        <v>-0.5</v>
      </c>
      <c r="AS500" s="12">
        <f t="shared" si="358"/>
        <v>2.9715167873062609E-2</v>
      </c>
      <c r="AT500" s="12">
        <f t="shared" si="359"/>
        <v>4.5454545454545456E-2</v>
      </c>
      <c r="AU500" s="1">
        <f t="shared" si="360"/>
        <v>-2</v>
      </c>
      <c r="AV500" s="1">
        <f t="shared" si="361"/>
        <v>1</v>
      </c>
      <c r="AW500" s="1">
        <f t="shared" si="362"/>
        <v>0</v>
      </c>
      <c r="AX500" s="1">
        <f t="shared" si="363"/>
        <v>7</v>
      </c>
      <c r="AY500" s="1">
        <f t="shared" si="364"/>
        <v>3</v>
      </c>
      <c r="AZ500" s="1">
        <f t="shared" si="365"/>
        <v>-11</v>
      </c>
      <c r="BA500" s="19">
        <f t="shared" si="366"/>
        <v>-0.33333333333333331</v>
      </c>
      <c r="BB500" s="19">
        <f t="shared" si="367"/>
        <v>0.5</v>
      </c>
      <c r="BC500" s="9">
        <f t="shared" si="368"/>
        <v>0.30769230769230771</v>
      </c>
      <c r="BD500" s="9">
        <f t="shared" si="369"/>
        <v>-5.8823529411764705E-2</v>
      </c>
      <c r="BE500" s="9">
        <f t="shared" si="370"/>
        <v>-0.4375</v>
      </c>
      <c r="BF500" s="9">
        <f t="shared" si="371"/>
        <v>0.66666666666666663</v>
      </c>
      <c r="BG500" s="9">
        <f t="shared" si="372"/>
        <v>0.33333333333333331</v>
      </c>
      <c r="BH500" s="9">
        <f t="shared" si="373"/>
        <v>-0.4</v>
      </c>
      <c r="BI500" s="12">
        <f t="shared" si="374"/>
        <v>6.8561463046757157E-2</v>
      </c>
      <c r="BJ500" s="13">
        <f t="shared" si="375"/>
        <v>0.12443438914027151</v>
      </c>
      <c r="BK500" s="1">
        <f t="shared" si="376"/>
        <v>4</v>
      </c>
      <c r="BL500" s="1">
        <f t="shared" si="377"/>
        <v>-1</v>
      </c>
      <c r="BM500" s="1">
        <f t="shared" si="378"/>
        <v>-7</v>
      </c>
      <c r="BN500" s="1">
        <f t="shared" si="379"/>
        <v>6</v>
      </c>
      <c r="BO500" s="1">
        <f t="shared" si="380"/>
        <v>5</v>
      </c>
      <c r="BP500" s="1">
        <f t="shared" si="381"/>
        <v>-8</v>
      </c>
      <c r="BQ500" s="19">
        <f t="shared" si="382"/>
        <v>-0.16666666666666666</v>
      </c>
      <c r="BR500" s="17">
        <f t="shared" si="383"/>
        <v>1.5</v>
      </c>
    </row>
    <row r="501" spans="1:70" x14ac:dyDescent="0.25">
      <c r="A501" t="s">
        <v>237</v>
      </c>
      <c r="B501">
        <v>21</v>
      </c>
      <c r="C501">
        <v>26</v>
      </c>
      <c r="D501">
        <v>15</v>
      </c>
      <c r="E501">
        <v>14</v>
      </c>
      <c r="F501">
        <v>18</v>
      </c>
      <c r="G501">
        <v>21</v>
      </c>
      <c r="H501">
        <v>18</v>
      </c>
      <c r="I501">
        <v>9</v>
      </c>
      <c r="J501">
        <v>12</v>
      </c>
      <c r="K501">
        <v>12</v>
      </c>
      <c r="L501">
        <v>6</v>
      </c>
      <c r="M501">
        <v>5</v>
      </c>
      <c r="N501">
        <v>9</v>
      </c>
      <c r="O501">
        <v>7</v>
      </c>
      <c r="P501">
        <v>12</v>
      </c>
      <c r="Q501">
        <v>14</v>
      </c>
      <c r="R501">
        <v>3</v>
      </c>
      <c r="S501">
        <v>8</v>
      </c>
      <c r="T501">
        <v>13</v>
      </c>
      <c r="U501">
        <v>12</v>
      </c>
      <c r="V501">
        <v>11</v>
      </c>
      <c r="W501" s="8">
        <f t="shared" si="336"/>
        <v>0.23809523809523808</v>
      </c>
      <c r="X501" s="8">
        <f t="shared" si="337"/>
        <v>-0.42307692307692307</v>
      </c>
      <c r="Y501" s="8">
        <f t="shared" si="338"/>
        <v>-6.6666666666666666E-2</v>
      </c>
      <c r="Z501" s="8">
        <f t="shared" si="339"/>
        <v>0.2857142857142857</v>
      </c>
      <c r="AA501" s="8">
        <f t="shared" si="340"/>
        <v>0.16666666666666666</v>
      </c>
      <c r="AB501" s="8">
        <f t="shared" si="341"/>
        <v>-0.14285714285714285</v>
      </c>
      <c r="AC501" s="12">
        <f t="shared" si="342"/>
        <v>9.6459096459096446E-3</v>
      </c>
      <c r="AD501" s="12">
        <f t="shared" si="343"/>
        <v>0.05</v>
      </c>
      <c r="AE501" s="1">
        <f t="shared" si="344"/>
        <v>5</v>
      </c>
      <c r="AF501" s="1">
        <f t="shared" si="345"/>
        <v>-11</v>
      </c>
      <c r="AG501" s="1">
        <f t="shared" si="346"/>
        <v>-1</v>
      </c>
      <c r="AH501" s="1">
        <f t="shared" si="347"/>
        <v>4</v>
      </c>
      <c r="AI501" s="1">
        <f t="shared" si="348"/>
        <v>3</v>
      </c>
      <c r="AJ501" s="1">
        <f t="shared" si="349"/>
        <v>-3</v>
      </c>
      <c r="AK501" s="17">
        <f t="shared" si="350"/>
        <v>-0.5</v>
      </c>
      <c r="AL501" s="17">
        <f t="shared" si="351"/>
        <v>1</v>
      </c>
      <c r="AM501" s="1">
        <f t="shared" si="352"/>
        <v>0.33333333333333331</v>
      </c>
      <c r="AN501" s="1">
        <f t="shared" si="353"/>
        <v>0</v>
      </c>
      <c r="AO501" s="1">
        <f t="shared" si="354"/>
        <v>-0.5</v>
      </c>
      <c r="AP501" s="1">
        <f t="shared" si="355"/>
        <v>-0.16666666666666666</v>
      </c>
      <c r="AQ501" s="1">
        <f t="shared" si="356"/>
        <v>0.8</v>
      </c>
      <c r="AR501" s="1">
        <f t="shared" si="357"/>
        <v>-0.22222222222222221</v>
      </c>
      <c r="AS501" s="12">
        <f t="shared" si="358"/>
        <v>4.0740740740740744E-2</v>
      </c>
      <c r="AT501" s="12">
        <f t="shared" si="359"/>
        <v>-8.3333333333333329E-2</v>
      </c>
      <c r="AU501" s="1">
        <f t="shared" si="360"/>
        <v>3</v>
      </c>
      <c r="AV501" s="1">
        <f t="shared" si="361"/>
        <v>0</v>
      </c>
      <c r="AW501" s="1">
        <f t="shared" si="362"/>
        <v>-6</v>
      </c>
      <c r="AX501" s="1">
        <f t="shared" si="363"/>
        <v>-1</v>
      </c>
      <c r="AY501" s="1">
        <f t="shared" si="364"/>
        <v>4</v>
      </c>
      <c r="AZ501" s="1">
        <f t="shared" si="365"/>
        <v>-2</v>
      </c>
      <c r="BA501" s="19">
        <f t="shared" si="366"/>
        <v>-0.33333333333333331</v>
      </c>
      <c r="BB501" s="19">
        <f t="shared" si="367"/>
        <v>-0.5</v>
      </c>
      <c r="BC501" s="9">
        <f t="shared" si="368"/>
        <v>0.16666666666666666</v>
      </c>
      <c r="BD501" s="9">
        <f t="shared" si="369"/>
        <v>-0.7857142857142857</v>
      </c>
      <c r="BE501" s="9">
        <f t="shared" si="370"/>
        <v>1.6666666666666667</v>
      </c>
      <c r="BF501" s="9">
        <f t="shared" si="371"/>
        <v>0.625</v>
      </c>
      <c r="BG501" s="9">
        <f t="shared" si="372"/>
        <v>-7.6923076923076927E-2</v>
      </c>
      <c r="BH501" s="9">
        <f t="shared" si="373"/>
        <v>-8.3333333333333329E-2</v>
      </c>
      <c r="BI501" s="12">
        <f t="shared" si="374"/>
        <v>0.25206043956043961</v>
      </c>
      <c r="BJ501" s="13">
        <f t="shared" si="375"/>
        <v>4.4871794871794865E-2</v>
      </c>
      <c r="BK501" s="1">
        <f t="shared" si="376"/>
        <v>2</v>
      </c>
      <c r="BL501" s="1">
        <f t="shared" si="377"/>
        <v>-11</v>
      </c>
      <c r="BM501" s="1">
        <f t="shared" si="378"/>
        <v>5</v>
      </c>
      <c r="BN501" s="1">
        <f t="shared" si="379"/>
        <v>5</v>
      </c>
      <c r="BO501" s="1">
        <f t="shared" si="380"/>
        <v>-1</v>
      </c>
      <c r="BP501" s="1">
        <f t="shared" si="381"/>
        <v>-1</v>
      </c>
      <c r="BQ501" s="19">
        <f t="shared" si="382"/>
        <v>-0.16666666666666666</v>
      </c>
      <c r="BR501" s="17">
        <f t="shared" si="383"/>
        <v>0.5</v>
      </c>
    </row>
    <row r="502" spans="1:70" x14ac:dyDescent="0.25">
      <c r="A502" t="s">
        <v>295</v>
      </c>
      <c r="B502">
        <v>12</v>
      </c>
      <c r="C502">
        <v>8</v>
      </c>
      <c r="D502">
        <v>6</v>
      </c>
      <c r="E502">
        <v>10</v>
      </c>
      <c r="F502">
        <v>16</v>
      </c>
      <c r="G502">
        <v>7</v>
      </c>
      <c r="H502">
        <v>9</v>
      </c>
      <c r="I502">
        <v>6</v>
      </c>
      <c r="J502">
        <v>5</v>
      </c>
      <c r="K502">
        <v>1</v>
      </c>
      <c r="L502">
        <v>4</v>
      </c>
      <c r="M502">
        <v>4</v>
      </c>
      <c r="N502">
        <v>3</v>
      </c>
      <c r="O502">
        <v>3</v>
      </c>
      <c r="P502">
        <v>6</v>
      </c>
      <c r="Q502">
        <v>3</v>
      </c>
      <c r="R502">
        <v>5</v>
      </c>
      <c r="S502">
        <v>6</v>
      </c>
      <c r="T502">
        <v>12</v>
      </c>
      <c r="U502">
        <v>4</v>
      </c>
      <c r="V502">
        <v>6</v>
      </c>
      <c r="W502" s="8">
        <f t="shared" si="336"/>
        <v>-0.33333333333333331</v>
      </c>
      <c r="X502" s="8">
        <f t="shared" si="337"/>
        <v>-0.25</v>
      </c>
      <c r="Y502" s="8">
        <f t="shared" si="338"/>
        <v>0.66666666666666663</v>
      </c>
      <c r="Z502" s="8">
        <f t="shared" si="339"/>
        <v>0.6</v>
      </c>
      <c r="AA502" s="8">
        <f t="shared" si="340"/>
        <v>-0.5625</v>
      </c>
      <c r="AB502" s="8">
        <f t="shared" si="341"/>
        <v>0.2857142857142857</v>
      </c>
      <c r="AC502" s="12">
        <f t="shared" si="342"/>
        <v>6.7757936507936503E-2</v>
      </c>
      <c r="AD502" s="12">
        <f t="shared" si="343"/>
        <v>1.7857142857142849E-2</v>
      </c>
      <c r="AE502" s="1">
        <f t="shared" si="344"/>
        <v>-4</v>
      </c>
      <c r="AF502" s="1">
        <f t="shared" si="345"/>
        <v>-2</v>
      </c>
      <c r="AG502" s="1">
        <f t="shared" si="346"/>
        <v>4</v>
      </c>
      <c r="AH502" s="1">
        <f t="shared" si="347"/>
        <v>6</v>
      </c>
      <c r="AI502" s="1">
        <f t="shared" si="348"/>
        <v>-9</v>
      </c>
      <c r="AJ502" s="1">
        <f t="shared" si="349"/>
        <v>2</v>
      </c>
      <c r="AK502" s="17">
        <f t="shared" si="350"/>
        <v>-0.5</v>
      </c>
      <c r="AL502" s="17">
        <f t="shared" si="351"/>
        <v>0</v>
      </c>
      <c r="AM502" s="1">
        <f t="shared" si="352"/>
        <v>-0.16666666666666666</v>
      </c>
      <c r="AN502" s="1">
        <f t="shared" si="353"/>
        <v>-0.8</v>
      </c>
      <c r="AO502" s="1">
        <f t="shared" si="354"/>
        <v>3</v>
      </c>
      <c r="AP502" s="1">
        <f t="shared" si="355"/>
        <v>0</v>
      </c>
      <c r="AQ502" s="1">
        <f t="shared" si="356"/>
        <v>-0.25</v>
      </c>
      <c r="AR502" s="1">
        <f t="shared" si="357"/>
        <v>0</v>
      </c>
      <c r="AS502" s="12">
        <f t="shared" si="358"/>
        <v>0.29722222222222222</v>
      </c>
      <c r="AT502" s="12">
        <f t="shared" si="359"/>
        <v>-8.3333333333333329E-2</v>
      </c>
      <c r="AU502" s="1">
        <f t="shared" si="360"/>
        <v>-1</v>
      </c>
      <c r="AV502" s="1">
        <f t="shared" si="361"/>
        <v>-4</v>
      </c>
      <c r="AW502" s="1">
        <f t="shared" si="362"/>
        <v>3</v>
      </c>
      <c r="AX502" s="1">
        <f t="shared" si="363"/>
        <v>0</v>
      </c>
      <c r="AY502" s="1">
        <f t="shared" si="364"/>
        <v>-1</v>
      </c>
      <c r="AZ502" s="1">
        <f t="shared" si="365"/>
        <v>0</v>
      </c>
      <c r="BA502" s="19">
        <f t="shared" si="366"/>
        <v>-0.5</v>
      </c>
      <c r="BB502" s="19">
        <f t="shared" si="367"/>
        <v>-0.5</v>
      </c>
      <c r="BC502" s="9">
        <f t="shared" si="368"/>
        <v>-0.5</v>
      </c>
      <c r="BD502" s="9">
        <f t="shared" si="369"/>
        <v>0.66666666666666663</v>
      </c>
      <c r="BE502" s="9">
        <f t="shared" si="370"/>
        <v>0.2</v>
      </c>
      <c r="BF502" s="9">
        <f t="shared" si="371"/>
        <v>1</v>
      </c>
      <c r="BG502" s="9">
        <f t="shared" si="372"/>
        <v>-0.66666666666666663</v>
      </c>
      <c r="BH502" s="9">
        <f t="shared" si="373"/>
        <v>0.5</v>
      </c>
      <c r="BI502" s="12">
        <f t="shared" si="374"/>
        <v>0.20000000000000004</v>
      </c>
      <c r="BJ502" s="13">
        <f t="shared" si="375"/>
        <v>0.35</v>
      </c>
      <c r="BK502" s="1">
        <f t="shared" si="376"/>
        <v>-3</v>
      </c>
      <c r="BL502" s="1">
        <f t="shared" si="377"/>
        <v>2</v>
      </c>
      <c r="BM502" s="1">
        <f t="shared" si="378"/>
        <v>1</v>
      </c>
      <c r="BN502" s="1">
        <f t="shared" si="379"/>
        <v>6</v>
      </c>
      <c r="BO502" s="1">
        <f t="shared" si="380"/>
        <v>-8</v>
      </c>
      <c r="BP502" s="1">
        <f t="shared" si="381"/>
        <v>2</v>
      </c>
      <c r="BQ502" s="19">
        <f t="shared" si="382"/>
        <v>0</v>
      </c>
      <c r="BR502" s="17">
        <f t="shared" si="383"/>
        <v>1.5</v>
      </c>
    </row>
    <row r="503" spans="1:70" x14ac:dyDescent="0.25">
      <c r="A503" t="s">
        <v>300</v>
      </c>
      <c r="B503">
        <v>11</v>
      </c>
      <c r="C503">
        <v>10</v>
      </c>
      <c r="D503">
        <v>9</v>
      </c>
      <c r="E503">
        <v>4</v>
      </c>
      <c r="F503">
        <v>6</v>
      </c>
      <c r="G503">
        <v>10</v>
      </c>
      <c r="H503">
        <v>8</v>
      </c>
      <c r="I503">
        <v>7</v>
      </c>
      <c r="J503">
        <v>6</v>
      </c>
      <c r="K503">
        <v>3</v>
      </c>
      <c r="L503">
        <v>2</v>
      </c>
      <c r="M503">
        <v>3</v>
      </c>
      <c r="N503">
        <v>4</v>
      </c>
      <c r="O503">
        <v>4</v>
      </c>
      <c r="P503">
        <v>4</v>
      </c>
      <c r="Q503">
        <v>4</v>
      </c>
      <c r="R503">
        <v>6</v>
      </c>
      <c r="S503">
        <v>2</v>
      </c>
      <c r="T503">
        <v>3</v>
      </c>
      <c r="U503">
        <v>6</v>
      </c>
      <c r="V503">
        <v>4</v>
      </c>
      <c r="W503" s="8">
        <f t="shared" si="336"/>
        <v>-9.0909090909090912E-2</v>
      </c>
      <c r="X503" s="8">
        <f t="shared" si="337"/>
        <v>-0.1</v>
      </c>
      <c r="Y503" s="8">
        <f t="shared" si="338"/>
        <v>-0.55555555555555558</v>
      </c>
      <c r="Z503" s="8">
        <f t="shared" si="339"/>
        <v>0.5</v>
      </c>
      <c r="AA503" s="8">
        <f t="shared" si="340"/>
        <v>0.66666666666666663</v>
      </c>
      <c r="AB503" s="8">
        <f t="shared" si="341"/>
        <v>-0.2</v>
      </c>
      <c r="AC503" s="12">
        <f t="shared" si="342"/>
        <v>3.6700336700336685E-2</v>
      </c>
      <c r="AD503" s="12">
        <f t="shared" si="343"/>
        <v>-9.5454545454545459E-2</v>
      </c>
      <c r="AE503" s="1">
        <f t="shared" si="344"/>
        <v>-1</v>
      </c>
      <c r="AF503" s="1">
        <f t="shared" si="345"/>
        <v>-1</v>
      </c>
      <c r="AG503" s="1">
        <f t="shared" si="346"/>
        <v>-5</v>
      </c>
      <c r="AH503" s="1">
        <f t="shared" si="347"/>
        <v>2</v>
      </c>
      <c r="AI503" s="1">
        <f t="shared" si="348"/>
        <v>4</v>
      </c>
      <c r="AJ503" s="1">
        <f t="shared" si="349"/>
        <v>-2</v>
      </c>
      <c r="AK503" s="17">
        <f t="shared" si="350"/>
        <v>-0.5</v>
      </c>
      <c r="AL503" s="17">
        <f t="shared" si="351"/>
        <v>-1</v>
      </c>
      <c r="AM503" s="1">
        <f t="shared" si="352"/>
        <v>-0.14285714285714285</v>
      </c>
      <c r="AN503" s="1">
        <f t="shared" si="353"/>
        <v>-0.5</v>
      </c>
      <c r="AO503" s="1">
        <f t="shared" si="354"/>
        <v>-0.33333333333333331</v>
      </c>
      <c r="AP503" s="1">
        <f t="shared" si="355"/>
        <v>0.5</v>
      </c>
      <c r="AQ503" s="1">
        <f t="shared" si="356"/>
        <v>0.33333333333333331</v>
      </c>
      <c r="AR503" s="1">
        <f t="shared" si="357"/>
        <v>0</v>
      </c>
      <c r="AS503" s="12">
        <f t="shared" si="358"/>
        <v>-2.3809523809523791E-2</v>
      </c>
      <c r="AT503" s="12">
        <f t="shared" si="359"/>
        <v>-7.1428571428571425E-2</v>
      </c>
      <c r="AU503" s="1">
        <f t="shared" si="360"/>
        <v>-1</v>
      </c>
      <c r="AV503" s="1">
        <f t="shared" si="361"/>
        <v>-3</v>
      </c>
      <c r="AW503" s="1">
        <f t="shared" si="362"/>
        <v>-1</v>
      </c>
      <c r="AX503" s="1">
        <f t="shared" si="363"/>
        <v>1</v>
      </c>
      <c r="AY503" s="1">
        <f t="shared" si="364"/>
        <v>1</v>
      </c>
      <c r="AZ503" s="1">
        <f t="shared" si="365"/>
        <v>0</v>
      </c>
      <c r="BA503" s="19">
        <f t="shared" si="366"/>
        <v>-0.5</v>
      </c>
      <c r="BB503" s="19">
        <f t="shared" si="367"/>
        <v>-0.5</v>
      </c>
      <c r="BC503" s="9">
        <f t="shared" si="368"/>
        <v>0</v>
      </c>
      <c r="BD503" s="9">
        <f t="shared" si="369"/>
        <v>0.5</v>
      </c>
      <c r="BE503" s="9">
        <f t="shared" si="370"/>
        <v>-0.66666666666666663</v>
      </c>
      <c r="BF503" s="9">
        <f t="shared" si="371"/>
        <v>0.5</v>
      </c>
      <c r="BG503" s="9">
        <f t="shared" si="372"/>
        <v>1</v>
      </c>
      <c r="BH503" s="9">
        <f t="shared" si="373"/>
        <v>-0.33333333333333331</v>
      </c>
      <c r="BI503" s="12">
        <f t="shared" si="374"/>
        <v>0.16666666666666671</v>
      </c>
      <c r="BJ503" s="13">
        <f t="shared" si="375"/>
        <v>0.25</v>
      </c>
      <c r="BK503" s="1">
        <f t="shared" si="376"/>
        <v>0</v>
      </c>
      <c r="BL503" s="1">
        <f t="shared" si="377"/>
        <v>2</v>
      </c>
      <c r="BM503" s="1">
        <f t="shared" si="378"/>
        <v>-4</v>
      </c>
      <c r="BN503" s="1">
        <f t="shared" si="379"/>
        <v>1</v>
      </c>
      <c r="BO503" s="1">
        <f t="shared" si="380"/>
        <v>3</v>
      </c>
      <c r="BP503" s="1">
        <f t="shared" si="381"/>
        <v>-2</v>
      </c>
      <c r="BQ503" s="19">
        <f t="shared" si="382"/>
        <v>0</v>
      </c>
      <c r="BR503" s="17">
        <f t="shared" si="383"/>
        <v>0.5</v>
      </c>
    </row>
    <row r="504" spans="1:70" x14ac:dyDescent="0.25">
      <c r="A504" t="s">
        <v>336</v>
      </c>
      <c r="B504">
        <v>8</v>
      </c>
      <c r="C504">
        <v>13</v>
      </c>
      <c r="D504">
        <v>2</v>
      </c>
      <c r="E504">
        <v>2</v>
      </c>
      <c r="F504">
        <v>2</v>
      </c>
      <c r="G504">
        <v>5</v>
      </c>
      <c r="H504">
        <v>5</v>
      </c>
      <c r="I504">
        <v>3</v>
      </c>
      <c r="J504">
        <v>9</v>
      </c>
      <c r="L504">
        <v>1</v>
      </c>
      <c r="M504">
        <v>1</v>
      </c>
      <c r="N504">
        <v>2</v>
      </c>
      <c r="O504">
        <v>3</v>
      </c>
      <c r="P504">
        <v>5</v>
      </c>
      <c r="Q504">
        <v>4</v>
      </c>
      <c r="R504">
        <v>2</v>
      </c>
      <c r="S504">
        <v>1</v>
      </c>
      <c r="T504">
        <v>1</v>
      </c>
      <c r="U504">
        <v>3</v>
      </c>
      <c r="V504">
        <v>2</v>
      </c>
      <c r="W504" s="8">
        <f t="shared" si="336"/>
        <v>0.625</v>
      </c>
      <c r="X504" s="8">
        <f t="shared" si="337"/>
        <v>-0.84615384615384615</v>
      </c>
      <c r="Y504" s="8">
        <f t="shared" si="338"/>
        <v>0</v>
      </c>
      <c r="Z504" s="8">
        <f t="shared" si="339"/>
        <v>0</v>
      </c>
      <c r="AA504" s="8">
        <f t="shared" si="340"/>
        <v>1.5</v>
      </c>
      <c r="AB504" s="8">
        <f t="shared" si="341"/>
        <v>0</v>
      </c>
      <c r="AC504" s="12">
        <f t="shared" si="342"/>
        <v>0.21314102564102563</v>
      </c>
      <c r="AD504" s="12">
        <f t="shared" si="343"/>
        <v>0</v>
      </c>
      <c r="AE504" s="1">
        <f t="shared" si="344"/>
        <v>5</v>
      </c>
      <c r="AF504" s="1">
        <f t="shared" si="345"/>
        <v>-11</v>
      </c>
      <c r="AG504" s="1">
        <f t="shared" si="346"/>
        <v>0</v>
      </c>
      <c r="AH504" s="1">
        <f t="shared" si="347"/>
        <v>0</v>
      </c>
      <c r="AI504" s="1">
        <f t="shared" si="348"/>
        <v>3</v>
      </c>
      <c r="AJ504" s="1">
        <f t="shared" si="349"/>
        <v>0</v>
      </c>
      <c r="AK504" s="17">
        <f t="shared" si="350"/>
        <v>-0.5</v>
      </c>
      <c r="AL504" s="17">
        <f t="shared" si="351"/>
        <v>0</v>
      </c>
      <c r="AM504" s="1">
        <f t="shared" si="352"/>
        <v>2</v>
      </c>
      <c r="AN504" s="1">
        <f t="shared" si="353"/>
        <v>-1</v>
      </c>
      <c r="AO504" s="1" t="e">
        <f t="shared" si="354"/>
        <v>#DIV/0!</v>
      </c>
      <c r="AP504" s="1">
        <f t="shared" si="355"/>
        <v>0</v>
      </c>
      <c r="AQ504" s="1">
        <f t="shared" si="356"/>
        <v>1</v>
      </c>
      <c r="AR504" s="1">
        <f t="shared" si="357"/>
        <v>0.5</v>
      </c>
      <c r="AS504" s="12" t="e">
        <f t="shared" si="358"/>
        <v>#DIV/0!</v>
      </c>
      <c r="AT504" s="12" t="e">
        <f t="shared" si="359"/>
        <v>#DIV/0!</v>
      </c>
      <c r="AU504" s="1">
        <f t="shared" si="360"/>
        <v>6</v>
      </c>
      <c r="AV504" s="1">
        <f t="shared" si="361"/>
        <v>-9</v>
      </c>
      <c r="AW504" s="1">
        <f t="shared" si="362"/>
        <v>1</v>
      </c>
      <c r="AX504" s="1">
        <f t="shared" si="363"/>
        <v>0</v>
      </c>
      <c r="AY504" s="1">
        <f t="shared" si="364"/>
        <v>1</v>
      </c>
      <c r="AZ504" s="1">
        <f t="shared" si="365"/>
        <v>1</v>
      </c>
      <c r="BA504" s="19">
        <f t="shared" si="366"/>
        <v>0</v>
      </c>
      <c r="BB504" s="19">
        <f t="shared" si="367"/>
        <v>1</v>
      </c>
      <c r="BC504" s="9">
        <f t="shared" si="368"/>
        <v>-0.2</v>
      </c>
      <c r="BD504" s="9">
        <f t="shared" si="369"/>
        <v>-0.5</v>
      </c>
      <c r="BE504" s="9">
        <f t="shared" si="370"/>
        <v>-0.5</v>
      </c>
      <c r="BF504" s="9">
        <f t="shared" si="371"/>
        <v>0</v>
      </c>
      <c r="BG504" s="9">
        <f t="shared" si="372"/>
        <v>2</v>
      </c>
      <c r="BH504" s="9">
        <f t="shared" si="373"/>
        <v>-0.33333333333333331</v>
      </c>
      <c r="BI504" s="12">
        <f t="shared" si="374"/>
        <v>7.7777777777777793E-2</v>
      </c>
      <c r="BJ504" s="13">
        <f t="shared" si="375"/>
        <v>-0.26666666666666666</v>
      </c>
      <c r="BK504" s="1">
        <f t="shared" si="376"/>
        <v>-1</v>
      </c>
      <c r="BL504" s="1">
        <f t="shared" si="377"/>
        <v>-2</v>
      </c>
      <c r="BM504" s="1">
        <f t="shared" si="378"/>
        <v>-1</v>
      </c>
      <c r="BN504" s="1">
        <f t="shared" si="379"/>
        <v>0</v>
      </c>
      <c r="BO504" s="1">
        <f t="shared" si="380"/>
        <v>2</v>
      </c>
      <c r="BP504" s="1">
        <f t="shared" si="381"/>
        <v>-1</v>
      </c>
      <c r="BQ504" s="19">
        <f t="shared" si="382"/>
        <v>-0.5</v>
      </c>
      <c r="BR504" s="17">
        <f t="shared" si="383"/>
        <v>-1</v>
      </c>
    </row>
    <row r="505" spans="1:70" x14ac:dyDescent="0.25">
      <c r="A505" t="s">
        <v>338</v>
      </c>
      <c r="B505">
        <v>8</v>
      </c>
      <c r="C505">
        <v>8</v>
      </c>
      <c r="D505">
        <v>7</v>
      </c>
      <c r="E505">
        <v>8</v>
      </c>
      <c r="F505">
        <v>10</v>
      </c>
      <c r="G505">
        <v>5</v>
      </c>
      <c r="H505">
        <v>5</v>
      </c>
      <c r="I505">
        <v>5</v>
      </c>
      <c r="J505">
        <v>3</v>
      </c>
      <c r="K505">
        <v>4</v>
      </c>
      <c r="L505">
        <v>6</v>
      </c>
      <c r="M505">
        <v>7</v>
      </c>
      <c r="N505">
        <v>3</v>
      </c>
      <c r="O505">
        <v>3</v>
      </c>
      <c r="P505">
        <v>3</v>
      </c>
      <c r="Q505">
        <v>5</v>
      </c>
      <c r="R505">
        <v>3</v>
      </c>
      <c r="S505">
        <v>2</v>
      </c>
      <c r="T505">
        <v>3</v>
      </c>
      <c r="U505">
        <v>2</v>
      </c>
      <c r="V505">
        <v>2</v>
      </c>
      <c r="W505" s="8">
        <f t="shared" si="336"/>
        <v>0</v>
      </c>
      <c r="X505" s="8">
        <f t="shared" si="337"/>
        <v>-0.125</v>
      </c>
      <c r="Y505" s="8">
        <f t="shared" si="338"/>
        <v>0.14285714285714285</v>
      </c>
      <c r="Z505" s="8">
        <f t="shared" si="339"/>
        <v>0.25</v>
      </c>
      <c r="AA505" s="8">
        <f t="shared" si="340"/>
        <v>-0.5</v>
      </c>
      <c r="AB505" s="8">
        <f t="shared" si="341"/>
        <v>0</v>
      </c>
      <c r="AC505" s="12">
        <f t="shared" si="342"/>
        <v>-3.8690476190476192E-2</v>
      </c>
      <c r="AD505" s="12">
        <f t="shared" si="343"/>
        <v>0</v>
      </c>
      <c r="AE505" s="1">
        <f t="shared" si="344"/>
        <v>0</v>
      </c>
      <c r="AF505" s="1">
        <f t="shared" si="345"/>
        <v>-1</v>
      </c>
      <c r="AG505" s="1">
        <f t="shared" si="346"/>
        <v>1</v>
      </c>
      <c r="AH505" s="1">
        <f t="shared" si="347"/>
        <v>2</v>
      </c>
      <c r="AI505" s="1">
        <f t="shared" si="348"/>
        <v>-5</v>
      </c>
      <c r="AJ505" s="1">
        <f t="shared" si="349"/>
        <v>0</v>
      </c>
      <c r="AK505" s="17">
        <f t="shared" si="350"/>
        <v>-0.5</v>
      </c>
      <c r="AL505" s="17">
        <f t="shared" si="351"/>
        <v>0</v>
      </c>
      <c r="AM505" s="1">
        <f t="shared" si="352"/>
        <v>-0.4</v>
      </c>
      <c r="AN505" s="1">
        <f t="shared" si="353"/>
        <v>0.33333333333333331</v>
      </c>
      <c r="AO505" s="1">
        <f t="shared" si="354"/>
        <v>0.5</v>
      </c>
      <c r="AP505" s="1">
        <f t="shared" si="355"/>
        <v>0.16666666666666666</v>
      </c>
      <c r="AQ505" s="1">
        <f t="shared" si="356"/>
        <v>-0.5714285714285714</v>
      </c>
      <c r="AR505" s="1">
        <f t="shared" si="357"/>
        <v>0</v>
      </c>
      <c r="AS505" s="12">
        <f t="shared" si="358"/>
        <v>4.7619047619047632E-3</v>
      </c>
      <c r="AT505" s="12">
        <f t="shared" si="359"/>
        <v>8.3333333333333329E-2</v>
      </c>
      <c r="AU505" s="1">
        <f t="shared" si="360"/>
        <v>-2</v>
      </c>
      <c r="AV505" s="1">
        <f t="shared" si="361"/>
        <v>1</v>
      </c>
      <c r="AW505" s="1">
        <f t="shared" si="362"/>
        <v>2</v>
      </c>
      <c r="AX505" s="1">
        <f t="shared" si="363"/>
        <v>1</v>
      </c>
      <c r="AY505" s="1">
        <f t="shared" si="364"/>
        <v>-4</v>
      </c>
      <c r="AZ505" s="1">
        <f t="shared" si="365"/>
        <v>0</v>
      </c>
      <c r="BA505" s="19">
        <f t="shared" si="366"/>
        <v>-0.33333333333333331</v>
      </c>
      <c r="BB505" s="19">
        <f t="shared" si="367"/>
        <v>0.5</v>
      </c>
      <c r="BC505" s="9">
        <f t="shared" si="368"/>
        <v>0.66666666666666663</v>
      </c>
      <c r="BD505" s="9">
        <f t="shared" si="369"/>
        <v>-0.4</v>
      </c>
      <c r="BE505" s="9">
        <f t="shared" si="370"/>
        <v>-0.33333333333333331</v>
      </c>
      <c r="BF505" s="9">
        <f t="shared" si="371"/>
        <v>0.5</v>
      </c>
      <c r="BG505" s="9">
        <f t="shared" si="372"/>
        <v>-0.33333333333333331</v>
      </c>
      <c r="BH505" s="9">
        <f t="shared" si="373"/>
        <v>0</v>
      </c>
      <c r="BI505" s="12">
        <f t="shared" si="374"/>
        <v>1.6666666666666663E-2</v>
      </c>
      <c r="BJ505" s="13">
        <f t="shared" si="375"/>
        <v>-0.16666666666666666</v>
      </c>
      <c r="BK505" s="1">
        <f t="shared" si="376"/>
        <v>2</v>
      </c>
      <c r="BL505" s="1">
        <f t="shared" si="377"/>
        <v>-2</v>
      </c>
      <c r="BM505" s="1">
        <f t="shared" si="378"/>
        <v>-1</v>
      </c>
      <c r="BN505" s="1">
        <f t="shared" si="379"/>
        <v>1</v>
      </c>
      <c r="BO505" s="1">
        <f t="shared" si="380"/>
        <v>-1</v>
      </c>
      <c r="BP505" s="1">
        <f t="shared" si="381"/>
        <v>0</v>
      </c>
      <c r="BQ505" s="19">
        <f t="shared" si="382"/>
        <v>-0.16666666666666666</v>
      </c>
      <c r="BR505" s="17">
        <f t="shared" si="383"/>
        <v>-0.5</v>
      </c>
    </row>
    <row r="506" spans="1:70" x14ac:dyDescent="0.25">
      <c r="A506" t="s">
        <v>356</v>
      </c>
      <c r="B506">
        <v>6</v>
      </c>
      <c r="D506">
        <v>1</v>
      </c>
      <c r="E506">
        <v>3</v>
      </c>
      <c r="F506">
        <v>5</v>
      </c>
      <c r="G506">
        <v>4</v>
      </c>
      <c r="H506">
        <v>3</v>
      </c>
      <c r="I506">
        <v>2</v>
      </c>
      <c r="K506">
        <v>1</v>
      </c>
      <c r="L506">
        <v>2</v>
      </c>
      <c r="M506">
        <v>1</v>
      </c>
      <c r="N506">
        <v>1</v>
      </c>
      <c r="O506">
        <v>2</v>
      </c>
      <c r="P506">
        <v>4</v>
      </c>
      <c r="S506">
        <v>1</v>
      </c>
      <c r="T506">
        <v>4</v>
      </c>
      <c r="U506">
        <v>3</v>
      </c>
      <c r="V506">
        <v>1</v>
      </c>
      <c r="W506" s="8">
        <f t="shared" si="336"/>
        <v>-1</v>
      </c>
      <c r="X506" s="8" t="e">
        <f t="shared" si="337"/>
        <v>#DIV/0!</v>
      </c>
      <c r="Y506" s="8">
        <f t="shared" si="338"/>
        <v>2</v>
      </c>
      <c r="Z506" s="8">
        <f t="shared" si="339"/>
        <v>0.66666666666666663</v>
      </c>
      <c r="AA506" s="8">
        <f t="shared" si="340"/>
        <v>-0.2</v>
      </c>
      <c r="AB506" s="8">
        <f t="shared" si="341"/>
        <v>-0.25</v>
      </c>
      <c r="AC506" s="12" t="e">
        <f t="shared" si="342"/>
        <v>#DIV/0!</v>
      </c>
      <c r="AD506" s="12" t="e">
        <f t="shared" si="343"/>
        <v>#DIV/0!</v>
      </c>
      <c r="AE506" s="1">
        <f t="shared" si="344"/>
        <v>-6</v>
      </c>
      <c r="AF506" s="1">
        <f t="shared" si="345"/>
        <v>1</v>
      </c>
      <c r="AG506" s="1">
        <f t="shared" si="346"/>
        <v>2</v>
      </c>
      <c r="AH506" s="1">
        <f t="shared" si="347"/>
        <v>2</v>
      </c>
      <c r="AI506" s="1">
        <f t="shared" si="348"/>
        <v>-1</v>
      </c>
      <c r="AJ506" s="1">
        <f t="shared" si="349"/>
        <v>-1</v>
      </c>
      <c r="AK506" s="17">
        <f t="shared" si="350"/>
        <v>-0.5</v>
      </c>
      <c r="AL506" s="17">
        <f t="shared" si="351"/>
        <v>0</v>
      </c>
      <c r="AM506" s="1">
        <f t="shared" si="352"/>
        <v>-1</v>
      </c>
      <c r="AN506" s="1" t="e">
        <f t="shared" si="353"/>
        <v>#DIV/0!</v>
      </c>
      <c r="AO506" s="1">
        <f t="shared" si="354"/>
        <v>1</v>
      </c>
      <c r="AP506" s="1">
        <f t="shared" si="355"/>
        <v>-0.5</v>
      </c>
      <c r="AQ506" s="1">
        <f t="shared" si="356"/>
        <v>0</v>
      </c>
      <c r="AR506" s="1">
        <f t="shared" si="357"/>
        <v>1</v>
      </c>
      <c r="AS506" s="12" t="e">
        <f t="shared" si="358"/>
        <v>#DIV/0!</v>
      </c>
      <c r="AT506" s="12" t="e">
        <f t="shared" si="359"/>
        <v>#DIV/0!</v>
      </c>
      <c r="AU506" s="1">
        <f t="shared" si="360"/>
        <v>-2</v>
      </c>
      <c r="AV506" s="1">
        <f t="shared" si="361"/>
        <v>1</v>
      </c>
      <c r="AW506" s="1">
        <f t="shared" si="362"/>
        <v>1</v>
      </c>
      <c r="AX506" s="1">
        <f t="shared" si="363"/>
        <v>-1</v>
      </c>
      <c r="AY506" s="1">
        <f t="shared" si="364"/>
        <v>0</v>
      </c>
      <c r="AZ506" s="1">
        <f t="shared" si="365"/>
        <v>1</v>
      </c>
      <c r="BA506" s="19">
        <f t="shared" si="366"/>
        <v>0</v>
      </c>
      <c r="BB506" s="19">
        <f t="shared" si="367"/>
        <v>0.5</v>
      </c>
      <c r="BC506" s="9">
        <f t="shared" si="368"/>
        <v>-1</v>
      </c>
      <c r="BD506" s="9" t="e">
        <f t="shared" si="369"/>
        <v>#DIV/0!</v>
      </c>
      <c r="BE506" s="9" t="e">
        <f t="shared" si="370"/>
        <v>#DIV/0!</v>
      </c>
      <c r="BF506" s="9">
        <f t="shared" si="371"/>
        <v>3</v>
      </c>
      <c r="BG506" s="9">
        <f t="shared" si="372"/>
        <v>-0.25</v>
      </c>
      <c r="BH506" s="9">
        <f t="shared" si="373"/>
        <v>-0.66666666666666663</v>
      </c>
      <c r="BI506" s="12" t="e">
        <f t="shared" si="374"/>
        <v>#DIV/0!</v>
      </c>
      <c r="BJ506" s="13" t="e">
        <f t="shared" si="375"/>
        <v>#DIV/0!</v>
      </c>
      <c r="BK506" s="1">
        <f t="shared" si="376"/>
        <v>-4</v>
      </c>
      <c r="BL506" s="1">
        <f t="shared" si="377"/>
        <v>0</v>
      </c>
      <c r="BM506" s="1">
        <f t="shared" si="378"/>
        <v>1</v>
      </c>
      <c r="BN506" s="1">
        <f t="shared" si="379"/>
        <v>3</v>
      </c>
      <c r="BO506" s="1">
        <f t="shared" si="380"/>
        <v>-1</v>
      </c>
      <c r="BP506" s="1">
        <f t="shared" si="381"/>
        <v>-2</v>
      </c>
      <c r="BQ506" s="19">
        <f t="shared" si="382"/>
        <v>-0.5</v>
      </c>
      <c r="BR506" s="17">
        <f t="shared" si="383"/>
        <v>-0.5</v>
      </c>
    </row>
    <row r="507" spans="1:70" x14ac:dyDescent="0.25">
      <c r="A507" t="s">
        <v>369</v>
      </c>
      <c r="B507">
        <v>6</v>
      </c>
      <c r="C507">
        <v>3</v>
      </c>
      <c r="D507">
        <v>2</v>
      </c>
      <c r="E507">
        <v>1</v>
      </c>
      <c r="F507">
        <v>2</v>
      </c>
      <c r="H507">
        <v>3</v>
      </c>
      <c r="I507">
        <v>2</v>
      </c>
      <c r="J507">
        <v>2</v>
      </c>
      <c r="M507">
        <v>2</v>
      </c>
      <c r="O507">
        <v>2</v>
      </c>
      <c r="P507">
        <v>4</v>
      </c>
      <c r="Q507">
        <v>1</v>
      </c>
      <c r="R507">
        <v>2</v>
      </c>
      <c r="S507">
        <v>1</v>
      </c>
      <c r="V507">
        <v>1</v>
      </c>
      <c r="W507" s="8">
        <f t="shared" si="336"/>
        <v>-0.5</v>
      </c>
      <c r="X507" s="8">
        <f t="shared" si="337"/>
        <v>-0.33333333333333331</v>
      </c>
      <c r="Y507" s="8">
        <f t="shared" si="338"/>
        <v>-0.5</v>
      </c>
      <c r="Z507" s="8">
        <f t="shared" si="339"/>
        <v>1</v>
      </c>
      <c r="AA507" s="8">
        <f t="shared" si="340"/>
        <v>-1</v>
      </c>
      <c r="AB507" s="8" t="e">
        <f t="shared" si="341"/>
        <v>#DIV/0!</v>
      </c>
      <c r="AC507" s="12" t="e">
        <f t="shared" si="342"/>
        <v>#DIV/0!</v>
      </c>
      <c r="AD507" s="12" t="e">
        <f t="shared" si="343"/>
        <v>#DIV/0!</v>
      </c>
      <c r="AE507" s="1">
        <f t="shared" si="344"/>
        <v>-3</v>
      </c>
      <c r="AF507" s="1">
        <f t="shared" si="345"/>
        <v>-1</v>
      </c>
      <c r="AG507" s="1">
        <f t="shared" si="346"/>
        <v>-1</v>
      </c>
      <c r="AH507" s="1">
        <f t="shared" si="347"/>
        <v>1</v>
      </c>
      <c r="AI507" s="1">
        <f t="shared" si="348"/>
        <v>-2</v>
      </c>
      <c r="AJ507" s="1">
        <f t="shared" si="349"/>
        <v>3</v>
      </c>
      <c r="AK507" s="17">
        <f t="shared" si="350"/>
        <v>-0.5</v>
      </c>
      <c r="AL507" s="17">
        <f t="shared" si="351"/>
        <v>-1</v>
      </c>
      <c r="AM507" s="1">
        <f t="shared" si="352"/>
        <v>0</v>
      </c>
      <c r="AN507" s="1">
        <f t="shared" si="353"/>
        <v>-1</v>
      </c>
      <c r="AO507" s="1" t="e">
        <f t="shared" si="354"/>
        <v>#DIV/0!</v>
      </c>
      <c r="AP507" s="1" t="e">
        <f t="shared" si="355"/>
        <v>#DIV/0!</v>
      </c>
      <c r="AQ507" s="1">
        <f t="shared" si="356"/>
        <v>-1</v>
      </c>
      <c r="AR507" s="1" t="e">
        <f t="shared" si="357"/>
        <v>#DIV/0!</v>
      </c>
      <c r="AS507" s="12" t="e">
        <f t="shared" si="358"/>
        <v>#DIV/0!</v>
      </c>
      <c r="AT507" s="12" t="e">
        <f t="shared" si="359"/>
        <v>#DIV/0!</v>
      </c>
      <c r="AU507" s="1">
        <f t="shared" si="360"/>
        <v>0</v>
      </c>
      <c r="AV507" s="1">
        <f t="shared" si="361"/>
        <v>-2</v>
      </c>
      <c r="AW507" s="1">
        <f t="shared" si="362"/>
        <v>0</v>
      </c>
      <c r="AX507" s="1">
        <f t="shared" si="363"/>
        <v>2</v>
      </c>
      <c r="AY507" s="1">
        <f t="shared" si="364"/>
        <v>-2</v>
      </c>
      <c r="AZ507" s="1">
        <f t="shared" si="365"/>
        <v>2</v>
      </c>
      <c r="BA507" s="19">
        <f t="shared" si="366"/>
        <v>0</v>
      </c>
      <c r="BB507" s="19">
        <f t="shared" si="367"/>
        <v>0</v>
      </c>
      <c r="BC507" s="9">
        <f t="shared" si="368"/>
        <v>-0.75</v>
      </c>
      <c r="BD507" s="9">
        <f t="shared" si="369"/>
        <v>1</v>
      </c>
      <c r="BE507" s="9">
        <f t="shared" si="370"/>
        <v>-0.5</v>
      </c>
      <c r="BF507" s="9">
        <f t="shared" si="371"/>
        <v>-1</v>
      </c>
      <c r="BG507" s="9" t="e">
        <f t="shared" si="372"/>
        <v>#DIV/0!</v>
      </c>
      <c r="BH507" s="9" t="e">
        <f t="shared" si="373"/>
        <v>#DIV/0!</v>
      </c>
      <c r="BI507" s="12" t="e">
        <f t="shared" si="374"/>
        <v>#DIV/0!</v>
      </c>
      <c r="BJ507" s="13" t="e">
        <f t="shared" si="375"/>
        <v>#DIV/0!</v>
      </c>
      <c r="BK507" s="1">
        <f t="shared" si="376"/>
        <v>-3</v>
      </c>
      <c r="BL507" s="1">
        <f t="shared" si="377"/>
        <v>1</v>
      </c>
      <c r="BM507" s="1">
        <f t="shared" si="378"/>
        <v>-1</v>
      </c>
      <c r="BN507" s="1">
        <f t="shared" si="379"/>
        <v>-1</v>
      </c>
      <c r="BO507" s="1">
        <f t="shared" si="380"/>
        <v>0</v>
      </c>
      <c r="BP507" s="1">
        <f t="shared" si="381"/>
        <v>1</v>
      </c>
      <c r="BQ507" s="19">
        <f t="shared" si="382"/>
        <v>-0.5</v>
      </c>
      <c r="BR507" s="17">
        <f t="shared" si="383"/>
        <v>-0.5</v>
      </c>
    </row>
    <row r="508" spans="1:70" x14ac:dyDescent="0.25">
      <c r="A508" t="s">
        <v>373</v>
      </c>
      <c r="B508">
        <v>5</v>
      </c>
      <c r="C508">
        <v>4</v>
      </c>
      <c r="D508">
        <v>3</v>
      </c>
      <c r="E508">
        <v>2</v>
      </c>
      <c r="F508">
        <v>1</v>
      </c>
      <c r="G508">
        <v>1</v>
      </c>
      <c r="H508">
        <v>2</v>
      </c>
      <c r="I508">
        <v>1</v>
      </c>
      <c r="J508">
        <v>2</v>
      </c>
      <c r="K508">
        <v>2</v>
      </c>
      <c r="M508">
        <v>1</v>
      </c>
      <c r="N508">
        <v>1</v>
      </c>
      <c r="P508">
        <v>4</v>
      </c>
      <c r="Q508">
        <v>2</v>
      </c>
      <c r="R508">
        <v>1</v>
      </c>
      <c r="S508">
        <v>2</v>
      </c>
      <c r="V508">
        <v>2</v>
      </c>
      <c r="W508" s="8">
        <f t="shared" si="336"/>
        <v>-0.2</v>
      </c>
      <c r="X508" s="8">
        <f t="shared" si="337"/>
        <v>-0.25</v>
      </c>
      <c r="Y508" s="8">
        <f t="shared" si="338"/>
        <v>-0.33333333333333331</v>
      </c>
      <c r="Z508" s="8">
        <f t="shared" si="339"/>
        <v>-0.5</v>
      </c>
      <c r="AA508" s="8">
        <f t="shared" si="340"/>
        <v>0</v>
      </c>
      <c r="AB508" s="8">
        <f t="shared" si="341"/>
        <v>1</v>
      </c>
      <c r="AC508" s="12">
        <f t="shared" si="342"/>
        <v>-4.72222222222222E-2</v>
      </c>
      <c r="AD508" s="12">
        <f t="shared" si="343"/>
        <v>-0.22500000000000001</v>
      </c>
      <c r="AE508" s="1">
        <f t="shared" si="344"/>
        <v>-1</v>
      </c>
      <c r="AF508" s="1">
        <f t="shared" si="345"/>
        <v>-1</v>
      </c>
      <c r="AG508" s="1">
        <f t="shared" si="346"/>
        <v>-1</v>
      </c>
      <c r="AH508" s="1">
        <f t="shared" si="347"/>
        <v>-1</v>
      </c>
      <c r="AI508" s="1">
        <f t="shared" si="348"/>
        <v>0</v>
      </c>
      <c r="AJ508" s="1">
        <f t="shared" si="349"/>
        <v>1</v>
      </c>
      <c r="AK508" s="17">
        <f t="shared" si="350"/>
        <v>-0.5</v>
      </c>
      <c r="AL508" s="17">
        <f t="shared" si="351"/>
        <v>-1</v>
      </c>
      <c r="AM508" s="1">
        <f t="shared" si="352"/>
        <v>1</v>
      </c>
      <c r="AN508" s="1">
        <f t="shared" si="353"/>
        <v>0</v>
      </c>
      <c r="AO508" s="1">
        <f t="shared" si="354"/>
        <v>-1</v>
      </c>
      <c r="AP508" s="1" t="e">
        <f t="shared" si="355"/>
        <v>#DIV/0!</v>
      </c>
      <c r="AQ508" s="1">
        <f t="shared" si="356"/>
        <v>0</v>
      </c>
      <c r="AR508" s="1">
        <f t="shared" si="357"/>
        <v>-1</v>
      </c>
      <c r="AS508" s="12" t="e">
        <f t="shared" si="358"/>
        <v>#DIV/0!</v>
      </c>
      <c r="AT508" s="12" t="e">
        <f t="shared" si="359"/>
        <v>#DIV/0!</v>
      </c>
      <c r="AU508" s="1">
        <f t="shared" si="360"/>
        <v>1</v>
      </c>
      <c r="AV508" s="1">
        <f t="shared" si="361"/>
        <v>0</v>
      </c>
      <c r="AW508" s="1">
        <f t="shared" si="362"/>
        <v>-2</v>
      </c>
      <c r="AX508" s="1">
        <f t="shared" si="363"/>
        <v>1</v>
      </c>
      <c r="AY508" s="1">
        <f t="shared" si="364"/>
        <v>0</v>
      </c>
      <c r="AZ508" s="1">
        <f t="shared" si="365"/>
        <v>-1</v>
      </c>
      <c r="BA508" s="19">
        <f t="shared" si="366"/>
        <v>-0.16666666666666666</v>
      </c>
      <c r="BB508" s="19">
        <f t="shared" si="367"/>
        <v>0</v>
      </c>
      <c r="BC508" s="9">
        <f t="shared" si="368"/>
        <v>-0.5</v>
      </c>
      <c r="BD508" s="9">
        <f t="shared" si="369"/>
        <v>-0.5</v>
      </c>
      <c r="BE508" s="9">
        <f t="shared" si="370"/>
        <v>1</v>
      </c>
      <c r="BF508" s="9">
        <f t="shared" si="371"/>
        <v>-1</v>
      </c>
      <c r="BG508" s="9" t="e">
        <f t="shared" si="372"/>
        <v>#DIV/0!</v>
      </c>
      <c r="BH508" s="9" t="e">
        <f t="shared" si="373"/>
        <v>#DIV/0!</v>
      </c>
      <c r="BI508" s="12" t="e">
        <f t="shared" si="374"/>
        <v>#DIV/0!</v>
      </c>
      <c r="BJ508" s="13" t="e">
        <f t="shared" si="375"/>
        <v>#DIV/0!</v>
      </c>
      <c r="BK508" s="1">
        <f t="shared" si="376"/>
        <v>-2</v>
      </c>
      <c r="BL508" s="1">
        <f t="shared" si="377"/>
        <v>-1</v>
      </c>
      <c r="BM508" s="1">
        <f t="shared" si="378"/>
        <v>1</v>
      </c>
      <c r="BN508" s="1">
        <f t="shared" si="379"/>
        <v>-2</v>
      </c>
      <c r="BO508" s="1">
        <f t="shared" si="380"/>
        <v>0</v>
      </c>
      <c r="BP508" s="1">
        <f t="shared" si="381"/>
        <v>2</v>
      </c>
      <c r="BQ508" s="19">
        <f t="shared" si="382"/>
        <v>-0.33333333333333331</v>
      </c>
      <c r="BR508" s="17">
        <f t="shared" si="383"/>
        <v>-0.5</v>
      </c>
    </row>
    <row r="509" spans="1:70" x14ac:dyDescent="0.25">
      <c r="A509" t="s">
        <v>375</v>
      </c>
      <c r="B509">
        <v>5</v>
      </c>
      <c r="C509">
        <v>1</v>
      </c>
      <c r="D509">
        <v>6</v>
      </c>
      <c r="E509">
        <v>3</v>
      </c>
      <c r="F509">
        <v>2</v>
      </c>
      <c r="H509">
        <v>2</v>
      </c>
      <c r="I509">
        <v>5</v>
      </c>
      <c r="J509">
        <v>1</v>
      </c>
      <c r="K509">
        <v>6</v>
      </c>
      <c r="L509">
        <v>3</v>
      </c>
      <c r="M509">
        <v>2</v>
      </c>
      <c r="O509">
        <v>2</v>
      </c>
      <c r="W509" s="8">
        <f t="shared" si="336"/>
        <v>-0.8</v>
      </c>
      <c r="X509" s="8">
        <f t="shared" si="337"/>
        <v>5</v>
      </c>
      <c r="Y509" s="8">
        <f t="shared" si="338"/>
        <v>-0.5</v>
      </c>
      <c r="Z509" s="8">
        <f t="shared" si="339"/>
        <v>-0.33333333333333331</v>
      </c>
      <c r="AA509" s="8">
        <f t="shared" si="340"/>
        <v>-1</v>
      </c>
      <c r="AB509" s="8" t="e">
        <f t="shared" si="341"/>
        <v>#DIV/0!</v>
      </c>
      <c r="AC509" s="12" t="e">
        <f t="shared" si="342"/>
        <v>#DIV/0!</v>
      </c>
      <c r="AD509" s="12" t="e">
        <f t="shared" si="343"/>
        <v>#DIV/0!</v>
      </c>
      <c r="AE509" s="1">
        <f t="shared" si="344"/>
        <v>-4</v>
      </c>
      <c r="AF509" s="1">
        <f t="shared" si="345"/>
        <v>5</v>
      </c>
      <c r="AG509" s="1">
        <f t="shared" si="346"/>
        <v>-3</v>
      </c>
      <c r="AH509" s="1">
        <f t="shared" si="347"/>
        <v>-1</v>
      </c>
      <c r="AI509" s="1">
        <f t="shared" si="348"/>
        <v>-2</v>
      </c>
      <c r="AJ509" s="1">
        <f t="shared" si="349"/>
        <v>2</v>
      </c>
      <c r="AK509" s="17">
        <f t="shared" si="350"/>
        <v>-0.5</v>
      </c>
      <c r="AL509" s="17">
        <f t="shared" si="351"/>
        <v>-1.5</v>
      </c>
      <c r="AM509" s="1">
        <f t="shared" si="352"/>
        <v>-0.8</v>
      </c>
      <c r="AN509" s="1">
        <f t="shared" si="353"/>
        <v>5</v>
      </c>
      <c r="AO509" s="1">
        <f t="shared" si="354"/>
        <v>-0.5</v>
      </c>
      <c r="AP509" s="1">
        <f t="shared" si="355"/>
        <v>-0.33333333333333331</v>
      </c>
      <c r="AQ509" s="1">
        <f t="shared" si="356"/>
        <v>-1</v>
      </c>
      <c r="AR509" s="1" t="e">
        <f t="shared" si="357"/>
        <v>#DIV/0!</v>
      </c>
      <c r="AS509" s="12" t="e">
        <f t="shared" si="358"/>
        <v>#DIV/0!</v>
      </c>
      <c r="AT509" s="12" t="e">
        <f t="shared" si="359"/>
        <v>#DIV/0!</v>
      </c>
      <c r="AU509" s="1">
        <f t="shared" si="360"/>
        <v>-4</v>
      </c>
      <c r="AV509" s="1">
        <f t="shared" si="361"/>
        <v>5</v>
      </c>
      <c r="AW509" s="1">
        <f t="shared" si="362"/>
        <v>-3</v>
      </c>
      <c r="AX509" s="1">
        <f t="shared" si="363"/>
        <v>-1</v>
      </c>
      <c r="AY509" s="1">
        <f t="shared" si="364"/>
        <v>-2</v>
      </c>
      <c r="AZ509" s="1">
        <f t="shared" si="365"/>
        <v>2</v>
      </c>
      <c r="BA509" s="19">
        <f t="shared" si="366"/>
        <v>-0.5</v>
      </c>
      <c r="BB509" s="19">
        <f t="shared" si="367"/>
        <v>-1.5</v>
      </c>
      <c r="BC509" s="9" t="e">
        <f t="shared" si="368"/>
        <v>#DIV/0!</v>
      </c>
      <c r="BD509" s="9" t="e">
        <f t="shared" si="369"/>
        <v>#DIV/0!</v>
      </c>
      <c r="BE509" s="9" t="e">
        <f t="shared" si="370"/>
        <v>#DIV/0!</v>
      </c>
      <c r="BF509" s="9" t="e">
        <f t="shared" si="371"/>
        <v>#DIV/0!</v>
      </c>
      <c r="BG509" s="9" t="e">
        <f t="shared" si="372"/>
        <v>#DIV/0!</v>
      </c>
      <c r="BH509" s="9" t="e">
        <f t="shared" si="373"/>
        <v>#DIV/0!</v>
      </c>
      <c r="BI509" s="12" t="e">
        <f t="shared" si="374"/>
        <v>#DIV/0!</v>
      </c>
      <c r="BJ509" s="13" t="e">
        <f t="shared" si="375"/>
        <v>#DIV/0!</v>
      </c>
      <c r="BK509" s="1">
        <f t="shared" si="376"/>
        <v>0</v>
      </c>
      <c r="BL509" s="1">
        <f t="shared" si="377"/>
        <v>0</v>
      </c>
      <c r="BM509" s="1">
        <f t="shared" si="378"/>
        <v>0</v>
      </c>
      <c r="BN509" s="1">
        <f t="shared" si="379"/>
        <v>0</v>
      </c>
      <c r="BO509" s="1">
        <f t="shared" si="380"/>
        <v>0</v>
      </c>
      <c r="BP509" s="1">
        <f t="shared" si="381"/>
        <v>0</v>
      </c>
      <c r="BQ509" s="19">
        <f t="shared" si="382"/>
        <v>0</v>
      </c>
      <c r="BR509" s="17">
        <f t="shared" si="383"/>
        <v>0</v>
      </c>
    </row>
    <row r="510" spans="1:70" x14ac:dyDescent="0.25">
      <c r="A510" t="s">
        <v>380</v>
      </c>
      <c r="B510">
        <v>5</v>
      </c>
      <c r="C510">
        <v>7</v>
      </c>
      <c r="D510">
        <v>5</v>
      </c>
      <c r="E510">
        <v>3</v>
      </c>
      <c r="F510">
        <v>1</v>
      </c>
      <c r="G510">
        <v>2</v>
      </c>
      <c r="H510">
        <v>2</v>
      </c>
      <c r="I510">
        <v>2</v>
      </c>
      <c r="J510">
        <v>3</v>
      </c>
      <c r="K510">
        <v>1</v>
      </c>
      <c r="P510">
        <v>3</v>
      </c>
      <c r="Q510">
        <v>4</v>
      </c>
      <c r="R510">
        <v>4</v>
      </c>
      <c r="S510">
        <v>3</v>
      </c>
      <c r="T510">
        <v>1</v>
      </c>
      <c r="U510">
        <v>2</v>
      </c>
      <c r="V510">
        <v>2</v>
      </c>
      <c r="W510" s="8">
        <f t="shared" si="336"/>
        <v>0.4</v>
      </c>
      <c r="X510" s="8">
        <f t="shared" si="337"/>
        <v>-0.2857142857142857</v>
      </c>
      <c r="Y510" s="8">
        <f t="shared" si="338"/>
        <v>-0.4</v>
      </c>
      <c r="Z510" s="8">
        <f t="shared" si="339"/>
        <v>-0.66666666666666663</v>
      </c>
      <c r="AA510" s="8">
        <f t="shared" si="340"/>
        <v>1</v>
      </c>
      <c r="AB510" s="8">
        <f t="shared" si="341"/>
        <v>0</v>
      </c>
      <c r="AC510" s="12">
        <f t="shared" si="342"/>
        <v>7.9365079365079447E-3</v>
      </c>
      <c r="AD510" s="12">
        <f t="shared" si="343"/>
        <v>-0.14285714285714285</v>
      </c>
      <c r="AE510" s="1">
        <f t="shared" si="344"/>
        <v>2</v>
      </c>
      <c r="AF510" s="1">
        <f t="shared" si="345"/>
        <v>-2</v>
      </c>
      <c r="AG510" s="1">
        <f t="shared" si="346"/>
        <v>-2</v>
      </c>
      <c r="AH510" s="1">
        <f t="shared" si="347"/>
        <v>-2</v>
      </c>
      <c r="AI510" s="1">
        <f t="shared" si="348"/>
        <v>1</v>
      </c>
      <c r="AJ510" s="1">
        <f t="shared" si="349"/>
        <v>0</v>
      </c>
      <c r="AK510" s="17">
        <f t="shared" si="350"/>
        <v>-0.5</v>
      </c>
      <c r="AL510" s="17">
        <f t="shared" si="351"/>
        <v>-1</v>
      </c>
      <c r="AM510" s="1">
        <f t="shared" si="352"/>
        <v>0.5</v>
      </c>
      <c r="AN510" s="1">
        <f t="shared" si="353"/>
        <v>-0.66666666666666663</v>
      </c>
      <c r="AO510" s="1">
        <f t="shared" si="354"/>
        <v>-1</v>
      </c>
      <c r="AP510" s="1" t="e">
        <f t="shared" si="355"/>
        <v>#DIV/0!</v>
      </c>
      <c r="AQ510" s="1" t="e">
        <f t="shared" si="356"/>
        <v>#DIV/0!</v>
      </c>
      <c r="AR510" s="1" t="e">
        <f t="shared" si="357"/>
        <v>#DIV/0!</v>
      </c>
      <c r="AS510" s="12" t="e">
        <f t="shared" si="358"/>
        <v>#DIV/0!</v>
      </c>
      <c r="AT510" s="12" t="e">
        <f t="shared" si="359"/>
        <v>#DIV/0!</v>
      </c>
      <c r="AU510" s="1">
        <f t="shared" si="360"/>
        <v>1</v>
      </c>
      <c r="AV510" s="1">
        <f t="shared" si="361"/>
        <v>-2</v>
      </c>
      <c r="AW510" s="1">
        <f t="shared" si="362"/>
        <v>-1</v>
      </c>
      <c r="AX510" s="1">
        <f t="shared" si="363"/>
        <v>0</v>
      </c>
      <c r="AY510" s="1">
        <f t="shared" si="364"/>
        <v>0</v>
      </c>
      <c r="AZ510" s="1">
        <f t="shared" si="365"/>
        <v>0</v>
      </c>
      <c r="BA510" s="19">
        <f t="shared" si="366"/>
        <v>-0.33333333333333331</v>
      </c>
      <c r="BB510" s="19">
        <f t="shared" si="367"/>
        <v>0</v>
      </c>
      <c r="BC510" s="9">
        <f t="shared" si="368"/>
        <v>0.33333333333333331</v>
      </c>
      <c r="BD510" s="9">
        <f t="shared" si="369"/>
        <v>0</v>
      </c>
      <c r="BE510" s="9">
        <f t="shared" si="370"/>
        <v>-0.25</v>
      </c>
      <c r="BF510" s="9">
        <f t="shared" si="371"/>
        <v>-0.66666666666666663</v>
      </c>
      <c r="BG510" s="9">
        <f t="shared" si="372"/>
        <v>1</v>
      </c>
      <c r="BH510" s="9">
        <f t="shared" si="373"/>
        <v>0</v>
      </c>
      <c r="BI510" s="12">
        <f t="shared" si="374"/>
        <v>6.9444444444444461E-2</v>
      </c>
      <c r="BJ510" s="13">
        <f t="shared" si="375"/>
        <v>0</v>
      </c>
      <c r="BK510" s="1">
        <f t="shared" si="376"/>
        <v>1</v>
      </c>
      <c r="BL510" s="1">
        <f t="shared" si="377"/>
        <v>0</v>
      </c>
      <c r="BM510" s="1">
        <f t="shared" si="378"/>
        <v>-1</v>
      </c>
      <c r="BN510" s="1">
        <f t="shared" si="379"/>
        <v>-2</v>
      </c>
      <c r="BO510" s="1">
        <f t="shared" si="380"/>
        <v>1</v>
      </c>
      <c r="BP510" s="1">
        <f t="shared" si="381"/>
        <v>0</v>
      </c>
      <c r="BQ510" s="19">
        <f t="shared" si="382"/>
        <v>-0.16666666666666666</v>
      </c>
      <c r="BR510" s="17">
        <f t="shared" si="383"/>
        <v>0</v>
      </c>
    </row>
    <row r="511" spans="1:70" x14ac:dyDescent="0.25">
      <c r="A511" t="s">
        <v>394</v>
      </c>
      <c r="B511">
        <v>4</v>
      </c>
      <c r="C511">
        <v>3</v>
      </c>
      <c r="D511">
        <v>1</v>
      </c>
      <c r="E511">
        <v>2</v>
      </c>
      <c r="F511">
        <v>3</v>
      </c>
      <c r="G511">
        <v>2</v>
      </c>
      <c r="H511">
        <v>1</v>
      </c>
      <c r="I511">
        <v>2</v>
      </c>
      <c r="J511">
        <v>2</v>
      </c>
      <c r="L511">
        <v>1</v>
      </c>
      <c r="M511">
        <v>2</v>
      </c>
      <c r="N511">
        <v>1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 s="8">
        <f t="shared" si="336"/>
        <v>-0.25</v>
      </c>
      <c r="X511" s="8">
        <f t="shared" si="337"/>
        <v>-0.66666666666666663</v>
      </c>
      <c r="Y511" s="8">
        <f t="shared" si="338"/>
        <v>1</v>
      </c>
      <c r="Z511" s="8">
        <f t="shared" si="339"/>
        <v>0.5</v>
      </c>
      <c r="AA511" s="8">
        <f t="shared" si="340"/>
        <v>-0.33333333333333331</v>
      </c>
      <c r="AB511" s="8">
        <f t="shared" si="341"/>
        <v>-0.5</v>
      </c>
      <c r="AC511" s="12">
        <f t="shared" si="342"/>
        <v>-4.1666666666666657E-2</v>
      </c>
      <c r="AD511" s="12">
        <f t="shared" si="343"/>
        <v>-0.29166666666666663</v>
      </c>
      <c r="AE511" s="1">
        <f t="shared" si="344"/>
        <v>-1</v>
      </c>
      <c r="AF511" s="1">
        <f t="shared" si="345"/>
        <v>-2</v>
      </c>
      <c r="AG511" s="1">
        <f t="shared" si="346"/>
        <v>1</v>
      </c>
      <c r="AH511" s="1">
        <f t="shared" si="347"/>
        <v>1</v>
      </c>
      <c r="AI511" s="1">
        <f t="shared" si="348"/>
        <v>-1</v>
      </c>
      <c r="AJ511" s="1">
        <f t="shared" si="349"/>
        <v>-1</v>
      </c>
      <c r="AK511" s="17">
        <f t="shared" si="350"/>
        <v>-0.5</v>
      </c>
      <c r="AL511" s="17">
        <f t="shared" si="351"/>
        <v>-1</v>
      </c>
      <c r="AM511" s="1">
        <f t="shared" si="352"/>
        <v>0</v>
      </c>
      <c r="AN511" s="1">
        <f t="shared" si="353"/>
        <v>-1</v>
      </c>
      <c r="AO511" s="1" t="e">
        <f t="shared" si="354"/>
        <v>#DIV/0!</v>
      </c>
      <c r="AP511" s="1">
        <f t="shared" si="355"/>
        <v>1</v>
      </c>
      <c r="AQ511" s="1">
        <f t="shared" si="356"/>
        <v>-0.5</v>
      </c>
      <c r="AR511" s="1">
        <f t="shared" si="357"/>
        <v>-1</v>
      </c>
      <c r="AS511" s="12" t="e">
        <f t="shared" si="358"/>
        <v>#DIV/0!</v>
      </c>
      <c r="AT511" s="12" t="e">
        <f t="shared" si="359"/>
        <v>#DIV/0!</v>
      </c>
      <c r="AU511" s="1">
        <f t="shared" si="360"/>
        <v>0</v>
      </c>
      <c r="AV511" s="1">
        <f t="shared" si="361"/>
        <v>-2</v>
      </c>
      <c r="AW511" s="1">
        <f t="shared" si="362"/>
        <v>1</v>
      </c>
      <c r="AX511" s="1">
        <f t="shared" si="363"/>
        <v>1</v>
      </c>
      <c r="AY511" s="1">
        <f t="shared" si="364"/>
        <v>-1</v>
      </c>
      <c r="AZ511" s="1">
        <f t="shared" si="365"/>
        <v>-1</v>
      </c>
      <c r="BA511" s="19">
        <f t="shared" si="366"/>
        <v>-0.33333333333333331</v>
      </c>
      <c r="BB511" s="19">
        <f t="shared" si="367"/>
        <v>-0.5</v>
      </c>
      <c r="BC511" s="9">
        <f t="shared" si="368"/>
        <v>-0.5</v>
      </c>
      <c r="BD511" s="9">
        <f t="shared" si="369"/>
        <v>0</v>
      </c>
      <c r="BE511" s="9">
        <f t="shared" si="370"/>
        <v>0</v>
      </c>
      <c r="BF511" s="9">
        <f t="shared" si="371"/>
        <v>0</v>
      </c>
      <c r="BG511" s="9">
        <f t="shared" si="372"/>
        <v>0</v>
      </c>
      <c r="BH511" s="9">
        <f t="shared" si="373"/>
        <v>0</v>
      </c>
      <c r="BI511" s="12">
        <f t="shared" si="374"/>
        <v>-8.3333333333333329E-2</v>
      </c>
      <c r="BJ511" s="13">
        <f t="shared" si="375"/>
        <v>0</v>
      </c>
      <c r="BK511" s="1">
        <f t="shared" si="376"/>
        <v>-1</v>
      </c>
      <c r="BL511" s="1">
        <f t="shared" si="377"/>
        <v>0</v>
      </c>
      <c r="BM511" s="1">
        <f t="shared" si="378"/>
        <v>0</v>
      </c>
      <c r="BN511" s="1">
        <f t="shared" si="379"/>
        <v>0</v>
      </c>
      <c r="BO511" s="1">
        <f t="shared" si="380"/>
        <v>0</v>
      </c>
      <c r="BP511" s="1">
        <f t="shared" si="381"/>
        <v>0</v>
      </c>
      <c r="BQ511" s="19">
        <f t="shared" si="382"/>
        <v>-0.16666666666666666</v>
      </c>
      <c r="BR511" s="17">
        <f t="shared" si="383"/>
        <v>0</v>
      </c>
    </row>
    <row r="512" spans="1:70" x14ac:dyDescent="0.25">
      <c r="A512" t="s">
        <v>396</v>
      </c>
      <c r="B512">
        <v>4</v>
      </c>
      <c r="C512">
        <v>3</v>
      </c>
      <c r="D512">
        <v>1</v>
      </c>
      <c r="E512">
        <v>1</v>
      </c>
      <c r="F512">
        <v>2</v>
      </c>
      <c r="H512">
        <v>1</v>
      </c>
      <c r="I512">
        <v>3</v>
      </c>
      <c r="L512">
        <v>1</v>
      </c>
      <c r="M512">
        <v>1</v>
      </c>
      <c r="O512">
        <v>1</v>
      </c>
      <c r="P512">
        <v>1</v>
      </c>
      <c r="Q512">
        <v>3</v>
      </c>
      <c r="R512">
        <v>1</v>
      </c>
      <c r="T512">
        <v>1</v>
      </c>
      <c r="W512" s="8">
        <f t="shared" si="336"/>
        <v>-0.25</v>
      </c>
      <c r="X512" s="8">
        <f t="shared" si="337"/>
        <v>-0.66666666666666663</v>
      </c>
      <c r="Y512" s="8">
        <f t="shared" si="338"/>
        <v>0</v>
      </c>
      <c r="Z512" s="8">
        <f t="shared" si="339"/>
        <v>1</v>
      </c>
      <c r="AA512" s="8">
        <f t="shared" si="340"/>
        <v>-1</v>
      </c>
      <c r="AB512" s="8" t="e">
        <f t="shared" si="341"/>
        <v>#DIV/0!</v>
      </c>
      <c r="AC512" s="12" t="e">
        <f t="shared" si="342"/>
        <v>#DIV/0!</v>
      </c>
      <c r="AD512" s="12" t="e">
        <f t="shared" si="343"/>
        <v>#DIV/0!</v>
      </c>
      <c r="AE512" s="1">
        <f t="shared" si="344"/>
        <v>-1</v>
      </c>
      <c r="AF512" s="1">
        <f t="shared" si="345"/>
        <v>-2</v>
      </c>
      <c r="AG512" s="1">
        <f t="shared" si="346"/>
        <v>0</v>
      </c>
      <c r="AH512" s="1">
        <f t="shared" si="347"/>
        <v>1</v>
      </c>
      <c r="AI512" s="1">
        <f t="shared" si="348"/>
        <v>-2</v>
      </c>
      <c r="AJ512" s="1">
        <f t="shared" si="349"/>
        <v>1</v>
      </c>
      <c r="AK512" s="17">
        <f t="shared" si="350"/>
        <v>-0.5</v>
      </c>
      <c r="AL512" s="17">
        <f t="shared" si="351"/>
        <v>-0.5</v>
      </c>
      <c r="AM512" s="1">
        <f t="shared" si="352"/>
        <v>-1</v>
      </c>
      <c r="AN512" s="1" t="e">
        <f t="shared" si="353"/>
        <v>#DIV/0!</v>
      </c>
      <c r="AO512" s="1" t="e">
        <f t="shared" si="354"/>
        <v>#DIV/0!</v>
      </c>
      <c r="AP512" s="1">
        <f t="shared" si="355"/>
        <v>0</v>
      </c>
      <c r="AQ512" s="1">
        <f t="shared" si="356"/>
        <v>-1</v>
      </c>
      <c r="AR512" s="1" t="e">
        <f t="shared" si="357"/>
        <v>#DIV/0!</v>
      </c>
      <c r="AS512" s="12" t="e">
        <f t="shared" si="358"/>
        <v>#DIV/0!</v>
      </c>
      <c r="AT512" s="12" t="e">
        <f t="shared" si="359"/>
        <v>#DIV/0!</v>
      </c>
      <c r="AU512" s="1">
        <f t="shared" si="360"/>
        <v>-3</v>
      </c>
      <c r="AV512" s="1">
        <f t="shared" si="361"/>
        <v>0</v>
      </c>
      <c r="AW512" s="1">
        <f t="shared" si="362"/>
        <v>1</v>
      </c>
      <c r="AX512" s="1">
        <f t="shared" si="363"/>
        <v>0</v>
      </c>
      <c r="AY512" s="1">
        <f t="shared" si="364"/>
        <v>-1</v>
      </c>
      <c r="AZ512" s="1">
        <f t="shared" si="365"/>
        <v>1</v>
      </c>
      <c r="BA512" s="19">
        <f t="shared" si="366"/>
        <v>-0.33333333333333331</v>
      </c>
      <c r="BB512" s="19">
        <f t="shared" si="367"/>
        <v>0</v>
      </c>
      <c r="BC512" s="9">
        <f t="shared" si="368"/>
        <v>2</v>
      </c>
      <c r="BD512" s="9">
        <f t="shared" si="369"/>
        <v>-0.66666666666666663</v>
      </c>
      <c r="BE512" s="9">
        <f t="shared" si="370"/>
        <v>-1</v>
      </c>
      <c r="BF512" s="9" t="e">
        <f t="shared" si="371"/>
        <v>#DIV/0!</v>
      </c>
      <c r="BG512" s="9">
        <f t="shared" si="372"/>
        <v>-1</v>
      </c>
      <c r="BH512" s="9" t="e">
        <f t="shared" si="373"/>
        <v>#DIV/0!</v>
      </c>
      <c r="BI512" s="12" t="e">
        <f t="shared" si="374"/>
        <v>#DIV/0!</v>
      </c>
      <c r="BJ512" s="13" t="e">
        <f t="shared" si="375"/>
        <v>#DIV/0!</v>
      </c>
      <c r="BK512" s="1">
        <f t="shared" si="376"/>
        <v>2</v>
      </c>
      <c r="BL512" s="1">
        <f t="shared" si="377"/>
        <v>-2</v>
      </c>
      <c r="BM512" s="1">
        <f t="shared" si="378"/>
        <v>-1</v>
      </c>
      <c r="BN512" s="1">
        <f t="shared" si="379"/>
        <v>1</v>
      </c>
      <c r="BO512" s="1">
        <f t="shared" si="380"/>
        <v>-1</v>
      </c>
      <c r="BP512" s="1">
        <f t="shared" si="381"/>
        <v>0</v>
      </c>
      <c r="BQ512" s="19">
        <f t="shared" si="382"/>
        <v>-0.16666666666666666</v>
      </c>
      <c r="BR512" s="17">
        <f t="shared" si="383"/>
        <v>-0.5</v>
      </c>
    </row>
    <row r="513" spans="1:70" x14ac:dyDescent="0.25">
      <c r="A513" t="s">
        <v>398</v>
      </c>
      <c r="B513">
        <v>4</v>
      </c>
      <c r="C513">
        <v>1</v>
      </c>
      <c r="F513">
        <v>4</v>
      </c>
      <c r="G513">
        <v>1</v>
      </c>
      <c r="H513">
        <v>1</v>
      </c>
      <c r="I513">
        <v>2</v>
      </c>
      <c r="J513">
        <v>1</v>
      </c>
      <c r="M513">
        <v>4</v>
      </c>
      <c r="N513">
        <v>1</v>
      </c>
      <c r="O513">
        <v>1</v>
      </c>
      <c r="P513">
        <v>2</v>
      </c>
      <c r="W513" s="8">
        <f t="shared" si="336"/>
        <v>-0.75</v>
      </c>
      <c r="X513" s="8">
        <f t="shared" si="337"/>
        <v>-1</v>
      </c>
      <c r="Y513" s="8" t="e">
        <f t="shared" si="338"/>
        <v>#DIV/0!</v>
      </c>
      <c r="Z513" s="8" t="e">
        <f t="shared" si="339"/>
        <v>#DIV/0!</v>
      </c>
      <c r="AA513" s="8">
        <f t="shared" si="340"/>
        <v>-0.75</v>
      </c>
      <c r="AB513" s="8">
        <f t="shared" si="341"/>
        <v>0</v>
      </c>
      <c r="AC513" s="12" t="e">
        <f t="shared" si="342"/>
        <v>#DIV/0!</v>
      </c>
      <c r="AD513" s="12" t="e">
        <f t="shared" si="343"/>
        <v>#DIV/0!</v>
      </c>
      <c r="AE513" s="1">
        <f t="shared" si="344"/>
        <v>-3</v>
      </c>
      <c r="AF513" s="1">
        <f t="shared" si="345"/>
        <v>-1</v>
      </c>
      <c r="AG513" s="1">
        <f t="shared" si="346"/>
        <v>0</v>
      </c>
      <c r="AH513" s="1">
        <f t="shared" si="347"/>
        <v>4</v>
      </c>
      <c r="AI513" s="1">
        <f t="shared" si="348"/>
        <v>-3</v>
      </c>
      <c r="AJ513" s="1">
        <f t="shared" si="349"/>
        <v>0</v>
      </c>
      <c r="AK513" s="17">
        <f t="shared" si="350"/>
        <v>-0.5</v>
      </c>
      <c r="AL513" s="17">
        <f t="shared" si="351"/>
        <v>-0.5</v>
      </c>
      <c r="AM513" s="1">
        <f t="shared" si="352"/>
        <v>-0.5</v>
      </c>
      <c r="AN513" s="1">
        <f t="shared" si="353"/>
        <v>-1</v>
      </c>
      <c r="AO513" s="1" t="e">
        <f t="shared" si="354"/>
        <v>#DIV/0!</v>
      </c>
      <c r="AP513" s="1" t="e">
        <f t="shared" si="355"/>
        <v>#DIV/0!</v>
      </c>
      <c r="AQ513" s="1">
        <f t="shared" si="356"/>
        <v>-0.75</v>
      </c>
      <c r="AR513" s="1">
        <f t="shared" si="357"/>
        <v>0</v>
      </c>
      <c r="AS513" s="12" t="e">
        <f t="shared" si="358"/>
        <v>#DIV/0!</v>
      </c>
      <c r="AT513" s="12" t="e">
        <f t="shared" si="359"/>
        <v>#DIV/0!</v>
      </c>
      <c r="AU513" s="1">
        <f t="shared" si="360"/>
        <v>-1</v>
      </c>
      <c r="AV513" s="1">
        <f t="shared" si="361"/>
        <v>-1</v>
      </c>
      <c r="AW513" s="1">
        <f t="shared" si="362"/>
        <v>0</v>
      </c>
      <c r="AX513" s="1">
        <f t="shared" si="363"/>
        <v>4</v>
      </c>
      <c r="AY513" s="1">
        <f t="shared" si="364"/>
        <v>-3</v>
      </c>
      <c r="AZ513" s="1">
        <f t="shared" si="365"/>
        <v>0</v>
      </c>
      <c r="BA513" s="19">
        <f t="shared" si="366"/>
        <v>-0.16666666666666666</v>
      </c>
      <c r="BB513" s="19">
        <f t="shared" si="367"/>
        <v>-0.5</v>
      </c>
      <c r="BC513" s="9">
        <f t="shared" si="368"/>
        <v>-1</v>
      </c>
      <c r="BD513" s="9" t="e">
        <f t="shared" si="369"/>
        <v>#DIV/0!</v>
      </c>
      <c r="BE513" s="9" t="e">
        <f t="shared" si="370"/>
        <v>#DIV/0!</v>
      </c>
      <c r="BF513" s="9" t="e">
        <f t="shared" si="371"/>
        <v>#DIV/0!</v>
      </c>
      <c r="BG513" s="9" t="e">
        <f t="shared" si="372"/>
        <v>#DIV/0!</v>
      </c>
      <c r="BH513" s="9" t="e">
        <f t="shared" si="373"/>
        <v>#DIV/0!</v>
      </c>
      <c r="BI513" s="12" t="e">
        <f t="shared" si="374"/>
        <v>#DIV/0!</v>
      </c>
      <c r="BJ513" s="13" t="e">
        <f t="shared" si="375"/>
        <v>#DIV/0!</v>
      </c>
      <c r="BK513" s="1">
        <f t="shared" si="376"/>
        <v>-2</v>
      </c>
      <c r="BL513" s="1">
        <f t="shared" si="377"/>
        <v>0</v>
      </c>
      <c r="BM513" s="1">
        <f t="shared" si="378"/>
        <v>0</v>
      </c>
      <c r="BN513" s="1">
        <f t="shared" si="379"/>
        <v>0</v>
      </c>
      <c r="BO513" s="1">
        <f t="shared" si="380"/>
        <v>0</v>
      </c>
      <c r="BP513" s="1">
        <f t="shared" si="381"/>
        <v>0</v>
      </c>
      <c r="BQ513" s="19">
        <f t="shared" si="382"/>
        <v>-0.33333333333333331</v>
      </c>
      <c r="BR513" s="17">
        <f t="shared" si="383"/>
        <v>0</v>
      </c>
    </row>
    <row r="514" spans="1:70" x14ac:dyDescent="0.25">
      <c r="A514" t="s">
        <v>400</v>
      </c>
      <c r="B514">
        <v>4</v>
      </c>
      <c r="D514">
        <v>4</v>
      </c>
      <c r="E514">
        <v>2</v>
      </c>
      <c r="F514">
        <v>2</v>
      </c>
      <c r="G514">
        <v>2</v>
      </c>
      <c r="H514">
        <v>1</v>
      </c>
      <c r="I514">
        <v>3</v>
      </c>
      <c r="K514">
        <v>3</v>
      </c>
      <c r="M514">
        <v>1</v>
      </c>
      <c r="N514">
        <v>1</v>
      </c>
      <c r="O514">
        <v>1</v>
      </c>
      <c r="P514">
        <v>1</v>
      </c>
      <c r="R514">
        <v>1</v>
      </c>
      <c r="S514">
        <v>2</v>
      </c>
      <c r="T514">
        <v>1</v>
      </c>
      <c r="U514">
        <v>1</v>
      </c>
      <c r="W514" s="8">
        <f t="shared" ref="W514:W577" si="384">+(C514-B514)/B514</f>
        <v>-1</v>
      </c>
      <c r="X514" s="8" t="e">
        <f t="shared" ref="X514:X577" si="385">+(D514-C514)/C514</f>
        <v>#DIV/0!</v>
      </c>
      <c r="Y514" s="8">
        <f t="shared" ref="Y514:Y577" si="386">+(E514-D514)/D514</f>
        <v>-0.5</v>
      </c>
      <c r="Z514" s="8">
        <f t="shared" ref="Z514:Z577" si="387">+(F514-E514)/E514</f>
        <v>0</v>
      </c>
      <c r="AA514" s="8">
        <f t="shared" ref="AA514:AA577" si="388">+(G514-F514)/F514</f>
        <v>0</v>
      </c>
      <c r="AB514" s="8">
        <f t="shared" ref="AB514:AB577" si="389">+(H514-G514)/G514</f>
        <v>-0.5</v>
      </c>
      <c r="AC514" s="12" t="e">
        <f t="shared" ref="AC514:AC577" si="390">+AVERAGE(W514:AB514)</f>
        <v>#DIV/0!</v>
      </c>
      <c r="AD514" s="12" t="e">
        <f t="shared" ref="AD514:AD577" si="391">MEDIAN(W514:AB514)</f>
        <v>#DIV/0!</v>
      </c>
      <c r="AE514" s="1">
        <f t="shared" ref="AE514:AE577" si="392">C514-B514</f>
        <v>-4</v>
      </c>
      <c r="AF514" s="1">
        <f t="shared" ref="AF514:AF577" si="393">D514-C514</f>
        <v>4</v>
      </c>
      <c r="AG514" s="1">
        <f t="shared" ref="AG514:AG577" si="394">E514-D514</f>
        <v>-2</v>
      </c>
      <c r="AH514" s="1">
        <f t="shared" ref="AH514:AH577" si="395">F514-E514</f>
        <v>0</v>
      </c>
      <c r="AI514" s="1">
        <f t="shared" ref="AI514:AI577" si="396">G514-F514</f>
        <v>0</v>
      </c>
      <c r="AJ514" s="1">
        <f t="shared" ref="AJ514:AJ577" si="397">H514-G514</f>
        <v>-1</v>
      </c>
      <c r="AK514" s="17">
        <f t="shared" ref="AK514:AK577" si="398">+AVERAGE(AE514:AJ514)</f>
        <v>-0.5</v>
      </c>
      <c r="AL514" s="17">
        <f t="shared" ref="AL514:AL577" si="399">+MEDIAN(AE514:AJ514)</f>
        <v>-0.5</v>
      </c>
      <c r="AM514" s="1">
        <f t="shared" ref="AM514:AM577" si="400">+(J514-I514)/I514</f>
        <v>-1</v>
      </c>
      <c r="AN514" s="1" t="e">
        <f t="shared" ref="AN514:AN577" si="401">+(K514-J514)/J514</f>
        <v>#DIV/0!</v>
      </c>
      <c r="AO514" s="1">
        <f t="shared" ref="AO514:AO577" si="402">+(L514-K514)/K514</f>
        <v>-1</v>
      </c>
      <c r="AP514" s="1" t="e">
        <f t="shared" ref="AP514:AP577" si="403">+(M514-L514)/L514</f>
        <v>#DIV/0!</v>
      </c>
      <c r="AQ514" s="1">
        <f t="shared" ref="AQ514:AQ577" si="404">+(N514-M514)/M514</f>
        <v>0</v>
      </c>
      <c r="AR514" s="1">
        <f t="shared" ref="AR514:AR577" si="405">+(O514-N514)/N514</f>
        <v>0</v>
      </c>
      <c r="AS514" s="12" t="e">
        <f t="shared" ref="AS514:AS577" si="406">+AVERAGE(AM514:AR514)</f>
        <v>#DIV/0!</v>
      </c>
      <c r="AT514" s="12" t="e">
        <f t="shared" ref="AT514:AT577" si="407">+MEDIAN(AM514:AR514)</f>
        <v>#DIV/0!</v>
      </c>
      <c r="AU514" s="1">
        <f t="shared" ref="AU514:AU577" si="408">J514-I514</f>
        <v>-3</v>
      </c>
      <c r="AV514" s="1">
        <f t="shared" ref="AV514:AV577" si="409">K514-J514</f>
        <v>3</v>
      </c>
      <c r="AW514" s="1">
        <f t="shared" ref="AW514:AW577" si="410">L514-K514</f>
        <v>-3</v>
      </c>
      <c r="AX514" s="1">
        <f t="shared" ref="AX514:AX577" si="411">M514-L514</f>
        <v>1</v>
      </c>
      <c r="AY514" s="1">
        <f t="shared" ref="AY514:AY577" si="412">N514-M514</f>
        <v>0</v>
      </c>
      <c r="AZ514" s="1">
        <f t="shared" ref="AZ514:AZ577" si="413">O514-N514</f>
        <v>0</v>
      </c>
      <c r="BA514" s="19">
        <f t="shared" ref="BA514:BA577" si="414">+AVERAGE(AU514:AZ514)</f>
        <v>-0.33333333333333331</v>
      </c>
      <c r="BB514" s="19">
        <f t="shared" ref="BB514:BB577" si="415">MEDIAN(AU514:AZ514)</f>
        <v>0</v>
      </c>
      <c r="BC514" s="9">
        <f t="shared" ref="BC514:BC577" si="416">+(Q514-P514)/P514</f>
        <v>-1</v>
      </c>
      <c r="BD514" s="9" t="e">
        <f t="shared" ref="BD514:BD577" si="417">+(R514-Q514)/Q514</f>
        <v>#DIV/0!</v>
      </c>
      <c r="BE514" s="9">
        <f t="shared" ref="BE514:BE577" si="418">+(S514-R514)/R514</f>
        <v>1</v>
      </c>
      <c r="BF514" s="9">
        <f t="shared" ref="BF514:BF577" si="419">+(T514-S514)/S514</f>
        <v>-0.5</v>
      </c>
      <c r="BG514" s="9">
        <f t="shared" ref="BG514:BG577" si="420">+(U514-T514)/T514</f>
        <v>0</v>
      </c>
      <c r="BH514" s="9">
        <f t="shared" ref="BH514:BH577" si="421">+(V514-U514)/U514</f>
        <v>-1</v>
      </c>
      <c r="BI514" s="12" t="e">
        <f t="shared" ref="BI514:BI577" si="422">+AVERAGE(BC514:BH514)</f>
        <v>#DIV/0!</v>
      </c>
      <c r="BJ514" s="13" t="e">
        <f t="shared" ref="BJ514:BJ577" si="423">MEDIAN(BC514:BH514)</f>
        <v>#DIV/0!</v>
      </c>
      <c r="BK514" s="1">
        <f t="shared" ref="BK514:BK577" si="424">+Q514-P514</f>
        <v>-1</v>
      </c>
      <c r="BL514" s="1">
        <f t="shared" ref="BL514:BL577" si="425">+R514-Q514</f>
        <v>1</v>
      </c>
      <c r="BM514" s="1">
        <f t="shared" ref="BM514:BM577" si="426">+S514-R514</f>
        <v>1</v>
      </c>
      <c r="BN514" s="1">
        <f t="shared" ref="BN514:BN577" si="427">+T514-S514</f>
        <v>-1</v>
      </c>
      <c r="BO514" s="1">
        <f t="shared" ref="BO514:BO577" si="428">+U514-T514</f>
        <v>0</v>
      </c>
      <c r="BP514" s="1">
        <f t="shared" ref="BP514:BP577" si="429">+V514-U514</f>
        <v>-1</v>
      </c>
      <c r="BQ514" s="19">
        <f t="shared" ref="BQ514:BQ577" si="430">+AVERAGE(BK514:BP514)</f>
        <v>-0.16666666666666666</v>
      </c>
      <c r="BR514" s="17">
        <f t="shared" ref="BR514:BR577" si="431">MEDIAN(BK514:BP514)</f>
        <v>-0.5</v>
      </c>
    </row>
    <row r="515" spans="1:70" x14ac:dyDescent="0.25">
      <c r="A515" t="s">
        <v>404</v>
      </c>
      <c r="B515">
        <v>4</v>
      </c>
      <c r="D515">
        <v>1</v>
      </c>
      <c r="E515">
        <v>1</v>
      </c>
      <c r="G515">
        <v>1</v>
      </c>
      <c r="H515">
        <v>1</v>
      </c>
      <c r="I515">
        <v>3</v>
      </c>
      <c r="K515">
        <v>1</v>
      </c>
      <c r="L515">
        <v>1</v>
      </c>
      <c r="P515">
        <v>1</v>
      </c>
      <c r="U515">
        <v>1</v>
      </c>
      <c r="V515">
        <v>1</v>
      </c>
      <c r="W515" s="8">
        <f t="shared" si="384"/>
        <v>-1</v>
      </c>
      <c r="X515" s="8" t="e">
        <f t="shared" si="385"/>
        <v>#DIV/0!</v>
      </c>
      <c r="Y515" s="8">
        <f t="shared" si="386"/>
        <v>0</v>
      </c>
      <c r="Z515" s="8">
        <f t="shared" si="387"/>
        <v>-1</v>
      </c>
      <c r="AA515" s="8" t="e">
        <f t="shared" si="388"/>
        <v>#DIV/0!</v>
      </c>
      <c r="AB515" s="8">
        <f t="shared" si="389"/>
        <v>0</v>
      </c>
      <c r="AC515" s="12" t="e">
        <f t="shared" si="390"/>
        <v>#DIV/0!</v>
      </c>
      <c r="AD515" s="12" t="e">
        <f t="shared" si="391"/>
        <v>#DIV/0!</v>
      </c>
      <c r="AE515" s="1">
        <f t="shared" si="392"/>
        <v>-4</v>
      </c>
      <c r="AF515" s="1">
        <f t="shared" si="393"/>
        <v>1</v>
      </c>
      <c r="AG515" s="1">
        <f t="shared" si="394"/>
        <v>0</v>
      </c>
      <c r="AH515" s="1">
        <f t="shared" si="395"/>
        <v>-1</v>
      </c>
      <c r="AI515" s="1">
        <f t="shared" si="396"/>
        <v>1</v>
      </c>
      <c r="AJ515" s="1">
        <f t="shared" si="397"/>
        <v>0</v>
      </c>
      <c r="AK515" s="17">
        <f t="shared" si="398"/>
        <v>-0.5</v>
      </c>
      <c r="AL515" s="17">
        <f t="shared" si="399"/>
        <v>0</v>
      </c>
      <c r="AM515" s="1">
        <f t="shared" si="400"/>
        <v>-1</v>
      </c>
      <c r="AN515" s="1" t="e">
        <f t="shared" si="401"/>
        <v>#DIV/0!</v>
      </c>
      <c r="AO515" s="1">
        <f t="shared" si="402"/>
        <v>0</v>
      </c>
      <c r="AP515" s="1">
        <f t="shared" si="403"/>
        <v>-1</v>
      </c>
      <c r="AQ515" s="1" t="e">
        <f t="shared" si="404"/>
        <v>#DIV/0!</v>
      </c>
      <c r="AR515" s="1" t="e">
        <f t="shared" si="405"/>
        <v>#DIV/0!</v>
      </c>
      <c r="AS515" s="12" t="e">
        <f t="shared" si="406"/>
        <v>#DIV/0!</v>
      </c>
      <c r="AT515" s="12" t="e">
        <f t="shared" si="407"/>
        <v>#DIV/0!</v>
      </c>
      <c r="AU515" s="1">
        <f t="shared" si="408"/>
        <v>-3</v>
      </c>
      <c r="AV515" s="1">
        <f t="shared" si="409"/>
        <v>1</v>
      </c>
      <c r="AW515" s="1">
        <f t="shared" si="410"/>
        <v>0</v>
      </c>
      <c r="AX515" s="1">
        <f t="shared" si="411"/>
        <v>-1</v>
      </c>
      <c r="AY515" s="1">
        <f t="shared" si="412"/>
        <v>0</v>
      </c>
      <c r="AZ515" s="1">
        <f t="shared" si="413"/>
        <v>0</v>
      </c>
      <c r="BA515" s="19">
        <f t="shared" si="414"/>
        <v>-0.5</v>
      </c>
      <c r="BB515" s="19">
        <f t="shared" si="415"/>
        <v>0</v>
      </c>
      <c r="BC515" s="9">
        <f t="shared" si="416"/>
        <v>-1</v>
      </c>
      <c r="BD515" s="9" t="e">
        <f t="shared" si="417"/>
        <v>#DIV/0!</v>
      </c>
      <c r="BE515" s="9" t="e">
        <f t="shared" si="418"/>
        <v>#DIV/0!</v>
      </c>
      <c r="BF515" s="9" t="e">
        <f t="shared" si="419"/>
        <v>#DIV/0!</v>
      </c>
      <c r="BG515" s="9" t="e">
        <f t="shared" si="420"/>
        <v>#DIV/0!</v>
      </c>
      <c r="BH515" s="9">
        <f t="shared" si="421"/>
        <v>0</v>
      </c>
      <c r="BI515" s="12" t="e">
        <f t="shared" si="422"/>
        <v>#DIV/0!</v>
      </c>
      <c r="BJ515" s="13" t="e">
        <f t="shared" si="423"/>
        <v>#DIV/0!</v>
      </c>
      <c r="BK515" s="1">
        <f t="shared" si="424"/>
        <v>-1</v>
      </c>
      <c r="BL515" s="1">
        <f t="shared" si="425"/>
        <v>0</v>
      </c>
      <c r="BM515" s="1">
        <f t="shared" si="426"/>
        <v>0</v>
      </c>
      <c r="BN515" s="1">
        <f t="shared" si="427"/>
        <v>0</v>
      </c>
      <c r="BO515" s="1">
        <f t="shared" si="428"/>
        <v>1</v>
      </c>
      <c r="BP515" s="1">
        <f t="shared" si="429"/>
        <v>0</v>
      </c>
      <c r="BQ515" s="19">
        <f t="shared" si="430"/>
        <v>0</v>
      </c>
      <c r="BR515" s="17">
        <f t="shared" si="431"/>
        <v>0</v>
      </c>
    </row>
    <row r="516" spans="1:70" x14ac:dyDescent="0.25">
      <c r="A516" t="s">
        <v>413</v>
      </c>
      <c r="B516">
        <v>4</v>
      </c>
      <c r="C516">
        <v>1</v>
      </c>
      <c r="D516">
        <v>1</v>
      </c>
      <c r="E516">
        <v>6</v>
      </c>
      <c r="F516">
        <v>1</v>
      </c>
      <c r="G516">
        <v>2</v>
      </c>
      <c r="H516">
        <v>1</v>
      </c>
      <c r="P516">
        <v>4</v>
      </c>
      <c r="Q516">
        <v>1</v>
      </c>
      <c r="R516">
        <v>1</v>
      </c>
      <c r="S516">
        <v>6</v>
      </c>
      <c r="T516">
        <v>1</v>
      </c>
      <c r="U516">
        <v>2</v>
      </c>
      <c r="V516">
        <v>1</v>
      </c>
      <c r="W516" s="8">
        <f t="shared" si="384"/>
        <v>-0.75</v>
      </c>
      <c r="X516" s="8">
        <f t="shared" si="385"/>
        <v>0</v>
      </c>
      <c r="Y516" s="8">
        <f t="shared" si="386"/>
        <v>5</v>
      </c>
      <c r="Z516" s="8">
        <f t="shared" si="387"/>
        <v>-0.83333333333333337</v>
      </c>
      <c r="AA516" s="8">
        <f t="shared" si="388"/>
        <v>1</v>
      </c>
      <c r="AB516" s="8">
        <f t="shared" si="389"/>
        <v>-0.5</v>
      </c>
      <c r="AC516" s="12">
        <f t="shared" si="390"/>
        <v>0.65277777777777768</v>
      </c>
      <c r="AD516" s="12">
        <f t="shared" si="391"/>
        <v>-0.25</v>
      </c>
      <c r="AE516" s="1">
        <f t="shared" si="392"/>
        <v>-3</v>
      </c>
      <c r="AF516" s="1">
        <f t="shared" si="393"/>
        <v>0</v>
      </c>
      <c r="AG516" s="1">
        <f t="shared" si="394"/>
        <v>5</v>
      </c>
      <c r="AH516" s="1">
        <f t="shared" si="395"/>
        <v>-5</v>
      </c>
      <c r="AI516" s="1">
        <f t="shared" si="396"/>
        <v>1</v>
      </c>
      <c r="AJ516" s="1">
        <f t="shared" si="397"/>
        <v>-1</v>
      </c>
      <c r="AK516" s="17">
        <f t="shared" si="398"/>
        <v>-0.5</v>
      </c>
      <c r="AL516" s="17">
        <f t="shared" si="399"/>
        <v>-0.5</v>
      </c>
      <c r="AM516" s="1" t="e">
        <f t="shared" si="400"/>
        <v>#DIV/0!</v>
      </c>
      <c r="AN516" s="1" t="e">
        <f t="shared" si="401"/>
        <v>#DIV/0!</v>
      </c>
      <c r="AO516" s="1" t="e">
        <f t="shared" si="402"/>
        <v>#DIV/0!</v>
      </c>
      <c r="AP516" s="1" t="e">
        <f t="shared" si="403"/>
        <v>#DIV/0!</v>
      </c>
      <c r="AQ516" s="1" t="e">
        <f t="shared" si="404"/>
        <v>#DIV/0!</v>
      </c>
      <c r="AR516" s="1" t="e">
        <f t="shared" si="405"/>
        <v>#DIV/0!</v>
      </c>
      <c r="AS516" s="12" t="e">
        <f t="shared" si="406"/>
        <v>#DIV/0!</v>
      </c>
      <c r="AT516" s="12" t="e">
        <f t="shared" si="407"/>
        <v>#DIV/0!</v>
      </c>
      <c r="AU516" s="1">
        <f t="shared" si="408"/>
        <v>0</v>
      </c>
      <c r="AV516" s="1">
        <f t="shared" si="409"/>
        <v>0</v>
      </c>
      <c r="AW516" s="1">
        <f t="shared" si="410"/>
        <v>0</v>
      </c>
      <c r="AX516" s="1">
        <f t="shared" si="411"/>
        <v>0</v>
      </c>
      <c r="AY516" s="1">
        <f t="shared" si="412"/>
        <v>0</v>
      </c>
      <c r="AZ516" s="1">
        <f t="shared" si="413"/>
        <v>0</v>
      </c>
      <c r="BA516" s="19">
        <f t="shared" si="414"/>
        <v>0</v>
      </c>
      <c r="BB516" s="19">
        <f t="shared" si="415"/>
        <v>0</v>
      </c>
      <c r="BC516" s="9">
        <f t="shared" si="416"/>
        <v>-0.75</v>
      </c>
      <c r="BD516" s="9">
        <f t="shared" si="417"/>
        <v>0</v>
      </c>
      <c r="BE516" s="9">
        <f t="shared" si="418"/>
        <v>5</v>
      </c>
      <c r="BF516" s="9">
        <f t="shared" si="419"/>
        <v>-0.83333333333333337</v>
      </c>
      <c r="BG516" s="9">
        <f t="shared" si="420"/>
        <v>1</v>
      </c>
      <c r="BH516" s="9">
        <f t="shared" si="421"/>
        <v>-0.5</v>
      </c>
      <c r="BI516" s="12">
        <f t="shared" si="422"/>
        <v>0.65277777777777768</v>
      </c>
      <c r="BJ516" s="13">
        <f t="shared" si="423"/>
        <v>-0.25</v>
      </c>
      <c r="BK516" s="1">
        <f t="shared" si="424"/>
        <v>-3</v>
      </c>
      <c r="BL516" s="1">
        <f t="shared" si="425"/>
        <v>0</v>
      </c>
      <c r="BM516" s="1">
        <f t="shared" si="426"/>
        <v>5</v>
      </c>
      <c r="BN516" s="1">
        <f t="shared" si="427"/>
        <v>-5</v>
      </c>
      <c r="BO516" s="1">
        <f t="shared" si="428"/>
        <v>1</v>
      </c>
      <c r="BP516" s="1">
        <f t="shared" si="429"/>
        <v>-1</v>
      </c>
      <c r="BQ516" s="19">
        <f t="shared" si="430"/>
        <v>-0.5</v>
      </c>
      <c r="BR516" s="17">
        <f t="shared" si="431"/>
        <v>-0.5</v>
      </c>
    </row>
    <row r="517" spans="1:70" x14ac:dyDescent="0.25">
      <c r="A517" t="s">
        <v>421</v>
      </c>
      <c r="B517">
        <v>3</v>
      </c>
      <c r="D517">
        <v>1</v>
      </c>
      <c r="P517">
        <v>3</v>
      </c>
      <c r="R517">
        <v>1</v>
      </c>
      <c r="W517" s="8">
        <f t="shared" si="384"/>
        <v>-1</v>
      </c>
      <c r="X517" s="8" t="e">
        <f t="shared" si="385"/>
        <v>#DIV/0!</v>
      </c>
      <c r="Y517" s="8">
        <f t="shared" si="386"/>
        <v>-1</v>
      </c>
      <c r="Z517" s="8" t="e">
        <f t="shared" si="387"/>
        <v>#DIV/0!</v>
      </c>
      <c r="AA517" s="8" t="e">
        <f t="shared" si="388"/>
        <v>#DIV/0!</v>
      </c>
      <c r="AB517" s="8" t="e">
        <f t="shared" si="389"/>
        <v>#DIV/0!</v>
      </c>
      <c r="AC517" s="12" t="e">
        <f t="shared" si="390"/>
        <v>#DIV/0!</v>
      </c>
      <c r="AD517" s="12" t="e">
        <f t="shared" si="391"/>
        <v>#DIV/0!</v>
      </c>
      <c r="AE517" s="1">
        <f t="shared" si="392"/>
        <v>-3</v>
      </c>
      <c r="AF517" s="1">
        <f t="shared" si="393"/>
        <v>1</v>
      </c>
      <c r="AG517" s="1">
        <f t="shared" si="394"/>
        <v>-1</v>
      </c>
      <c r="AH517" s="1">
        <f t="shared" si="395"/>
        <v>0</v>
      </c>
      <c r="AI517" s="1">
        <f t="shared" si="396"/>
        <v>0</v>
      </c>
      <c r="AJ517" s="1">
        <f t="shared" si="397"/>
        <v>0</v>
      </c>
      <c r="AK517" s="17">
        <f t="shared" si="398"/>
        <v>-0.5</v>
      </c>
      <c r="AL517" s="17">
        <f t="shared" si="399"/>
        <v>0</v>
      </c>
      <c r="AM517" s="1" t="e">
        <f t="shared" si="400"/>
        <v>#DIV/0!</v>
      </c>
      <c r="AN517" s="1" t="e">
        <f t="shared" si="401"/>
        <v>#DIV/0!</v>
      </c>
      <c r="AO517" s="1" t="e">
        <f t="shared" si="402"/>
        <v>#DIV/0!</v>
      </c>
      <c r="AP517" s="1" t="e">
        <f t="shared" si="403"/>
        <v>#DIV/0!</v>
      </c>
      <c r="AQ517" s="1" t="e">
        <f t="shared" si="404"/>
        <v>#DIV/0!</v>
      </c>
      <c r="AR517" s="1" t="e">
        <f t="shared" si="405"/>
        <v>#DIV/0!</v>
      </c>
      <c r="AS517" s="12" t="e">
        <f t="shared" si="406"/>
        <v>#DIV/0!</v>
      </c>
      <c r="AT517" s="12" t="e">
        <f t="shared" si="407"/>
        <v>#DIV/0!</v>
      </c>
      <c r="AU517" s="1">
        <f t="shared" si="408"/>
        <v>0</v>
      </c>
      <c r="AV517" s="1">
        <f t="shared" si="409"/>
        <v>0</v>
      </c>
      <c r="AW517" s="1">
        <f t="shared" si="410"/>
        <v>0</v>
      </c>
      <c r="AX517" s="1">
        <f t="shared" si="411"/>
        <v>0</v>
      </c>
      <c r="AY517" s="1">
        <f t="shared" si="412"/>
        <v>0</v>
      </c>
      <c r="AZ517" s="1">
        <f t="shared" si="413"/>
        <v>0</v>
      </c>
      <c r="BA517" s="19">
        <f t="shared" si="414"/>
        <v>0</v>
      </c>
      <c r="BB517" s="19">
        <f t="shared" si="415"/>
        <v>0</v>
      </c>
      <c r="BC517" s="9">
        <f t="shared" si="416"/>
        <v>-1</v>
      </c>
      <c r="BD517" s="9" t="e">
        <f t="shared" si="417"/>
        <v>#DIV/0!</v>
      </c>
      <c r="BE517" s="9">
        <f t="shared" si="418"/>
        <v>-1</v>
      </c>
      <c r="BF517" s="9" t="e">
        <f t="shared" si="419"/>
        <v>#DIV/0!</v>
      </c>
      <c r="BG517" s="9" t="e">
        <f t="shared" si="420"/>
        <v>#DIV/0!</v>
      </c>
      <c r="BH517" s="9" t="e">
        <f t="shared" si="421"/>
        <v>#DIV/0!</v>
      </c>
      <c r="BI517" s="12" t="e">
        <f t="shared" si="422"/>
        <v>#DIV/0!</v>
      </c>
      <c r="BJ517" s="13" t="e">
        <f t="shared" si="423"/>
        <v>#DIV/0!</v>
      </c>
      <c r="BK517" s="1">
        <f t="shared" si="424"/>
        <v>-3</v>
      </c>
      <c r="BL517" s="1">
        <f t="shared" si="425"/>
        <v>1</v>
      </c>
      <c r="BM517" s="1">
        <f t="shared" si="426"/>
        <v>-1</v>
      </c>
      <c r="BN517" s="1">
        <f t="shared" si="427"/>
        <v>0</v>
      </c>
      <c r="BO517" s="1">
        <f t="shared" si="428"/>
        <v>0</v>
      </c>
      <c r="BP517" s="1">
        <f t="shared" si="429"/>
        <v>0</v>
      </c>
      <c r="BQ517" s="19">
        <f t="shared" si="430"/>
        <v>-0.5</v>
      </c>
      <c r="BR517" s="17">
        <f t="shared" si="431"/>
        <v>0</v>
      </c>
    </row>
    <row r="518" spans="1:70" x14ac:dyDescent="0.25">
      <c r="A518" t="s">
        <v>425</v>
      </c>
      <c r="B518">
        <v>3</v>
      </c>
      <c r="C518">
        <v>1</v>
      </c>
      <c r="D518">
        <v>3</v>
      </c>
      <c r="E518">
        <v>2</v>
      </c>
      <c r="F518">
        <v>2</v>
      </c>
      <c r="G518">
        <v>3</v>
      </c>
      <c r="I518">
        <v>3</v>
      </c>
      <c r="J518">
        <v>1</v>
      </c>
      <c r="K518">
        <v>2</v>
      </c>
      <c r="M518">
        <v>1</v>
      </c>
      <c r="N518">
        <v>2</v>
      </c>
      <c r="R518">
        <v>1</v>
      </c>
      <c r="S518">
        <v>2</v>
      </c>
      <c r="T518">
        <v>1</v>
      </c>
      <c r="U518">
        <v>1</v>
      </c>
      <c r="W518" s="8">
        <f t="shared" si="384"/>
        <v>-0.66666666666666663</v>
      </c>
      <c r="X518" s="8">
        <f t="shared" si="385"/>
        <v>2</v>
      </c>
      <c r="Y518" s="8">
        <f t="shared" si="386"/>
        <v>-0.33333333333333331</v>
      </c>
      <c r="Z518" s="8">
        <f t="shared" si="387"/>
        <v>0</v>
      </c>
      <c r="AA518" s="8">
        <f t="shared" si="388"/>
        <v>0.5</v>
      </c>
      <c r="AB518" s="8">
        <f t="shared" si="389"/>
        <v>-1</v>
      </c>
      <c r="AC518" s="12">
        <f t="shared" si="390"/>
        <v>8.333333333333337E-2</v>
      </c>
      <c r="AD518" s="12">
        <f t="shared" si="391"/>
        <v>-0.16666666666666666</v>
      </c>
      <c r="AE518" s="1">
        <f t="shared" si="392"/>
        <v>-2</v>
      </c>
      <c r="AF518" s="1">
        <f t="shared" si="393"/>
        <v>2</v>
      </c>
      <c r="AG518" s="1">
        <f t="shared" si="394"/>
        <v>-1</v>
      </c>
      <c r="AH518" s="1">
        <f t="shared" si="395"/>
        <v>0</v>
      </c>
      <c r="AI518" s="1">
        <f t="shared" si="396"/>
        <v>1</v>
      </c>
      <c r="AJ518" s="1">
        <f t="shared" si="397"/>
        <v>-3</v>
      </c>
      <c r="AK518" s="17">
        <f t="shared" si="398"/>
        <v>-0.5</v>
      </c>
      <c r="AL518" s="17">
        <f t="shared" si="399"/>
        <v>-0.5</v>
      </c>
      <c r="AM518" s="1">
        <f t="shared" si="400"/>
        <v>-0.66666666666666663</v>
      </c>
      <c r="AN518" s="1">
        <f t="shared" si="401"/>
        <v>1</v>
      </c>
      <c r="AO518" s="1">
        <f t="shared" si="402"/>
        <v>-1</v>
      </c>
      <c r="AP518" s="1" t="e">
        <f t="shared" si="403"/>
        <v>#DIV/0!</v>
      </c>
      <c r="AQ518" s="1">
        <f t="shared" si="404"/>
        <v>1</v>
      </c>
      <c r="AR518" s="1">
        <f t="shared" si="405"/>
        <v>-1</v>
      </c>
      <c r="AS518" s="12" t="e">
        <f t="shared" si="406"/>
        <v>#DIV/0!</v>
      </c>
      <c r="AT518" s="12" t="e">
        <f t="shared" si="407"/>
        <v>#DIV/0!</v>
      </c>
      <c r="AU518" s="1">
        <f t="shared" si="408"/>
        <v>-2</v>
      </c>
      <c r="AV518" s="1">
        <f t="shared" si="409"/>
        <v>1</v>
      </c>
      <c r="AW518" s="1">
        <f t="shared" si="410"/>
        <v>-2</v>
      </c>
      <c r="AX518" s="1">
        <f t="shared" si="411"/>
        <v>1</v>
      </c>
      <c r="AY518" s="1">
        <f t="shared" si="412"/>
        <v>1</v>
      </c>
      <c r="AZ518" s="1">
        <f t="shared" si="413"/>
        <v>-2</v>
      </c>
      <c r="BA518" s="19">
        <f t="shared" si="414"/>
        <v>-0.5</v>
      </c>
      <c r="BB518" s="19">
        <f t="shared" si="415"/>
        <v>-0.5</v>
      </c>
      <c r="BC518" s="9" t="e">
        <f t="shared" si="416"/>
        <v>#DIV/0!</v>
      </c>
      <c r="BD518" s="9" t="e">
        <f t="shared" si="417"/>
        <v>#DIV/0!</v>
      </c>
      <c r="BE518" s="9">
        <f t="shared" si="418"/>
        <v>1</v>
      </c>
      <c r="BF518" s="9">
        <f t="shared" si="419"/>
        <v>-0.5</v>
      </c>
      <c r="BG518" s="9">
        <f t="shared" si="420"/>
        <v>0</v>
      </c>
      <c r="BH518" s="9">
        <f t="shared" si="421"/>
        <v>-1</v>
      </c>
      <c r="BI518" s="12" t="e">
        <f t="shared" si="422"/>
        <v>#DIV/0!</v>
      </c>
      <c r="BJ518" s="13" t="e">
        <f t="shared" si="423"/>
        <v>#DIV/0!</v>
      </c>
      <c r="BK518" s="1">
        <f t="shared" si="424"/>
        <v>0</v>
      </c>
      <c r="BL518" s="1">
        <f t="shared" si="425"/>
        <v>1</v>
      </c>
      <c r="BM518" s="1">
        <f t="shared" si="426"/>
        <v>1</v>
      </c>
      <c r="BN518" s="1">
        <f t="shared" si="427"/>
        <v>-1</v>
      </c>
      <c r="BO518" s="1">
        <f t="shared" si="428"/>
        <v>0</v>
      </c>
      <c r="BP518" s="1">
        <f t="shared" si="429"/>
        <v>-1</v>
      </c>
      <c r="BQ518" s="19">
        <f t="shared" si="430"/>
        <v>0</v>
      </c>
      <c r="BR518" s="17">
        <f t="shared" si="431"/>
        <v>0</v>
      </c>
    </row>
    <row r="519" spans="1:70" x14ac:dyDescent="0.25">
      <c r="A519" t="s">
        <v>430</v>
      </c>
      <c r="B519">
        <v>3</v>
      </c>
      <c r="C519">
        <v>2</v>
      </c>
      <c r="E519">
        <v>2</v>
      </c>
      <c r="F519">
        <v>6</v>
      </c>
      <c r="I519">
        <v>2</v>
      </c>
      <c r="L519">
        <v>1</v>
      </c>
      <c r="M519">
        <v>3</v>
      </c>
      <c r="P519">
        <v>1</v>
      </c>
      <c r="Q519">
        <v>2</v>
      </c>
      <c r="S519">
        <v>1</v>
      </c>
      <c r="T519">
        <v>3</v>
      </c>
      <c r="W519" s="8">
        <f t="shared" si="384"/>
        <v>-0.33333333333333331</v>
      </c>
      <c r="X519" s="8">
        <f t="shared" si="385"/>
        <v>-1</v>
      </c>
      <c r="Y519" s="8" t="e">
        <f t="shared" si="386"/>
        <v>#DIV/0!</v>
      </c>
      <c r="Z519" s="8">
        <f t="shared" si="387"/>
        <v>2</v>
      </c>
      <c r="AA519" s="8">
        <f t="shared" si="388"/>
        <v>-1</v>
      </c>
      <c r="AB519" s="8" t="e">
        <f t="shared" si="389"/>
        <v>#DIV/0!</v>
      </c>
      <c r="AC519" s="12" t="e">
        <f t="shared" si="390"/>
        <v>#DIV/0!</v>
      </c>
      <c r="AD519" s="12" t="e">
        <f t="shared" si="391"/>
        <v>#DIV/0!</v>
      </c>
      <c r="AE519" s="1">
        <f t="shared" si="392"/>
        <v>-1</v>
      </c>
      <c r="AF519" s="1">
        <f t="shared" si="393"/>
        <v>-2</v>
      </c>
      <c r="AG519" s="1">
        <f t="shared" si="394"/>
        <v>2</v>
      </c>
      <c r="AH519" s="1">
        <f t="shared" si="395"/>
        <v>4</v>
      </c>
      <c r="AI519" s="1">
        <f t="shared" si="396"/>
        <v>-6</v>
      </c>
      <c r="AJ519" s="1">
        <f t="shared" si="397"/>
        <v>0</v>
      </c>
      <c r="AK519" s="17">
        <f t="shared" si="398"/>
        <v>-0.5</v>
      </c>
      <c r="AL519" s="17">
        <f t="shared" si="399"/>
        <v>-0.5</v>
      </c>
      <c r="AM519" s="1">
        <f t="shared" si="400"/>
        <v>-1</v>
      </c>
      <c r="AN519" s="1" t="e">
        <f t="shared" si="401"/>
        <v>#DIV/0!</v>
      </c>
      <c r="AO519" s="1" t="e">
        <f t="shared" si="402"/>
        <v>#DIV/0!</v>
      </c>
      <c r="AP519" s="1">
        <f t="shared" si="403"/>
        <v>2</v>
      </c>
      <c r="AQ519" s="1">
        <f t="shared" si="404"/>
        <v>-1</v>
      </c>
      <c r="AR519" s="1" t="e">
        <f t="shared" si="405"/>
        <v>#DIV/0!</v>
      </c>
      <c r="AS519" s="12" t="e">
        <f t="shared" si="406"/>
        <v>#DIV/0!</v>
      </c>
      <c r="AT519" s="12" t="e">
        <f t="shared" si="407"/>
        <v>#DIV/0!</v>
      </c>
      <c r="AU519" s="1">
        <f t="shared" si="408"/>
        <v>-2</v>
      </c>
      <c r="AV519" s="1">
        <f t="shared" si="409"/>
        <v>0</v>
      </c>
      <c r="AW519" s="1">
        <f t="shared" si="410"/>
        <v>1</v>
      </c>
      <c r="AX519" s="1">
        <f t="shared" si="411"/>
        <v>2</v>
      </c>
      <c r="AY519" s="1">
        <f t="shared" si="412"/>
        <v>-3</v>
      </c>
      <c r="AZ519" s="1">
        <f t="shared" si="413"/>
        <v>0</v>
      </c>
      <c r="BA519" s="19">
        <f t="shared" si="414"/>
        <v>-0.33333333333333331</v>
      </c>
      <c r="BB519" s="19">
        <f t="shared" si="415"/>
        <v>0</v>
      </c>
      <c r="BC519" s="9">
        <f t="shared" si="416"/>
        <v>1</v>
      </c>
      <c r="BD519" s="9">
        <f t="shared" si="417"/>
        <v>-1</v>
      </c>
      <c r="BE519" s="9" t="e">
        <f t="shared" si="418"/>
        <v>#DIV/0!</v>
      </c>
      <c r="BF519" s="9">
        <f t="shared" si="419"/>
        <v>2</v>
      </c>
      <c r="BG519" s="9">
        <f t="shared" si="420"/>
        <v>-1</v>
      </c>
      <c r="BH519" s="9" t="e">
        <f t="shared" si="421"/>
        <v>#DIV/0!</v>
      </c>
      <c r="BI519" s="12" t="e">
        <f t="shared" si="422"/>
        <v>#DIV/0!</v>
      </c>
      <c r="BJ519" s="13" t="e">
        <f t="shared" si="423"/>
        <v>#DIV/0!</v>
      </c>
      <c r="BK519" s="1">
        <f t="shared" si="424"/>
        <v>1</v>
      </c>
      <c r="BL519" s="1">
        <f t="shared" si="425"/>
        <v>-2</v>
      </c>
      <c r="BM519" s="1">
        <f t="shared" si="426"/>
        <v>1</v>
      </c>
      <c r="BN519" s="1">
        <f t="shared" si="427"/>
        <v>2</v>
      </c>
      <c r="BO519" s="1">
        <f t="shared" si="428"/>
        <v>-3</v>
      </c>
      <c r="BP519" s="1">
        <f t="shared" si="429"/>
        <v>0</v>
      </c>
      <c r="BQ519" s="19">
        <f t="shared" si="430"/>
        <v>-0.16666666666666666</v>
      </c>
      <c r="BR519" s="17">
        <f t="shared" si="431"/>
        <v>0.5</v>
      </c>
    </row>
    <row r="520" spans="1:70" x14ac:dyDescent="0.25">
      <c r="A520" t="s">
        <v>435</v>
      </c>
      <c r="B520">
        <v>3</v>
      </c>
      <c r="D520">
        <v>3</v>
      </c>
      <c r="E520">
        <v>1</v>
      </c>
      <c r="F520">
        <v>1</v>
      </c>
      <c r="G520">
        <v>2</v>
      </c>
      <c r="I520">
        <v>2</v>
      </c>
      <c r="K520">
        <v>2</v>
      </c>
      <c r="L520">
        <v>1</v>
      </c>
      <c r="M520">
        <v>1</v>
      </c>
      <c r="N520">
        <v>1</v>
      </c>
      <c r="P520">
        <v>1</v>
      </c>
      <c r="R520">
        <v>1</v>
      </c>
      <c r="U520">
        <v>1</v>
      </c>
      <c r="W520" s="8">
        <f t="shared" si="384"/>
        <v>-1</v>
      </c>
      <c r="X520" s="8" t="e">
        <f t="shared" si="385"/>
        <v>#DIV/0!</v>
      </c>
      <c r="Y520" s="8">
        <f t="shared" si="386"/>
        <v>-0.66666666666666663</v>
      </c>
      <c r="Z520" s="8">
        <f t="shared" si="387"/>
        <v>0</v>
      </c>
      <c r="AA520" s="8">
        <f t="shared" si="388"/>
        <v>1</v>
      </c>
      <c r="AB520" s="8">
        <f t="shared" si="389"/>
        <v>-1</v>
      </c>
      <c r="AC520" s="12" t="e">
        <f t="shared" si="390"/>
        <v>#DIV/0!</v>
      </c>
      <c r="AD520" s="12" t="e">
        <f t="shared" si="391"/>
        <v>#DIV/0!</v>
      </c>
      <c r="AE520" s="1">
        <f t="shared" si="392"/>
        <v>-3</v>
      </c>
      <c r="AF520" s="1">
        <f t="shared" si="393"/>
        <v>3</v>
      </c>
      <c r="AG520" s="1">
        <f t="shared" si="394"/>
        <v>-2</v>
      </c>
      <c r="AH520" s="1">
        <f t="shared" si="395"/>
        <v>0</v>
      </c>
      <c r="AI520" s="1">
        <f t="shared" si="396"/>
        <v>1</v>
      </c>
      <c r="AJ520" s="1">
        <f t="shared" si="397"/>
        <v>-2</v>
      </c>
      <c r="AK520" s="17">
        <f t="shared" si="398"/>
        <v>-0.5</v>
      </c>
      <c r="AL520" s="17">
        <f t="shared" si="399"/>
        <v>-1</v>
      </c>
      <c r="AM520" s="1">
        <f t="shared" si="400"/>
        <v>-1</v>
      </c>
      <c r="AN520" s="1" t="e">
        <f t="shared" si="401"/>
        <v>#DIV/0!</v>
      </c>
      <c r="AO520" s="1">
        <f t="shared" si="402"/>
        <v>-0.5</v>
      </c>
      <c r="AP520" s="1">
        <f t="shared" si="403"/>
        <v>0</v>
      </c>
      <c r="AQ520" s="1">
        <f t="shared" si="404"/>
        <v>0</v>
      </c>
      <c r="AR520" s="1">
        <f t="shared" si="405"/>
        <v>-1</v>
      </c>
      <c r="AS520" s="12" t="e">
        <f t="shared" si="406"/>
        <v>#DIV/0!</v>
      </c>
      <c r="AT520" s="12" t="e">
        <f t="shared" si="407"/>
        <v>#DIV/0!</v>
      </c>
      <c r="AU520" s="1">
        <f t="shared" si="408"/>
        <v>-2</v>
      </c>
      <c r="AV520" s="1">
        <f t="shared" si="409"/>
        <v>2</v>
      </c>
      <c r="AW520" s="1">
        <f t="shared" si="410"/>
        <v>-1</v>
      </c>
      <c r="AX520" s="1">
        <f t="shared" si="411"/>
        <v>0</v>
      </c>
      <c r="AY520" s="1">
        <f t="shared" si="412"/>
        <v>0</v>
      </c>
      <c r="AZ520" s="1">
        <f t="shared" si="413"/>
        <v>-1</v>
      </c>
      <c r="BA520" s="19">
        <f t="shared" si="414"/>
        <v>-0.33333333333333331</v>
      </c>
      <c r="BB520" s="19">
        <f t="shared" si="415"/>
        <v>-0.5</v>
      </c>
      <c r="BC520" s="9">
        <f t="shared" si="416"/>
        <v>-1</v>
      </c>
      <c r="BD520" s="9" t="e">
        <f t="shared" si="417"/>
        <v>#DIV/0!</v>
      </c>
      <c r="BE520" s="9">
        <f t="shared" si="418"/>
        <v>-1</v>
      </c>
      <c r="BF520" s="9" t="e">
        <f t="shared" si="419"/>
        <v>#DIV/0!</v>
      </c>
      <c r="BG520" s="9" t="e">
        <f t="shared" si="420"/>
        <v>#DIV/0!</v>
      </c>
      <c r="BH520" s="9">
        <f t="shared" si="421"/>
        <v>-1</v>
      </c>
      <c r="BI520" s="12" t="e">
        <f t="shared" si="422"/>
        <v>#DIV/0!</v>
      </c>
      <c r="BJ520" s="13" t="e">
        <f t="shared" si="423"/>
        <v>#DIV/0!</v>
      </c>
      <c r="BK520" s="1">
        <f t="shared" si="424"/>
        <v>-1</v>
      </c>
      <c r="BL520" s="1">
        <f t="shared" si="425"/>
        <v>1</v>
      </c>
      <c r="BM520" s="1">
        <f t="shared" si="426"/>
        <v>-1</v>
      </c>
      <c r="BN520" s="1">
        <f t="shared" si="427"/>
        <v>0</v>
      </c>
      <c r="BO520" s="1">
        <f t="shared" si="428"/>
        <v>1</v>
      </c>
      <c r="BP520" s="1">
        <f t="shared" si="429"/>
        <v>-1</v>
      </c>
      <c r="BQ520" s="19">
        <f t="shared" si="430"/>
        <v>-0.16666666666666666</v>
      </c>
      <c r="BR520" s="17">
        <f t="shared" si="431"/>
        <v>-0.5</v>
      </c>
    </row>
    <row r="521" spans="1:70" x14ac:dyDescent="0.25">
      <c r="A521" t="s">
        <v>438</v>
      </c>
      <c r="B521">
        <v>3</v>
      </c>
      <c r="E521">
        <v>1</v>
      </c>
      <c r="G521">
        <v>1</v>
      </c>
      <c r="I521">
        <v>3</v>
      </c>
      <c r="L521">
        <v>1</v>
      </c>
      <c r="N521">
        <v>1</v>
      </c>
      <c r="W521" s="8">
        <f t="shared" si="384"/>
        <v>-1</v>
      </c>
      <c r="X521" s="8" t="e">
        <f t="shared" si="385"/>
        <v>#DIV/0!</v>
      </c>
      <c r="Y521" s="8" t="e">
        <f t="shared" si="386"/>
        <v>#DIV/0!</v>
      </c>
      <c r="Z521" s="8">
        <f t="shared" si="387"/>
        <v>-1</v>
      </c>
      <c r="AA521" s="8" t="e">
        <f t="shared" si="388"/>
        <v>#DIV/0!</v>
      </c>
      <c r="AB521" s="8">
        <f t="shared" si="389"/>
        <v>-1</v>
      </c>
      <c r="AC521" s="12" t="e">
        <f t="shared" si="390"/>
        <v>#DIV/0!</v>
      </c>
      <c r="AD521" s="12" t="e">
        <f t="shared" si="391"/>
        <v>#DIV/0!</v>
      </c>
      <c r="AE521" s="1">
        <f t="shared" si="392"/>
        <v>-3</v>
      </c>
      <c r="AF521" s="1">
        <f t="shared" si="393"/>
        <v>0</v>
      </c>
      <c r="AG521" s="1">
        <f t="shared" si="394"/>
        <v>1</v>
      </c>
      <c r="AH521" s="1">
        <f t="shared" si="395"/>
        <v>-1</v>
      </c>
      <c r="AI521" s="1">
        <f t="shared" si="396"/>
        <v>1</v>
      </c>
      <c r="AJ521" s="1">
        <f t="shared" si="397"/>
        <v>-1</v>
      </c>
      <c r="AK521" s="17">
        <f t="shared" si="398"/>
        <v>-0.5</v>
      </c>
      <c r="AL521" s="17">
        <f t="shared" si="399"/>
        <v>-0.5</v>
      </c>
      <c r="AM521" s="1">
        <f t="shared" si="400"/>
        <v>-1</v>
      </c>
      <c r="AN521" s="1" t="e">
        <f t="shared" si="401"/>
        <v>#DIV/0!</v>
      </c>
      <c r="AO521" s="1" t="e">
        <f t="shared" si="402"/>
        <v>#DIV/0!</v>
      </c>
      <c r="AP521" s="1">
        <f t="shared" si="403"/>
        <v>-1</v>
      </c>
      <c r="AQ521" s="1" t="e">
        <f t="shared" si="404"/>
        <v>#DIV/0!</v>
      </c>
      <c r="AR521" s="1">
        <f t="shared" si="405"/>
        <v>-1</v>
      </c>
      <c r="AS521" s="12" t="e">
        <f t="shared" si="406"/>
        <v>#DIV/0!</v>
      </c>
      <c r="AT521" s="12" t="e">
        <f t="shared" si="407"/>
        <v>#DIV/0!</v>
      </c>
      <c r="AU521" s="1">
        <f t="shared" si="408"/>
        <v>-3</v>
      </c>
      <c r="AV521" s="1">
        <f t="shared" si="409"/>
        <v>0</v>
      </c>
      <c r="AW521" s="1">
        <f t="shared" si="410"/>
        <v>1</v>
      </c>
      <c r="AX521" s="1">
        <f t="shared" si="411"/>
        <v>-1</v>
      </c>
      <c r="AY521" s="1">
        <f t="shared" si="412"/>
        <v>1</v>
      </c>
      <c r="AZ521" s="1">
        <f t="shared" si="413"/>
        <v>-1</v>
      </c>
      <c r="BA521" s="19">
        <f t="shared" si="414"/>
        <v>-0.5</v>
      </c>
      <c r="BB521" s="19">
        <f t="shared" si="415"/>
        <v>-0.5</v>
      </c>
      <c r="BC521" s="9" t="e">
        <f t="shared" si="416"/>
        <v>#DIV/0!</v>
      </c>
      <c r="BD521" s="9" t="e">
        <f t="shared" si="417"/>
        <v>#DIV/0!</v>
      </c>
      <c r="BE521" s="9" t="e">
        <f t="shared" si="418"/>
        <v>#DIV/0!</v>
      </c>
      <c r="BF521" s="9" t="e">
        <f t="shared" si="419"/>
        <v>#DIV/0!</v>
      </c>
      <c r="BG521" s="9" t="e">
        <f t="shared" si="420"/>
        <v>#DIV/0!</v>
      </c>
      <c r="BH521" s="9" t="e">
        <f t="shared" si="421"/>
        <v>#DIV/0!</v>
      </c>
      <c r="BI521" s="12" t="e">
        <f t="shared" si="422"/>
        <v>#DIV/0!</v>
      </c>
      <c r="BJ521" s="13" t="e">
        <f t="shared" si="423"/>
        <v>#DIV/0!</v>
      </c>
      <c r="BK521" s="1">
        <f t="shared" si="424"/>
        <v>0</v>
      </c>
      <c r="BL521" s="1">
        <f t="shared" si="425"/>
        <v>0</v>
      </c>
      <c r="BM521" s="1">
        <f t="shared" si="426"/>
        <v>0</v>
      </c>
      <c r="BN521" s="1">
        <f t="shared" si="427"/>
        <v>0</v>
      </c>
      <c r="BO521" s="1">
        <f t="shared" si="428"/>
        <v>0</v>
      </c>
      <c r="BP521" s="1">
        <f t="shared" si="429"/>
        <v>0</v>
      </c>
      <c r="BQ521" s="19">
        <f t="shared" si="430"/>
        <v>0</v>
      </c>
      <c r="BR521" s="17">
        <f t="shared" si="431"/>
        <v>0</v>
      </c>
    </row>
    <row r="522" spans="1:70" x14ac:dyDescent="0.25">
      <c r="A522" t="s">
        <v>439</v>
      </c>
      <c r="B522">
        <v>3</v>
      </c>
      <c r="C522">
        <v>1</v>
      </c>
      <c r="F522">
        <v>1</v>
      </c>
      <c r="G522">
        <v>1</v>
      </c>
      <c r="I522">
        <v>3</v>
      </c>
      <c r="N522">
        <v>1</v>
      </c>
      <c r="Q522">
        <v>1</v>
      </c>
      <c r="T522">
        <v>1</v>
      </c>
      <c r="W522" s="8">
        <f t="shared" si="384"/>
        <v>-0.66666666666666663</v>
      </c>
      <c r="X522" s="8">
        <f t="shared" si="385"/>
        <v>-1</v>
      </c>
      <c r="Y522" s="8" t="e">
        <f t="shared" si="386"/>
        <v>#DIV/0!</v>
      </c>
      <c r="Z522" s="8" t="e">
        <f t="shared" si="387"/>
        <v>#DIV/0!</v>
      </c>
      <c r="AA522" s="8">
        <f t="shared" si="388"/>
        <v>0</v>
      </c>
      <c r="AB522" s="8">
        <f t="shared" si="389"/>
        <v>-1</v>
      </c>
      <c r="AC522" s="12" t="e">
        <f t="shared" si="390"/>
        <v>#DIV/0!</v>
      </c>
      <c r="AD522" s="12" t="e">
        <f t="shared" si="391"/>
        <v>#DIV/0!</v>
      </c>
      <c r="AE522" s="1">
        <f t="shared" si="392"/>
        <v>-2</v>
      </c>
      <c r="AF522" s="1">
        <f t="shared" si="393"/>
        <v>-1</v>
      </c>
      <c r="AG522" s="1">
        <f t="shared" si="394"/>
        <v>0</v>
      </c>
      <c r="AH522" s="1">
        <f t="shared" si="395"/>
        <v>1</v>
      </c>
      <c r="AI522" s="1">
        <f t="shared" si="396"/>
        <v>0</v>
      </c>
      <c r="AJ522" s="1">
        <f t="shared" si="397"/>
        <v>-1</v>
      </c>
      <c r="AK522" s="17">
        <f t="shared" si="398"/>
        <v>-0.5</v>
      </c>
      <c r="AL522" s="17">
        <f t="shared" si="399"/>
        <v>-0.5</v>
      </c>
      <c r="AM522" s="1">
        <f t="shared" si="400"/>
        <v>-1</v>
      </c>
      <c r="AN522" s="1" t="e">
        <f t="shared" si="401"/>
        <v>#DIV/0!</v>
      </c>
      <c r="AO522" s="1" t="e">
        <f t="shared" si="402"/>
        <v>#DIV/0!</v>
      </c>
      <c r="AP522" s="1" t="e">
        <f t="shared" si="403"/>
        <v>#DIV/0!</v>
      </c>
      <c r="AQ522" s="1" t="e">
        <f t="shared" si="404"/>
        <v>#DIV/0!</v>
      </c>
      <c r="AR522" s="1">
        <f t="shared" si="405"/>
        <v>-1</v>
      </c>
      <c r="AS522" s="12" t="e">
        <f t="shared" si="406"/>
        <v>#DIV/0!</v>
      </c>
      <c r="AT522" s="12" t="e">
        <f t="shared" si="407"/>
        <v>#DIV/0!</v>
      </c>
      <c r="AU522" s="1">
        <f t="shared" si="408"/>
        <v>-3</v>
      </c>
      <c r="AV522" s="1">
        <f t="shared" si="409"/>
        <v>0</v>
      </c>
      <c r="AW522" s="1">
        <f t="shared" si="410"/>
        <v>0</v>
      </c>
      <c r="AX522" s="1">
        <f t="shared" si="411"/>
        <v>0</v>
      </c>
      <c r="AY522" s="1">
        <f t="shared" si="412"/>
        <v>1</v>
      </c>
      <c r="AZ522" s="1">
        <f t="shared" si="413"/>
        <v>-1</v>
      </c>
      <c r="BA522" s="19">
        <f t="shared" si="414"/>
        <v>-0.5</v>
      </c>
      <c r="BB522" s="19">
        <f t="shared" si="415"/>
        <v>0</v>
      </c>
      <c r="BC522" s="9" t="e">
        <f t="shared" si="416"/>
        <v>#DIV/0!</v>
      </c>
      <c r="BD522" s="9">
        <f t="shared" si="417"/>
        <v>-1</v>
      </c>
      <c r="BE522" s="9" t="e">
        <f t="shared" si="418"/>
        <v>#DIV/0!</v>
      </c>
      <c r="BF522" s="9" t="e">
        <f t="shared" si="419"/>
        <v>#DIV/0!</v>
      </c>
      <c r="BG522" s="9">
        <f t="shared" si="420"/>
        <v>-1</v>
      </c>
      <c r="BH522" s="9" t="e">
        <f t="shared" si="421"/>
        <v>#DIV/0!</v>
      </c>
      <c r="BI522" s="12" t="e">
        <f t="shared" si="422"/>
        <v>#DIV/0!</v>
      </c>
      <c r="BJ522" s="13" t="e">
        <f t="shared" si="423"/>
        <v>#DIV/0!</v>
      </c>
      <c r="BK522" s="1">
        <f t="shared" si="424"/>
        <v>1</v>
      </c>
      <c r="BL522" s="1">
        <f t="shared" si="425"/>
        <v>-1</v>
      </c>
      <c r="BM522" s="1">
        <f t="shared" si="426"/>
        <v>0</v>
      </c>
      <c r="BN522" s="1">
        <f t="shared" si="427"/>
        <v>1</v>
      </c>
      <c r="BO522" s="1">
        <f t="shared" si="428"/>
        <v>-1</v>
      </c>
      <c r="BP522" s="1">
        <f t="shared" si="429"/>
        <v>0</v>
      </c>
      <c r="BQ522" s="19">
        <f t="shared" si="430"/>
        <v>0</v>
      </c>
      <c r="BR522" s="17">
        <f t="shared" si="431"/>
        <v>0</v>
      </c>
    </row>
    <row r="523" spans="1:70" x14ac:dyDescent="0.25">
      <c r="A523" t="s">
        <v>238</v>
      </c>
      <c r="B523">
        <v>21</v>
      </c>
      <c r="C523">
        <v>25</v>
      </c>
      <c r="D523">
        <v>21</v>
      </c>
      <c r="E523">
        <v>18</v>
      </c>
      <c r="F523">
        <v>19</v>
      </c>
      <c r="G523">
        <v>19</v>
      </c>
      <c r="H523">
        <v>17</v>
      </c>
      <c r="I523">
        <v>14</v>
      </c>
      <c r="J523">
        <v>9</v>
      </c>
      <c r="K523">
        <v>11</v>
      </c>
      <c r="L523">
        <v>11</v>
      </c>
      <c r="M523">
        <v>7</v>
      </c>
      <c r="N523">
        <v>14</v>
      </c>
      <c r="O523">
        <v>13</v>
      </c>
      <c r="P523">
        <v>7</v>
      </c>
      <c r="Q523">
        <v>16</v>
      </c>
      <c r="R523">
        <v>10</v>
      </c>
      <c r="S523">
        <v>7</v>
      </c>
      <c r="T523">
        <v>12</v>
      </c>
      <c r="U523">
        <v>5</v>
      </c>
      <c r="V523">
        <v>4</v>
      </c>
      <c r="W523" s="8">
        <f t="shared" si="384"/>
        <v>0.19047619047619047</v>
      </c>
      <c r="X523" s="8">
        <f t="shared" si="385"/>
        <v>-0.16</v>
      </c>
      <c r="Y523" s="8">
        <f t="shared" si="386"/>
        <v>-0.14285714285714285</v>
      </c>
      <c r="Z523" s="8">
        <f t="shared" si="387"/>
        <v>5.5555555555555552E-2</v>
      </c>
      <c r="AA523" s="8">
        <f t="shared" si="388"/>
        <v>0</v>
      </c>
      <c r="AB523" s="8">
        <f t="shared" si="389"/>
        <v>-0.10526315789473684</v>
      </c>
      <c r="AC523" s="12">
        <f t="shared" si="390"/>
        <v>-2.701475912002228E-2</v>
      </c>
      <c r="AD523" s="12">
        <f t="shared" si="391"/>
        <v>-5.2631578947368418E-2</v>
      </c>
      <c r="AE523" s="1">
        <f t="shared" si="392"/>
        <v>4</v>
      </c>
      <c r="AF523" s="1">
        <f t="shared" si="393"/>
        <v>-4</v>
      </c>
      <c r="AG523" s="1">
        <f t="shared" si="394"/>
        <v>-3</v>
      </c>
      <c r="AH523" s="1">
        <f t="shared" si="395"/>
        <v>1</v>
      </c>
      <c r="AI523" s="1">
        <f t="shared" si="396"/>
        <v>0</v>
      </c>
      <c r="AJ523" s="1">
        <f t="shared" si="397"/>
        <v>-2</v>
      </c>
      <c r="AK523" s="17">
        <f t="shared" si="398"/>
        <v>-0.66666666666666663</v>
      </c>
      <c r="AL523" s="17">
        <f t="shared" si="399"/>
        <v>-1</v>
      </c>
      <c r="AM523" s="1">
        <f t="shared" si="400"/>
        <v>-0.35714285714285715</v>
      </c>
      <c r="AN523" s="1">
        <f t="shared" si="401"/>
        <v>0.22222222222222221</v>
      </c>
      <c r="AO523" s="1">
        <f t="shared" si="402"/>
        <v>0</v>
      </c>
      <c r="AP523" s="1">
        <f t="shared" si="403"/>
        <v>-0.36363636363636365</v>
      </c>
      <c r="AQ523" s="1">
        <f t="shared" si="404"/>
        <v>1</v>
      </c>
      <c r="AR523" s="1">
        <f t="shared" si="405"/>
        <v>-7.1428571428571425E-2</v>
      </c>
      <c r="AS523" s="12">
        <f t="shared" si="406"/>
        <v>7.166907166907166E-2</v>
      </c>
      <c r="AT523" s="12">
        <f t="shared" si="407"/>
        <v>-3.5714285714285712E-2</v>
      </c>
      <c r="AU523" s="1">
        <f t="shared" si="408"/>
        <v>-5</v>
      </c>
      <c r="AV523" s="1">
        <f t="shared" si="409"/>
        <v>2</v>
      </c>
      <c r="AW523" s="1">
        <f t="shared" si="410"/>
        <v>0</v>
      </c>
      <c r="AX523" s="1">
        <f t="shared" si="411"/>
        <v>-4</v>
      </c>
      <c r="AY523" s="1">
        <f t="shared" si="412"/>
        <v>7</v>
      </c>
      <c r="AZ523" s="1">
        <f t="shared" si="413"/>
        <v>-1</v>
      </c>
      <c r="BA523" s="19">
        <f t="shared" si="414"/>
        <v>-0.16666666666666666</v>
      </c>
      <c r="BB523" s="19">
        <f t="shared" si="415"/>
        <v>-0.5</v>
      </c>
      <c r="BC523" s="9">
        <f t="shared" si="416"/>
        <v>1.2857142857142858</v>
      </c>
      <c r="BD523" s="9">
        <f t="shared" si="417"/>
        <v>-0.375</v>
      </c>
      <c r="BE523" s="9">
        <f t="shared" si="418"/>
        <v>-0.3</v>
      </c>
      <c r="BF523" s="9">
        <f t="shared" si="419"/>
        <v>0.7142857142857143</v>
      </c>
      <c r="BG523" s="9">
        <f t="shared" si="420"/>
        <v>-0.58333333333333337</v>
      </c>
      <c r="BH523" s="9">
        <f t="shared" si="421"/>
        <v>-0.2</v>
      </c>
      <c r="BI523" s="12">
        <f t="shared" si="422"/>
        <v>9.027777777777779E-2</v>
      </c>
      <c r="BJ523" s="13">
        <f t="shared" si="423"/>
        <v>-0.25</v>
      </c>
      <c r="BK523" s="1">
        <f t="shared" si="424"/>
        <v>9</v>
      </c>
      <c r="BL523" s="1">
        <f t="shared" si="425"/>
        <v>-6</v>
      </c>
      <c r="BM523" s="1">
        <f t="shared" si="426"/>
        <v>-3</v>
      </c>
      <c r="BN523" s="1">
        <f t="shared" si="427"/>
        <v>5</v>
      </c>
      <c r="BO523" s="1">
        <f t="shared" si="428"/>
        <v>-7</v>
      </c>
      <c r="BP523" s="1">
        <f t="shared" si="429"/>
        <v>-1</v>
      </c>
      <c r="BQ523" s="19">
        <f t="shared" si="430"/>
        <v>-0.5</v>
      </c>
      <c r="BR523" s="17">
        <f t="shared" si="431"/>
        <v>-2</v>
      </c>
    </row>
    <row r="524" spans="1:70" x14ac:dyDescent="0.25">
      <c r="A524" t="s">
        <v>247</v>
      </c>
      <c r="B524">
        <v>20</v>
      </c>
      <c r="C524">
        <v>36</v>
      </c>
      <c r="D524">
        <v>18</v>
      </c>
      <c r="E524">
        <v>9</v>
      </c>
      <c r="F524">
        <v>17</v>
      </c>
      <c r="G524">
        <v>14</v>
      </c>
      <c r="H524">
        <v>16</v>
      </c>
      <c r="I524">
        <v>10</v>
      </c>
      <c r="J524">
        <v>18</v>
      </c>
      <c r="K524">
        <v>9</v>
      </c>
      <c r="L524">
        <v>4</v>
      </c>
      <c r="M524">
        <v>7</v>
      </c>
      <c r="N524">
        <v>4</v>
      </c>
      <c r="O524">
        <v>14</v>
      </c>
      <c r="P524">
        <v>10</v>
      </c>
      <c r="Q524">
        <v>18</v>
      </c>
      <c r="R524">
        <v>9</v>
      </c>
      <c r="S524">
        <v>5</v>
      </c>
      <c r="T524">
        <v>10</v>
      </c>
      <c r="U524">
        <v>10</v>
      </c>
      <c r="V524">
        <v>2</v>
      </c>
      <c r="W524" s="8">
        <f t="shared" si="384"/>
        <v>0.8</v>
      </c>
      <c r="X524" s="8">
        <f t="shared" si="385"/>
        <v>-0.5</v>
      </c>
      <c r="Y524" s="8">
        <f t="shared" si="386"/>
        <v>-0.5</v>
      </c>
      <c r="Z524" s="8">
        <f t="shared" si="387"/>
        <v>0.88888888888888884</v>
      </c>
      <c r="AA524" s="8">
        <f t="shared" si="388"/>
        <v>-0.17647058823529413</v>
      </c>
      <c r="AB524" s="8">
        <f t="shared" si="389"/>
        <v>0.14285714285714285</v>
      </c>
      <c r="AC524" s="12">
        <f t="shared" si="390"/>
        <v>0.10921257391845625</v>
      </c>
      <c r="AD524" s="12">
        <f t="shared" si="391"/>
        <v>-1.6806722689075654E-2</v>
      </c>
      <c r="AE524" s="1">
        <f t="shared" si="392"/>
        <v>16</v>
      </c>
      <c r="AF524" s="1">
        <f t="shared" si="393"/>
        <v>-18</v>
      </c>
      <c r="AG524" s="1">
        <f t="shared" si="394"/>
        <v>-9</v>
      </c>
      <c r="AH524" s="1">
        <f t="shared" si="395"/>
        <v>8</v>
      </c>
      <c r="AI524" s="1">
        <f t="shared" si="396"/>
        <v>-3</v>
      </c>
      <c r="AJ524" s="1">
        <f t="shared" si="397"/>
        <v>2</v>
      </c>
      <c r="AK524" s="17">
        <f t="shared" si="398"/>
        <v>-0.66666666666666663</v>
      </c>
      <c r="AL524" s="17">
        <f t="shared" si="399"/>
        <v>-0.5</v>
      </c>
      <c r="AM524" s="1">
        <f t="shared" si="400"/>
        <v>0.8</v>
      </c>
      <c r="AN524" s="1">
        <f t="shared" si="401"/>
        <v>-0.5</v>
      </c>
      <c r="AO524" s="1">
        <f t="shared" si="402"/>
        <v>-0.55555555555555558</v>
      </c>
      <c r="AP524" s="1">
        <f t="shared" si="403"/>
        <v>0.75</v>
      </c>
      <c r="AQ524" s="1">
        <f t="shared" si="404"/>
        <v>-0.42857142857142855</v>
      </c>
      <c r="AR524" s="1">
        <f t="shared" si="405"/>
        <v>2.5</v>
      </c>
      <c r="AS524" s="12">
        <f t="shared" si="406"/>
        <v>0.42764550264550266</v>
      </c>
      <c r="AT524" s="12">
        <f t="shared" si="407"/>
        <v>0.16071428571428575</v>
      </c>
      <c r="AU524" s="1">
        <f t="shared" si="408"/>
        <v>8</v>
      </c>
      <c r="AV524" s="1">
        <f t="shared" si="409"/>
        <v>-9</v>
      </c>
      <c r="AW524" s="1">
        <f t="shared" si="410"/>
        <v>-5</v>
      </c>
      <c r="AX524" s="1">
        <f t="shared" si="411"/>
        <v>3</v>
      </c>
      <c r="AY524" s="1">
        <f t="shared" si="412"/>
        <v>-3</v>
      </c>
      <c r="AZ524" s="1">
        <f t="shared" si="413"/>
        <v>10</v>
      </c>
      <c r="BA524" s="19">
        <f t="shared" si="414"/>
        <v>0.66666666666666663</v>
      </c>
      <c r="BB524" s="19">
        <f t="shared" si="415"/>
        <v>0</v>
      </c>
      <c r="BC524" s="9">
        <f t="shared" si="416"/>
        <v>0.8</v>
      </c>
      <c r="BD524" s="9">
        <f t="shared" si="417"/>
        <v>-0.5</v>
      </c>
      <c r="BE524" s="9">
        <f t="shared" si="418"/>
        <v>-0.44444444444444442</v>
      </c>
      <c r="BF524" s="9">
        <f t="shared" si="419"/>
        <v>1</v>
      </c>
      <c r="BG524" s="9">
        <f t="shared" si="420"/>
        <v>0</v>
      </c>
      <c r="BH524" s="9">
        <f t="shared" si="421"/>
        <v>-0.8</v>
      </c>
      <c r="BI524" s="12">
        <f t="shared" si="422"/>
        <v>9.2592592592592639E-3</v>
      </c>
      <c r="BJ524" s="13">
        <f t="shared" si="423"/>
        <v>-0.22222222222222221</v>
      </c>
      <c r="BK524" s="1">
        <f t="shared" si="424"/>
        <v>8</v>
      </c>
      <c r="BL524" s="1">
        <f t="shared" si="425"/>
        <v>-9</v>
      </c>
      <c r="BM524" s="1">
        <f t="shared" si="426"/>
        <v>-4</v>
      </c>
      <c r="BN524" s="1">
        <f t="shared" si="427"/>
        <v>5</v>
      </c>
      <c r="BO524" s="1">
        <f t="shared" si="428"/>
        <v>0</v>
      </c>
      <c r="BP524" s="1">
        <f t="shared" si="429"/>
        <v>-8</v>
      </c>
      <c r="BQ524" s="19">
        <f t="shared" si="430"/>
        <v>-1.3333333333333333</v>
      </c>
      <c r="BR524" s="17">
        <f t="shared" si="431"/>
        <v>-2</v>
      </c>
    </row>
    <row r="525" spans="1:70" x14ac:dyDescent="0.25">
      <c r="A525" t="s">
        <v>256</v>
      </c>
      <c r="B525">
        <v>18</v>
      </c>
      <c r="C525">
        <v>10</v>
      </c>
      <c r="D525">
        <v>14</v>
      </c>
      <c r="E525">
        <v>8</v>
      </c>
      <c r="F525">
        <v>13</v>
      </c>
      <c r="G525">
        <v>10</v>
      </c>
      <c r="H525">
        <v>14</v>
      </c>
      <c r="I525">
        <v>6</v>
      </c>
      <c r="J525">
        <v>6</v>
      </c>
      <c r="K525">
        <v>10</v>
      </c>
      <c r="M525">
        <v>8</v>
      </c>
      <c r="N525">
        <v>7</v>
      </c>
      <c r="O525">
        <v>7</v>
      </c>
      <c r="P525">
        <v>12</v>
      </c>
      <c r="Q525">
        <v>4</v>
      </c>
      <c r="R525">
        <v>4</v>
      </c>
      <c r="S525">
        <v>8</v>
      </c>
      <c r="T525">
        <v>5</v>
      </c>
      <c r="U525">
        <v>3</v>
      </c>
      <c r="V525">
        <v>7</v>
      </c>
      <c r="W525" s="8">
        <f t="shared" si="384"/>
        <v>-0.44444444444444442</v>
      </c>
      <c r="X525" s="8">
        <f t="shared" si="385"/>
        <v>0.4</v>
      </c>
      <c r="Y525" s="8">
        <f t="shared" si="386"/>
        <v>-0.42857142857142855</v>
      </c>
      <c r="Z525" s="8">
        <f t="shared" si="387"/>
        <v>0.625</v>
      </c>
      <c r="AA525" s="8">
        <f t="shared" si="388"/>
        <v>-0.23076923076923078</v>
      </c>
      <c r="AB525" s="8">
        <f t="shared" si="389"/>
        <v>0.4</v>
      </c>
      <c r="AC525" s="12">
        <f t="shared" si="390"/>
        <v>5.3535816035816051E-2</v>
      </c>
      <c r="AD525" s="12">
        <f t="shared" si="391"/>
        <v>8.4615384615384592E-2</v>
      </c>
      <c r="AE525" s="1">
        <f t="shared" si="392"/>
        <v>-8</v>
      </c>
      <c r="AF525" s="1">
        <f t="shared" si="393"/>
        <v>4</v>
      </c>
      <c r="AG525" s="1">
        <f t="shared" si="394"/>
        <v>-6</v>
      </c>
      <c r="AH525" s="1">
        <f t="shared" si="395"/>
        <v>5</v>
      </c>
      <c r="AI525" s="1">
        <f t="shared" si="396"/>
        <v>-3</v>
      </c>
      <c r="AJ525" s="1">
        <f t="shared" si="397"/>
        <v>4</v>
      </c>
      <c r="AK525" s="17">
        <f t="shared" si="398"/>
        <v>-0.66666666666666663</v>
      </c>
      <c r="AL525" s="17">
        <f t="shared" si="399"/>
        <v>0.5</v>
      </c>
      <c r="AM525" s="1">
        <f t="shared" si="400"/>
        <v>0</v>
      </c>
      <c r="AN525" s="1">
        <f t="shared" si="401"/>
        <v>0.66666666666666663</v>
      </c>
      <c r="AO525" s="1">
        <f t="shared" si="402"/>
        <v>-1</v>
      </c>
      <c r="AP525" s="1" t="e">
        <f t="shared" si="403"/>
        <v>#DIV/0!</v>
      </c>
      <c r="AQ525" s="1">
        <f t="shared" si="404"/>
        <v>-0.125</v>
      </c>
      <c r="AR525" s="1">
        <f t="shared" si="405"/>
        <v>0</v>
      </c>
      <c r="AS525" s="12" t="e">
        <f t="shared" si="406"/>
        <v>#DIV/0!</v>
      </c>
      <c r="AT525" s="12" t="e">
        <f t="shared" si="407"/>
        <v>#DIV/0!</v>
      </c>
      <c r="AU525" s="1">
        <f t="shared" si="408"/>
        <v>0</v>
      </c>
      <c r="AV525" s="1">
        <f t="shared" si="409"/>
        <v>4</v>
      </c>
      <c r="AW525" s="1">
        <f t="shared" si="410"/>
        <v>-10</v>
      </c>
      <c r="AX525" s="1">
        <f t="shared" si="411"/>
        <v>8</v>
      </c>
      <c r="AY525" s="1">
        <f t="shared" si="412"/>
        <v>-1</v>
      </c>
      <c r="AZ525" s="1">
        <f t="shared" si="413"/>
        <v>0</v>
      </c>
      <c r="BA525" s="19">
        <f t="shared" si="414"/>
        <v>0.16666666666666666</v>
      </c>
      <c r="BB525" s="19">
        <f t="shared" si="415"/>
        <v>0</v>
      </c>
      <c r="BC525" s="9">
        <f t="shared" si="416"/>
        <v>-0.66666666666666663</v>
      </c>
      <c r="BD525" s="9">
        <f t="shared" si="417"/>
        <v>0</v>
      </c>
      <c r="BE525" s="9">
        <f t="shared" si="418"/>
        <v>1</v>
      </c>
      <c r="BF525" s="9">
        <f t="shared" si="419"/>
        <v>-0.375</v>
      </c>
      <c r="BG525" s="9">
        <f t="shared" si="420"/>
        <v>-0.4</v>
      </c>
      <c r="BH525" s="9">
        <f t="shared" si="421"/>
        <v>1.3333333333333333</v>
      </c>
      <c r="BI525" s="12">
        <f t="shared" si="422"/>
        <v>0.14861111111111111</v>
      </c>
      <c r="BJ525" s="13">
        <f t="shared" si="423"/>
        <v>-0.1875</v>
      </c>
      <c r="BK525" s="1">
        <f t="shared" si="424"/>
        <v>-8</v>
      </c>
      <c r="BL525" s="1">
        <f t="shared" si="425"/>
        <v>0</v>
      </c>
      <c r="BM525" s="1">
        <f t="shared" si="426"/>
        <v>4</v>
      </c>
      <c r="BN525" s="1">
        <f t="shared" si="427"/>
        <v>-3</v>
      </c>
      <c r="BO525" s="1">
        <f t="shared" si="428"/>
        <v>-2</v>
      </c>
      <c r="BP525" s="1">
        <f t="shared" si="429"/>
        <v>4</v>
      </c>
      <c r="BQ525" s="19">
        <f t="shared" si="430"/>
        <v>-0.83333333333333337</v>
      </c>
      <c r="BR525" s="17">
        <f t="shared" si="431"/>
        <v>-1</v>
      </c>
    </row>
    <row r="526" spans="1:70" x14ac:dyDescent="0.25">
      <c r="A526" t="s">
        <v>258</v>
      </c>
      <c r="B526">
        <v>18</v>
      </c>
      <c r="C526">
        <v>22</v>
      </c>
      <c r="D526">
        <v>13</v>
      </c>
      <c r="E526">
        <v>23</v>
      </c>
      <c r="F526">
        <v>13</v>
      </c>
      <c r="G526">
        <v>19</v>
      </c>
      <c r="H526">
        <v>14</v>
      </c>
      <c r="I526">
        <v>12</v>
      </c>
      <c r="J526">
        <v>11</v>
      </c>
      <c r="K526">
        <v>11</v>
      </c>
      <c r="L526">
        <v>15</v>
      </c>
      <c r="M526">
        <v>7</v>
      </c>
      <c r="N526">
        <v>5</v>
      </c>
      <c r="O526">
        <v>9</v>
      </c>
      <c r="P526">
        <v>6</v>
      </c>
      <c r="Q526">
        <v>11</v>
      </c>
      <c r="R526">
        <v>2</v>
      </c>
      <c r="S526">
        <v>8</v>
      </c>
      <c r="T526">
        <v>6</v>
      </c>
      <c r="U526">
        <v>14</v>
      </c>
      <c r="V526">
        <v>5</v>
      </c>
      <c r="W526" s="8">
        <f t="shared" si="384"/>
        <v>0.22222222222222221</v>
      </c>
      <c r="X526" s="8">
        <f t="shared" si="385"/>
        <v>-0.40909090909090912</v>
      </c>
      <c r="Y526" s="8">
        <f t="shared" si="386"/>
        <v>0.76923076923076927</v>
      </c>
      <c r="Z526" s="8">
        <f t="shared" si="387"/>
        <v>-0.43478260869565216</v>
      </c>
      <c r="AA526" s="8">
        <f t="shared" si="388"/>
        <v>0.46153846153846156</v>
      </c>
      <c r="AB526" s="8">
        <f t="shared" si="389"/>
        <v>-0.26315789473684209</v>
      </c>
      <c r="AC526" s="12">
        <f t="shared" si="390"/>
        <v>5.7660006744674926E-2</v>
      </c>
      <c r="AD526" s="12">
        <f t="shared" si="391"/>
        <v>-2.046783625730994E-2</v>
      </c>
      <c r="AE526" s="1">
        <f t="shared" si="392"/>
        <v>4</v>
      </c>
      <c r="AF526" s="1">
        <f t="shared" si="393"/>
        <v>-9</v>
      </c>
      <c r="AG526" s="1">
        <f t="shared" si="394"/>
        <v>10</v>
      </c>
      <c r="AH526" s="1">
        <f t="shared" si="395"/>
        <v>-10</v>
      </c>
      <c r="AI526" s="1">
        <f t="shared" si="396"/>
        <v>6</v>
      </c>
      <c r="AJ526" s="1">
        <f t="shared" si="397"/>
        <v>-5</v>
      </c>
      <c r="AK526" s="17">
        <f t="shared" si="398"/>
        <v>-0.66666666666666663</v>
      </c>
      <c r="AL526" s="17">
        <f t="shared" si="399"/>
        <v>-0.5</v>
      </c>
      <c r="AM526" s="1">
        <f t="shared" si="400"/>
        <v>-8.3333333333333329E-2</v>
      </c>
      <c r="AN526" s="1">
        <f t="shared" si="401"/>
        <v>0</v>
      </c>
      <c r="AO526" s="1">
        <f t="shared" si="402"/>
        <v>0.36363636363636365</v>
      </c>
      <c r="AP526" s="1">
        <f t="shared" si="403"/>
        <v>-0.53333333333333333</v>
      </c>
      <c r="AQ526" s="1">
        <f t="shared" si="404"/>
        <v>-0.2857142857142857</v>
      </c>
      <c r="AR526" s="1">
        <f t="shared" si="405"/>
        <v>0.8</v>
      </c>
      <c r="AS526" s="12">
        <f t="shared" si="406"/>
        <v>4.3542568542568549E-2</v>
      </c>
      <c r="AT526" s="12">
        <f t="shared" si="407"/>
        <v>-4.1666666666666664E-2</v>
      </c>
      <c r="AU526" s="1">
        <f t="shared" si="408"/>
        <v>-1</v>
      </c>
      <c r="AV526" s="1">
        <f t="shared" si="409"/>
        <v>0</v>
      </c>
      <c r="AW526" s="1">
        <f t="shared" si="410"/>
        <v>4</v>
      </c>
      <c r="AX526" s="1">
        <f t="shared" si="411"/>
        <v>-8</v>
      </c>
      <c r="AY526" s="1">
        <f t="shared" si="412"/>
        <v>-2</v>
      </c>
      <c r="AZ526" s="1">
        <f t="shared" si="413"/>
        <v>4</v>
      </c>
      <c r="BA526" s="19">
        <f t="shared" si="414"/>
        <v>-0.5</v>
      </c>
      <c r="BB526" s="19">
        <f t="shared" si="415"/>
        <v>-0.5</v>
      </c>
      <c r="BC526" s="9">
        <f t="shared" si="416"/>
        <v>0.83333333333333337</v>
      </c>
      <c r="BD526" s="9">
        <f t="shared" si="417"/>
        <v>-0.81818181818181823</v>
      </c>
      <c r="BE526" s="9">
        <f t="shared" si="418"/>
        <v>3</v>
      </c>
      <c r="BF526" s="9">
        <f t="shared" si="419"/>
        <v>-0.25</v>
      </c>
      <c r="BG526" s="9">
        <f t="shared" si="420"/>
        <v>1.3333333333333333</v>
      </c>
      <c r="BH526" s="9">
        <f t="shared" si="421"/>
        <v>-0.6428571428571429</v>
      </c>
      <c r="BI526" s="12">
        <f t="shared" si="422"/>
        <v>0.57593795093795097</v>
      </c>
      <c r="BJ526" s="13">
        <f t="shared" si="423"/>
        <v>0.29166666666666674</v>
      </c>
      <c r="BK526" s="1">
        <f t="shared" si="424"/>
        <v>5</v>
      </c>
      <c r="BL526" s="1">
        <f t="shared" si="425"/>
        <v>-9</v>
      </c>
      <c r="BM526" s="1">
        <f t="shared" si="426"/>
        <v>6</v>
      </c>
      <c r="BN526" s="1">
        <f t="shared" si="427"/>
        <v>-2</v>
      </c>
      <c r="BO526" s="1">
        <f t="shared" si="428"/>
        <v>8</v>
      </c>
      <c r="BP526" s="1">
        <f t="shared" si="429"/>
        <v>-9</v>
      </c>
      <c r="BQ526" s="19">
        <f t="shared" si="430"/>
        <v>-0.16666666666666666</v>
      </c>
      <c r="BR526" s="17">
        <f t="shared" si="431"/>
        <v>1.5</v>
      </c>
    </row>
    <row r="527" spans="1:70" x14ac:dyDescent="0.25">
      <c r="A527" t="s">
        <v>266</v>
      </c>
      <c r="B527">
        <v>16</v>
      </c>
      <c r="C527">
        <v>12</v>
      </c>
      <c r="D527">
        <v>16</v>
      </c>
      <c r="E527">
        <v>6</v>
      </c>
      <c r="F527">
        <v>12</v>
      </c>
      <c r="G527">
        <v>9</v>
      </c>
      <c r="H527">
        <v>12</v>
      </c>
      <c r="I527">
        <v>8</v>
      </c>
      <c r="J527">
        <v>7</v>
      </c>
      <c r="K527">
        <v>8</v>
      </c>
      <c r="L527">
        <v>2</v>
      </c>
      <c r="M527">
        <v>5</v>
      </c>
      <c r="N527">
        <v>5</v>
      </c>
      <c r="O527">
        <v>11</v>
      </c>
      <c r="P527">
        <v>8</v>
      </c>
      <c r="Q527">
        <v>5</v>
      </c>
      <c r="R527">
        <v>8</v>
      </c>
      <c r="S527">
        <v>4</v>
      </c>
      <c r="T527">
        <v>7</v>
      </c>
      <c r="U527">
        <v>4</v>
      </c>
      <c r="V527">
        <v>1</v>
      </c>
      <c r="W527" s="8">
        <f t="shared" si="384"/>
        <v>-0.25</v>
      </c>
      <c r="X527" s="8">
        <f t="shared" si="385"/>
        <v>0.33333333333333331</v>
      </c>
      <c r="Y527" s="8">
        <f t="shared" si="386"/>
        <v>-0.625</v>
      </c>
      <c r="Z527" s="8">
        <f t="shared" si="387"/>
        <v>1</v>
      </c>
      <c r="AA527" s="8">
        <f t="shared" si="388"/>
        <v>-0.25</v>
      </c>
      <c r="AB527" s="8">
        <f t="shared" si="389"/>
        <v>0.33333333333333331</v>
      </c>
      <c r="AC527" s="12">
        <f t="shared" si="390"/>
        <v>9.0277777777777748E-2</v>
      </c>
      <c r="AD527" s="12">
        <f t="shared" si="391"/>
        <v>4.166666666666663E-2</v>
      </c>
      <c r="AE527" s="1">
        <f t="shared" si="392"/>
        <v>-4</v>
      </c>
      <c r="AF527" s="1">
        <f t="shared" si="393"/>
        <v>4</v>
      </c>
      <c r="AG527" s="1">
        <f t="shared" si="394"/>
        <v>-10</v>
      </c>
      <c r="AH527" s="1">
        <f t="shared" si="395"/>
        <v>6</v>
      </c>
      <c r="AI527" s="1">
        <f t="shared" si="396"/>
        <v>-3</v>
      </c>
      <c r="AJ527" s="1">
        <f t="shared" si="397"/>
        <v>3</v>
      </c>
      <c r="AK527" s="17">
        <f t="shared" si="398"/>
        <v>-0.66666666666666663</v>
      </c>
      <c r="AL527" s="17">
        <f t="shared" si="399"/>
        <v>0</v>
      </c>
      <c r="AM527" s="1">
        <f t="shared" si="400"/>
        <v>-0.125</v>
      </c>
      <c r="AN527" s="1">
        <f t="shared" si="401"/>
        <v>0.14285714285714285</v>
      </c>
      <c r="AO527" s="1">
        <f t="shared" si="402"/>
        <v>-0.75</v>
      </c>
      <c r="AP527" s="1">
        <f t="shared" si="403"/>
        <v>1.5</v>
      </c>
      <c r="AQ527" s="1">
        <f t="shared" si="404"/>
        <v>0</v>
      </c>
      <c r="AR527" s="1">
        <f t="shared" si="405"/>
        <v>1.2</v>
      </c>
      <c r="AS527" s="12">
        <f t="shared" si="406"/>
        <v>0.32797619047619048</v>
      </c>
      <c r="AT527" s="12">
        <f t="shared" si="407"/>
        <v>7.1428571428571425E-2</v>
      </c>
      <c r="AU527" s="1">
        <f t="shared" si="408"/>
        <v>-1</v>
      </c>
      <c r="AV527" s="1">
        <f t="shared" si="409"/>
        <v>1</v>
      </c>
      <c r="AW527" s="1">
        <f t="shared" si="410"/>
        <v>-6</v>
      </c>
      <c r="AX527" s="1">
        <f t="shared" si="411"/>
        <v>3</v>
      </c>
      <c r="AY527" s="1">
        <f t="shared" si="412"/>
        <v>0</v>
      </c>
      <c r="AZ527" s="1">
        <f t="shared" si="413"/>
        <v>6</v>
      </c>
      <c r="BA527" s="19">
        <f t="shared" si="414"/>
        <v>0.5</v>
      </c>
      <c r="BB527" s="19">
        <f t="shared" si="415"/>
        <v>0.5</v>
      </c>
      <c r="BC527" s="9">
        <f t="shared" si="416"/>
        <v>-0.375</v>
      </c>
      <c r="BD527" s="9">
        <f t="shared" si="417"/>
        <v>0.6</v>
      </c>
      <c r="BE527" s="9">
        <f t="shared" si="418"/>
        <v>-0.5</v>
      </c>
      <c r="BF527" s="9">
        <f t="shared" si="419"/>
        <v>0.75</v>
      </c>
      <c r="BG527" s="9">
        <f t="shared" si="420"/>
        <v>-0.42857142857142855</v>
      </c>
      <c r="BH527" s="9">
        <f t="shared" si="421"/>
        <v>-0.75</v>
      </c>
      <c r="BI527" s="12">
        <f t="shared" si="422"/>
        <v>-0.11726190476190475</v>
      </c>
      <c r="BJ527" s="13">
        <f t="shared" si="423"/>
        <v>-0.4017857142857143</v>
      </c>
      <c r="BK527" s="1">
        <f t="shared" si="424"/>
        <v>-3</v>
      </c>
      <c r="BL527" s="1">
        <f t="shared" si="425"/>
        <v>3</v>
      </c>
      <c r="BM527" s="1">
        <f t="shared" si="426"/>
        <v>-4</v>
      </c>
      <c r="BN527" s="1">
        <f t="shared" si="427"/>
        <v>3</v>
      </c>
      <c r="BO527" s="1">
        <f t="shared" si="428"/>
        <v>-3</v>
      </c>
      <c r="BP527" s="1">
        <f t="shared" si="429"/>
        <v>-3</v>
      </c>
      <c r="BQ527" s="19">
        <f t="shared" si="430"/>
        <v>-1.1666666666666667</v>
      </c>
      <c r="BR527" s="17">
        <f t="shared" si="431"/>
        <v>-3</v>
      </c>
    </row>
    <row r="528" spans="1:70" x14ac:dyDescent="0.25">
      <c r="A528" t="s">
        <v>271</v>
      </c>
      <c r="B528">
        <v>15</v>
      </c>
      <c r="C528">
        <v>12</v>
      </c>
      <c r="D528">
        <v>22</v>
      </c>
      <c r="E528">
        <v>18</v>
      </c>
      <c r="F528">
        <v>18</v>
      </c>
      <c r="G528">
        <v>19</v>
      </c>
      <c r="H528">
        <v>11</v>
      </c>
      <c r="I528">
        <v>7</v>
      </c>
      <c r="J528">
        <v>10</v>
      </c>
      <c r="K528">
        <v>10</v>
      </c>
      <c r="L528">
        <v>7</v>
      </c>
      <c r="M528">
        <v>13</v>
      </c>
      <c r="N528">
        <v>14</v>
      </c>
      <c r="O528">
        <v>3</v>
      </c>
      <c r="P528">
        <v>8</v>
      </c>
      <c r="Q528">
        <v>2</v>
      </c>
      <c r="R528">
        <v>12</v>
      </c>
      <c r="S528">
        <v>11</v>
      </c>
      <c r="T528">
        <v>5</v>
      </c>
      <c r="U528">
        <v>5</v>
      </c>
      <c r="V528">
        <v>8</v>
      </c>
      <c r="W528" s="8">
        <f t="shared" si="384"/>
        <v>-0.2</v>
      </c>
      <c r="X528" s="8">
        <f t="shared" si="385"/>
        <v>0.83333333333333337</v>
      </c>
      <c r="Y528" s="8">
        <f t="shared" si="386"/>
        <v>-0.18181818181818182</v>
      </c>
      <c r="Z528" s="8">
        <f t="shared" si="387"/>
        <v>0</v>
      </c>
      <c r="AA528" s="8">
        <f t="shared" si="388"/>
        <v>5.5555555555555552E-2</v>
      </c>
      <c r="AB528" s="8">
        <f t="shared" si="389"/>
        <v>-0.42105263157894735</v>
      </c>
      <c r="AC528" s="12">
        <f t="shared" si="390"/>
        <v>1.4336345915293277E-2</v>
      </c>
      <c r="AD528" s="12">
        <f t="shared" si="391"/>
        <v>-9.0909090909090912E-2</v>
      </c>
      <c r="AE528" s="1">
        <f t="shared" si="392"/>
        <v>-3</v>
      </c>
      <c r="AF528" s="1">
        <f t="shared" si="393"/>
        <v>10</v>
      </c>
      <c r="AG528" s="1">
        <f t="shared" si="394"/>
        <v>-4</v>
      </c>
      <c r="AH528" s="1">
        <f t="shared" si="395"/>
        <v>0</v>
      </c>
      <c r="AI528" s="1">
        <f t="shared" si="396"/>
        <v>1</v>
      </c>
      <c r="AJ528" s="1">
        <f t="shared" si="397"/>
        <v>-8</v>
      </c>
      <c r="AK528" s="17">
        <f t="shared" si="398"/>
        <v>-0.66666666666666663</v>
      </c>
      <c r="AL528" s="17">
        <f t="shared" si="399"/>
        <v>-1.5</v>
      </c>
      <c r="AM528" s="1">
        <f t="shared" si="400"/>
        <v>0.42857142857142855</v>
      </c>
      <c r="AN528" s="1">
        <f t="shared" si="401"/>
        <v>0</v>
      </c>
      <c r="AO528" s="1">
        <f t="shared" si="402"/>
        <v>-0.3</v>
      </c>
      <c r="AP528" s="1">
        <f t="shared" si="403"/>
        <v>0.8571428571428571</v>
      </c>
      <c r="AQ528" s="1">
        <f t="shared" si="404"/>
        <v>7.6923076923076927E-2</v>
      </c>
      <c r="AR528" s="1">
        <f t="shared" si="405"/>
        <v>-0.7857142857142857</v>
      </c>
      <c r="AS528" s="12">
        <f t="shared" si="406"/>
        <v>4.6153846153846156E-2</v>
      </c>
      <c r="AT528" s="12">
        <f t="shared" si="407"/>
        <v>3.8461538461538464E-2</v>
      </c>
      <c r="AU528" s="1">
        <f t="shared" si="408"/>
        <v>3</v>
      </c>
      <c r="AV528" s="1">
        <f t="shared" si="409"/>
        <v>0</v>
      </c>
      <c r="AW528" s="1">
        <f t="shared" si="410"/>
        <v>-3</v>
      </c>
      <c r="AX528" s="1">
        <f t="shared" si="411"/>
        <v>6</v>
      </c>
      <c r="AY528" s="1">
        <f t="shared" si="412"/>
        <v>1</v>
      </c>
      <c r="AZ528" s="1">
        <f t="shared" si="413"/>
        <v>-11</v>
      </c>
      <c r="BA528" s="19">
        <f t="shared" si="414"/>
        <v>-0.66666666666666663</v>
      </c>
      <c r="BB528" s="19">
        <f t="shared" si="415"/>
        <v>0.5</v>
      </c>
      <c r="BC528" s="9">
        <f t="shared" si="416"/>
        <v>-0.75</v>
      </c>
      <c r="BD528" s="9">
        <f t="shared" si="417"/>
        <v>5</v>
      </c>
      <c r="BE528" s="9">
        <f t="shared" si="418"/>
        <v>-8.3333333333333329E-2</v>
      </c>
      <c r="BF528" s="9">
        <f t="shared" si="419"/>
        <v>-0.54545454545454541</v>
      </c>
      <c r="BG528" s="9">
        <f t="shared" si="420"/>
        <v>0</v>
      </c>
      <c r="BH528" s="9">
        <f t="shared" si="421"/>
        <v>0.6</v>
      </c>
      <c r="BI528" s="12">
        <f t="shared" si="422"/>
        <v>0.70353535353535357</v>
      </c>
      <c r="BJ528" s="13">
        <f t="shared" si="423"/>
        <v>-4.1666666666666664E-2</v>
      </c>
      <c r="BK528" s="1">
        <f t="shared" si="424"/>
        <v>-6</v>
      </c>
      <c r="BL528" s="1">
        <f t="shared" si="425"/>
        <v>10</v>
      </c>
      <c r="BM528" s="1">
        <f t="shared" si="426"/>
        <v>-1</v>
      </c>
      <c r="BN528" s="1">
        <f t="shared" si="427"/>
        <v>-6</v>
      </c>
      <c r="BO528" s="1">
        <f t="shared" si="428"/>
        <v>0</v>
      </c>
      <c r="BP528" s="1">
        <f t="shared" si="429"/>
        <v>3</v>
      </c>
      <c r="BQ528" s="19">
        <f t="shared" si="430"/>
        <v>0</v>
      </c>
      <c r="BR528" s="17">
        <f t="shared" si="431"/>
        <v>-0.5</v>
      </c>
    </row>
    <row r="529" spans="1:70" x14ac:dyDescent="0.25">
      <c r="A529" t="s">
        <v>278</v>
      </c>
      <c r="B529">
        <v>14</v>
      </c>
      <c r="C529">
        <v>16</v>
      </c>
      <c r="D529">
        <v>11</v>
      </c>
      <c r="E529">
        <v>15</v>
      </c>
      <c r="F529">
        <v>18</v>
      </c>
      <c r="G529">
        <v>15</v>
      </c>
      <c r="H529">
        <v>10</v>
      </c>
      <c r="I529">
        <v>8</v>
      </c>
      <c r="J529">
        <v>8</v>
      </c>
      <c r="K529">
        <v>5</v>
      </c>
      <c r="L529">
        <v>10</v>
      </c>
      <c r="M529">
        <v>12</v>
      </c>
      <c r="N529">
        <v>5</v>
      </c>
      <c r="O529">
        <v>4</v>
      </c>
      <c r="P529">
        <v>6</v>
      </c>
      <c r="Q529">
        <v>8</v>
      </c>
      <c r="R529">
        <v>6</v>
      </c>
      <c r="S529">
        <v>5</v>
      </c>
      <c r="T529">
        <v>6</v>
      </c>
      <c r="U529">
        <v>10</v>
      </c>
      <c r="V529">
        <v>6</v>
      </c>
      <c r="W529" s="8">
        <f t="shared" si="384"/>
        <v>0.14285714285714285</v>
      </c>
      <c r="X529" s="8">
        <f t="shared" si="385"/>
        <v>-0.3125</v>
      </c>
      <c r="Y529" s="8">
        <f t="shared" si="386"/>
        <v>0.36363636363636365</v>
      </c>
      <c r="Z529" s="8">
        <f t="shared" si="387"/>
        <v>0.2</v>
      </c>
      <c r="AA529" s="8">
        <f t="shared" si="388"/>
        <v>-0.16666666666666666</v>
      </c>
      <c r="AB529" s="8">
        <f t="shared" si="389"/>
        <v>-0.33333333333333331</v>
      </c>
      <c r="AC529" s="12">
        <f t="shared" si="390"/>
        <v>-1.7667748917748912E-2</v>
      </c>
      <c r="AD529" s="12">
        <f t="shared" si="391"/>
        <v>-1.190476190476189E-2</v>
      </c>
      <c r="AE529" s="1">
        <f t="shared" si="392"/>
        <v>2</v>
      </c>
      <c r="AF529" s="1">
        <f t="shared" si="393"/>
        <v>-5</v>
      </c>
      <c r="AG529" s="1">
        <f t="shared" si="394"/>
        <v>4</v>
      </c>
      <c r="AH529" s="1">
        <f t="shared" si="395"/>
        <v>3</v>
      </c>
      <c r="AI529" s="1">
        <f t="shared" si="396"/>
        <v>-3</v>
      </c>
      <c r="AJ529" s="1">
        <f t="shared" si="397"/>
        <v>-5</v>
      </c>
      <c r="AK529" s="17">
        <f t="shared" si="398"/>
        <v>-0.66666666666666663</v>
      </c>
      <c r="AL529" s="17">
        <f t="shared" si="399"/>
        <v>-0.5</v>
      </c>
      <c r="AM529" s="1">
        <f t="shared" si="400"/>
        <v>0</v>
      </c>
      <c r="AN529" s="1">
        <f t="shared" si="401"/>
        <v>-0.375</v>
      </c>
      <c r="AO529" s="1">
        <f t="shared" si="402"/>
        <v>1</v>
      </c>
      <c r="AP529" s="1">
        <f t="shared" si="403"/>
        <v>0.2</v>
      </c>
      <c r="AQ529" s="1">
        <f t="shared" si="404"/>
        <v>-0.58333333333333337</v>
      </c>
      <c r="AR529" s="1">
        <f t="shared" si="405"/>
        <v>-0.2</v>
      </c>
      <c r="AS529" s="12">
        <f t="shared" si="406"/>
        <v>6.9444444444444293E-3</v>
      </c>
      <c r="AT529" s="12">
        <f t="shared" si="407"/>
        <v>-0.1</v>
      </c>
      <c r="AU529" s="1">
        <f t="shared" si="408"/>
        <v>0</v>
      </c>
      <c r="AV529" s="1">
        <f t="shared" si="409"/>
        <v>-3</v>
      </c>
      <c r="AW529" s="1">
        <f t="shared" si="410"/>
        <v>5</v>
      </c>
      <c r="AX529" s="1">
        <f t="shared" si="411"/>
        <v>2</v>
      </c>
      <c r="AY529" s="1">
        <f t="shared" si="412"/>
        <v>-7</v>
      </c>
      <c r="AZ529" s="1">
        <f t="shared" si="413"/>
        <v>-1</v>
      </c>
      <c r="BA529" s="19">
        <f t="shared" si="414"/>
        <v>-0.66666666666666663</v>
      </c>
      <c r="BB529" s="19">
        <f t="shared" si="415"/>
        <v>-0.5</v>
      </c>
      <c r="BC529" s="9">
        <f t="shared" si="416"/>
        <v>0.33333333333333331</v>
      </c>
      <c r="BD529" s="9">
        <f t="shared" si="417"/>
        <v>-0.25</v>
      </c>
      <c r="BE529" s="9">
        <f t="shared" si="418"/>
        <v>-0.16666666666666666</v>
      </c>
      <c r="BF529" s="9">
        <f t="shared" si="419"/>
        <v>0.2</v>
      </c>
      <c r="BG529" s="9">
        <f t="shared" si="420"/>
        <v>0.66666666666666663</v>
      </c>
      <c r="BH529" s="9">
        <f t="shared" si="421"/>
        <v>-0.4</v>
      </c>
      <c r="BI529" s="12">
        <f t="shared" si="422"/>
        <v>6.3888888888888884E-2</v>
      </c>
      <c r="BJ529" s="13">
        <f t="shared" si="423"/>
        <v>1.6666666666666691E-2</v>
      </c>
      <c r="BK529" s="1">
        <f t="shared" si="424"/>
        <v>2</v>
      </c>
      <c r="BL529" s="1">
        <f t="shared" si="425"/>
        <v>-2</v>
      </c>
      <c r="BM529" s="1">
        <f t="shared" si="426"/>
        <v>-1</v>
      </c>
      <c r="BN529" s="1">
        <f t="shared" si="427"/>
        <v>1</v>
      </c>
      <c r="BO529" s="1">
        <f t="shared" si="428"/>
        <v>4</v>
      </c>
      <c r="BP529" s="1">
        <f t="shared" si="429"/>
        <v>-4</v>
      </c>
      <c r="BQ529" s="19">
        <f t="shared" si="430"/>
        <v>0</v>
      </c>
      <c r="BR529" s="17">
        <f t="shared" si="431"/>
        <v>0</v>
      </c>
    </row>
    <row r="530" spans="1:70" x14ac:dyDescent="0.25">
      <c r="A530" t="s">
        <v>287</v>
      </c>
      <c r="B530">
        <v>13</v>
      </c>
      <c r="C530">
        <v>8</v>
      </c>
      <c r="D530">
        <v>4</v>
      </c>
      <c r="E530">
        <v>13</v>
      </c>
      <c r="F530">
        <v>7</v>
      </c>
      <c r="G530">
        <v>15</v>
      </c>
      <c r="H530">
        <v>9</v>
      </c>
      <c r="I530">
        <v>4</v>
      </c>
      <c r="J530">
        <v>3</v>
      </c>
      <c r="K530">
        <v>2</v>
      </c>
      <c r="L530">
        <v>9</v>
      </c>
      <c r="M530">
        <v>3</v>
      </c>
      <c r="N530">
        <v>4</v>
      </c>
      <c r="O530">
        <v>4</v>
      </c>
      <c r="P530">
        <v>9</v>
      </c>
      <c r="Q530">
        <v>5</v>
      </c>
      <c r="R530">
        <v>2</v>
      </c>
      <c r="S530">
        <v>4</v>
      </c>
      <c r="T530">
        <v>4</v>
      </c>
      <c r="U530">
        <v>11</v>
      </c>
      <c r="V530">
        <v>5</v>
      </c>
      <c r="W530" s="8">
        <f t="shared" si="384"/>
        <v>-0.38461538461538464</v>
      </c>
      <c r="X530" s="8">
        <f t="shared" si="385"/>
        <v>-0.5</v>
      </c>
      <c r="Y530" s="8">
        <f t="shared" si="386"/>
        <v>2.25</v>
      </c>
      <c r="Z530" s="8">
        <f t="shared" si="387"/>
        <v>-0.46153846153846156</v>
      </c>
      <c r="AA530" s="8">
        <f t="shared" si="388"/>
        <v>1.1428571428571428</v>
      </c>
      <c r="AB530" s="8">
        <f t="shared" si="389"/>
        <v>-0.4</v>
      </c>
      <c r="AC530" s="12">
        <f t="shared" si="390"/>
        <v>0.27445054945054942</v>
      </c>
      <c r="AD530" s="12">
        <f t="shared" si="391"/>
        <v>-0.39230769230769236</v>
      </c>
      <c r="AE530" s="1">
        <f t="shared" si="392"/>
        <v>-5</v>
      </c>
      <c r="AF530" s="1">
        <f t="shared" si="393"/>
        <v>-4</v>
      </c>
      <c r="AG530" s="1">
        <f t="shared" si="394"/>
        <v>9</v>
      </c>
      <c r="AH530" s="1">
        <f t="shared" si="395"/>
        <v>-6</v>
      </c>
      <c r="AI530" s="1">
        <f t="shared" si="396"/>
        <v>8</v>
      </c>
      <c r="AJ530" s="1">
        <f t="shared" si="397"/>
        <v>-6</v>
      </c>
      <c r="AK530" s="17">
        <f t="shared" si="398"/>
        <v>-0.66666666666666663</v>
      </c>
      <c r="AL530" s="17">
        <f t="shared" si="399"/>
        <v>-4.5</v>
      </c>
      <c r="AM530" s="1">
        <f t="shared" si="400"/>
        <v>-0.25</v>
      </c>
      <c r="AN530" s="1">
        <f t="shared" si="401"/>
        <v>-0.33333333333333331</v>
      </c>
      <c r="AO530" s="1">
        <f t="shared" si="402"/>
        <v>3.5</v>
      </c>
      <c r="AP530" s="1">
        <f t="shared" si="403"/>
        <v>-0.66666666666666663</v>
      </c>
      <c r="AQ530" s="1">
        <f t="shared" si="404"/>
        <v>0.33333333333333331</v>
      </c>
      <c r="AR530" s="1">
        <f t="shared" si="405"/>
        <v>0</v>
      </c>
      <c r="AS530" s="12">
        <f t="shared" si="406"/>
        <v>0.43055555555555564</v>
      </c>
      <c r="AT530" s="12">
        <f t="shared" si="407"/>
        <v>-0.125</v>
      </c>
      <c r="AU530" s="1">
        <f t="shared" si="408"/>
        <v>-1</v>
      </c>
      <c r="AV530" s="1">
        <f t="shared" si="409"/>
        <v>-1</v>
      </c>
      <c r="AW530" s="1">
        <f t="shared" si="410"/>
        <v>7</v>
      </c>
      <c r="AX530" s="1">
        <f t="shared" si="411"/>
        <v>-6</v>
      </c>
      <c r="AY530" s="1">
        <f t="shared" si="412"/>
        <v>1</v>
      </c>
      <c r="AZ530" s="1">
        <f t="shared" si="413"/>
        <v>0</v>
      </c>
      <c r="BA530" s="19">
        <f t="shared" si="414"/>
        <v>0</v>
      </c>
      <c r="BB530" s="19">
        <f t="shared" si="415"/>
        <v>-0.5</v>
      </c>
      <c r="BC530" s="9">
        <f t="shared" si="416"/>
        <v>-0.44444444444444442</v>
      </c>
      <c r="BD530" s="9">
        <f t="shared" si="417"/>
        <v>-0.6</v>
      </c>
      <c r="BE530" s="9">
        <f t="shared" si="418"/>
        <v>1</v>
      </c>
      <c r="BF530" s="9">
        <f t="shared" si="419"/>
        <v>0</v>
      </c>
      <c r="BG530" s="9">
        <f t="shared" si="420"/>
        <v>1.75</v>
      </c>
      <c r="BH530" s="9">
        <f t="shared" si="421"/>
        <v>-0.54545454545454541</v>
      </c>
      <c r="BI530" s="12">
        <f t="shared" si="422"/>
        <v>0.19335016835016838</v>
      </c>
      <c r="BJ530" s="13">
        <f t="shared" si="423"/>
        <v>-0.22222222222222221</v>
      </c>
      <c r="BK530" s="1">
        <f t="shared" si="424"/>
        <v>-4</v>
      </c>
      <c r="BL530" s="1">
        <f t="shared" si="425"/>
        <v>-3</v>
      </c>
      <c r="BM530" s="1">
        <f t="shared" si="426"/>
        <v>2</v>
      </c>
      <c r="BN530" s="1">
        <f t="shared" si="427"/>
        <v>0</v>
      </c>
      <c r="BO530" s="1">
        <f t="shared" si="428"/>
        <v>7</v>
      </c>
      <c r="BP530" s="1">
        <f t="shared" si="429"/>
        <v>-6</v>
      </c>
      <c r="BQ530" s="19">
        <f t="shared" si="430"/>
        <v>-0.66666666666666663</v>
      </c>
      <c r="BR530" s="17">
        <f t="shared" si="431"/>
        <v>-1.5</v>
      </c>
    </row>
    <row r="531" spans="1:70" x14ac:dyDescent="0.25">
      <c r="A531" t="s">
        <v>304</v>
      </c>
      <c r="B531">
        <v>10</v>
      </c>
      <c r="C531">
        <v>2</v>
      </c>
      <c r="D531">
        <v>7</v>
      </c>
      <c r="E531">
        <v>6</v>
      </c>
      <c r="F531">
        <v>11</v>
      </c>
      <c r="G531">
        <v>8</v>
      </c>
      <c r="H531">
        <v>6</v>
      </c>
      <c r="I531">
        <v>9</v>
      </c>
      <c r="J531">
        <v>2</v>
      </c>
      <c r="K531">
        <v>4</v>
      </c>
      <c r="L531">
        <v>4</v>
      </c>
      <c r="M531">
        <v>10</v>
      </c>
      <c r="N531">
        <v>6</v>
      </c>
      <c r="O531">
        <v>5</v>
      </c>
      <c r="P531">
        <v>1</v>
      </c>
      <c r="R531">
        <v>3</v>
      </c>
      <c r="S531">
        <v>2</v>
      </c>
      <c r="T531">
        <v>1</v>
      </c>
      <c r="U531">
        <v>2</v>
      </c>
      <c r="V531">
        <v>1</v>
      </c>
      <c r="W531" s="8">
        <f t="shared" si="384"/>
        <v>-0.8</v>
      </c>
      <c r="X531" s="8">
        <f t="shared" si="385"/>
        <v>2.5</v>
      </c>
      <c r="Y531" s="8">
        <f t="shared" si="386"/>
        <v>-0.14285714285714285</v>
      </c>
      <c r="Z531" s="8">
        <f t="shared" si="387"/>
        <v>0.83333333333333337</v>
      </c>
      <c r="AA531" s="8">
        <f t="shared" si="388"/>
        <v>-0.27272727272727271</v>
      </c>
      <c r="AB531" s="8">
        <f t="shared" si="389"/>
        <v>-0.25</v>
      </c>
      <c r="AC531" s="12">
        <f t="shared" si="390"/>
        <v>0.31129148629148623</v>
      </c>
      <c r="AD531" s="12">
        <f t="shared" si="391"/>
        <v>-0.19642857142857142</v>
      </c>
      <c r="AE531" s="1">
        <f t="shared" si="392"/>
        <v>-8</v>
      </c>
      <c r="AF531" s="1">
        <f t="shared" si="393"/>
        <v>5</v>
      </c>
      <c r="AG531" s="1">
        <f t="shared" si="394"/>
        <v>-1</v>
      </c>
      <c r="AH531" s="1">
        <f t="shared" si="395"/>
        <v>5</v>
      </c>
      <c r="AI531" s="1">
        <f t="shared" si="396"/>
        <v>-3</v>
      </c>
      <c r="AJ531" s="1">
        <f t="shared" si="397"/>
        <v>-2</v>
      </c>
      <c r="AK531" s="17">
        <f t="shared" si="398"/>
        <v>-0.66666666666666663</v>
      </c>
      <c r="AL531" s="17">
        <f t="shared" si="399"/>
        <v>-1.5</v>
      </c>
      <c r="AM531" s="1">
        <f t="shared" si="400"/>
        <v>-0.77777777777777779</v>
      </c>
      <c r="AN531" s="1">
        <f t="shared" si="401"/>
        <v>1</v>
      </c>
      <c r="AO531" s="1">
        <f t="shared" si="402"/>
        <v>0</v>
      </c>
      <c r="AP531" s="1">
        <f t="shared" si="403"/>
        <v>1.5</v>
      </c>
      <c r="AQ531" s="1">
        <f t="shared" si="404"/>
        <v>-0.4</v>
      </c>
      <c r="AR531" s="1">
        <f t="shared" si="405"/>
        <v>-0.16666666666666666</v>
      </c>
      <c r="AS531" s="12">
        <f t="shared" si="406"/>
        <v>0.19259259259259262</v>
      </c>
      <c r="AT531" s="12">
        <f t="shared" si="407"/>
        <v>-8.3333333333333329E-2</v>
      </c>
      <c r="AU531" s="1">
        <f t="shared" si="408"/>
        <v>-7</v>
      </c>
      <c r="AV531" s="1">
        <f t="shared" si="409"/>
        <v>2</v>
      </c>
      <c r="AW531" s="1">
        <f t="shared" si="410"/>
        <v>0</v>
      </c>
      <c r="AX531" s="1">
        <f t="shared" si="411"/>
        <v>6</v>
      </c>
      <c r="AY531" s="1">
        <f t="shared" si="412"/>
        <v>-4</v>
      </c>
      <c r="AZ531" s="1">
        <f t="shared" si="413"/>
        <v>-1</v>
      </c>
      <c r="BA531" s="19">
        <f t="shared" si="414"/>
        <v>-0.66666666666666663</v>
      </c>
      <c r="BB531" s="19">
        <f t="shared" si="415"/>
        <v>-0.5</v>
      </c>
      <c r="BC531" s="9">
        <f t="shared" si="416"/>
        <v>-1</v>
      </c>
      <c r="BD531" s="9" t="e">
        <f t="shared" si="417"/>
        <v>#DIV/0!</v>
      </c>
      <c r="BE531" s="9">
        <f t="shared" si="418"/>
        <v>-0.33333333333333331</v>
      </c>
      <c r="BF531" s="9">
        <f t="shared" si="419"/>
        <v>-0.5</v>
      </c>
      <c r="BG531" s="9">
        <f t="shared" si="420"/>
        <v>1</v>
      </c>
      <c r="BH531" s="9">
        <f t="shared" si="421"/>
        <v>-0.5</v>
      </c>
      <c r="BI531" s="12" t="e">
        <f t="shared" si="422"/>
        <v>#DIV/0!</v>
      </c>
      <c r="BJ531" s="13" t="e">
        <f t="shared" si="423"/>
        <v>#DIV/0!</v>
      </c>
      <c r="BK531" s="1">
        <f t="shared" si="424"/>
        <v>-1</v>
      </c>
      <c r="BL531" s="1">
        <f t="shared" si="425"/>
        <v>3</v>
      </c>
      <c r="BM531" s="1">
        <f t="shared" si="426"/>
        <v>-1</v>
      </c>
      <c r="BN531" s="1">
        <f t="shared" si="427"/>
        <v>-1</v>
      </c>
      <c r="BO531" s="1">
        <f t="shared" si="428"/>
        <v>1</v>
      </c>
      <c r="BP531" s="1">
        <f t="shared" si="429"/>
        <v>-1</v>
      </c>
      <c r="BQ531" s="19">
        <f t="shared" si="430"/>
        <v>0</v>
      </c>
      <c r="BR531" s="17">
        <f t="shared" si="431"/>
        <v>-1</v>
      </c>
    </row>
    <row r="532" spans="1:70" x14ac:dyDescent="0.25">
      <c r="A532" t="s">
        <v>310</v>
      </c>
      <c r="B532">
        <v>10</v>
      </c>
      <c r="C532">
        <v>8</v>
      </c>
      <c r="D532">
        <v>5</v>
      </c>
      <c r="E532">
        <v>4</v>
      </c>
      <c r="F532">
        <v>1</v>
      </c>
      <c r="G532">
        <v>9</v>
      </c>
      <c r="H532">
        <v>6</v>
      </c>
      <c r="I532">
        <v>7</v>
      </c>
      <c r="J532">
        <v>6</v>
      </c>
      <c r="K532">
        <v>4</v>
      </c>
      <c r="L532">
        <v>1</v>
      </c>
      <c r="M532">
        <v>1</v>
      </c>
      <c r="N532">
        <v>6</v>
      </c>
      <c r="O532">
        <v>4</v>
      </c>
      <c r="P532">
        <v>3</v>
      </c>
      <c r="Q532">
        <v>2</v>
      </c>
      <c r="R532">
        <v>1</v>
      </c>
      <c r="S532">
        <v>3</v>
      </c>
      <c r="U532">
        <v>3</v>
      </c>
      <c r="V532">
        <v>2</v>
      </c>
      <c r="W532" s="8">
        <f t="shared" si="384"/>
        <v>-0.2</v>
      </c>
      <c r="X532" s="8">
        <f t="shared" si="385"/>
        <v>-0.375</v>
      </c>
      <c r="Y532" s="8">
        <f t="shared" si="386"/>
        <v>-0.2</v>
      </c>
      <c r="Z532" s="8">
        <f t="shared" si="387"/>
        <v>-0.75</v>
      </c>
      <c r="AA532" s="8">
        <f t="shared" si="388"/>
        <v>8</v>
      </c>
      <c r="AB532" s="8">
        <f t="shared" si="389"/>
        <v>-0.33333333333333331</v>
      </c>
      <c r="AC532" s="12">
        <f t="shared" si="390"/>
        <v>1.023611111111111</v>
      </c>
      <c r="AD532" s="12">
        <f t="shared" si="391"/>
        <v>-0.26666666666666666</v>
      </c>
      <c r="AE532" s="1">
        <f t="shared" si="392"/>
        <v>-2</v>
      </c>
      <c r="AF532" s="1">
        <f t="shared" si="393"/>
        <v>-3</v>
      </c>
      <c r="AG532" s="1">
        <f t="shared" si="394"/>
        <v>-1</v>
      </c>
      <c r="AH532" s="1">
        <f t="shared" si="395"/>
        <v>-3</v>
      </c>
      <c r="AI532" s="1">
        <f t="shared" si="396"/>
        <v>8</v>
      </c>
      <c r="AJ532" s="1">
        <f t="shared" si="397"/>
        <v>-3</v>
      </c>
      <c r="AK532" s="17">
        <f t="shared" si="398"/>
        <v>-0.66666666666666663</v>
      </c>
      <c r="AL532" s="17">
        <f t="shared" si="399"/>
        <v>-2.5</v>
      </c>
      <c r="AM532" s="1">
        <f t="shared" si="400"/>
        <v>-0.14285714285714285</v>
      </c>
      <c r="AN532" s="1">
        <f t="shared" si="401"/>
        <v>-0.33333333333333331</v>
      </c>
      <c r="AO532" s="1">
        <f t="shared" si="402"/>
        <v>-0.75</v>
      </c>
      <c r="AP532" s="1">
        <f t="shared" si="403"/>
        <v>0</v>
      </c>
      <c r="AQ532" s="1">
        <f t="shared" si="404"/>
        <v>5</v>
      </c>
      <c r="AR532" s="1">
        <f t="shared" si="405"/>
        <v>-0.33333333333333331</v>
      </c>
      <c r="AS532" s="12">
        <f t="shared" si="406"/>
        <v>0.57341269841269837</v>
      </c>
      <c r="AT532" s="12">
        <f t="shared" si="407"/>
        <v>-0.23809523809523808</v>
      </c>
      <c r="AU532" s="1">
        <f t="shared" si="408"/>
        <v>-1</v>
      </c>
      <c r="AV532" s="1">
        <f t="shared" si="409"/>
        <v>-2</v>
      </c>
      <c r="AW532" s="1">
        <f t="shared" si="410"/>
        <v>-3</v>
      </c>
      <c r="AX532" s="1">
        <f t="shared" si="411"/>
        <v>0</v>
      </c>
      <c r="AY532" s="1">
        <f t="shared" si="412"/>
        <v>5</v>
      </c>
      <c r="AZ532" s="1">
        <f t="shared" si="413"/>
        <v>-2</v>
      </c>
      <c r="BA532" s="19">
        <f t="shared" si="414"/>
        <v>-0.5</v>
      </c>
      <c r="BB532" s="19">
        <f t="shared" si="415"/>
        <v>-1.5</v>
      </c>
      <c r="BC532" s="9">
        <f t="shared" si="416"/>
        <v>-0.33333333333333331</v>
      </c>
      <c r="BD532" s="9">
        <f t="shared" si="417"/>
        <v>-0.5</v>
      </c>
      <c r="BE532" s="9">
        <f t="shared" si="418"/>
        <v>2</v>
      </c>
      <c r="BF532" s="9">
        <f t="shared" si="419"/>
        <v>-1</v>
      </c>
      <c r="BG532" s="9" t="e">
        <f t="shared" si="420"/>
        <v>#DIV/0!</v>
      </c>
      <c r="BH532" s="9">
        <f t="shared" si="421"/>
        <v>-0.33333333333333331</v>
      </c>
      <c r="BI532" s="12" t="e">
        <f t="shared" si="422"/>
        <v>#DIV/0!</v>
      </c>
      <c r="BJ532" s="13" t="e">
        <f t="shared" si="423"/>
        <v>#DIV/0!</v>
      </c>
      <c r="BK532" s="1">
        <f t="shared" si="424"/>
        <v>-1</v>
      </c>
      <c r="BL532" s="1">
        <f t="shared" si="425"/>
        <v>-1</v>
      </c>
      <c r="BM532" s="1">
        <f t="shared" si="426"/>
        <v>2</v>
      </c>
      <c r="BN532" s="1">
        <f t="shared" si="427"/>
        <v>-3</v>
      </c>
      <c r="BO532" s="1">
        <f t="shared" si="428"/>
        <v>3</v>
      </c>
      <c r="BP532" s="1">
        <f t="shared" si="429"/>
        <v>-1</v>
      </c>
      <c r="BQ532" s="19">
        <f t="shared" si="430"/>
        <v>-0.16666666666666666</v>
      </c>
      <c r="BR532" s="17">
        <f t="shared" si="431"/>
        <v>-1</v>
      </c>
    </row>
    <row r="533" spans="1:70" x14ac:dyDescent="0.25">
      <c r="A533" t="s">
        <v>332</v>
      </c>
      <c r="B533">
        <v>8</v>
      </c>
      <c r="C533">
        <v>3</v>
      </c>
      <c r="D533">
        <v>2</v>
      </c>
      <c r="E533">
        <v>4</v>
      </c>
      <c r="F533">
        <v>8</v>
      </c>
      <c r="G533">
        <v>6</v>
      </c>
      <c r="H533">
        <v>4</v>
      </c>
      <c r="I533">
        <v>6</v>
      </c>
      <c r="J533">
        <v>2</v>
      </c>
      <c r="L533">
        <v>3</v>
      </c>
      <c r="M533">
        <v>5</v>
      </c>
      <c r="N533">
        <v>4</v>
      </c>
      <c r="O533">
        <v>2</v>
      </c>
      <c r="P533">
        <v>2</v>
      </c>
      <c r="Q533">
        <v>1</v>
      </c>
      <c r="R533">
        <v>2</v>
      </c>
      <c r="S533">
        <v>1</v>
      </c>
      <c r="T533">
        <v>3</v>
      </c>
      <c r="U533">
        <v>2</v>
      </c>
      <c r="V533">
        <v>2</v>
      </c>
      <c r="W533" s="8">
        <f t="shared" si="384"/>
        <v>-0.625</v>
      </c>
      <c r="X533" s="8">
        <f t="shared" si="385"/>
        <v>-0.33333333333333331</v>
      </c>
      <c r="Y533" s="8">
        <f t="shared" si="386"/>
        <v>1</v>
      </c>
      <c r="Z533" s="8">
        <f t="shared" si="387"/>
        <v>1</v>
      </c>
      <c r="AA533" s="8">
        <f t="shared" si="388"/>
        <v>-0.25</v>
      </c>
      <c r="AB533" s="8">
        <f t="shared" si="389"/>
        <v>-0.33333333333333331</v>
      </c>
      <c r="AC533" s="12">
        <f t="shared" si="390"/>
        <v>7.6388888888888909E-2</v>
      </c>
      <c r="AD533" s="12">
        <f t="shared" si="391"/>
        <v>-0.29166666666666663</v>
      </c>
      <c r="AE533" s="1">
        <f t="shared" si="392"/>
        <v>-5</v>
      </c>
      <c r="AF533" s="1">
        <f t="shared" si="393"/>
        <v>-1</v>
      </c>
      <c r="AG533" s="1">
        <f t="shared" si="394"/>
        <v>2</v>
      </c>
      <c r="AH533" s="1">
        <f t="shared" si="395"/>
        <v>4</v>
      </c>
      <c r="AI533" s="1">
        <f t="shared" si="396"/>
        <v>-2</v>
      </c>
      <c r="AJ533" s="1">
        <f t="shared" si="397"/>
        <v>-2</v>
      </c>
      <c r="AK533" s="17">
        <f t="shared" si="398"/>
        <v>-0.66666666666666663</v>
      </c>
      <c r="AL533" s="17">
        <f t="shared" si="399"/>
        <v>-1.5</v>
      </c>
      <c r="AM533" s="1">
        <f t="shared" si="400"/>
        <v>-0.66666666666666663</v>
      </c>
      <c r="AN533" s="1">
        <f t="shared" si="401"/>
        <v>-1</v>
      </c>
      <c r="AO533" s="1" t="e">
        <f t="shared" si="402"/>
        <v>#DIV/0!</v>
      </c>
      <c r="AP533" s="1">
        <f t="shared" si="403"/>
        <v>0.66666666666666663</v>
      </c>
      <c r="AQ533" s="1">
        <f t="shared" si="404"/>
        <v>-0.2</v>
      </c>
      <c r="AR533" s="1">
        <f t="shared" si="405"/>
        <v>-0.5</v>
      </c>
      <c r="AS533" s="12" t="e">
        <f t="shared" si="406"/>
        <v>#DIV/0!</v>
      </c>
      <c r="AT533" s="12" t="e">
        <f t="shared" si="407"/>
        <v>#DIV/0!</v>
      </c>
      <c r="AU533" s="1">
        <f t="shared" si="408"/>
        <v>-4</v>
      </c>
      <c r="AV533" s="1">
        <f t="shared" si="409"/>
        <v>-2</v>
      </c>
      <c r="AW533" s="1">
        <f t="shared" si="410"/>
        <v>3</v>
      </c>
      <c r="AX533" s="1">
        <f t="shared" si="411"/>
        <v>2</v>
      </c>
      <c r="AY533" s="1">
        <f t="shared" si="412"/>
        <v>-1</v>
      </c>
      <c r="AZ533" s="1">
        <f t="shared" si="413"/>
        <v>-2</v>
      </c>
      <c r="BA533" s="19">
        <f t="shared" si="414"/>
        <v>-0.66666666666666663</v>
      </c>
      <c r="BB533" s="19">
        <f t="shared" si="415"/>
        <v>-1.5</v>
      </c>
      <c r="BC533" s="9">
        <f t="shared" si="416"/>
        <v>-0.5</v>
      </c>
      <c r="BD533" s="9">
        <f t="shared" si="417"/>
        <v>1</v>
      </c>
      <c r="BE533" s="9">
        <f t="shared" si="418"/>
        <v>-0.5</v>
      </c>
      <c r="BF533" s="9">
        <f t="shared" si="419"/>
        <v>2</v>
      </c>
      <c r="BG533" s="9">
        <f t="shared" si="420"/>
        <v>-0.33333333333333331</v>
      </c>
      <c r="BH533" s="9">
        <f t="shared" si="421"/>
        <v>0</v>
      </c>
      <c r="BI533" s="12">
        <f t="shared" si="422"/>
        <v>0.27777777777777779</v>
      </c>
      <c r="BJ533" s="13">
        <f t="shared" si="423"/>
        <v>-0.16666666666666666</v>
      </c>
      <c r="BK533" s="1">
        <f t="shared" si="424"/>
        <v>-1</v>
      </c>
      <c r="BL533" s="1">
        <f t="shared" si="425"/>
        <v>1</v>
      </c>
      <c r="BM533" s="1">
        <f t="shared" si="426"/>
        <v>-1</v>
      </c>
      <c r="BN533" s="1">
        <f t="shared" si="427"/>
        <v>2</v>
      </c>
      <c r="BO533" s="1">
        <f t="shared" si="428"/>
        <v>-1</v>
      </c>
      <c r="BP533" s="1">
        <f t="shared" si="429"/>
        <v>0</v>
      </c>
      <c r="BQ533" s="19">
        <f t="shared" si="430"/>
        <v>0</v>
      </c>
      <c r="BR533" s="17">
        <f t="shared" si="431"/>
        <v>-0.5</v>
      </c>
    </row>
    <row r="534" spans="1:70" x14ac:dyDescent="0.25">
      <c r="A534" t="s">
        <v>346</v>
      </c>
      <c r="B534">
        <v>7</v>
      </c>
      <c r="C534">
        <v>2</v>
      </c>
      <c r="D534">
        <v>7</v>
      </c>
      <c r="E534">
        <v>2</v>
      </c>
      <c r="F534">
        <v>7</v>
      </c>
      <c r="G534">
        <v>11</v>
      </c>
      <c r="H534">
        <v>3</v>
      </c>
      <c r="I534">
        <v>3</v>
      </c>
      <c r="J534">
        <v>1</v>
      </c>
      <c r="K534">
        <v>3</v>
      </c>
      <c r="L534">
        <v>1</v>
      </c>
      <c r="N534">
        <v>6</v>
      </c>
      <c r="O534">
        <v>1</v>
      </c>
      <c r="P534">
        <v>4</v>
      </c>
      <c r="Q534">
        <v>1</v>
      </c>
      <c r="R534">
        <v>4</v>
      </c>
      <c r="S534">
        <v>1</v>
      </c>
      <c r="T534">
        <v>7</v>
      </c>
      <c r="U534">
        <v>5</v>
      </c>
      <c r="V534">
        <v>2</v>
      </c>
      <c r="W534" s="8">
        <f t="shared" si="384"/>
        <v>-0.7142857142857143</v>
      </c>
      <c r="X534" s="8">
        <f t="shared" si="385"/>
        <v>2.5</v>
      </c>
      <c r="Y534" s="8">
        <f t="shared" si="386"/>
        <v>-0.7142857142857143</v>
      </c>
      <c r="Z534" s="8">
        <f t="shared" si="387"/>
        <v>2.5</v>
      </c>
      <c r="AA534" s="8">
        <f t="shared" si="388"/>
        <v>0.5714285714285714</v>
      </c>
      <c r="AB534" s="8">
        <f t="shared" si="389"/>
        <v>-0.72727272727272729</v>
      </c>
      <c r="AC534" s="12">
        <f t="shared" si="390"/>
        <v>0.56926406926406914</v>
      </c>
      <c r="AD534" s="12">
        <f t="shared" si="391"/>
        <v>-7.1428571428571508E-2</v>
      </c>
      <c r="AE534" s="1">
        <f t="shared" si="392"/>
        <v>-5</v>
      </c>
      <c r="AF534" s="1">
        <f t="shared" si="393"/>
        <v>5</v>
      </c>
      <c r="AG534" s="1">
        <f t="shared" si="394"/>
        <v>-5</v>
      </c>
      <c r="AH534" s="1">
        <f t="shared" si="395"/>
        <v>5</v>
      </c>
      <c r="AI534" s="1">
        <f t="shared" si="396"/>
        <v>4</v>
      </c>
      <c r="AJ534" s="1">
        <f t="shared" si="397"/>
        <v>-8</v>
      </c>
      <c r="AK534" s="17">
        <f t="shared" si="398"/>
        <v>-0.66666666666666663</v>
      </c>
      <c r="AL534" s="17">
        <f t="shared" si="399"/>
        <v>-0.5</v>
      </c>
      <c r="AM534" s="1">
        <f t="shared" si="400"/>
        <v>-0.66666666666666663</v>
      </c>
      <c r="AN534" s="1">
        <f t="shared" si="401"/>
        <v>2</v>
      </c>
      <c r="AO534" s="1">
        <f t="shared" si="402"/>
        <v>-0.66666666666666663</v>
      </c>
      <c r="AP534" s="1">
        <f t="shared" si="403"/>
        <v>-1</v>
      </c>
      <c r="AQ534" s="1" t="e">
        <f t="shared" si="404"/>
        <v>#DIV/0!</v>
      </c>
      <c r="AR534" s="1">
        <f t="shared" si="405"/>
        <v>-0.83333333333333337</v>
      </c>
      <c r="AS534" s="12" t="e">
        <f t="shared" si="406"/>
        <v>#DIV/0!</v>
      </c>
      <c r="AT534" s="12" t="e">
        <f t="shared" si="407"/>
        <v>#DIV/0!</v>
      </c>
      <c r="AU534" s="1">
        <f t="shared" si="408"/>
        <v>-2</v>
      </c>
      <c r="AV534" s="1">
        <f t="shared" si="409"/>
        <v>2</v>
      </c>
      <c r="AW534" s="1">
        <f t="shared" si="410"/>
        <v>-2</v>
      </c>
      <c r="AX534" s="1">
        <f t="shared" si="411"/>
        <v>-1</v>
      </c>
      <c r="AY534" s="1">
        <f t="shared" si="412"/>
        <v>6</v>
      </c>
      <c r="AZ534" s="1">
        <f t="shared" si="413"/>
        <v>-5</v>
      </c>
      <c r="BA534" s="19">
        <f t="shared" si="414"/>
        <v>-0.33333333333333331</v>
      </c>
      <c r="BB534" s="19">
        <f t="shared" si="415"/>
        <v>-1.5</v>
      </c>
      <c r="BC534" s="9">
        <f t="shared" si="416"/>
        <v>-0.75</v>
      </c>
      <c r="BD534" s="9">
        <f t="shared" si="417"/>
        <v>3</v>
      </c>
      <c r="BE534" s="9">
        <f t="shared" si="418"/>
        <v>-0.75</v>
      </c>
      <c r="BF534" s="9">
        <f t="shared" si="419"/>
        <v>6</v>
      </c>
      <c r="BG534" s="9">
        <f t="shared" si="420"/>
        <v>-0.2857142857142857</v>
      </c>
      <c r="BH534" s="9">
        <f t="shared" si="421"/>
        <v>-0.6</v>
      </c>
      <c r="BI534" s="12">
        <f t="shared" si="422"/>
        <v>1.1023809523809525</v>
      </c>
      <c r="BJ534" s="13">
        <f t="shared" si="423"/>
        <v>-0.44285714285714284</v>
      </c>
      <c r="BK534" s="1">
        <f t="shared" si="424"/>
        <v>-3</v>
      </c>
      <c r="BL534" s="1">
        <f t="shared" si="425"/>
        <v>3</v>
      </c>
      <c r="BM534" s="1">
        <f t="shared" si="426"/>
        <v>-3</v>
      </c>
      <c r="BN534" s="1">
        <f t="shared" si="427"/>
        <v>6</v>
      </c>
      <c r="BO534" s="1">
        <f t="shared" si="428"/>
        <v>-2</v>
      </c>
      <c r="BP534" s="1">
        <f t="shared" si="429"/>
        <v>-3</v>
      </c>
      <c r="BQ534" s="19">
        <f t="shared" si="430"/>
        <v>-0.33333333333333331</v>
      </c>
      <c r="BR534" s="17">
        <f t="shared" si="431"/>
        <v>-2.5</v>
      </c>
    </row>
    <row r="535" spans="1:70" x14ac:dyDescent="0.25">
      <c r="A535" t="s">
        <v>348</v>
      </c>
      <c r="B535">
        <v>7</v>
      </c>
      <c r="C535">
        <v>6</v>
      </c>
      <c r="D535">
        <v>2</v>
      </c>
      <c r="E535">
        <v>8</v>
      </c>
      <c r="F535">
        <v>2</v>
      </c>
      <c r="G535">
        <v>12</v>
      </c>
      <c r="H535">
        <v>3</v>
      </c>
      <c r="I535">
        <v>2</v>
      </c>
      <c r="J535">
        <v>2</v>
      </c>
      <c r="K535">
        <v>2</v>
      </c>
      <c r="L535">
        <v>4</v>
      </c>
      <c r="N535">
        <v>6</v>
      </c>
      <c r="O535">
        <v>1</v>
      </c>
      <c r="P535">
        <v>5</v>
      </c>
      <c r="Q535">
        <v>4</v>
      </c>
      <c r="S535">
        <v>4</v>
      </c>
      <c r="T535">
        <v>2</v>
      </c>
      <c r="U535">
        <v>6</v>
      </c>
      <c r="V535">
        <v>2</v>
      </c>
      <c r="W535" s="8">
        <f t="shared" si="384"/>
        <v>-0.14285714285714285</v>
      </c>
      <c r="X535" s="8">
        <f t="shared" si="385"/>
        <v>-0.66666666666666663</v>
      </c>
      <c r="Y535" s="8">
        <f t="shared" si="386"/>
        <v>3</v>
      </c>
      <c r="Z535" s="8">
        <f t="shared" si="387"/>
        <v>-0.75</v>
      </c>
      <c r="AA535" s="8">
        <f t="shared" si="388"/>
        <v>5</v>
      </c>
      <c r="AB535" s="8">
        <f t="shared" si="389"/>
        <v>-0.75</v>
      </c>
      <c r="AC535" s="12">
        <f t="shared" si="390"/>
        <v>0.94841269841269848</v>
      </c>
      <c r="AD535" s="12">
        <f t="shared" si="391"/>
        <v>-0.40476190476190477</v>
      </c>
      <c r="AE535" s="1">
        <f t="shared" si="392"/>
        <v>-1</v>
      </c>
      <c r="AF535" s="1">
        <f t="shared" si="393"/>
        <v>-4</v>
      </c>
      <c r="AG535" s="1">
        <f t="shared" si="394"/>
        <v>6</v>
      </c>
      <c r="AH535" s="1">
        <f t="shared" si="395"/>
        <v>-6</v>
      </c>
      <c r="AI535" s="1">
        <f t="shared" si="396"/>
        <v>10</v>
      </c>
      <c r="AJ535" s="1">
        <f t="shared" si="397"/>
        <v>-9</v>
      </c>
      <c r="AK535" s="17">
        <f t="shared" si="398"/>
        <v>-0.66666666666666663</v>
      </c>
      <c r="AL535" s="17">
        <f t="shared" si="399"/>
        <v>-2.5</v>
      </c>
      <c r="AM535" s="1">
        <f t="shared" si="400"/>
        <v>0</v>
      </c>
      <c r="AN535" s="1">
        <f t="shared" si="401"/>
        <v>0</v>
      </c>
      <c r="AO535" s="1">
        <f t="shared" si="402"/>
        <v>1</v>
      </c>
      <c r="AP535" s="1">
        <f t="shared" si="403"/>
        <v>-1</v>
      </c>
      <c r="AQ535" s="1" t="e">
        <f t="shared" si="404"/>
        <v>#DIV/0!</v>
      </c>
      <c r="AR535" s="1">
        <f t="shared" si="405"/>
        <v>-0.83333333333333337</v>
      </c>
      <c r="AS535" s="12" t="e">
        <f t="shared" si="406"/>
        <v>#DIV/0!</v>
      </c>
      <c r="AT535" s="12" t="e">
        <f t="shared" si="407"/>
        <v>#DIV/0!</v>
      </c>
      <c r="AU535" s="1">
        <f t="shared" si="408"/>
        <v>0</v>
      </c>
      <c r="AV535" s="1">
        <f t="shared" si="409"/>
        <v>0</v>
      </c>
      <c r="AW535" s="1">
        <f t="shared" si="410"/>
        <v>2</v>
      </c>
      <c r="AX535" s="1">
        <f t="shared" si="411"/>
        <v>-4</v>
      </c>
      <c r="AY535" s="1">
        <f t="shared" si="412"/>
        <v>6</v>
      </c>
      <c r="AZ535" s="1">
        <f t="shared" si="413"/>
        <v>-5</v>
      </c>
      <c r="BA535" s="19">
        <f t="shared" si="414"/>
        <v>-0.16666666666666666</v>
      </c>
      <c r="BB535" s="19">
        <f t="shared" si="415"/>
        <v>0</v>
      </c>
      <c r="BC535" s="9">
        <f t="shared" si="416"/>
        <v>-0.2</v>
      </c>
      <c r="BD535" s="9">
        <f t="shared" si="417"/>
        <v>-1</v>
      </c>
      <c r="BE535" s="9" t="e">
        <f t="shared" si="418"/>
        <v>#DIV/0!</v>
      </c>
      <c r="BF535" s="9">
        <f t="shared" si="419"/>
        <v>-0.5</v>
      </c>
      <c r="BG535" s="9">
        <f t="shared" si="420"/>
        <v>2</v>
      </c>
      <c r="BH535" s="9">
        <f t="shared" si="421"/>
        <v>-0.66666666666666663</v>
      </c>
      <c r="BI535" s="12" t="e">
        <f t="shared" si="422"/>
        <v>#DIV/0!</v>
      </c>
      <c r="BJ535" s="13" t="e">
        <f t="shared" si="423"/>
        <v>#DIV/0!</v>
      </c>
      <c r="BK535" s="1">
        <f t="shared" si="424"/>
        <v>-1</v>
      </c>
      <c r="BL535" s="1">
        <f t="shared" si="425"/>
        <v>-4</v>
      </c>
      <c r="BM535" s="1">
        <f t="shared" si="426"/>
        <v>4</v>
      </c>
      <c r="BN535" s="1">
        <f t="shared" si="427"/>
        <v>-2</v>
      </c>
      <c r="BO535" s="1">
        <f t="shared" si="428"/>
        <v>4</v>
      </c>
      <c r="BP535" s="1">
        <f t="shared" si="429"/>
        <v>-4</v>
      </c>
      <c r="BQ535" s="19">
        <f t="shared" si="430"/>
        <v>-0.5</v>
      </c>
      <c r="BR535" s="17">
        <f t="shared" si="431"/>
        <v>-1.5</v>
      </c>
    </row>
    <row r="536" spans="1:70" x14ac:dyDescent="0.25">
      <c r="A536" t="s">
        <v>385</v>
      </c>
      <c r="B536">
        <v>5</v>
      </c>
      <c r="C536">
        <v>2</v>
      </c>
      <c r="D536">
        <v>7</v>
      </c>
      <c r="E536">
        <v>3</v>
      </c>
      <c r="F536">
        <v>1</v>
      </c>
      <c r="G536">
        <v>4</v>
      </c>
      <c r="H536">
        <v>1</v>
      </c>
      <c r="I536">
        <v>4</v>
      </c>
      <c r="J536">
        <v>2</v>
      </c>
      <c r="K536">
        <v>5</v>
      </c>
      <c r="M536">
        <v>1</v>
      </c>
      <c r="N536">
        <v>4</v>
      </c>
      <c r="O536">
        <v>1</v>
      </c>
      <c r="P536">
        <v>1</v>
      </c>
      <c r="R536">
        <v>2</v>
      </c>
      <c r="S536">
        <v>3</v>
      </c>
      <c r="W536" s="8">
        <f t="shared" si="384"/>
        <v>-0.6</v>
      </c>
      <c r="X536" s="8">
        <f t="shared" si="385"/>
        <v>2.5</v>
      </c>
      <c r="Y536" s="8">
        <f t="shared" si="386"/>
        <v>-0.5714285714285714</v>
      </c>
      <c r="Z536" s="8">
        <f t="shared" si="387"/>
        <v>-0.66666666666666663</v>
      </c>
      <c r="AA536" s="8">
        <f t="shared" si="388"/>
        <v>3</v>
      </c>
      <c r="AB536" s="8">
        <f t="shared" si="389"/>
        <v>-0.75</v>
      </c>
      <c r="AC536" s="12">
        <f t="shared" si="390"/>
        <v>0.48531746031746031</v>
      </c>
      <c r="AD536" s="12">
        <f t="shared" si="391"/>
        <v>-0.58571428571428563</v>
      </c>
      <c r="AE536" s="1">
        <f t="shared" si="392"/>
        <v>-3</v>
      </c>
      <c r="AF536" s="1">
        <f t="shared" si="393"/>
        <v>5</v>
      </c>
      <c r="AG536" s="1">
        <f t="shared" si="394"/>
        <v>-4</v>
      </c>
      <c r="AH536" s="1">
        <f t="shared" si="395"/>
        <v>-2</v>
      </c>
      <c r="AI536" s="1">
        <f t="shared" si="396"/>
        <v>3</v>
      </c>
      <c r="AJ536" s="1">
        <f t="shared" si="397"/>
        <v>-3</v>
      </c>
      <c r="AK536" s="17">
        <f t="shared" si="398"/>
        <v>-0.66666666666666663</v>
      </c>
      <c r="AL536" s="17">
        <f t="shared" si="399"/>
        <v>-2.5</v>
      </c>
      <c r="AM536" s="1">
        <f t="shared" si="400"/>
        <v>-0.5</v>
      </c>
      <c r="AN536" s="1">
        <f t="shared" si="401"/>
        <v>1.5</v>
      </c>
      <c r="AO536" s="1">
        <f t="shared" si="402"/>
        <v>-1</v>
      </c>
      <c r="AP536" s="1" t="e">
        <f t="shared" si="403"/>
        <v>#DIV/0!</v>
      </c>
      <c r="AQ536" s="1">
        <f t="shared" si="404"/>
        <v>3</v>
      </c>
      <c r="AR536" s="1">
        <f t="shared" si="405"/>
        <v>-0.75</v>
      </c>
      <c r="AS536" s="12" t="e">
        <f t="shared" si="406"/>
        <v>#DIV/0!</v>
      </c>
      <c r="AT536" s="12" t="e">
        <f t="shared" si="407"/>
        <v>#DIV/0!</v>
      </c>
      <c r="AU536" s="1">
        <f t="shared" si="408"/>
        <v>-2</v>
      </c>
      <c r="AV536" s="1">
        <f t="shared" si="409"/>
        <v>3</v>
      </c>
      <c r="AW536" s="1">
        <f t="shared" si="410"/>
        <v>-5</v>
      </c>
      <c r="AX536" s="1">
        <f t="shared" si="411"/>
        <v>1</v>
      </c>
      <c r="AY536" s="1">
        <f t="shared" si="412"/>
        <v>3</v>
      </c>
      <c r="AZ536" s="1">
        <f t="shared" si="413"/>
        <v>-3</v>
      </c>
      <c r="BA536" s="19">
        <f t="shared" si="414"/>
        <v>-0.5</v>
      </c>
      <c r="BB536" s="19">
        <f t="shared" si="415"/>
        <v>-0.5</v>
      </c>
      <c r="BC536" s="9">
        <f t="shared" si="416"/>
        <v>-1</v>
      </c>
      <c r="BD536" s="9" t="e">
        <f t="shared" si="417"/>
        <v>#DIV/0!</v>
      </c>
      <c r="BE536" s="9">
        <f t="shared" si="418"/>
        <v>0.5</v>
      </c>
      <c r="BF536" s="9">
        <f t="shared" si="419"/>
        <v>-1</v>
      </c>
      <c r="BG536" s="9" t="e">
        <f t="shared" si="420"/>
        <v>#DIV/0!</v>
      </c>
      <c r="BH536" s="9" t="e">
        <f t="shared" si="421"/>
        <v>#DIV/0!</v>
      </c>
      <c r="BI536" s="12" t="e">
        <f t="shared" si="422"/>
        <v>#DIV/0!</v>
      </c>
      <c r="BJ536" s="13" t="e">
        <f t="shared" si="423"/>
        <v>#DIV/0!</v>
      </c>
      <c r="BK536" s="1">
        <f t="shared" si="424"/>
        <v>-1</v>
      </c>
      <c r="BL536" s="1">
        <f t="shared" si="425"/>
        <v>2</v>
      </c>
      <c r="BM536" s="1">
        <f t="shared" si="426"/>
        <v>1</v>
      </c>
      <c r="BN536" s="1">
        <f t="shared" si="427"/>
        <v>-3</v>
      </c>
      <c r="BO536" s="1">
        <f t="shared" si="428"/>
        <v>0</v>
      </c>
      <c r="BP536" s="1">
        <f t="shared" si="429"/>
        <v>0</v>
      </c>
      <c r="BQ536" s="19">
        <f t="shared" si="430"/>
        <v>-0.16666666666666666</v>
      </c>
      <c r="BR536" s="17">
        <f t="shared" si="431"/>
        <v>0</v>
      </c>
    </row>
    <row r="537" spans="1:70" x14ac:dyDescent="0.25">
      <c r="A537" t="s">
        <v>395</v>
      </c>
      <c r="B537">
        <v>4</v>
      </c>
      <c r="C537">
        <v>5</v>
      </c>
      <c r="D537">
        <v>1</v>
      </c>
      <c r="E537">
        <v>2</v>
      </c>
      <c r="F537">
        <v>3</v>
      </c>
      <c r="G537">
        <v>2</v>
      </c>
      <c r="I537">
        <v>1</v>
      </c>
      <c r="J537">
        <v>1</v>
      </c>
      <c r="K537">
        <v>1</v>
      </c>
      <c r="M537">
        <v>1</v>
      </c>
      <c r="P537">
        <v>3</v>
      </c>
      <c r="Q537">
        <v>4</v>
      </c>
      <c r="S537">
        <v>2</v>
      </c>
      <c r="T537">
        <v>2</v>
      </c>
      <c r="U537">
        <v>2</v>
      </c>
      <c r="W537" s="8">
        <f t="shared" si="384"/>
        <v>0.25</v>
      </c>
      <c r="X537" s="8">
        <f t="shared" si="385"/>
        <v>-0.8</v>
      </c>
      <c r="Y537" s="8">
        <f t="shared" si="386"/>
        <v>1</v>
      </c>
      <c r="Z537" s="8">
        <f t="shared" si="387"/>
        <v>0.5</v>
      </c>
      <c r="AA537" s="8">
        <f t="shared" si="388"/>
        <v>-0.33333333333333331</v>
      </c>
      <c r="AB537" s="8">
        <f t="shared" si="389"/>
        <v>-1</v>
      </c>
      <c r="AC537" s="12">
        <f t="shared" si="390"/>
        <v>-6.3888888888888884E-2</v>
      </c>
      <c r="AD537" s="12">
        <f t="shared" si="391"/>
        <v>-4.1666666666666685E-2</v>
      </c>
      <c r="AE537" s="1">
        <f t="shared" si="392"/>
        <v>1</v>
      </c>
      <c r="AF537" s="1">
        <f t="shared" si="393"/>
        <v>-4</v>
      </c>
      <c r="AG537" s="1">
        <f t="shared" si="394"/>
        <v>1</v>
      </c>
      <c r="AH537" s="1">
        <f t="shared" si="395"/>
        <v>1</v>
      </c>
      <c r="AI537" s="1">
        <f t="shared" si="396"/>
        <v>-1</v>
      </c>
      <c r="AJ537" s="1">
        <f t="shared" si="397"/>
        <v>-2</v>
      </c>
      <c r="AK537" s="17">
        <f t="shared" si="398"/>
        <v>-0.66666666666666663</v>
      </c>
      <c r="AL537" s="17">
        <f t="shared" si="399"/>
        <v>0</v>
      </c>
      <c r="AM537" s="1">
        <f t="shared" si="400"/>
        <v>0</v>
      </c>
      <c r="AN537" s="1">
        <f t="shared" si="401"/>
        <v>0</v>
      </c>
      <c r="AO537" s="1">
        <f t="shared" si="402"/>
        <v>-1</v>
      </c>
      <c r="AP537" s="1" t="e">
        <f t="shared" si="403"/>
        <v>#DIV/0!</v>
      </c>
      <c r="AQ537" s="1">
        <f t="shared" si="404"/>
        <v>-1</v>
      </c>
      <c r="AR537" s="1" t="e">
        <f t="shared" si="405"/>
        <v>#DIV/0!</v>
      </c>
      <c r="AS537" s="12" t="e">
        <f t="shared" si="406"/>
        <v>#DIV/0!</v>
      </c>
      <c r="AT537" s="12" t="e">
        <f t="shared" si="407"/>
        <v>#DIV/0!</v>
      </c>
      <c r="AU537" s="1">
        <f t="shared" si="408"/>
        <v>0</v>
      </c>
      <c r="AV537" s="1">
        <f t="shared" si="409"/>
        <v>0</v>
      </c>
      <c r="AW537" s="1">
        <f t="shared" si="410"/>
        <v>-1</v>
      </c>
      <c r="AX537" s="1">
        <f t="shared" si="411"/>
        <v>1</v>
      </c>
      <c r="AY537" s="1">
        <f t="shared" si="412"/>
        <v>-1</v>
      </c>
      <c r="AZ537" s="1">
        <f t="shared" si="413"/>
        <v>0</v>
      </c>
      <c r="BA537" s="19">
        <f t="shared" si="414"/>
        <v>-0.16666666666666666</v>
      </c>
      <c r="BB537" s="19">
        <f t="shared" si="415"/>
        <v>0</v>
      </c>
      <c r="BC537" s="9">
        <f t="shared" si="416"/>
        <v>0.33333333333333331</v>
      </c>
      <c r="BD537" s="9">
        <f t="shared" si="417"/>
        <v>-1</v>
      </c>
      <c r="BE537" s="9" t="e">
        <f t="shared" si="418"/>
        <v>#DIV/0!</v>
      </c>
      <c r="BF537" s="9">
        <f t="shared" si="419"/>
        <v>0</v>
      </c>
      <c r="BG537" s="9">
        <f t="shared" si="420"/>
        <v>0</v>
      </c>
      <c r="BH537" s="9">
        <f t="shared" si="421"/>
        <v>-1</v>
      </c>
      <c r="BI537" s="12" t="e">
        <f t="shared" si="422"/>
        <v>#DIV/0!</v>
      </c>
      <c r="BJ537" s="13" t="e">
        <f t="shared" si="423"/>
        <v>#DIV/0!</v>
      </c>
      <c r="BK537" s="1">
        <f t="shared" si="424"/>
        <v>1</v>
      </c>
      <c r="BL537" s="1">
        <f t="shared" si="425"/>
        <v>-4</v>
      </c>
      <c r="BM537" s="1">
        <f t="shared" si="426"/>
        <v>2</v>
      </c>
      <c r="BN537" s="1">
        <f t="shared" si="427"/>
        <v>0</v>
      </c>
      <c r="BO537" s="1">
        <f t="shared" si="428"/>
        <v>0</v>
      </c>
      <c r="BP537" s="1">
        <f t="shared" si="429"/>
        <v>-2</v>
      </c>
      <c r="BQ537" s="19">
        <f t="shared" si="430"/>
        <v>-0.5</v>
      </c>
      <c r="BR537" s="17">
        <f t="shared" si="431"/>
        <v>0</v>
      </c>
    </row>
    <row r="538" spans="1:70" x14ac:dyDescent="0.25">
      <c r="A538" t="s">
        <v>399</v>
      </c>
      <c r="B538">
        <v>4</v>
      </c>
      <c r="C538">
        <v>2</v>
      </c>
      <c r="E538">
        <v>3</v>
      </c>
      <c r="G538">
        <v>3</v>
      </c>
      <c r="I538">
        <v>4</v>
      </c>
      <c r="J538">
        <v>1</v>
      </c>
      <c r="L538">
        <v>1</v>
      </c>
      <c r="N538">
        <v>1</v>
      </c>
      <c r="Q538">
        <v>1</v>
      </c>
      <c r="S538">
        <v>2</v>
      </c>
      <c r="U538">
        <v>2</v>
      </c>
      <c r="W538" s="8">
        <f t="shared" si="384"/>
        <v>-0.5</v>
      </c>
      <c r="X538" s="8">
        <f t="shared" si="385"/>
        <v>-1</v>
      </c>
      <c r="Y538" s="8" t="e">
        <f t="shared" si="386"/>
        <v>#DIV/0!</v>
      </c>
      <c r="Z538" s="8">
        <f t="shared" si="387"/>
        <v>-1</v>
      </c>
      <c r="AA538" s="8" t="e">
        <f t="shared" si="388"/>
        <v>#DIV/0!</v>
      </c>
      <c r="AB538" s="8">
        <f t="shared" si="389"/>
        <v>-1</v>
      </c>
      <c r="AC538" s="12" t="e">
        <f t="shared" si="390"/>
        <v>#DIV/0!</v>
      </c>
      <c r="AD538" s="12" t="e">
        <f t="shared" si="391"/>
        <v>#DIV/0!</v>
      </c>
      <c r="AE538" s="1">
        <f t="shared" si="392"/>
        <v>-2</v>
      </c>
      <c r="AF538" s="1">
        <f t="shared" si="393"/>
        <v>-2</v>
      </c>
      <c r="AG538" s="1">
        <f t="shared" si="394"/>
        <v>3</v>
      </c>
      <c r="AH538" s="1">
        <f t="shared" si="395"/>
        <v>-3</v>
      </c>
      <c r="AI538" s="1">
        <f t="shared" si="396"/>
        <v>3</v>
      </c>
      <c r="AJ538" s="1">
        <f t="shared" si="397"/>
        <v>-3</v>
      </c>
      <c r="AK538" s="17">
        <f t="shared" si="398"/>
        <v>-0.66666666666666663</v>
      </c>
      <c r="AL538" s="17">
        <f t="shared" si="399"/>
        <v>-2</v>
      </c>
      <c r="AM538" s="1">
        <f t="shared" si="400"/>
        <v>-0.75</v>
      </c>
      <c r="AN538" s="1">
        <f t="shared" si="401"/>
        <v>-1</v>
      </c>
      <c r="AO538" s="1" t="e">
        <f t="shared" si="402"/>
        <v>#DIV/0!</v>
      </c>
      <c r="AP538" s="1">
        <f t="shared" si="403"/>
        <v>-1</v>
      </c>
      <c r="AQ538" s="1" t="e">
        <f t="shared" si="404"/>
        <v>#DIV/0!</v>
      </c>
      <c r="AR538" s="1">
        <f t="shared" si="405"/>
        <v>-1</v>
      </c>
      <c r="AS538" s="12" t="e">
        <f t="shared" si="406"/>
        <v>#DIV/0!</v>
      </c>
      <c r="AT538" s="12" t="e">
        <f t="shared" si="407"/>
        <v>#DIV/0!</v>
      </c>
      <c r="AU538" s="1">
        <f t="shared" si="408"/>
        <v>-3</v>
      </c>
      <c r="AV538" s="1">
        <f t="shared" si="409"/>
        <v>-1</v>
      </c>
      <c r="AW538" s="1">
        <f t="shared" si="410"/>
        <v>1</v>
      </c>
      <c r="AX538" s="1">
        <f t="shared" si="411"/>
        <v>-1</v>
      </c>
      <c r="AY538" s="1">
        <f t="shared" si="412"/>
        <v>1</v>
      </c>
      <c r="AZ538" s="1">
        <f t="shared" si="413"/>
        <v>-1</v>
      </c>
      <c r="BA538" s="19">
        <f t="shared" si="414"/>
        <v>-0.66666666666666663</v>
      </c>
      <c r="BB538" s="19">
        <f t="shared" si="415"/>
        <v>-1</v>
      </c>
      <c r="BC538" s="9" t="e">
        <f t="shared" si="416"/>
        <v>#DIV/0!</v>
      </c>
      <c r="BD538" s="9">
        <f t="shared" si="417"/>
        <v>-1</v>
      </c>
      <c r="BE538" s="9" t="e">
        <f t="shared" si="418"/>
        <v>#DIV/0!</v>
      </c>
      <c r="BF538" s="9">
        <f t="shared" si="419"/>
        <v>-1</v>
      </c>
      <c r="BG538" s="9" t="e">
        <f t="shared" si="420"/>
        <v>#DIV/0!</v>
      </c>
      <c r="BH538" s="9">
        <f t="shared" si="421"/>
        <v>-1</v>
      </c>
      <c r="BI538" s="12" t="e">
        <f t="shared" si="422"/>
        <v>#DIV/0!</v>
      </c>
      <c r="BJ538" s="13" t="e">
        <f t="shared" si="423"/>
        <v>#DIV/0!</v>
      </c>
      <c r="BK538" s="1">
        <f t="shared" si="424"/>
        <v>1</v>
      </c>
      <c r="BL538" s="1">
        <f t="shared" si="425"/>
        <v>-1</v>
      </c>
      <c r="BM538" s="1">
        <f t="shared" si="426"/>
        <v>2</v>
      </c>
      <c r="BN538" s="1">
        <f t="shared" si="427"/>
        <v>-2</v>
      </c>
      <c r="BO538" s="1">
        <f t="shared" si="428"/>
        <v>2</v>
      </c>
      <c r="BP538" s="1">
        <f t="shared" si="429"/>
        <v>-2</v>
      </c>
      <c r="BQ538" s="19">
        <f t="shared" si="430"/>
        <v>0</v>
      </c>
      <c r="BR538" s="17">
        <f t="shared" si="431"/>
        <v>0</v>
      </c>
    </row>
    <row r="539" spans="1:70" x14ac:dyDescent="0.25">
      <c r="A539" t="s">
        <v>173</v>
      </c>
      <c r="B539">
        <v>60</v>
      </c>
      <c r="C539">
        <v>51</v>
      </c>
      <c r="D539">
        <v>41</v>
      </c>
      <c r="E539">
        <v>99</v>
      </c>
      <c r="F539">
        <v>85</v>
      </c>
      <c r="G539">
        <v>49</v>
      </c>
      <c r="H539">
        <v>55</v>
      </c>
      <c r="I539">
        <v>30</v>
      </c>
      <c r="J539">
        <v>21</v>
      </c>
      <c r="K539">
        <v>16</v>
      </c>
      <c r="L539">
        <v>55</v>
      </c>
      <c r="M539">
        <v>45</v>
      </c>
      <c r="N539">
        <v>27</v>
      </c>
      <c r="O539">
        <v>32</v>
      </c>
      <c r="P539">
        <v>30</v>
      </c>
      <c r="Q539">
        <v>30</v>
      </c>
      <c r="R539">
        <v>25</v>
      </c>
      <c r="S539">
        <v>44</v>
      </c>
      <c r="T539">
        <v>40</v>
      </c>
      <c r="U539">
        <v>22</v>
      </c>
      <c r="V539">
        <v>23</v>
      </c>
      <c r="W539" s="8">
        <f t="shared" si="384"/>
        <v>-0.15</v>
      </c>
      <c r="X539" s="8">
        <f t="shared" si="385"/>
        <v>-0.19607843137254902</v>
      </c>
      <c r="Y539" s="8">
        <f t="shared" si="386"/>
        <v>1.4146341463414633</v>
      </c>
      <c r="Z539" s="8">
        <f t="shared" si="387"/>
        <v>-0.14141414141414141</v>
      </c>
      <c r="AA539" s="8">
        <f t="shared" si="388"/>
        <v>-0.42352941176470588</v>
      </c>
      <c r="AB539" s="8">
        <f t="shared" si="389"/>
        <v>0.12244897959183673</v>
      </c>
      <c r="AC539" s="12">
        <f t="shared" si="390"/>
        <v>0.10434352356365061</v>
      </c>
      <c r="AD539" s="12">
        <f t="shared" si="391"/>
        <v>-0.1457070707070707</v>
      </c>
      <c r="AE539" s="1">
        <f t="shared" si="392"/>
        <v>-9</v>
      </c>
      <c r="AF539" s="1">
        <f t="shared" si="393"/>
        <v>-10</v>
      </c>
      <c r="AG539" s="1">
        <f t="shared" si="394"/>
        <v>58</v>
      </c>
      <c r="AH539" s="1">
        <f t="shared" si="395"/>
        <v>-14</v>
      </c>
      <c r="AI539" s="1">
        <f t="shared" si="396"/>
        <v>-36</v>
      </c>
      <c r="AJ539" s="1">
        <f t="shared" si="397"/>
        <v>6</v>
      </c>
      <c r="AK539" s="17">
        <f t="shared" si="398"/>
        <v>-0.83333333333333337</v>
      </c>
      <c r="AL539" s="17">
        <f t="shared" si="399"/>
        <v>-9.5</v>
      </c>
      <c r="AM539" s="1">
        <f t="shared" si="400"/>
        <v>-0.3</v>
      </c>
      <c r="AN539" s="1">
        <f t="shared" si="401"/>
        <v>-0.23809523809523808</v>
      </c>
      <c r="AO539" s="1">
        <f t="shared" si="402"/>
        <v>2.4375</v>
      </c>
      <c r="AP539" s="1">
        <f t="shared" si="403"/>
        <v>-0.18181818181818182</v>
      </c>
      <c r="AQ539" s="1">
        <f t="shared" si="404"/>
        <v>-0.4</v>
      </c>
      <c r="AR539" s="1">
        <f t="shared" si="405"/>
        <v>0.18518518518518517</v>
      </c>
      <c r="AS539" s="12">
        <f t="shared" si="406"/>
        <v>0.25046196087862754</v>
      </c>
      <c r="AT539" s="12">
        <f t="shared" si="407"/>
        <v>-0.20995670995670995</v>
      </c>
      <c r="AU539" s="1">
        <f t="shared" si="408"/>
        <v>-9</v>
      </c>
      <c r="AV539" s="1">
        <f t="shared" si="409"/>
        <v>-5</v>
      </c>
      <c r="AW539" s="1">
        <f t="shared" si="410"/>
        <v>39</v>
      </c>
      <c r="AX539" s="1">
        <f t="shared" si="411"/>
        <v>-10</v>
      </c>
      <c r="AY539" s="1">
        <f t="shared" si="412"/>
        <v>-18</v>
      </c>
      <c r="AZ539" s="1">
        <f t="shared" si="413"/>
        <v>5</v>
      </c>
      <c r="BA539" s="19">
        <f t="shared" si="414"/>
        <v>0.33333333333333331</v>
      </c>
      <c r="BB539" s="19">
        <f t="shared" si="415"/>
        <v>-7</v>
      </c>
      <c r="BC539" s="9">
        <f t="shared" si="416"/>
        <v>0</v>
      </c>
      <c r="BD539" s="9">
        <f t="shared" si="417"/>
        <v>-0.16666666666666666</v>
      </c>
      <c r="BE539" s="9">
        <f t="shared" si="418"/>
        <v>0.76</v>
      </c>
      <c r="BF539" s="9">
        <f t="shared" si="419"/>
        <v>-9.0909090909090912E-2</v>
      </c>
      <c r="BG539" s="9">
        <f t="shared" si="420"/>
        <v>-0.45</v>
      </c>
      <c r="BH539" s="9">
        <f t="shared" si="421"/>
        <v>4.5454545454545456E-2</v>
      </c>
      <c r="BI539" s="12">
        <f t="shared" si="422"/>
        <v>1.6313131313131314E-2</v>
      </c>
      <c r="BJ539" s="13">
        <f t="shared" si="423"/>
        <v>-4.5454545454545456E-2</v>
      </c>
      <c r="BK539" s="1">
        <f t="shared" si="424"/>
        <v>0</v>
      </c>
      <c r="BL539" s="1">
        <f t="shared" si="425"/>
        <v>-5</v>
      </c>
      <c r="BM539" s="1">
        <f t="shared" si="426"/>
        <v>19</v>
      </c>
      <c r="BN539" s="1">
        <f t="shared" si="427"/>
        <v>-4</v>
      </c>
      <c r="BO539" s="1">
        <f t="shared" si="428"/>
        <v>-18</v>
      </c>
      <c r="BP539" s="1">
        <f t="shared" si="429"/>
        <v>1</v>
      </c>
      <c r="BQ539" s="19">
        <f t="shared" si="430"/>
        <v>-1.1666666666666667</v>
      </c>
      <c r="BR539" s="17">
        <f t="shared" si="431"/>
        <v>-2</v>
      </c>
    </row>
    <row r="540" spans="1:70" x14ac:dyDescent="0.25">
      <c r="A540" t="s">
        <v>225</v>
      </c>
      <c r="B540">
        <v>26</v>
      </c>
      <c r="C540">
        <v>25</v>
      </c>
      <c r="D540">
        <v>38</v>
      </c>
      <c r="E540">
        <v>38</v>
      </c>
      <c r="F540">
        <v>29</v>
      </c>
      <c r="G540">
        <v>22</v>
      </c>
      <c r="H540">
        <v>21</v>
      </c>
      <c r="I540">
        <v>17</v>
      </c>
      <c r="J540">
        <v>13</v>
      </c>
      <c r="K540">
        <v>30</v>
      </c>
      <c r="L540">
        <v>24</v>
      </c>
      <c r="M540">
        <v>15</v>
      </c>
      <c r="N540">
        <v>15</v>
      </c>
      <c r="O540">
        <v>13</v>
      </c>
      <c r="P540">
        <v>9</v>
      </c>
      <c r="Q540">
        <v>12</v>
      </c>
      <c r="R540">
        <v>8</v>
      </c>
      <c r="S540">
        <v>14</v>
      </c>
      <c r="T540">
        <v>14</v>
      </c>
      <c r="U540">
        <v>7</v>
      </c>
      <c r="V540">
        <v>8</v>
      </c>
      <c r="W540" s="8">
        <f t="shared" si="384"/>
        <v>-3.8461538461538464E-2</v>
      </c>
      <c r="X540" s="8">
        <f t="shared" si="385"/>
        <v>0.52</v>
      </c>
      <c r="Y540" s="8">
        <f t="shared" si="386"/>
        <v>0</v>
      </c>
      <c r="Z540" s="8">
        <f t="shared" si="387"/>
        <v>-0.23684210526315788</v>
      </c>
      <c r="AA540" s="8">
        <f t="shared" si="388"/>
        <v>-0.2413793103448276</v>
      </c>
      <c r="AB540" s="8">
        <f t="shared" si="389"/>
        <v>-4.5454545454545456E-2</v>
      </c>
      <c r="AC540" s="12">
        <f t="shared" si="390"/>
        <v>-7.022916587344892E-3</v>
      </c>
      <c r="AD540" s="12">
        <f t="shared" si="391"/>
        <v>-4.195804195804196E-2</v>
      </c>
      <c r="AE540" s="1">
        <f t="shared" si="392"/>
        <v>-1</v>
      </c>
      <c r="AF540" s="1">
        <f t="shared" si="393"/>
        <v>13</v>
      </c>
      <c r="AG540" s="1">
        <f t="shared" si="394"/>
        <v>0</v>
      </c>
      <c r="AH540" s="1">
        <f t="shared" si="395"/>
        <v>-9</v>
      </c>
      <c r="AI540" s="1">
        <f t="shared" si="396"/>
        <v>-7</v>
      </c>
      <c r="AJ540" s="1">
        <f t="shared" si="397"/>
        <v>-1</v>
      </c>
      <c r="AK540" s="17">
        <f t="shared" si="398"/>
        <v>-0.83333333333333337</v>
      </c>
      <c r="AL540" s="17">
        <f t="shared" si="399"/>
        <v>-1</v>
      </c>
      <c r="AM540" s="1">
        <f t="shared" si="400"/>
        <v>-0.23529411764705882</v>
      </c>
      <c r="AN540" s="1">
        <f t="shared" si="401"/>
        <v>1.3076923076923077</v>
      </c>
      <c r="AO540" s="1">
        <f t="shared" si="402"/>
        <v>-0.2</v>
      </c>
      <c r="AP540" s="1">
        <f t="shared" si="403"/>
        <v>-0.375</v>
      </c>
      <c r="AQ540" s="1">
        <f t="shared" si="404"/>
        <v>0</v>
      </c>
      <c r="AR540" s="1">
        <f t="shared" si="405"/>
        <v>-0.13333333333333333</v>
      </c>
      <c r="AS540" s="12">
        <f t="shared" si="406"/>
        <v>6.0677476118652596E-2</v>
      </c>
      <c r="AT540" s="12">
        <f t="shared" si="407"/>
        <v>-0.16666666666666669</v>
      </c>
      <c r="AU540" s="1">
        <f t="shared" si="408"/>
        <v>-4</v>
      </c>
      <c r="AV540" s="1">
        <f t="shared" si="409"/>
        <v>17</v>
      </c>
      <c r="AW540" s="1">
        <f t="shared" si="410"/>
        <v>-6</v>
      </c>
      <c r="AX540" s="1">
        <f t="shared" si="411"/>
        <v>-9</v>
      </c>
      <c r="AY540" s="1">
        <f t="shared" si="412"/>
        <v>0</v>
      </c>
      <c r="AZ540" s="1">
        <f t="shared" si="413"/>
        <v>-2</v>
      </c>
      <c r="BA540" s="19">
        <f t="shared" si="414"/>
        <v>-0.66666666666666663</v>
      </c>
      <c r="BB540" s="19">
        <f t="shared" si="415"/>
        <v>-3</v>
      </c>
      <c r="BC540" s="9">
        <f t="shared" si="416"/>
        <v>0.33333333333333331</v>
      </c>
      <c r="BD540" s="9">
        <f t="shared" si="417"/>
        <v>-0.33333333333333331</v>
      </c>
      <c r="BE540" s="9">
        <f t="shared" si="418"/>
        <v>0.75</v>
      </c>
      <c r="BF540" s="9">
        <f t="shared" si="419"/>
        <v>0</v>
      </c>
      <c r="BG540" s="9">
        <f t="shared" si="420"/>
        <v>-0.5</v>
      </c>
      <c r="BH540" s="9">
        <f t="shared" si="421"/>
        <v>0.14285714285714285</v>
      </c>
      <c r="BI540" s="12">
        <f t="shared" si="422"/>
        <v>6.5476190476190479E-2</v>
      </c>
      <c r="BJ540" s="13">
        <f t="shared" si="423"/>
        <v>7.1428571428571425E-2</v>
      </c>
      <c r="BK540" s="1">
        <f t="shared" si="424"/>
        <v>3</v>
      </c>
      <c r="BL540" s="1">
        <f t="shared" si="425"/>
        <v>-4</v>
      </c>
      <c r="BM540" s="1">
        <f t="shared" si="426"/>
        <v>6</v>
      </c>
      <c r="BN540" s="1">
        <f t="shared" si="427"/>
        <v>0</v>
      </c>
      <c r="BO540" s="1">
        <f t="shared" si="428"/>
        <v>-7</v>
      </c>
      <c r="BP540" s="1">
        <f t="shared" si="429"/>
        <v>1</v>
      </c>
      <c r="BQ540" s="19">
        <f t="shared" si="430"/>
        <v>-0.16666666666666666</v>
      </c>
      <c r="BR540" s="17">
        <f t="shared" si="431"/>
        <v>0.5</v>
      </c>
    </row>
    <row r="541" spans="1:70" x14ac:dyDescent="0.25">
      <c r="A541" t="s">
        <v>248</v>
      </c>
      <c r="B541">
        <v>19</v>
      </c>
      <c r="C541">
        <v>20</v>
      </c>
      <c r="D541">
        <v>17</v>
      </c>
      <c r="E541">
        <v>20</v>
      </c>
      <c r="F541">
        <v>14</v>
      </c>
      <c r="G541">
        <v>12</v>
      </c>
      <c r="H541">
        <v>14</v>
      </c>
      <c r="I541">
        <v>8</v>
      </c>
      <c r="J541">
        <v>12</v>
      </c>
      <c r="K541">
        <v>9</v>
      </c>
      <c r="L541">
        <v>11</v>
      </c>
      <c r="M541">
        <v>6</v>
      </c>
      <c r="N541">
        <v>6</v>
      </c>
      <c r="O541">
        <v>9</v>
      </c>
      <c r="P541">
        <v>11</v>
      </c>
      <c r="Q541">
        <v>8</v>
      </c>
      <c r="R541">
        <v>8</v>
      </c>
      <c r="S541">
        <v>9</v>
      </c>
      <c r="T541">
        <v>8</v>
      </c>
      <c r="U541">
        <v>6</v>
      </c>
      <c r="V541">
        <v>5</v>
      </c>
      <c r="W541" s="8">
        <f t="shared" si="384"/>
        <v>5.2631578947368418E-2</v>
      </c>
      <c r="X541" s="8">
        <f t="shared" si="385"/>
        <v>-0.15</v>
      </c>
      <c r="Y541" s="8">
        <f t="shared" si="386"/>
        <v>0.17647058823529413</v>
      </c>
      <c r="Z541" s="8">
        <f t="shared" si="387"/>
        <v>-0.3</v>
      </c>
      <c r="AA541" s="8">
        <f t="shared" si="388"/>
        <v>-0.14285714285714285</v>
      </c>
      <c r="AB541" s="8">
        <f t="shared" si="389"/>
        <v>0.16666666666666666</v>
      </c>
      <c r="AC541" s="12">
        <f t="shared" si="390"/>
        <v>-3.2848051501302274E-2</v>
      </c>
      <c r="AD541" s="12">
        <f t="shared" si="391"/>
        <v>-4.5112781954887216E-2</v>
      </c>
      <c r="AE541" s="1">
        <f t="shared" si="392"/>
        <v>1</v>
      </c>
      <c r="AF541" s="1">
        <f t="shared" si="393"/>
        <v>-3</v>
      </c>
      <c r="AG541" s="1">
        <f t="shared" si="394"/>
        <v>3</v>
      </c>
      <c r="AH541" s="1">
        <f t="shared" si="395"/>
        <v>-6</v>
      </c>
      <c r="AI541" s="1">
        <f t="shared" si="396"/>
        <v>-2</v>
      </c>
      <c r="AJ541" s="1">
        <f t="shared" si="397"/>
        <v>2</v>
      </c>
      <c r="AK541" s="17">
        <f t="shared" si="398"/>
        <v>-0.83333333333333337</v>
      </c>
      <c r="AL541" s="17">
        <f t="shared" si="399"/>
        <v>-0.5</v>
      </c>
      <c r="AM541" s="1">
        <f t="shared" si="400"/>
        <v>0.5</v>
      </c>
      <c r="AN541" s="1">
        <f t="shared" si="401"/>
        <v>-0.25</v>
      </c>
      <c r="AO541" s="1">
        <f t="shared" si="402"/>
        <v>0.22222222222222221</v>
      </c>
      <c r="AP541" s="1">
        <f t="shared" si="403"/>
        <v>-0.45454545454545453</v>
      </c>
      <c r="AQ541" s="1">
        <f t="shared" si="404"/>
        <v>0</v>
      </c>
      <c r="AR541" s="1">
        <f t="shared" si="405"/>
        <v>0.5</v>
      </c>
      <c r="AS541" s="12">
        <f t="shared" si="406"/>
        <v>8.6279461279461289E-2</v>
      </c>
      <c r="AT541" s="12">
        <f t="shared" si="407"/>
        <v>0.1111111111111111</v>
      </c>
      <c r="AU541" s="1">
        <f t="shared" si="408"/>
        <v>4</v>
      </c>
      <c r="AV541" s="1">
        <f t="shared" si="409"/>
        <v>-3</v>
      </c>
      <c r="AW541" s="1">
        <f t="shared" si="410"/>
        <v>2</v>
      </c>
      <c r="AX541" s="1">
        <f t="shared" si="411"/>
        <v>-5</v>
      </c>
      <c r="AY541" s="1">
        <f t="shared" si="412"/>
        <v>0</v>
      </c>
      <c r="AZ541" s="1">
        <f t="shared" si="413"/>
        <v>3</v>
      </c>
      <c r="BA541" s="19">
        <f t="shared" si="414"/>
        <v>0.16666666666666666</v>
      </c>
      <c r="BB541" s="19">
        <f t="shared" si="415"/>
        <v>1</v>
      </c>
      <c r="BC541" s="9">
        <f t="shared" si="416"/>
        <v>-0.27272727272727271</v>
      </c>
      <c r="BD541" s="9">
        <f t="shared" si="417"/>
        <v>0</v>
      </c>
      <c r="BE541" s="9">
        <f t="shared" si="418"/>
        <v>0.125</v>
      </c>
      <c r="BF541" s="9">
        <f t="shared" si="419"/>
        <v>-0.1111111111111111</v>
      </c>
      <c r="BG541" s="9">
        <f t="shared" si="420"/>
        <v>-0.25</v>
      </c>
      <c r="BH541" s="9">
        <f t="shared" si="421"/>
        <v>-0.16666666666666666</v>
      </c>
      <c r="BI541" s="12">
        <f t="shared" si="422"/>
        <v>-0.11258417508417508</v>
      </c>
      <c r="BJ541" s="13">
        <f t="shared" si="423"/>
        <v>-0.1388888888888889</v>
      </c>
      <c r="BK541" s="1">
        <f t="shared" si="424"/>
        <v>-3</v>
      </c>
      <c r="BL541" s="1">
        <f t="shared" si="425"/>
        <v>0</v>
      </c>
      <c r="BM541" s="1">
        <f t="shared" si="426"/>
        <v>1</v>
      </c>
      <c r="BN541" s="1">
        <f t="shared" si="427"/>
        <v>-1</v>
      </c>
      <c r="BO541" s="1">
        <f t="shared" si="428"/>
        <v>-2</v>
      </c>
      <c r="BP541" s="1">
        <f t="shared" si="429"/>
        <v>-1</v>
      </c>
      <c r="BQ541" s="19">
        <f t="shared" si="430"/>
        <v>-1</v>
      </c>
      <c r="BR541" s="17">
        <f t="shared" si="431"/>
        <v>-1</v>
      </c>
    </row>
    <row r="542" spans="1:70" x14ac:dyDescent="0.25">
      <c r="A542" t="s">
        <v>253</v>
      </c>
      <c r="B542">
        <v>19</v>
      </c>
      <c r="C542">
        <v>21</v>
      </c>
      <c r="D542">
        <v>12</v>
      </c>
      <c r="E542">
        <v>9</v>
      </c>
      <c r="F542">
        <v>13</v>
      </c>
      <c r="G542">
        <v>13</v>
      </c>
      <c r="H542">
        <v>14</v>
      </c>
      <c r="I542">
        <v>7</v>
      </c>
      <c r="J542">
        <v>9</v>
      </c>
      <c r="K542">
        <v>7</v>
      </c>
      <c r="L542">
        <v>3</v>
      </c>
      <c r="M542">
        <v>6</v>
      </c>
      <c r="N542">
        <v>6</v>
      </c>
      <c r="O542">
        <v>8</v>
      </c>
      <c r="P542">
        <v>12</v>
      </c>
      <c r="Q542">
        <v>12</v>
      </c>
      <c r="R542">
        <v>5</v>
      </c>
      <c r="S542">
        <v>6</v>
      </c>
      <c r="T542">
        <v>7</v>
      </c>
      <c r="U542">
        <v>7</v>
      </c>
      <c r="V542">
        <v>6</v>
      </c>
      <c r="W542" s="8">
        <f t="shared" si="384"/>
        <v>0.10526315789473684</v>
      </c>
      <c r="X542" s="8">
        <f t="shared" si="385"/>
        <v>-0.42857142857142855</v>
      </c>
      <c r="Y542" s="8">
        <f t="shared" si="386"/>
        <v>-0.25</v>
      </c>
      <c r="Z542" s="8">
        <f t="shared" si="387"/>
        <v>0.44444444444444442</v>
      </c>
      <c r="AA542" s="8">
        <f t="shared" si="388"/>
        <v>0</v>
      </c>
      <c r="AB542" s="8">
        <f t="shared" si="389"/>
        <v>7.6923076923076927E-2</v>
      </c>
      <c r="AC542" s="12">
        <f t="shared" si="390"/>
        <v>-8.6567915515283842E-3</v>
      </c>
      <c r="AD542" s="12">
        <f t="shared" si="391"/>
        <v>3.8461538461538464E-2</v>
      </c>
      <c r="AE542" s="1">
        <f t="shared" si="392"/>
        <v>2</v>
      </c>
      <c r="AF542" s="1">
        <f t="shared" si="393"/>
        <v>-9</v>
      </c>
      <c r="AG542" s="1">
        <f t="shared" si="394"/>
        <v>-3</v>
      </c>
      <c r="AH542" s="1">
        <f t="shared" si="395"/>
        <v>4</v>
      </c>
      <c r="AI542" s="1">
        <f t="shared" si="396"/>
        <v>0</v>
      </c>
      <c r="AJ542" s="1">
        <f t="shared" si="397"/>
        <v>1</v>
      </c>
      <c r="AK542" s="17">
        <f t="shared" si="398"/>
        <v>-0.83333333333333337</v>
      </c>
      <c r="AL542" s="17">
        <f t="shared" si="399"/>
        <v>0.5</v>
      </c>
      <c r="AM542" s="1">
        <f t="shared" si="400"/>
        <v>0.2857142857142857</v>
      </c>
      <c r="AN542" s="1">
        <f t="shared" si="401"/>
        <v>-0.22222222222222221</v>
      </c>
      <c r="AO542" s="1">
        <f t="shared" si="402"/>
        <v>-0.5714285714285714</v>
      </c>
      <c r="AP542" s="1">
        <f t="shared" si="403"/>
        <v>1</v>
      </c>
      <c r="AQ542" s="1">
        <f t="shared" si="404"/>
        <v>0</v>
      </c>
      <c r="AR542" s="1">
        <f t="shared" si="405"/>
        <v>0.33333333333333331</v>
      </c>
      <c r="AS542" s="12">
        <f t="shared" si="406"/>
        <v>0.13756613756613756</v>
      </c>
      <c r="AT542" s="12">
        <f t="shared" si="407"/>
        <v>0.14285714285714285</v>
      </c>
      <c r="AU542" s="1">
        <f t="shared" si="408"/>
        <v>2</v>
      </c>
      <c r="AV542" s="1">
        <f t="shared" si="409"/>
        <v>-2</v>
      </c>
      <c r="AW542" s="1">
        <f t="shared" si="410"/>
        <v>-4</v>
      </c>
      <c r="AX542" s="1">
        <f t="shared" si="411"/>
        <v>3</v>
      </c>
      <c r="AY542" s="1">
        <f t="shared" si="412"/>
        <v>0</v>
      </c>
      <c r="AZ542" s="1">
        <f t="shared" si="413"/>
        <v>2</v>
      </c>
      <c r="BA542" s="19">
        <f t="shared" si="414"/>
        <v>0.16666666666666666</v>
      </c>
      <c r="BB542" s="19">
        <f t="shared" si="415"/>
        <v>1</v>
      </c>
      <c r="BC542" s="9">
        <f t="shared" si="416"/>
        <v>0</v>
      </c>
      <c r="BD542" s="9">
        <f t="shared" si="417"/>
        <v>-0.58333333333333337</v>
      </c>
      <c r="BE542" s="9">
        <f t="shared" si="418"/>
        <v>0.2</v>
      </c>
      <c r="BF542" s="9">
        <f t="shared" si="419"/>
        <v>0.16666666666666666</v>
      </c>
      <c r="BG542" s="9">
        <f t="shared" si="420"/>
        <v>0</v>
      </c>
      <c r="BH542" s="9">
        <f t="shared" si="421"/>
        <v>-0.14285714285714285</v>
      </c>
      <c r="BI542" s="12">
        <f t="shared" si="422"/>
        <v>-5.992063492063493E-2</v>
      </c>
      <c r="BJ542" s="13">
        <f t="shared" si="423"/>
        <v>0</v>
      </c>
      <c r="BK542" s="1">
        <f t="shared" si="424"/>
        <v>0</v>
      </c>
      <c r="BL542" s="1">
        <f t="shared" si="425"/>
        <v>-7</v>
      </c>
      <c r="BM542" s="1">
        <f t="shared" si="426"/>
        <v>1</v>
      </c>
      <c r="BN542" s="1">
        <f t="shared" si="427"/>
        <v>1</v>
      </c>
      <c r="BO542" s="1">
        <f t="shared" si="428"/>
        <v>0</v>
      </c>
      <c r="BP542" s="1">
        <f t="shared" si="429"/>
        <v>-1</v>
      </c>
      <c r="BQ542" s="19">
        <f t="shared" si="430"/>
        <v>-1</v>
      </c>
      <c r="BR542" s="17">
        <f t="shared" si="431"/>
        <v>0</v>
      </c>
    </row>
    <row r="543" spans="1:70" x14ac:dyDescent="0.25">
      <c r="A543" t="s">
        <v>264</v>
      </c>
      <c r="B543">
        <v>17</v>
      </c>
      <c r="C543">
        <v>9</v>
      </c>
      <c r="D543">
        <v>14</v>
      </c>
      <c r="E543">
        <v>10</v>
      </c>
      <c r="F543">
        <v>18</v>
      </c>
      <c r="G543">
        <v>14</v>
      </c>
      <c r="H543">
        <v>12</v>
      </c>
      <c r="J543">
        <v>2</v>
      </c>
      <c r="K543">
        <v>2</v>
      </c>
      <c r="L543">
        <v>1</v>
      </c>
      <c r="M543">
        <v>2</v>
      </c>
      <c r="N543">
        <v>4</v>
      </c>
      <c r="P543">
        <v>17</v>
      </c>
      <c r="Q543">
        <v>7</v>
      </c>
      <c r="R543">
        <v>12</v>
      </c>
      <c r="S543">
        <v>9</v>
      </c>
      <c r="T543">
        <v>16</v>
      </c>
      <c r="U543">
        <v>10</v>
      </c>
      <c r="V543">
        <v>12</v>
      </c>
      <c r="W543" s="8">
        <f t="shared" si="384"/>
        <v>-0.47058823529411764</v>
      </c>
      <c r="X543" s="8">
        <f t="shared" si="385"/>
        <v>0.55555555555555558</v>
      </c>
      <c r="Y543" s="8">
        <f t="shared" si="386"/>
        <v>-0.2857142857142857</v>
      </c>
      <c r="Z543" s="8">
        <f t="shared" si="387"/>
        <v>0.8</v>
      </c>
      <c r="AA543" s="8">
        <f t="shared" si="388"/>
        <v>-0.22222222222222221</v>
      </c>
      <c r="AB543" s="8">
        <f t="shared" si="389"/>
        <v>-0.14285714285714285</v>
      </c>
      <c r="AC543" s="12">
        <f t="shared" si="390"/>
        <v>3.9028944911297873E-2</v>
      </c>
      <c r="AD543" s="12">
        <f t="shared" si="391"/>
        <v>-0.18253968253968253</v>
      </c>
      <c r="AE543" s="1">
        <f t="shared" si="392"/>
        <v>-8</v>
      </c>
      <c r="AF543" s="1">
        <f t="shared" si="393"/>
        <v>5</v>
      </c>
      <c r="AG543" s="1">
        <f t="shared" si="394"/>
        <v>-4</v>
      </c>
      <c r="AH543" s="1">
        <f t="shared" si="395"/>
        <v>8</v>
      </c>
      <c r="AI543" s="1">
        <f t="shared" si="396"/>
        <v>-4</v>
      </c>
      <c r="AJ543" s="1">
        <f t="shared" si="397"/>
        <v>-2</v>
      </c>
      <c r="AK543" s="17">
        <f t="shared" si="398"/>
        <v>-0.83333333333333337</v>
      </c>
      <c r="AL543" s="17">
        <f t="shared" si="399"/>
        <v>-3</v>
      </c>
      <c r="AM543" s="1" t="e">
        <f t="shared" si="400"/>
        <v>#DIV/0!</v>
      </c>
      <c r="AN543" s="1">
        <f t="shared" si="401"/>
        <v>0</v>
      </c>
      <c r="AO543" s="1">
        <f t="shared" si="402"/>
        <v>-0.5</v>
      </c>
      <c r="AP543" s="1">
        <f t="shared" si="403"/>
        <v>1</v>
      </c>
      <c r="AQ543" s="1">
        <f t="shared" si="404"/>
        <v>1</v>
      </c>
      <c r="AR543" s="1">
        <f t="shared" si="405"/>
        <v>-1</v>
      </c>
      <c r="AS543" s="12" t="e">
        <f t="shared" si="406"/>
        <v>#DIV/0!</v>
      </c>
      <c r="AT543" s="12" t="e">
        <f t="shared" si="407"/>
        <v>#DIV/0!</v>
      </c>
      <c r="AU543" s="1">
        <f t="shared" si="408"/>
        <v>2</v>
      </c>
      <c r="AV543" s="1">
        <f t="shared" si="409"/>
        <v>0</v>
      </c>
      <c r="AW543" s="1">
        <f t="shared" si="410"/>
        <v>-1</v>
      </c>
      <c r="AX543" s="1">
        <f t="shared" si="411"/>
        <v>1</v>
      </c>
      <c r="AY543" s="1">
        <f t="shared" si="412"/>
        <v>2</v>
      </c>
      <c r="AZ543" s="1">
        <f t="shared" si="413"/>
        <v>-4</v>
      </c>
      <c r="BA543" s="19">
        <f t="shared" si="414"/>
        <v>0</v>
      </c>
      <c r="BB543" s="19">
        <f t="shared" si="415"/>
        <v>0.5</v>
      </c>
      <c r="BC543" s="9">
        <f t="shared" si="416"/>
        <v>-0.58823529411764708</v>
      </c>
      <c r="BD543" s="9">
        <f t="shared" si="417"/>
        <v>0.7142857142857143</v>
      </c>
      <c r="BE543" s="9">
        <f t="shared" si="418"/>
        <v>-0.25</v>
      </c>
      <c r="BF543" s="9">
        <f t="shared" si="419"/>
        <v>0.77777777777777779</v>
      </c>
      <c r="BG543" s="9">
        <f t="shared" si="420"/>
        <v>-0.375</v>
      </c>
      <c r="BH543" s="9">
        <f t="shared" si="421"/>
        <v>0.2</v>
      </c>
      <c r="BI543" s="12">
        <f t="shared" si="422"/>
        <v>7.9804699657640837E-2</v>
      </c>
      <c r="BJ543" s="13">
        <f t="shared" si="423"/>
        <v>-2.4999999999999994E-2</v>
      </c>
      <c r="BK543" s="1">
        <f t="shared" si="424"/>
        <v>-10</v>
      </c>
      <c r="BL543" s="1">
        <f t="shared" si="425"/>
        <v>5</v>
      </c>
      <c r="BM543" s="1">
        <f t="shared" si="426"/>
        <v>-3</v>
      </c>
      <c r="BN543" s="1">
        <f t="shared" si="427"/>
        <v>7</v>
      </c>
      <c r="BO543" s="1">
        <f t="shared" si="428"/>
        <v>-6</v>
      </c>
      <c r="BP543" s="1">
        <f t="shared" si="429"/>
        <v>2</v>
      </c>
      <c r="BQ543" s="19">
        <f t="shared" si="430"/>
        <v>-0.83333333333333337</v>
      </c>
      <c r="BR543" s="17">
        <f t="shared" si="431"/>
        <v>-0.5</v>
      </c>
    </row>
    <row r="544" spans="1:70" x14ac:dyDescent="0.25">
      <c r="A544" t="s">
        <v>327</v>
      </c>
      <c r="B544">
        <v>9</v>
      </c>
      <c r="C544">
        <v>4</v>
      </c>
      <c r="D544">
        <v>6</v>
      </c>
      <c r="E544">
        <v>7</v>
      </c>
      <c r="F544">
        <v>13</v>
      </c>
      <c r="G544">
        <v>3</v>
      </c>
      <c r="H544">
        <v>4</v>
      </c>
      <c r="I544">
        <v>1</v>
      </c>
      <c r="J544">
        <v>2</v>
      </c>
      <c r="K544">
        <v>2</v>
      </c>
      <c r="L544">
        <v>2</v>
      </c>
      <c r="M544">
        <v>5</v>
      </c>
      <c r="N544">
        <v>1</v>
      </c>
      <c r="O544">
        <v>4</v>
      </c>
      <c r="P544">
        <v>8</v>
      </c>
      <c r="Q544">
        <v>2</v>
      </c>
      <c r="R544">
        <v>4</v>
      </c>
      <c r="S544">
        <v>5</v>
      </c>
      <c r="T544">
        <v>8</v>
      </c>
      <c r="U544">
        <v>2</v>
      </c>
      <c r="W544" s="8">
        <f t="shared" si="384"/>
        <v>-0.55555555555555558</v>
      </c>
      <c r="X544" s="8">
        <f t="shared" si="385"/>
        <v>0.5</v>
      </c>
      <c r="Y544" s="8">
        <f t="shared" si="386"/>
        <v>0.16666666666666666</v>
      </c>
      <c r="Z544" s="8">
        <f t="shared" si="387"/>
        <v>0.8571428571428571</v>
      </c>
      <c r="AA544" s="8">
        <f t="shared" si="388"/>
        <v>-0.76923076923076927</v>
      </c>
      <c r="AB544" s="8">
        <f t="shared" si="389"/>
        <v>0.33333333333333331</v>
      </c>
      <c r="AC544" s="12">
        <f t="shared" si="390"/>
        <v>8.8726088726088712E-2</v>
      </c>
      <c r="AD544" s="12">
        <f t="shared" si="391"/>
        <v>0.25</v>
      </c>
      <c r="AE544" s="1">
        <f t="shared" si="392"/>
        <v>-5</v>
      </c>
      <c r="AF544" s="1">
        <f t="shared" si="393"/>
        <v>2</v>
      </c>
      <c r="AG544" s="1">
        <f t="shared" si="394"/>
        <v>1</v>
      </c>
      <c r="AH544" s="1">
        <f t="shared" si="395"/>
        <v>6</v>
      </c>
      <c r="AI544" s="1">
        <f t="shared" si="396"/>
        <v>-10</v>
      </c>
      <c r="AJ544" s="1">
        <f t="shared" si="397"/>
        <v>1</v>
      </c>
      <c r="AK544" s="17">
        <f t="shared" si="398"/>
        <v>-0.83333333333333337</v>
      </c>
      <c r="AL544" s="17">
        <f t="shared" si="399"/>
        <v>1</v>
      </c>
      <c r="AM544" s="1">
        <f t="shared" si="400"/>
        <v>1</v>
      </c>
      <c r="AN544" s="1">
        <f t="shared" si="401"/>
        <v>0</v>
      </c>
      <c r="AO544" s="1">
        <f t="shared" si="402"/>
        <v>0</v>
      </c>
      <c r="AP544" s="1">
        <f t="shared" si="403"/>
        <v>1.5</v>
      </c>
      <c r="AQ544" s="1">
        <f t="shared" si="404"/>
        <v>-0.8</v>
      </c>
      <c r="AR544" s="1">
        <f t="shared" si="405"/>
        <v>3</v>
      </c>
      <c r="AS544" s="12">
        <f t="shared" si="406"/>
        <v>0.78333333333333333</v>
      </c>
      <c r="AT544" s="12">
        <f t="shared" si="407"/>
        <v>0.5</v>
      </c>
      <c r="AU544" s="1">
        <f t="shared" si="408"/>
        <v>1</v>
      </c>
      <c r="AV544" s="1">
        <f t="shared" si="409"/>
        <v>0</v>
      </c>
      <c r="AW544" s="1">
        <f t="shared" si="410"/>
        <v>0</v>
      </c>
      <c r="AX544" s="1">
        <f t="shared" si="411"/>
        <v>3</v>
      </c>
      <c r="AY544" s="1">
        <f t="shared" si="412"/>
        <v>-4</v>
      </c>
      <c r="AZ544" s="1">
        <f t="shared" si="413"/>
        <v>3</v>
      </c>
      <c r="BA544" s="19">
        <f t="shared" si="414"/>
        <v>0.5</v>
      </c>
      <c r="BB544" s="19">
        <f t="shared" si="415"/>
        <v>0.5</v>
      </c>
      <c r="BC544" s="9">
        <f t="shared" si="416"/>
        <v>-0.75</v>
      </c>
      <c r="BD544" s="9">
        <f t="shared" si="417"/>
        <v>1</v>
      </c>
      <c r="BE544" s="9">
        <f t="shared" si="418"/>
        <v>0.25</v>
      </c>
      <c r="BF544" s="9">
        <f t="shared" si="419"/>
        <v>0.6</v>
      </c>
      <c r="BG544" s="9">
        <f t="shared" si="420"/>
        <v>-0.75</v>
      </c>
      <c r="BH544" s="9">
        <f t="shared" si="421"/>
        <v>-1</v>
      </c>
      <c r="BI544" s="12">
        <f t="shared" si="422"/>
        <v>-0.10833333333333332</v>
      </c>
      <c r="BJ544" s="13">
        <f t="shared" si="423"/>
        <v>-0.25</v>
      </c>
      <c r="BK544" s="1">
        <f t="shared" si="424"/>
        <v>-6</v>
      </c>
      <c r="BL544" s="1">
        <f t="shared" si="425"/>
        <v>2</v>
      </c>
      <c r="BM544" s="1">
        <f t="shared" si="426"/>
        <v>1</v>
      </c>
      <c r="BN544" s="1">
        <f t="shared" si="427"/>
        <v>3</v>
      </c>
      <c r="BO544" s="1">
        <f t="shared" si="428"/>
        <v>-6</v>
      </c>
      <c r="BP544" s="1">
        <f t="shared" si="429"/>
        <v>-2</v>
      </c>
      <c r="BQ544" s="19">
        <f t="shared" si="430"/>
        <v>-1.3333333333333333</v>
      </c>
      <c r="BR544" s="17">
        <f t="shared" si="431"/>
        <v>-0.5</v>
      </c>
    </row>
    <row r="545" spans="1:70" x14ac:dyDescent="0.25">
      <c r="A545" t="s">
        <v>335</v>
      </c>
      <c r="B545">
        <v>8</v>
      </c>
      <c r="C545">
        <v>3</v>
      </c>
      <c r="D545">
        <v>6</v>
      </c>
      <c r="E545">
        <v>2</v>
      </c>
      <c r="F545">
        <v>2</v>
      </c>
      <c r="G545">
        <v>5</v>
      </c>
      <c r="H545">
        <v>3</v>
      </c>
      <c r="I545">
        <v>3</v>
      </c>
      <c r="J545">
        <v>3</v>
      </c>
      <c r="K545">
        <v>4</v>
      </c>
      <c r="L545">
        <v>1</v>
      </c>
      <c r="N545">
        <v>3</v>
      </c>
      <c r="O545">
        <v>2</v>
      </c>
      <c r="P545">
        <v>5</v>
      </c>
      <c r="R545">
        <v>2</v>
      </c>
      <c r="S545">
        <v>1</v>
      </c>
      <c r="T545">
        <v>2</v>
      </c>
      <c r="U545">
        <v>2</v>
      </c>
      <c r="V545">
        <v>1</v>
      </c>
      <c r="W545" s="8">
        <f t="shared" si="384"/>
        <v>-0.625</v>
      </c>
      <c r="X545" s="8">
        <f t="shared" si="385"/>
        <v>1</v>
      </c>
      <c r="Y545" s="8">
        <f t="shared" si="386"/>
        <v>-0.66666666666666663</v>
      </c>
      <c r="Z545" s="8">
        <f t="shared" si="387"/>
        <v>0</v>
      </c>
      <c r="AA545" s="8">
        <f t="shared" si="388"/>
        <v>1.5</v>
      </c>
      <c r="AB545" s="8">
        <f t="shared" si="389"/>
        <v>-0.4</v>
      </c>
      <c r="AC545" s="12">
        <f t="shared" si="390"/>
        <v>0.13472222222222224</v>
      </c>
      <c r="AD545" s="12">
        <f t="shared" si="391"/>
        <v>-0.2</v>
      </c>
      <c r="AE545" s="1">
        <f t="shared" si="392"/>
        <v>-5</v>
      </c>
      <c r="AF545" s="1">
        <f t="shared" si="393"/>
        <v>3</v>
      </c>
      <c r="AG545" s="1">
        <f t="shared" si="394"/>
        <v>-4</v>
      </c>
      <c r="AH545" s="1">
        <f t="shared" si="395"/>
        <v>0</v>
      </c>
      <c r="AI545" s="1">
        <f t="shared" si="396"/>
        <v>3</v>
      </c>
      <c r="AJ545" s="1">
        <f t="shared" si="397"/>
        <v>-2</v>
      </c>
      <c r="AK545" s="17">
        <f t="shared" si="398"/>
        <v>-0.83333333333333337</v>
      </c>
      <c r="AL545" s="17">
        <f t="shared" si="399"/>
        <v>-1</v>
      </c>
      <c r="AM545" s="1">
        <f t="shared" si="400"/>
        <v>0</v>
      </c>
      <c r="AN545" s="1">
        <f t="shared" si="401"/>
        <v>0.33333333333333331</v>
      </c>
      <c r="AO545" s="1">
        <f t="shared" si="402"/>
        <v>-0.75</v>
      </c>
      <c r="AP545" s="1">
        <f t="shared" si="403"/>
        <v>-1</v>
      </c>
      <c r="AQ545" s="1" t="e">
        <f t="shared" si="404"/>
        <v>#DIV/0!</v>
      </c>
      <c r="AR545" s="1">
        <f t="shared" si="405"/>
        <v>-0.33333333333333331</v>
      </c>
      <c r="AS545" s="12" t="e">
        <f t="shared" si="406"/>
        <v>#DIV/0!</v>
      </c>
      <c r="AT545" s="12" t="e">
        <f t="shared" si="407"/>
        <v>#DIV/0!</v>
      </c>
      <c r="AU545" s="1">
        <f t="shared" si="408"/>
        <v>0</v>
      </c>
      <c r="AV545" s="1">
        <f t="shared" si="409"/>
        <v>1</v>
      </c>
      <c r="AW545" s="1">
        <f t="shared" si="410"/>
        <v>-3</v>
      </c>
      <c r="AX545" s="1">
        <f t="shared" si="411"/>
        <v>-1</v>
      </c>
      <c r="AY545" s="1">
        <f t="shared" si="412"/>
        <v>3</v>
      </c>
      <c r="AZ545" s="1">
        <f t="shared" si="413"/>
        <v>-1</v>
      </c>
      <c r="BA545" s="19">
        <f t="shared" si="414"/>
        <v>-0.16666666666666666</v>
      </c>
      <c r="BB545" s="19">
        <f t="shared" si="415"/>
        <v>-0.5</v>
      </c>
      <c r="BC545" s="9">
        <f t="shared" si="416"/>
        <v>-1</v>
      </c>
      <c r="BD545" s="9" t="e">
        <f t="shared" si="417"/>
        <v>#DIV/0!</v>
      </c>
      <c r="BE545" s="9">
        <f t="shared" si="418"/>
        <v>-0.5</v>
      </c>
      <c r="BF545" s="9">
        <f t="shared" si="419"/>
        <v>1</v>
      </c>
      <c r="BG545" s="9">
        <f t="shared" si="420"/>
        <v>0</v>
      </c>
      <c r="BH545" s="9">
        <f t="shared" si="421"/>
        <v>-0.5</v>
      </c>
      <c r="BI545" s="12" t="e">
        <f t="shared" si="422"/>
        <v>#DIV/0!</v>
      </c>
      <c r="BJ545" s="13" t="e">
        <f t="shared" si="423"/>
        <v>#DIV/0!</v>
      </c>
      <c r="BK545" s="1">
        <f t="shared" si="424"/>
        <v>-5</v>
      </c>
      <c r="BL545" s="1">
        <f t="shared" si="425"/>
        <v>2</v>
      </c>
      <c r="BM545" s="1">
        <f t="shared" si="426"/>
        <v>-1</v>
      </c>
      <c r="BN545" s="1">
        <f t="shared" si="427"/>
        <v>1</v>
      </c>
      <c r="BO545" s="1">
        <f t="shared" si="428"/>
        <v>0</v>
      </c>
      <c r="BP545" s="1">
        <f t="shared" si="429"/>
        <v>-1</v>
      </c>
      <c r="BQ545" s="19">
        <f t="shared" si="430"/>
        <v>-0.66666666666666663</v>
      </c>
      <c r="BR545" s="17">
        <f t="shared" si="431"/>
        <v>-0.5</v>
      </c>
    </row>
    <row r="546" spans="1:70" x14ac:dyDescent="0.25">
      <c r="A546" t="s">
        <v>337</v>
      </c>
      <c r="B546">
        <v>8</v>
      </c>
      <c r="C546">
        <v>5</v>
      </c>
      <c r="D546">
        <v>5</v>
      </c>
      <c r="E546">
        <v>9</v>
      </c>
      <c r="F546">
        <v>5</v>
      </c>
      <c r="G546">
        <v>3</v>
      </c>
      <c r="H546">
        <v>3</v>
      </c>
      <c r="I546">
        <v>6</v>
      </c>
      <c r="J546">
        <v>2</v>
      </c>
      <c r="K546">
        <v>3</v>
      </c>
      <c r="L546">
        <v>3</v>
      </c>
      <c r="M546">
        <v>2</v>
      </c>
      <c r="N546">
        <v>1</v>
      </c>
      <c r="O546">
        <v>2</v>
      </c>
      <c r="P546">
        <v>2</v>
      </c>
      <c r="Q546">
        <v>3</v>
      </c>
      <c r="R546">
        <v>2</v>
      </c>
      <c r="S546">
        <v>6</v>
      </c>
      <c r="T546">
        <v>3</v>
      </c>
      <c r="U546">
        <v>2</v>
      </c>
      <c r="V546">
        <v>1</v>
      </c>
      <c r="W546" s="8">
        <f t="shared" si="384"/>
        <v>-0.375</v>
      </c>
      <c r="X546" s="8">
        <f t="shared" si="385"/>
        <v>0</v>
      </c>
      <c r="Y546" s="8">
        <f t="shared" si="386"/>
        <v>0.8</v>
      </c>
      <c r="Z546" s="8">
        <f t="shared" si="387"/>
        <v>-0.44444444444444442</v>
      </c>
      <c r="AA546" s="8">
        <f t="shared" si="388"/>
        <v>-0.4</v>
      </c>
      <c r="AB546" s="8">
        <f t="shared" si="389"/>
        <v>0</v>
      </c>
      <c r="AC546" s="12">
        <f t="shared" si="390"/>
        <v>-6.9907407407407404E-2</v>
      </c>
      <c r="AD546" s="12">
        <f t="shared" si="391"/>
        <v>-0.1875</v>
      </c>
      <c r="AE546" s="1">
        <f t="shared" si="392"/>
        <v>-3</v>
      </c>
      <c r="AF546" s="1">
        <f t="shared" si="393"/>
        <v>0</v>
      </c>
      <c r="AG546" s="1">
        <f t="shared" si="394"/>
        <v>4</v>
      </c>
      <c r="AH546" s="1">
        <f t="shared" si="395"/>
        <v>-4</v>
      </c>
      <c r="AI546" s="1">
        <f t="shared" si="396"/>
        <v>-2</v>
      </c>
      <c r="AJ546" s="1">
        <f t="shared" si="397"/>
        <v>0</v>
      </c>
      <c r="AK546" s="17">
        <f t="shared" si="398"/>
        <v>-0.83333333333333337</v>
      </c>
      <c r="AL546" s="17">
        <f t="shared" si="399"/>
        <v>-1</v>
      </c>
      <c r="AM546" s="1">
        <f t="shared" si="400"/>
        <v>-0.66666666666666663</v>
      </c>
      <c r="AN546" s="1">
        <f t="shared" si="401"/>
        <v>0.5</v>
      </c>
      <c r="AO546" s="1">
        <f t="shared" si="402"/>
        <v>0</v>
      </c>
      <c r="AP546" s="1">
        <f t="shared" si="403"/>
        <v>-0.33333333333333331</v>
      </c>
      <c r="AQ546" s="1">
        <f t="shared" si="404"/>
        <v>-0.5</v>
      </c>
      <c r="AR546" s="1">
        <f t="shared" si="405"/>
        <v>1</v>
      </c>
      <c r="AS546" s="12">
        <f t="shared" si="406"/>
        <v>0</v>
      </c>
      <c r="AT546" s="12">
        <f t="shared" si="407"/>
        <v>-0.16666666666666666</v>
      </c>
      <c r="AU546" s="1">
        <f t="shared" si="408"/>
        <v>-4</v>
      </c>
      <c r="AV546" s="1">
        <f t="shared" si="409"/>
        <v>1</v>
      </c>
      <c r="AW546" s="1">
        <f t="shared" si="410"/>
        <v>0</v>
      </c>
      <c r="AX546" s="1">
        <f t="shared" si="411"/>
        <v>-1</v>
      </c>
      <c r="AY546" s="1">
        <f t="shared" si="412"/>
        <v>-1</v>
      </c>
      <c r="AZ546" s="1">
        <f t="shared" si="413"/>
        <v>1</v>
      </c>
      <c r="BA546" s="19">
        <f t="shared" si="414"/>
        <v>-0.66666666666666663</v>
      </c>
      <c r="BB546" s="19">
        <f t="shared" si="415"/>
        <v>-0.5</v>
      </c>
      <c r="BC546" s="9">
        <f t="shared" si="416"/>
        <v>0.5</v>
      </c>
      <c r="BD546" s="9">
        <f t="shared" si="417"/>
        <v>-0.33333333333333331</v>
      </c>
      <c r="BE546" s="9">
        <f t="shared" si="418"/>
        <v>2</v>
      </c>
      <c r="BF546" s="9">
        <f t="shared" si="419"/>
        <v>-0.5</v>
      </c>
      <c r="BG546" s="9">
        <f t="shared" si="420"/>
        <v>-0.33333333333333331</v>
      </c>
      <c r="BH546" s="9">
        <f t="shared" si="421"/>
        <v>-0.5</v>
      </c>
      <c r="BI546" s="12">
        <f t="shared" si="422"/>
        <v>0.13888888888888887</v>
      </c>
      <c r="BJ546" s="13">
        <f t="shared" si="423"/>
        <v>-0.33333333333333331</v>
      </c>
      <c r="BK546" s="1">
        <f t="shared" si="424"/>
        <v>1</v>
      </c>
      <c r="BL546" s="1">
        <f t="shared" si="425"/>
        <v>-1</v>
      </c>
      <c r="BM546" s="1">
        <f t="shared" si="426"/>
        <v>4</v>
      </c>
      <c r="BN546" s="1">
        <f t="shared" si="427"/>
        <v>-3</v>
      </c>
      <c r="BO546" s="1">
        <f t="shared" si="428"/>
        <v>-1</v>
      </c>
      <c r="BP546" s="1">
        <f t="shared" si="429"/>
        <v>-1</v>
      </c>
      <c r="BQ546" s="19">
        <f t="shared" si="430"/>
        <v>-0.16666666666666666</v>
      </c>
      <c r="BR546" s="17">
        <f t="shared" si="431"/>
        <v>-1</v>
      </c>
    </row>
    <row r="547" spans="1:70" x14ac:dyDescent="0.25">
      <c r="A547" t="s">
        <v>368</v>
      </c>
      <c r="B547">
        <v>6</v>
      </c>
      <c r="C547">
        <v>5</v>
      </c>
      <c r="D547">
        <v>5</v>
      </c>
      <c r="E547">
        <v>1</v>
      </c>
      <c r="F547">
        <v>4</v>
      </c>
      <c r="G547">
        <v>3</v>
      </c>
      <c r="H547">
        <v>1</v>
      </c>
      <c r="I547">
        <v>3</v>
      </c>
      <c r="J547">
        <v>4</v>
      </c>
      <c r="K547">
        <v>3</v>
      </c>
      <c r="M547">
        <v>2</v>
      </c>
      <c r="P547">
        <v>3</v>
      </c>
      <c r="Q547">
        <v>1</v>
      </c>
      <c r="R547">
        <v>2</v>
      </c>
      <c r="S547">
        <v>1</v>
      </c>
      <c r="T547">
        <v>2</v>
      </c>
      <c r="U547">
        <v>3</v>
      </c>
      <c r="V547">
        <v>1</v>
      </c>
      <c r="W547" s="8">
        <f t="shared" si="384"/>
        <v>-0.16666666666666666</v>
      </c>
      <c r="X547" s="8">
        <f t="shared" si="385"/>
        <v>0</v>
      </c>
      <c r="Y547" s="8">
        <f t="shared" si="386"/>
        <v>-0.8</v>
      </c>
      <c r="Z547" s="8">
        <f t="shared" si="387"/>
        <v>3</v>
      </c>
      <c r="AA547" s="8">
        <f t="shared" si="388"/>
        <v>-0.25</v>
      </c>
      <c r="AB547" s="8">
        <f t="shared" si="389"/>
        <v>-0.66666666666666663</v>
      </c>
      <c r="AC547" s="12">
        <f t="shared" si="390"/>
        <v>0.18611111111111112</v>
      </c>
      <c r="AD547" s="12">
        <f t="shared" si="391"/>
        <v>-0.20833333333333331</v>
      </c>
      <c r="AE547" s="1">
        <f t="shared" si="392"/>
        <v>-1</v>
      </c>
      <c r="AF547" s="1">
        <f t="shared" si="393"/>
        <v>0</v>
      </c>
      <c r="AG547" s="1">
        <f t="shared" si="394"/>
        <v>-4</v>
      </c>
      <c r="AH547" s="1">
        <f t="shared" si="395"/>
        <v>3</v>
      </c>
      <c r="AI547" s="1">
        <f t="shared" si="396"/>
        <v>-1</v>
      </c>
      <c r="AJ547" s="1">
        <f t="shared" si="397"/>
        <v>-2</v>
      </c>
      <c r="AK547" s="17">
        <f t="shared" si="398"/>
        <v>-0.83333333333333337</v>
      </c>
      <c r="AL547" s="17">
        <f t="shared" si="399"/>
        <v>-1</v>
      </c>
      <c r="AM547" s="1">
        <f t="shared" si="400"/>
        <v>0.33333333333333331</v>
      </c>
      <c r="AN547" s="1">
        <f t="shared" si="401"/>
        <v>-0.25</v>
      </c>
      <c r="AO547" s="1">
        <f t="shared" si="402"/>
        <v>-1</v>
      </c>
      <c r="AP547" s="1" t="e">
        <f t="shared" si="403"/>
        <v>#DIV/0!</v>
      </c>
      <c r="AQ547" s="1">
        <f t="shared" si="404"/>
        <v>-1</v>
      </c>
      <c r="AR547" s="1" t="e">
        <f t="shared" si="405"/>
        <v>#DIV/0!</v>
      </c>
      <c r="AS547" s="12" t="e">
        <f t="shared" si="406"/>
        <v>#DIV/0!</v>
      </c>
      <c r="AT547" s="12" t="e">
        <f t="shared" si="407"/>
        <v>#DIV/0!</v>
      </c>
      <c r="AU547" s="1">
        <f t="shared" si="408"/>
        <v>1</v>
      </c>
      <c r="AV547" s="1">
        <f t="shared" si="409"/>
        <v>-1</v>
      </c>
      <c r="AW547" s="1">
        <f t="shared" si="410"/>
        <v>-3</v>
      </c>
      <c r="AX547" s="1">
        <f t="shared" si="411"/>
        <v>2</v>
      </c>
      <c r="AY547" s="1">
        <f t="shared" si="412"/>
        <v>-2</v>
      </c>
      <c r="AZ547" s="1">
        <f t="shared" si="413"/>
        <v>0</v>
      </c>
      <c r="BA547" s="19">
        <f t="shared" si="414"/>
        <v>-0.5</v>
      </c>
      <c r="BB547" s="19">
        <f t="shared" si="415"/>
        <v>-0.5</v>
      </c>
      <c r="BC547" s="9">
        <f t="shared" si="416"/>
        <v>-0.66666666666666663</v>
      </c>
      <c r="BD547" s="9">
        <f t="shared" si="417"/>
        <v>1</v>
      </c>
      <c r="BE547" s="9">
        <f t="shared" si="418"/>
        <v>-0.5</v>
      </c>
      <c r="BF547" s="9">
        <f t="shared" si="419"/>
        <v>1</v>
      </c>
      <c r="BG547" s="9">
        <f t="shared" si="420"/>
        <v>0.5</v>
      </c>
      <c r="BH547" s="9">
        <f t="shared" si="421"/>
        <v>-0.66666666666666663</v>
      </c>
      <c r="BI547" s="12">
        <f t="shared" si="422"/>
        <v>0.11111111111111115</v>
      </c>
      <c r="BJ547" s="13">
        <f t="shared" si="423"/>
        <v>0</v>
      </c>
      <c r="BK547" s="1">
        <f t="shared" si="424"/>
        <v>-2</v>
      </c>
      <c r="BL547" s="1">
        <f t="shared" si="425"/>
        <v>1</v>
      </c>
      <c r="BM547" s="1">
        <f t="shared" si="426"/>
        <v>-1</v>
      </c>
      <c r="BN547" s="1">
        <f t="shared" si="427"/>
        <v>1</v>
      </c>
      <c r="BO547" s="1">
        <f t="shared" si="428"/>
        <v>1</v>
      </c>
      <c r="BP547" s="1">
        <f t="shared" si="429"/>
        <v>-2</v>
      </c>
      <c r="BQ547" s="19">
        <f t="shared" si="430"/>
        <v>-0.33333333333333331</v>
      </c>
      <c r="BR547" s="17">
        <f t="shared" si="431"/>
        <v>0</v>
      </c>
    </row>
    <row r="548" spans="1:70" x14ac:dyDescent="0.25">
      <c r="A548" t="s">
        <v>204</v>
      </c>
      <c r="B548">
        <v>33</v>
      </c>
      <c r="C548">
        <v>33</v>
      </c>
      <c r="D548">
        <v>34</v>
      </c>
      <c r="E548">
        <v>42</v>
      </c>
      <c r="F548">
        <v>24</v>
      </c>
      <c r="G548">
        <v>25</v>
      </c>
      <c r="H548">
        <v>27</v>
      </c>
      <c r="I548">
        <v>18</v>
      </c>
      <c r="J548">
        <v>16</v>
      </c>
      <c r="K548">
        <v>16</v>
      </c>
      <c r="L548">
        <v>20</v>
      </c>
      <c r="M548">
        <v>10</v>
      </c>
      <c r="N548">
        <v>13</v>
      </c>
      <c r="O548">
        <v>11</v>
      </c>
      <c r="P548">
        <v>15</v>
      </c>
      <c r="Q548">
        <v>17</v>
      </c>
      <c r="R548">
        <v>18</v>
      </c>
      <c r="S548">
        <v>22</v>
      </c>
      <c r="T548">
        <v>14</v>
      </c>
      <c r="U548">
        <v>12</v>
      </c>
      <c r="V548">
        <v>16</v>
      </c>
      <c r="W548" s="8">
        <f t="shared" si="384"/>
        <v>0</v>
      </c>
      <c r="X548" s="8">
        <f t="shared" si="385"/>
        <v>3.0303030303030304E-2</v>
      </c>
      <c r="Y548" s="8">
        <f t="shared" si="386"/>
        <v>0.23529411764705882</v>
      </c>
      <c r="Z548" s="8">
        <f t="shared" si="387"/>
        <v>-0.42857142857142855</v>
      </c>
      <c r="AA548" s="8">
        <f t="shared" si="388"/>
        <v>4.1666666666666664E-2</v>
      </c>
      <c r="AB548" s="8">
        <f t="shared" si="389"/>
        <v>0.08</v>
      </c>
      <c r="AC548" s="12">
        <f t="shared" si="390"/>
        <v>-6.8846023257787894E-3</v>
      </c>
      <c r="AD548" s="12">
        <f t="shared" si="391"/>
        <v>3.5984848484848481E-2</v>
      </c>
      <c r="AE548" s="1">
        <f t="shared" si="392"/>
        <v>0</v>
      </c>
      <c r="AF548" s="1">
        <f t="shared" si="393"/>
        <v>1</v>
      </c>
      <c r="AG548" s="1">
        <f t="shared" si="394"/>
        <v>8</v>
      </c>
      <c r="AH548" s="1">
        <f t="shared" si="395"/>
        <v>-18</v>
      </c>
      <c r="AI548" s="1">
        <f t="shared" si="396"/>
        <v>1</v>
      </c>
      <c r="AJ548" s="1">
        <f t="shared" si="397"/>
        <v>2</v>
      </c>
      <c r="AK548" s="17">
        <f t="shared" si="398"/>
        <v>-1</v>
      </c>
      <c r="AL548" s="17">
        <f t="shared" si="399"/>
        <v>1</v>
      </c>
      <c r="AM548" s="1">
        <f t="shared" si="400"/>
        <v>-0.1111111111111111</v>
      </c>
      <c r="AN548" s="1">
        <f t="shared" si="401"/>
        <v>0</v>
      </c>
      <c r="AO548" s="1">
        <f t="shared" si="402"/>
        <v>0.25</v>
      </c>
      <c r="AP548" s="1">
        <f t="shared" si="403"/>
        <v>-0.5</v>
      </c>
      <c r="AQ548" s="1">
        <f t="shared" si="404"/>
        <v>0.3</v>
      </c>
      <c r="AR548" s="1">
        <f t="shared" si="405"/>
        <v>-0.15384615384615385</v>
      </c>
      <c r="AS548" s="12">
        <f t="shared" si="406"/>
        <v>-3.5826210826210826E-2</v>
      </c>
      <c r="AT548" s="12">
        <f t="shared" si="407"/>
        <v>-5.5555555555555552E-2</v>
      </c>
      <c r="AU548" s="1">
        <f t="shared" si="408"/>
        <v>-2</v>
      </c>
      <c r="AV548" s="1">
        <f t="shared" si="409"/>
        <v>0</v>
      </c>
      <c r="AW548" s="1">
        <f t="shared" si="410"/>
        <v>4</v>
      </c>
      <c r="AX548" s="1">
        <f t="shared" si="411"/>
        <v>-10</v>
      </c>
      <c r="AY548" s="1">
        <f t="shared" si="412"/>
        <v>3</v>
      </c>
      <c r="AZ548" s="1">
        <f t="shared" si="413"/>
        <v>-2</v>
      </c>
      <c r="BA548" s="19">
        <f t="shared" si="414"/>
        <v>-1.1666666666666667</v>
      </c>
      <c r="BB548" s="19">
        <f t="shared" si="415"/>
        <v>-1</v>
      </c>
      <c r="BC548" s="9">
        <f t="shared" si="416"/>
        <v>0.13333333333333333</v>
      </c>
      <c r="BD548" s="9">
        <f t="shared" si="417"/>
        <v>5.8823529411764705E-2</v>
      </c>
      <c r="BE548" s="9">
        <f t="shared" si="418"/>
        <v>0.22222222222222221</v>
      </c>
      <c r="BF548" s="9">
        <f t="shared" si="419"/>
        <v>-0.36363636363636365</v>
      </c>
      <c r="BG548" s="9">
        <f t="shared" si="420"/>
        <v>-0.14285714285714285</v>
      </c>
      <c r="BH548" s="9">
        <f t="shared" si="421"/>
        <v>0.33333333333333331</v>
      </c>
      <c r="BI548" s="12">
        <f t="shared" si="422"/>
        <v>4.0203151967857842E-2</v>
      </c>
      <c r="BJ548" s="13">
        <f t="shared" si="423"/>
        <v>9.6078431372549011E-2</v>
      </c>
      <c r="BK548" s="1">
        <f t="shared" si="424"/>
        <v>2</v>
      </c>
      <c r="BL548" s="1">
        <f t="shared" si="425"/>
        <v>1</v>
      </c>
      <c r="BM548" s="1">
        <f t="shared" si="426"/>
        <v>4</v>
      </c>
      <c r="BN548" s="1">
        <f t="shared" si="427"/>
        <v>-8</v>
      </c>
      <c r="BO548" s="1">
        <f t="shared" si="428"/>
        <v>-2</v>
      </c>
      <c r="BP548" s="1">
        <f t="shared" si="429"/>
        <v>4</v>
      </c>
      <c r="BQ548" s="19">
        <f t="shared" si="430"/>
        <v>0.16666666666666666</v>
      </c>
      <c r="BR548" s="17">
        <f t="shared" si="431"/>
        <v>1.5</v>
      </c>
    </row>
    <row r="549" spans="1:70" x14ac:dyDescent="0.25">
      <c r="A549" t="s">
        <v>232</v>
      </c>
      <c r="B549">
        <v>23</v>
      </c>
      <c r="C549">
        <v>24</v>
      </c>
      <c r="D549">
        <v>24</v>
      </c>
      <c r="E549">
        <v>26</v>
      </c>
      <c r="F549">
        <v>29</v>
      </c>
      <c r="G549">
        <v>29</v>
      </c>
      <c r="H549">
        <v>17</v>
      </c>
      <c r="I549">
        <v>12</v>
      </c>
      <c r="J549">
        <v>9</v>
      </c>
      <c r="K549">
        <v>13</v>
      </c>
      <c r="L549">
        <v>17</v>
      </c>
      <c r="M549">
        <v>14</v>
      </c>
      <c r="N549">
        <v>10</v>
      </c>
      <c r="O549">
        <v>10</v>
      </c>
      <c r="P549">
        <v>11</v>
      </c>
      <c r="Q549">
        <v>15</v>
      </c>
      <c r="R549">
        <v>11</v>
      </c>
      <c r="S549">
        <v>9</v>
      </c>
      <c r="T549">
        <v>15</v>
      </c>
      <c r="U549">
        <v>19</v>
      </c>
      <c r="V549">
        <v>7</v>
      </c>
      <c r="W549" s="8">
        <f t="shared" si="384"/>
        <v>4.3478260869565216E-2</v>
      </c>
      <c r="X549" s="8">
        <f t="shared" si="385"/>
        <v>0</v>
      </c>
      <c r="Y549" s="8">
        <f t="shared" si="386"/>
        <v>8.3333333333333329E-2</v>
      </c>
      <c r="Z549" s="8">
        <f t="shared" si="387"/>
        <v>0.11538461538461539</v>
      </c>
      <c r="AA549" s="8">
        <f t="shared" si="388"/>
        <v>0</v>
      </c>
      <c r="AB549" s="8">
        <f t="shared" si="389"/>
        <v>-0.41379310344827586</v>
      </c>
      <c r="AC549" s="12">
        <f t="shared" si="390"/>
        <v>-2.8599482310126986E-2</v>
      </c>
      <c r="AD549" s="12">
        <f t="shared" si="391"/>
        <v>2.1739130434782608E-2</v>
      </c>
      <c r="AE549" s="1">
        <f t="shared" si="392"/>
        <v>1</v>
      </c>
      <c r="AF549" s="1">
        <f t="shared" si="393"/>
        <v>0</v>
      </c>
      <c r="AG549" s="1">
        <f t="shared" si="394"/>
        <v>2</v>
      </c>
      <c r="AH549" s="1">
        <f t="shared" si="395"/>
        <v>3</v>
      </c>
      <c r="AI549" s="1">
        <f t="shared" si="396"/>
        <v>0</v>
      </c>
      <c r="AJ549" s="1">
        <f t="shared" si="397"/>
        <v>-12</v>
      </c>
      <c r="AK549" s="17">
        <f t="shared" si="398"/>
        <v>-1</v>
      </c>
      <c r="AL549" s="17">
        <f t="shared" si="399"/>
        <v>0.5</v>
      </c>
      <c r="AM549" s="1">
        <f t="shared" si="400"/>
        <v>-0.25</v>
      </c>
      <c r="AN549" s="1">
        <f t="shared" si="401"/>
        <v>0.44444444444444442</v>
      </c>
      <c r="AO549" s="1">
        <f t="shared" si="402"/>
        <v>0.30769230769230771</v>
      </c>
      <c r="AP549" s="1">
        <f t="shared" si="403"/>
        <v>-0.17647058823529413</v>
      </c>
      <c r="AQ549" s="1">
        <f t="shared" si="404"/>
        <v>-0.2857142857142857</v>
      </c>
      <c r="AR549" s="1">
        <f t="shared" si="405"/>
        <v>0</v>
      </c>
      <c r="AS549" s="12">
        <f t="shared" si="406"/>
        <v>6.6586463645287126E-3</v>
      </c>
      <c r="AT549" s="12">
        <f t="shared" si="407"/>
        <v>-8.8235294117647065E-2</v>
      </c>
      <c r="AU549" s="1">
        <f t="shared" si="408"/>
        <v>-3</v>
      </c>
      <c r="AV549" s="1">
        <f t="shared" si="409"/>
        <v>4</v>
      </c>
      <c r="AW549" s="1">
        <f t="shared" si="410"/>
        <v>4</v>
      </c>
      <c r="AX549" s="1">
        <f t="shared" si="411"/>
        <v>-3</v>
      </c>
      <c r="AY549" s="1">
        <f t="shared" si="412"/>
        <v>-4</v>
      </c>
      <c r="AZ549" s="1">
        <f t="shared" si="413"/>
        <v>0</v>
      </c>
      <c r="BA549" s="19">
        <f t="shared" si="414"/>
        <v>-0.33333333333333331</v>
      </c>
      <c r="BB549" s="19">
        <f t="shared" si="415"/>
        <v>-1.5</v>
      </c>
      <c r="BC549" s="9">
        <f t="shared" si="416"/>
        <v>0.36363636363636365</v>
      </c>
      <c r="BD549" s="9">
        <f t="shared" si="417"/>
        <v>-0.26666666666666666</v>
      </c>
      <c r="BE549" s="9">
        <f t="shared" si="418"/>
        <v>-0.18181818181818182</v>
      </c>
      <c r="BF549" s="9">
        <f t="shared" si="419"/>
        <v>0.66666666666666663</v>
      </c>
      <c r="BG549" s="9">
        <f t="shared" si="420"/>
        <v>0.26666666666666666</v>
      </c>
      <c r="BH549" s="9">
        <f t="shared" si="421"/>
        <v>-0.63157894736842102</v>
      </c>
      <c r="BI549" s="12">
        <f t="shared" si="422"/>
        <v>3.6150983519404566E-2</v>
      </c>
      <c r="BJ549" s="13">
        <f t="shared" si="423"/>
        <v>4.242424242424242E-2</v>
      </c>
      <c r="BK549" s="1">
        <f t="shared" si="424"/>
        <v>4</v>
      </c>
      <c r="BL549" s="1">
        <f t="shared" si="425"/>
        <v>-4</v>
      </c>
      <c r="BM549" s="1">
        <f t="shared" si="426"/>
        <v>-2</v>
      </c>
      <c r="BN549" s="1">
        <f t="shared" si="427"/>
        <v>6</v>
      </c>
      <c r="BO549" s="1">
        <f t="shared" si="428"/>
        <v>4</v>
      </c>
      <c r="BP549" s="1">
        <f t="shared" si="429"/>
        <v>-12</v>
      </c>
      <c r="BQ549" s="19">
        <f t="shared" si="430"/>
        <v>-0.66666666666666663</v>
      </c>
      <c r="BR549" s="17">
        <f t="shared" si="431"/>
        <v>1</v>
      </c>
    </row>
    <row r="550" spans="1:70" x14ac:dyDescent="0.25">
      <c r="A550" t="s">
        <v>275</v>
      </c>
      <c r="B550">
        <v>15</v>
      </c>
      <c r="C550">
        <v>18</v>
      </c>
      <c r="D550">
        <v>22</v>
      </c>
      <c r="E550">
        <v>11</v>
      </c>
      <c r="F550">
        <v>14</v>
      </c>
      <c r="G550">
        <v>8</v>
      </c>
      <c r="H550">
        <v>9</v>
      </c>
      <c r="I550">
        <v>8</v>
      </c>
      <c r="J550">
        <v>6</v>
      </c>
      <c r="K550">
        <v>8</v>
      </c>
      <c r="L550">
        <v>5</v>
      </c>
      <c r="M550">
        <v>6</v>
      </c>
      <c r="N550">
        <v>4</v>
      </c>
      <c r="O550">
        <v>5</v>
      </c>
      <c r="P550">
        <v>7</v>
      </c>
      <c r="Q550">
        <v>12</v>
      </c>
      <c r="R550">
        <v>14</v>
      </c>
      <c r="S550">
        <v>6</v>
      </c>
      <c r="T550">
        <v>8</v>
      </c>
      <c r="U550">
        <v>4</v>
      </c>
      <c r="V550">
        <v>4</v>
      </c>
      <c r="W550" s="8">
        <f t="shared" si="384"/>
        <v>0.2</v>
      </c>
      <c r="X550" s="8">
        <f t="shared" si="385"/>
        <v>0.22222222222222221</v>
      </c>
      <c r="Y550" s="8">
        <f t="shared" si="386"/>
        <v>-0.5</v>
      </c>
      <c r="Z550" s="8">
        <f t="shared" si="387"/>
        <v>0.27272727272727271</v>
      </c>
      <c r="AA550" s="8">
        <f t="shared" si="388"/>
        <v>-0.42857142857142855</v>
      </c>
      <c r="AB550" s="8">
        <f t="shared" si="389"/>
        <v>0.125</v>
      </c>
      <c r="AC550" s="12">
        <f t="shared" si="390"/>
        <v>-1.8103655603655604E-2</v>
      </c>
      <c r="AD550" s="12">
        <f t="shared" si="391"/>
        <v>0.16250000000000001</v>
      </c>
      <c r="AE550" s="1">
        <f t="shared" si="392"/>
        <v>3</v>
      </c>
      <c r="AF550" s="1">
        <f t="shared" si="393"/>
        <v>4</v>
      </c>
      <c r="AG550" s="1">
        <f t="shared" si="394"/>
        <v>-11</v>
      </c>
      <c r="AH550" s="1">
        <f t="shared" si="395"/>
        <v>3</v>
      </c>
      <c r="AI550" s="1">
        <f t="shared" si="396"/>
        <v>-6</v>
      </c>
      <c r="AJ550" s="1">
        <f t="shared" si="397"/>
        <v>1</v>
      </c>
      <c r="AK550" s="17">
        <f t="shared" si="398"/>
        <v>-1</v>
      </c>
      <c r="AL550" s="17">
        <f t="shared" si="399"/>
        <v>2</v>
      </c>
      <c r="AM550" s="1">
        <f t="shared" si="400"/>
        <v>-0.25</v>
      </c>
      <c r="AN550" s="1">
        <f t="shared" si="401"/>
        <v>0.33333333333333331</v>
      </c>
      <c r="AO550" s="1">
        <f t="shared" si="402"/>
        <v>-0.375</v>
      </c>
      <c r="AP550" s="1">
        <f t="shared" si="403"/>
        <v>0.2</v>
      </c>
      <c r="AQ550" s="1">
        <f t="shared" si="404"/>
        <v>-0.33333333333333331</v>
      </c>
      <c r="AR550" s="1">
        <f t="shared" si="405"/>
        <v>0.25</v>
      </c>
      <c r="AS550" s="12">
        <f t="shared" si="406"/>
        <v>-2.9166666666666664E-2</v>
      </c>
      <c r="AT550" s="12">
        <f t="shared" si="407"/>
        <v>-2.4999999999999994E-2</v>
      </c>
      <c r="AU550" s="1">
        <f t="shared" si="408"/>
        <v>-2</v>
      </c>
      <c r="AV550" s="1">
        <f t="shared" si="409"/>
        <v>2</v>
      </c>
      <c r="AW550" s="1">
        <f t="shared" si="410"/>
        <v>-3</v>
      </c>
      <c r="AX550" s="1">
        <f t="shared" si="411"/>
        <v>1</v>
      </c>
      <c r="AY550" s="1">
        <f t="shared" si="412"/>
        <v>-2</v>
      </c>
      <c r="AZ550" s="1">
        <f t="shared" si="413"/>
        <v>1</v>
      </c>
      <c r="BA550" s="19">
        <f t="shared" si="414"/>
        <v>-0.5</v>
      </c>
      <c r="BB550" s="19">
        <f t="shared" si="415"/>
        <v>-0.5</v>
      </c>
      <c r="BC550" s="9">
        <f t="shared" si="416"/>
        <v>0.7142857142857143</v>
      </c>
      <c r="BD550" s="9">
        <f t="shared" si="417"/>
        <v>0.16666666666666666</v>
      </c>
      <c r="BE550" s="9">
        <f t="shared" si="418"/>
        <v>-0.5714285714285714</v>
      </c>
      <c r="BF550" s="9">
        <f t="shared" si="419"/>
        <v>0.33333333333333331</v>
      </c>
      <c r="BG550" s="9">
        <f t="shared" si="420"/>
        <v>-0.5</v>
      </c>
      <c r="BH550" s="9">
        <f t="shared" si="421"/>
        <v>0</v>
      </c>
      <c r="BI550" s="12">
        <f t="shared" si="422"/>
        <v>2.3809523809523798E-2</v>
      </c>
      <c r="BJ550" s="13">
        <f t="shared" si="423"/>
        <v>8.3333333333333329E-2</v>
      </c>
      <c r="BK550" s="1">
        <f t="shared" si="424"/>
        <v>5</v>
      </c>
      <c r="BL550" s="1">
        <f t="shared" si="425"/>
        <v>2</v>
      </c>
      <c r="BM550" s="1">
        <f t="shared" si="426"/>
        <v>-8</v>
      </c>
      <c r="BN550" s="1">
        <f t="shared" si="427"/>
        <v>2</v>
      </c>
      <c r="BO550" s="1">
        <f t="shared" si="428"/>
        <v>-4</v>
      </c>
      <c r="BP550" s="1">
        <f t="shared" si="429"/>
        <v>0</v>
      </c>
      <c r="BQ550" s="19">
        <f t="shared" si="430"/>
        <v>-0.5</v>
      </c>
      <c r="BR550" s="17">
        <f t="shared" si="431"/>
        <v>1</v>
      </c>
    </row>
    <row r="551" spans="1:70" x14ac:dyDescent="0.25">
      <c r="A551" t="s">
        <v>305</v>
      </c>
      <c r="B551">
        <v>10</v>
      </c>
      <c r="C551">
        <v>12</v>
      </c>
      <c r="D551">
        <v>14</v>
      </c>
      <c r="E551">
        <v>6</v>
      </c>
      <c r="F551">
        <v>3</v>
      </c>
      <c r="G551">
        <v>4</v>
      </c>
      <c r="H551">
        <v>4</v>
      </c>
      <c r="I551">
        <v>7</v>
      </c>
      <c r="J551">
        <v>5</v>
      </c>
      <c r="K551">
        <v>5</v>
      </c>
      <c r="L551">
        <v>3</v>
      </c>
      <c r="M551">
        <v>1</v>
      </c>
      <c r="N551">
        <v>1</v>
      </c>
      <c r="O551">
        <v>2</v>
      </c>
      <c r="P551">
        <v>3</v>
      </c>
      <c r="Q551">
        <v>7</v>
      </c>
      <c r="R551">
        <v>9</v>
      </c>
      <c r="S551">
        <v>3</v>
      </c>
      <c r="T551">
        <v>2</v>
      </c>
      <c r="U551">
        <v>3</v>
      </c>
      <c r="V551">
        <v>2</v>
      </c>
      <c r="W551" s="8">
        <f t="shared" si="384"/>
        <v>0.2</v>
      </c>
      <c r="X551" s="8">
        <f t="shared" si="385"/>
        <v>0.16666666666666666</v>
      </c>
      <c r="Y551" s="8">
        <f t="shared" si="386"/>
        <v>-0.5714285714285714</v>
      </c>
      <c r="Z551" s="8">
        <f t="shared" si="387"/>
        <v>-0.5</v>
      </c>
      <c r="AA551" s="8">
        <f t="shared" si="388"/>
        <v>0.33333333333333331</v>
      </c>
      <c r="AB551" s="8">
        <f t="shared" si="389"/>
        <v>0</v>
      </c>
      <c r="AC551" s="12">
        <f t="shared" si="390"/>
        <v>-6.19047619047619E-2</v>
      </c>
      <c r="AD551" s="12">
        <f t="shared" si="391"/>
        <v>8.3333333333333329E-2</v>
      </c>
      <c r="AE551" s="1">
        <f t="shared" si="392"/>
        <v>2</v>
      </c>
      <c r="AF551" s="1">
        <f t="shared" si="393"/>
        <v>2</v>
      </c>
      <c r="AG551" s="1">
        <f t="shared" si="394"/>
        <v>-8</v>
      </c>
      <c r="AH551" s="1">
        <f t="shared" si="395"/>
        <v>-3</v>
      </c>
      <c r="AI551" s="1">
        <f t="shared" si="396"/>
        <v>1</v>
      </c>
      <c r="AJ551" s="1">
        <f t="shared" si="397"/>
        <v>0</v>
      </c>
      <c r="AK551" s="17">
        <f t="shared" si="398"/>
        <v>-1</v>
      </c>
      <c r="AL551" s="17">
        <f t="shared" si="399"/>
        <v>0.5</v>
      </c>
      <c r="AM551" s="1">
        <f t="shared" si="400"/>
        <v>-0.2857142857142857</v>
      </c>
      <c r="AN551" s="1">
        <f t="shared" si="401"/>
        <v>0</v>
      </c>
      <c r="AO551" s="1">
        <f t="shared" si="402"/>
        <v>-0.4</v>
      </c>
      <c r="AP551" s="1">
        <f t="shared" si="403"/>
        <v>-0.66666666666666663</v>
      </c>
      <c r="AQ551" s="1">
        <f t="shared" si="404"/>
        <v>0</v>
      </c>
      <c r="AR551" s="1">
        <f t="shared" si="405"/>
        <v>1</v>
      </c>
      <c r="AS551" s="12">
        <f t="shared" si="406"/>
        <v>-5.8730158730158744E-2</v>
      </c>
      <c r="AT551" s="12">
        <f t="shared" si="407"/>
        <v>-0.14285714285714285</v>
      </c>
      <c r="AU551" s="1">
        <f t="shared" si="408"/>
        <v>-2</v>
      </c>
      <c r="AV551" s="1">
        <f t="shared" si="409"/>
        <v>0</v>
      </c>
      <c r="AW551" s="1">
        <f t="shared" si="410"/>
        <v>-2</v>
      </c>
      <c r="AX551" s="1">
        <f t="shared" si="411"/>
        <v>-2</v>
      </c>
      <c r="AY551" s="1">
        <f t="shared" si="412"/>
        <v>0</v>
      </c>
      <c r="AZ551" s="1">
        <f t="shared" si="413"/>
        <v>1</v>
      </c>
      <c r="BA551" s="19">
        <f t="shared" si="414"/>
        <v>-0.83333333333333337</v>
      </c>
      <c r="BB551" s="19">
        <f t="shared" si="415"/>
        <v>-1</v>
      </c>
      <c r="BC551" s="9">
        <f t="shared" si="416"/>
        <v>1.3333333333333333</v>
      </c>
      <c r="BD551" s="9">
        <f t="shared" si="417"/>
        <v>0.2857142857142857</v>
      </c>
      <c r="BE551" s="9">
        <f t="shared" si="418"/>
        <v>-0.66666666666666663</v>
      </c>
      <c r="BF551" s="9">
        <f t="shared" si="419"/>
        <v>-0.33333333333333331</v>
      </c>
      <c r="BG551" s="9">
        <f t="shared" si="420"/>
        <v>0.5</v>
      </c>
      <c r="BH551" s="9">
        <f t="shared" si="421"/>
        <v>-0.33333333333333331</v>
      </c>
      <c r="BI551" s="12">
        <f t="shared" si="422"/>
        <v>0.13095238095238096</v>
      </c>
      <c r="BJ551" s="13">
        <f t="shared" si="423"/>
        <v>-2.380952380952378E-2</v>
      </c>
      <c r="BK551" s="1">
        <f t="shared" si="424"/>
        <v>4</v>
      </c>
      <c r="BL551" s="1">
        <f t="shared" si="425"/>
        <v>2</v>
      </c>
      <c r="BM551" s="1">
        <f t="shared" si="426"/>
        <v>-6</v>
      </c>
      <c r="BN551" s="1">
        <f t="shared" si="427"/>
        <v>-1</v>
      </c>
      <c r="BO551" s="1">
        <f t="shared" si="428"/>
        <v>1</v>
      </c>
      <c r="BP551" s="1">
        <f t="shared" si="429"/>
        <v>-1</v>
      </c>
      <c r="BQ551" s="19">
        <f t="shared" si="430"/>
        <v>-0.16666666666666666</v>
      </c>
      <c r="BR551" s="17">
        <f t="shared" si="431"/>
        <v>0</v>
      </c>
    </row>
    <row r="552" spans="1:70" x14ac:dyDescent="0.25">
      <c r="A552" t="s">
        <v>333</v>
      </c>
      <c r="B552">
        <v>8</v>
      </c>
      <c r="C552">
        <v>3</v>
      </c>
      <c r="E552">
        <v>3</v>
      </c>
      <c r="F552">
        <v>2</v>
      </c>
      <c r="G552">
        <v>4</v>
      </c>
      <c r="H552">
        <v>2</v>
      </c>
      <c r="I552">
        <v>5</v>
      </c>
      <c r="J552">
        <v>2</v>
      </c>
      <c r="L552">
        <v>2</v>
      </c>
      <c r="M552">
        <v>1</v>
      </c>
      <c r="N552">
        <v>2</v>
      </c>
      <c r="O552">
        <v>1</v>
      </c>
      <c r="P552">
        <v>3</v>
      </c>
      <c r="Q552">
        <v>1</v>
      </c>
      <c r="S552">
        <v>1</v>
      </c>
      <c r="T552">
        <v>1</v>
      </c>
      <c r="U552">
        <v>2</v>
      </c>
      <c r="V552">
        <v>1</v>
      </c>
      <c r="W552" s="8">
        <f t="shared" si="384"/>
        <v>-0.625</v>
      </c>
      <c r="X552" s="8">
        <f t="shared" si="385"/>
        <v>-1</v>
      </c>
      <c r="Y552" s="8" t="e">
        <f t="shared" si="386"/>
        <v>#DIV/0!</v>
      </c>
      <c r="Z552" s="8">
        <f t="shared" si="387"/>
        <v>-0.33333333333333331</v>
      </c>
      <c r="AA552" s="8">
        <f t="shared" si="388"/>
        <v>1</v>
      </c>
      <c r="AB552" s="8">
        <f t="shared" si="389"/>
        <v>-0.5</v>
      </c>
      <c r="AC552" s="12" t="e">
        <f t="shared" si="390"/>
        <v>#DIV/0!</v>
      </c>
      <c r="AD552" s="12" t="e">
        <f t="shared" si="391"/>
        <v>#DIV/0!</v>
      </c>
      <c r="AE552" s="1">
        <f t="shared" si="392"/>
        <v>-5</v>
      </c>
      <c r="AF552" s="1">
        <f t="shared" si="393"/>
        <v>-3</v>
      </c>
      <c r="AG552" s="1">
        <f t="shared" si="394"/>
        <v>3</v>
      </c>
      <c r="AH552" s="1">
        <f t="shared" si="395"/>
        <v>-1</v>
      </c>
      <c r="AI552" s="1">
        <f t="shared" si="396"/>
        <v>2</v>
      </c>
      <c r="AJ552" s="1">
        <f t="shared" si="397"/>
        <v>-2</v>
      </c>
      <c r="AK552" s="17">
        <f t="shared" si="398"/>
        <v>-1</v>
      </c>
      <c r="AL552" s="17">
        <f t="shared" si="399"/>
        <v>-1.5</v>
      </c>
      <c r="AM552" s="1">
        <f t="shared" si="400"/>
        <v>-0.6</v>
      </c>
      <c r="AN552" s="1">
        <f t="shared" si="401"/>
        <v>-1</v>
      </c>
      <c r="AO552" s="1" t="e">
        <f t="shared" si="402"/>
        <v>#DIV/0!</v>
      </c>
      <c r="AP552" s="1">
        <f t="shared" si="403"/>
        <v>-0.5</v>
      </c>
      <c r="AQ552" s="1">
        <f t="shared" si="404"/>
        <v>1</v>
      </c>
      <c r="AR552" s="1">
        <f t="shared" si="405"/>
        <v>-0.5</v>
      </c>
      <c r="AS552" s="12" t="e">
        <f t="shared" si="406"/>
        <v>#DIV/0!</v>
      </c>
      <c r="AT552" s="12" t="e">
        <f t="shared" si="407"/>
        <v>#DIV/0!</v>
      </c>
      <c r="AU552" s="1">
        <f t="shared" si="408"/>
        <v>-3</v>
      </c>
      <c r="AV552" s="1">
        <f t="shared" si="409"/>
        <v>-2</v>
      </c>
      <c r="AW552" s="1">
        <f t="shared" si="410"/>
        <v>2</v>
      </c>
      <c r="AX552" s="1">
        <f t="shared" si="411"/>
        <v>-1</v>
      </c>
      <c r="AY552" s="1">
        <f t="shared" si="412"/>
        <v>1</v>
      </c>
      <c r="AZ552" s="1">
        <f t="shared" si="413"/>
        <v>-1</v>
      </c>
      <c r="BA552" s="19">
        <f t="shared" si="414"/>
        <v>-0.66666666666666663</v>
      </c>
      <c r="BB552" s="19">
        <f t="shared" si="415"/>
        <v>-1</v>
      </c>
      <c r="BC552" s="9">
        <f t="shared" si="416"/>
        <v>-0.66666666666666663</v>
      </c>
      <c r="BD552" s="9">
        <f t="shared" si="417"/>
        <v>-1</v>
      </c>
      <c r="BE552" s="9" t="e">
        <f t="shared" si="418"/>
        <v>#DIV/0!</v>
      </c>
      <c r="BF552" s="9">
        <f t="shared" si="419"/>
        <v>0</v>
      </c>
      <c r="BG552" s="9">
        <f t="shared" si="420"/>
        <v>1</v>
      </c>
      <c r="BH552" s="9">
        <f t="shared" si="421"/>
        <v>-0.5</v>
      </c>
      <c r="BI552" s="12" t="e">
        <f t="shared" si="422"/>
        <v>#DIV/0!</v>
      </c>
      <c r="BJ552" s="13" t="e">
        <f t="shared" si="423"/>
        <v>#DIV/0!</v>
      </c>
      <c r="BK552" s="1">
        <f t="shared" si="424"/>
        <v>-2</v>
      </c>
      <c r="BL552" s="1">
        <f t="shared" si="425"/>
        <v>-1</v>
      </c>
      <c r="BM552" s="1">
        <f t="shared" si="426"/>
        <v>1</v>
      </c>
      <c r="BN552" s="1">
        <f t="shared" si="427"/>
        <v>0</v>
      </c>
      <c r="BO552" s="1">
        <f t="shared" si="428"/>
        <v>1</v>
      </c>
      <c r="BP552" s="1">
        <f t="shared" si="429"/>
        <v>-1</v>
      </c>
      <c r="BQ552" s="19">
        <f t="shared" si="430"/>
        <v>-0.33333333333333331</v>
      </c>
      <c r="BR552" s="17">
        <f t="shared" si="431"/>
        <v>-0.5</v>
      </c>
    </row>
    <row r="553" spans="1:70" x14ac:dyDescent="0.25">
      <c r="A553" t="s">
        <v>342</v>
      </c>
      <c r="B553">
        <v>7</v>
      </c>
      <c r="C553">
        <v>1</v>
      </c>
      <c r="D553">
        <v>4</v>
      </c>
      <c r="E553">
        <v>3</v>
      </c>
      <c r="F553">
        <v>5</v>
      </c>
      <c r="G553">
        <v>7</v>
      </c>
      <c r="H553">
        <v>1</v>
      </c>
      <c r="I553">
        <v>3</v>
      </c>
      <c r="J553">
        <v>1</v>
      </c>
      <c r="K553">
        <v>4</v>
      </c>
      <c r="L553">
        <v>1</v>
      </c>
      <c r="M553">
        <v>1</v>
      </c>
      <c r="N553">
        <v>1</v>
      </c>
      <c r="P553">
        <v>4</v>
      </c>
      <c r="S553">
        <v>2</v>
      </c>
      <c r="T553">
        <v>4</v>
      </c>
      <c r="U553">
        <v>6</v>
      </c>
      <c r="V553">
        <v>1</v>
      </c>
      <c r="W553" s="8">
        <f t="shared" si="384"/>
        <v>-0.8571428571428571</v>
      </c>
      <c r="X553" s="8">
        <f t="shared" si="385"/>
        <v>3</v>
      </c>
      <c r="Y553" s="8">
        <f t="shared" si="386"/>
        <v>-0.25</v>
      </c>
      <c r="Z553" s="8">
        <f t="shared" si="387"/>
        <v>0.66666666666666663</v>
      </c>
      <c r="AA553" s="8">
        <f t="shared" si="388"/>
        <v>0.4</v>
      </c>
      <c r="AB553" s="8">
        <f t="shared" si="389"/>
        <v>-0.8571428571428571</v>
      </c>
      <c r="AC553" s="12">
        <f t="shared" si="390"/>
        <v>0.35039682539682532</v>
      </c>
      <c r="AD553" s="12">
        <f t="shared" si="391"/>
        <v>7.5000000000000011E-2</v>
      </c>
      <c r="AE553" s="1">
        <f t="shared" si="392"/>
        <v>-6</v>
      </c>
      <c r="AF553" s="1">
        <f t="shared" si="393"/>
        <v>3</v>
      </c>
      <c r="AG553" s="1">
        <f t="shared" si="394"/>
        <v>-1</v>
      </c>
      <c r="AH553" s="1">
        <f t="shared" si="395"/>
        <v>2</v>
      </c>
      <c r="AI553" s="1">
        <f t="shared" si="396"/>
        <v>2</v>
      </c>
      <c r="AJ553" s="1">
        <f t="shared" si="397"/>
        <v>-6</v>
      </c>
      <c r="AK553" s="17">
        <f t="shared" si="398"/>
        <v>-1</v>
      </c>
      <c r="AL553" s="17">
        <f t="shared" si="399"/>
        <v>0.5</v>
      </c>
      <c r="AM553" s="1">
        <f t="shared" si="400"/>
        <v>-0.66666666666666663</v>
      </c>
      <c r="AN553" s="1">
        <f t="shared" si="401"/>
        <v>3</v>
      </c>
      <c r="AO553" s="1">
        <f t="shared" si="402"/>
        <v>-0.75</v>
      </c>
      <c r="AP553" s="1">
        <f t="shared" si="403"/>
        <v>0</v>
      </c>
      <c r="AQ553" s="1">
        <f t="shared" si="404"/>
        <v>0</v>
      </c>
      <c r="AR553" s="1">
        <f t="shared" si="405"/>
        <v>-1</v>
      </c>
      <c r="AS553" s="12">
        <f t="shared" si="406"/>
        <v>9.7222222222222252E-2</v>
      </c>
      <c r="AT553" s="12">
        <f t="shared" si="407"/>
        <v>-0.33333333333333331</v>
      </c>
      <c r="AU553" s="1">
        <f t="shared" si="408"/>
        <v>-2</v>
      </c>
      <c r="AV553" s="1">
        <f t="shared" si="409"/>
        <v>3</v>
      </c>
      <c r="AW553" s="1">
        <f t="shared" si="410"/>
        <v>-3</v>
      </c>
      <c r="AX553" s="1">
        <f t="shared" si="411"/>
        <v>0</v>
      </c>
      <c r="AY553" s="1">
        <f t="shared" si="412"/>
        <v>0</v>
      </c>
      <c r="AZ553" s="1">
        <f t="shared" si="413"/>
        <v>-1</v>
      </c>
      <c r="BA553" s="19">
        <f t="shared" si="414"/>
        <v>-0.5</v>
      </c>
      <c r="BB553" s="19">
        <f t="shared" si="415"/>
        <v>-0.5</v>
      </c>
      <c r="BC553" s="9">
        <f t="shared" si="416"/>
        <v>-1</v>
      </c>
      <c r="BD553" s="9" t="e">
        <f t="shared" si="417"/>
        <v>#DIV/0!</v>
      </c>
      <c r="BE553" s="9" t="e">
        <f t="shared" si="418"/>
        <v>#DIV/0!</v>
      </c>
      <c r="BF553" s="9">
        <f t="shared" si="419"/>
        <v>1</v>
      </c>
      <c r="BG553" s="9">
        <f t="shared" si="420"/>
        <v>0.5</v>
      </c>
      <c r="BH553" s="9">
        <f t="shared" si="421"/>
        <v>-0.83333333333333337</v>
      </c>
      <c r="BI553" s="12" t="e">
        <f t="shared" si="422"/>
        <v>#DIV/0!</v>
      </c>
      <c r="BJ553" s="13" t="e">
        <f t="shared" si="423"/>
        <v>#DIV/0!</v>
      </c>
      <c r="BK553" s="1">
        <f t="shared" si="424"/>
        <v>-4</v>
      </c>
      <c r="BL553" s="1">
        <f t="shared" si="425"/>
        <v>0</v>
      </c>
      <c r="BM553" s="1">
        <f t="shared" si="426"/>
        <v>2</v>
      </c>
      <c r="BN553" s="1">
        <f t="shared" si="427"/>
        <v>2</v>
      </c>
      <c r="BO553" s="1">
        <f t="shared" si="428"/>
        <v>2</v>
      </c>
      <c r="BP553" s="1">
        <f t="shared" si="429"/>
        <v>-5</v>
      </c>
      <c r="BQ553" s="19">
        <f t="shared" si="430"/>
        <v>-0.5</v>
      </c>
      <c r="BR553" s="17">
        <f t="shared" si="431"/>
        <v>1</v>
      </c>
    </row>
    <row r="554" spans="1:70" x14ac:dyDescent="0.25">
      <c r="A554" t="s">
        <v>358</v>
      </c>
      <c r="B554">
        <v>6</v>
      </c>
      <c r="C554">
        <v>2</v>
      </c>
      <c r="D554">
        <v>2</v>
      </c>
      <c r="E554">
        <v>1</v>
      </c>
      <c r="F554">
        <v>1</v>
      </c>
      <c r="G554">
        <v>4</v>
      </c>
      <c r="I554">
        <v>4</v>
      </c>
      <c r="J554">
        <v>1</v>
      </c>
      <c r="K554">
        <v>2</v>
      </c>
      <c r="L554">
        <v>1</v>
      </c>
      <c r="M554">
        <v>1</v>
      </c>
      <c r="N554">
        <v>3</v>
      </c>
      <c r="P554">
        <v>2</v>
      </c>
      <c r="Q554">
        <v>1</v>
      </c>
      <c r="U554">
        <v>1</v>
      </c>
      <c r="W554" s="8">
        <f t="shared" si="384"/>
        <v>-0.66666666666666663</v>
      </c>
      <c r="X554" s="8">
        <f t="shared" si="385"/>
        <v>0</v>
      </c>
      <c r="Y554" s="8">
        <f t="shared" si="386"/>
        <v>-0.5</v>
      </c>
      <c r="Z554" s="8">
        <f t="shared" si="387"/>
        <v>0</v>
      </c>
      <c r="AA554" s="8">
        <f t="shared" si="388"/>
        <v>3</v>
      </c>
      <c r="AB554" s="8">
        <f t="shared" si="389"/>
        <v>-1</v>
      </c>
      <c r="AC554" s="12">
        <f t="shared" si="390"/>
        <v>0.13888888888888892</v>
      </c>
      <c r="AD554" s="12">
        <f t="shared" si="391"/>
        <v>-0.25</v>
      </c>
      <c r="AE554" s="1">
        <f t="shared" si="392"/>
        <v>-4</v>
      </c>
      <c r="AF554" s="1">
        <f t="shared" si="393"/>
        <v>0</v>
      </c>
      <c r="AG554" s="1">
        <f t="shared" si="394"/>
        <v>-1</v>
      </c>
      <c r="AH554" s="1">
        <f t="shared" si="395"/>
        <v>0</v>
      </c>
      <c r="AI554" s="1">
        <f t="shared" si="396"/>
        <v>3</v>
      </c>
      <c r="AJ554" s="1">
        <f t="shared" si="397"/>
        <v>-4</v>
      </c>
      <c r="AK554" s="17">
        <f t="shared" si="398"/>
        <v>-1</v>
      </c>
      <c r="AL554" s="17">
        <f t="shared" si="399"/>
        <v>-0.5</v>
      </c>
      <c r="AM554" s="1">
        <f t="shared" si="400"/>
        <v>-0.75</v>
      </c>
      <c r="AN554" s="1">
        <f t="shared" si="401"/>
        <v>1</v>
      </c>
      <c r="AO554" s="1">
        <f t="shared" si="402"/>
        <v>-0.5</v>
      </c>
      <c r="AP554" s="1">
        <f t="shared" si="403"/>
        <v>0</v>
      </c>
      <c r="AQ554" s="1">
        <f t="shared" si="404"/>
        <v>2</v>
      </c>
      <c r="AR554" s="1">
        <f t="shared" si="405"/>
        <v>-1</v>
      </c>
      <c r="AS554" s="12">
        <f t="shared" si="406"/>
        <v>0.125</v>
      </c>
      <c r="AT554" s="12">
        <f t="shared" si="407"/>
        <v>-0.25</v>
      </c>
      <c r="AU554" s="1">
        <f t="shared" si="408"/>
        <v>-3</v>
      </c>
      <c r="AV554" s="1">
        <f t="shared" si="409"/>
        <v>1</v>
      </c>
      <c r="AW554" s="1">
        <f t="shared" si="410"/>
        <v>-1</v>
      </c>
      <c r="AX554" s="1">
        <f t="shared" si="411"/>
        <v>0</v>
      </c>
      <c r="AY554" s="1">
        <f t="shared" si="412"/>
        <v>2</v>
      </c>
      <c r="AZ554" s="1">
        <f t="shared" si="413"/>
        <v>-3</v>
      </c>
      <c r="BA554" s="19">
        <f t="shared" si="414"/>
        <v>-0.66666666666666663</v>
      </c>
      <c r="BB554" s="19">
        <f t="shared" si="415"/>
        <v>-0.5</v>
      </c>
      <c r="BC554" s="9">
        <f t="shared" si="416"/>
        <v>-0.5</v>
      </c>
      <c r="BD554" s="9">
        <f t="shared" si="417"/>
        <v>-1</v>
      </c>
      <c r="BE554" s="9" t="e">
        <f t="shared" si="418"/>
        <v>#DIV/0!</v>
      </c>
      <c r="BF554" s="9" t="e">
        <f t="shared" si="419"/>
        <v>#DIV/0!</v>
      </c>
      <c r="BG554" s="9" t="e">
        <f t="shared" si="420"/>
        <v>#DIV/0!</v>
      </c>
      <c r="BH554" s="9">
        <f t="shared" si="421"/>
        <v>-1</v>
      </c>
      <c r="BI554" s="12" t="e">
        <f t="shared" si="422"/>
        <v>#DIV/0!</v>
      </c>
      <c r="BJ554" s="13" t="e">
        <f t="shared" si="423"/>
        <v>#DIV/0!</v>
      </c>
      <c r="BK554" s="1">
        <f t="shared" si="424"/>
        <v>-1</v>
      </c>
      <c r="BL554" s="1">
        <f t="shared" si="425"/>
        <v>-1</v>
      </c>
      <c r="BM554" s="1">
        <f t="shared" si="426"/>
        <v>0</v>
      </c>
      <c r="BN554" s="1">
        <f t="shared" si="427"/>
        <v>0</v>
      </c>
      <c r="BO554" s="1">
        <f t="shared" si="428"/>
        <v>1</v>
      </c>
      <c r="BP554" s="1">
        <f t="shared" si="429"/>
        <v>-1</v>
      </c>
      <c r="BQ554" s="19">
        <f t="shared" si="430"/>
        <v>-0.33333333333333331</v>
      </c>
      <c r="BR554" s="17">
        <f t="shared" si="431"/>
        <v>-0.5</v>
      </c>
    </row>
    <row r="555" spans="1:70" x14ac:dyDescent="0.25">
      <c r="A555" t="s">
        <v>360</v>
      </c>
      <c r="B555">
        <v>6</v>
      </c>
      <c r="C555">
        <v>5</v>
      </c>
      <c r="D555">
        <v>8</v>
      </c>
      <c r="I555">
        <v>2</v>
      </c>
      <c r="J555">
        <v>5</v>
      </c>
      <c r="K555">
        <v>5</v>
      </c>
      <c r="P555">
        <v>4</v>
      </c>
      <c r="R555">
        <v>3</v>
      </c>
      <c r="W555" s="8">
        <f t="shared" si="384"/>
        <v>-0.16666666666666666</v>
      </c>
      <c r="X555" s="8">
        <f t="shared" si="385"/>
        <v>0.6</v>
      </c>
      <c r="Y555" s="8">
        <f t="shared" si="386"/>
        <v>-1</v>
      </c>
      <c r="Z555" s="8" t="e">
        <f t="shared" si="387"/>
        <v>#DIV/0!</v>
      </c>
      <c r="AA555" s="8" t="e">
        <f t="shared" si="388"/>
        <v>#DIV/0!</v>
      </c>
      <c r="AB555" s="8" t="e">
        <f t="shared" si="389"/>
        <v>#DIV/0!</v>
      </c>
      <c r="AC555" s="12" t="e">
        <f t="shared" si="390"/>
        <v>#DIV/0!</v>
      </c>
      <c r="AD555" s="12" t="e">
        <f t="shared" si="391"/>
        <v>#DIV/0!</v>
      </c>
      <c r="AE555" s="1">
        <f t="shared" si="392"/>
        <v>-1</v>
      </c>
      <c r="AF555" s="1">
        <f t="shared" si="393"/>
        <v>3</v>
      </c>
      <c r="AG555" s="1">
        <f t="shared" si="394"/>
        <v>-8</v>
      </c>
      <c r="AH555" s="1">
        <f t="shared" si="395"/>
        <v>0</v>
      </c>
      <c r="AI555" s="1">
        <f t="shared" si="396"/>
        <v>0</v>
      </c>
      <c r="AJ555" s="1">
        <f t="shared" si="397"/>
        <v>0</v>
      </c>
      <c r="AK555" s="17">
        <f t="shared" si="398"/>
        <v>-1</v>
      </c>
      <c r="AL555" s="17">
        <f t="shared" si="399"/>
        <v>0</v>
      </c>
      <c r="AM555" s="1">
        <f t="shared" si="400"/>
        <v>1.5</v>
      </c>
      <c r="AN555" s="1">
        <f t="shared" si="401"/>
        <v>0</v>
      </c>
      <c r="AO555" s="1">
        <f t="shared" si="402"/>
        <v>-1</v>
      </c>
      <c r="AP555" s="1" t="e">
        <f t="shared" si="403"/>
        <v>#DIV/0!</v>
      </c>
      <c r="AQ555" s="1" t="e">
        <f t="shared" si="404"/>
        <v>#DIV/0!</v>
      </c>
      <c r="AR555" s="1" t="e">
        <f t="shared" si="405"/>
        <v>#DIV/0!</v>
      </c>
      <c r="AS555" s="12" t="e">
        <f t="shared" si="406"/>
        <v>#DIV/0!</v>
      </c>
      <c r="AT555" s="12" t="e">
        <f t="shared" si="407"/>
        <v>#DIV/0!</v>
      </c>
      <c r="AU555" s="1">
        <f t="shared" si="408"/>
        <v>3</v>
      </c>
      <c r="AV555" s="1">
        <f t="shared" si="409"/>
        <v>0</v>
      </c>
      <c r="AW555" s="1">
        <f t="shared" si="410"/>
        <v>-5</v>
      </c>
      <c r="AX555" s="1">
        <f t="shared" si="411"/>
        <v>0</v>
      </c>
      <c r="AY555" s="1">
        <f t="shared" si="412"/>
        <v>0</v>
      </c>
      <c r="AZ555" s="1">
        <f t="shared" si="413"/>
        <v>0</v>
      </c>
      <c r="BA555" s="19">
        <f t="shared" si="414"/>
        <v>-0.33333333333333331</v>
      </c>
      <c r="BB555" s="19">
        <f t="shared" si="415"/>
        <v>0</v>
      </c>
      <c r="BC555" s="9">
        <f t="shared" si="416"/>
        <v>-1</v>
      </c>
      <c r="BD555" s="9" t="e">
        <f t="shared" si="417"/>
        <v>#DIV/0!</v>
      </c>
      <c r="BE555" s="9">
        <f t="shared" si="418"/>
        <v>-1</v>
      </c>
      <c r="BF555" s="9" t="e">
        <f t="shared" si="419"/>
        <v>#DIV/0!</v>
      </c>
      <c r="BG555" s="9" t="e">
        <f t="shared" si="420"/>
        <v>#DIV/0!</v>
      </c>
      <c r="BH555" s="9" t="e">
        <f t="shared" si="421"/>
        <v>#DIV/0!</v>
      </c>
      <c r="BI555" s="12" t="e">
        <f t="shared" si="422"/>
        <v>#DIV/0!</v>
      </c>
      <c r="BJ555" s="13" t="e">
        <f t="shared" si="423"/>
        <v>#DIV/0!</v>
      </c>
      <c r="BK555" s="1">
        <f t="shared" si="424"/>
        <v>-4</v>
      </c>
      <c r="BL555" s="1">
        <f t="shared" si="425"/>
        <v>3</v>
      </c>
      <c r="BM555" s="1">
        <f t="shared" si="426"/>
        <v>-3</v>
      </c>
      <c r="BN555" s="1">
        <f t="shared" si="427"/>
        <v>0</v>
      </c>
      <c r="BO555" s="1">
        <f t="shared" si="428"/>
        <v>0</v>
      </c>
      <c r="BP555" s="1">
        <f t="shared" si="429"/>
        <v>0</v>
      </c>
      <c r="BQ555" s="19">
        <f t="shared" si="430"/>
        <v>-0.66666666666666663</v>
      </c>
      <c r="BR555" s="17">
        <f t="shared" si="431"/>
        <v>0</v>
      </c>
    </row>
    <row r="556" spans="1:70" x14ac:dyDescent="0.25">
      <c r="A556" t="s">
        <v>72</v>
      </c>
      <c r="B556">
        <v>1005</v>
      </c>
      <c r="C556">
        <v>1024</v>
      </c>
      <c r="D556">
        <v>1082</v>
      </c>
      <c r="E556">
        <v>1289</v>
      </c>
      <c r="F556">
        <v>1282</v>
      </c>
      <c r="G556">
        <v>1224</v>
      </c>
      <c r="H556">
        <v>998</v>
      </c>
      <c r="I556">
        <v>445</v>
      </c>
      <c r="J556">
        <v>443</v>
      </c>
      <c r="K556">
        <v>508</v>
      </c>
      <c r="L556">
        <v>633</v>
      </c>
      <c r="M556">
        <v>606</v>
      </c>
      <c r="N556">
        <v>559</v>
      </c>
      <c r="O556">
        <v>441</v>
      </c>
      <c r="P556">
        <v>560</v>
      </c>
      <c r="Q556">
        <v>581</v>
      </c>
      <c r="R556">
        <v>574</v>
      </c>
      <c r="S556">
        <v>656</v>
      </c>
      <c r="T556">
        <v>676</v>
      </c>
      <c r="U556">
        <v>665</v>
      </c>
      <c r="V556">
        <v>557</v>
      </c>
      <c r="W556" s="8">
        <f t="shared" si="384"/>
        <v>1.8905472636815919E-2</v>
      </c>
      <c r="X556" s="8">
        <f t="shared" si="385"/>
        <v>5.6640625E-2</v>
      </c>
      <c r="Y556" s="8">
        <f t="shared" si="386"/>
        <v>0.19131238447319779</v>
      </c>
      <c r="Z556" s="8">
        <f t="shared" si="387"/>
        <v>-5.4305663304887513E-3</v>
      </c>
      <c r="AA556" s="8">
        <f t="shared" si="388"/>
        <v>-4.5241809672386897E-2</v>
      </c>
      <c r="AB556" s="8">
        <f t="shared" si="389"/>
        <v>-0.184640522875817</v>
      </c>
      <c r="AC556" s="12">
        <f t="shared" si="390"/>
        <v>5.2575972052201769E-3</v>
      </c>
      <c r="AD556" s="12">
        <f t="shared" si="391"/>
        <v>6.7374531531635843E-3</v>
      </c>
      <c r="AE556" s="1">
        <f t="shared" si="392"/>
        <v>19</v>
      </c>
      <c r="AF556" s="1">
        <f t="shared" si="393"/>
        <v>58</v>
      </c>
      <c r="AG556" s="1">
        <f t="shared" si="394"/>
        <v>207</v>
      </c>
      <c r="AH556" s="1">
        <f t="shared" si="395"/>
        <v>-7</v>
      </c>
      <c r="AI556" s="1">
        <f t="shared" si="396"/>
        <v>-58</v>
      </c>
      <c r="AJ556" s="1">
        <f t="shared" si="397"/>
        <v>-226</v>
      </c>
      <c r="AK556" s="17">
        <f t="shared" si="398"/>
        <v>-1.1666666666666667</v>
      </c>
      <c r="AL556" s="17">
        <f t="shared" si="399"/>
        <v>6</v>
      </c>
      <c r="AM556" s="1">
        <f t="shared" si="400"/>
        <v>-4.4943820224719105E-3</v>
      </c>
      <c r="AN556" s="1">
        <f t="shared" si="401"/>
        <v>0.14672686230248308</v>
      </c>
      <c r="AO556" s="1">
        <f t="shared" si="402"/>
        <v>0.24606299212598426</v>
      </c>
      <c r="AP556" s="1">
        <f t="shared" si="403"/>
        <v>-4.2654028436018961E-2</v>
      </c>
      <c r="AQ556" s="1">
        <f t="shared" si="404"/>
        <v>-7.7557755775577553E-2</v>
      </c>
      <c r="AR556" s="1">
        <f t="shared" si="405"/>
        <v>-0.2110912343470483</v>
      </c>
      <c r="AS556" s="12">
        <f t="shared" si="406"/>
        <v>9.4987423078917721E-3</v>
      </c>
      <c r="AT556" s="12">
        <f t="shared" si="407"/>
        <v>-2.3574205229245436E-2</v>
      </c>
      <c r="AU556" s="1">
        <f t="shared" si="408"/>
        <v>-2</v>
      </c>
      <c r="AV556" s="1">
        <f t="shared" si="409"/>
        <v>65</v>
      </c>
      <c r="AW556" s="1">
        <f t="shared" si="410"/>
        <v>125</v>
      </c>
      <c r="AX556" s="1">
        <f t="shared" si="411"/>
        <v>-27</v>
      </c>
      <c r="AY556" s="1">
        <f t="shared" si="412"/>
        <v>-47</v>
      </c>
      <c r="AZ556" s="1">
        <f t="shared" si="413"/>
        <v>-118</v>
      </c>
      <c r="BA556" s="19">
        <f t="shared" si="414"/>
        <v>-0.66666666666666663</v>
      </c>
      <c r="BB556" s="19">
        <f t="shared" si="415"/>
        <v>-14.5</v>
      </c>
      <c r="BC556" s="9">
        <f t="shared" si="416"/>
        <v>3.7499999999999999E-2</v>
      </c>
      <c r="BD556" s="9">
        <f t="shared" si="417"/>
        <v>-1.2048192771084338E-2</v>
      </c>
      <c r="BE556" s="9">
        <f t="shared" si="418"/>
        <v>0.14285714285714285</v>
      </c>
      <c r="BF556" s="9">
        <f t="shared" si="419"/>
        <v>3.048780487804878E-2</v>
      </c>
      <c r="BG556" s="9">
        <f t="shared" si="420"/>
        <v>-1.6272189349112426E-2</v>
      </c>
      <c r="BH556" s="9">
        <f t="shared" si="421"/>
        <v>-0.162406015037594</v>
      </c>
      <c r="BI556" s="12">
        <f t="shared" si="422"/>
        <v>3.3530917629001435E-3</v>
      </c>
      <c r="BJ556" s="13">
        <f t="shared" si="423"/>
        <v>9.2198060534822192E-3</v>
      </c>
      <c r="BK556" s="1">
        <f t="shared" si="424"/>
        <v>21</v>
      </c>
      <c r="BL556" s="1">
        <f t="shared" si="425"/>
        <v>-7</v>
      </c>
      <c r="BM556" s="1">
        <f t="shared" si="426"/>
        <v>82</v>
      </c>
      <c r="BN556" s="1">
        <f t="shared" si="427"/>
        <v>20</v>
      </c>
      <c r="BO556" s="1">
        <f t="shared" si="428"/>
        <v>-11</v>
      </c>
      <c r="BP556" s="1">
        <f t="shared" si="429"/>
        <v>-108</v>
      </c>
      <c r="BQ556" s="19">
        <f t="shared" si="430"/>
        <v>-0.5</v>
      </c>
      <c r="BR556" s="17">
        <f t="shared" si="431"/>
        <v>6.5</v>
      </c>
    </row>
    <row r="557" spans="1:70" x14ac:dyDescent="0.25">
      <c r="A557" t="s">
        <v>186</v>
      </c>
      <c r="B557">
        <v>46</v>
      </c>
      <c r="C557">
        <v>44</v>
      </c>
      <c r="D557">
        <v>41</v>
      </c>
      <c r="E557">
        <v>42</v>
      </c>
      <c r="F557">
        <v>42</v>
      </c>
      <c r="G557">
        <v>31</v>
      </c>
      <c r="H557">
        <v>39</v>
      </c>
      <c r="I557">
        <v>26</v>
      </c>
      <c r="J557">
        <v>25</v>
      </c>
      <c r="K557">
        <v>15</v>
      </c>
      <c r="L557">
        <v>17</v>
      </c>
      <c r="M557">
        <v>26</v>
      </c>
      <c r="N557">
        <v>15</v>
      </c>
      <c r="O557">
        <v>17</v>
      </c>
      <c r="P557">
        <v>20</v>
      </c>
      <c r="Q557">
        <v>19</v>
      </c>
      <c r="R557">
        <v>26</v>
      </c>
      <c r="S557">
        <v>25</v>
      </c>
      <c r="T557">
        <v>16</v>
      </c>
      <c r="U557">
        <v>16</v>
      </c>
      <c r="V557">
        <v>22</v>
      </c>
      <c r="W557" s="8">
        <f t="shared" si="384"/>
        <v>-4.3478260869565216E-2</v>
      </c>
      <c r="X557" s="8">
        <f t="shared" si="385"/>
        <v>-6.8181818181818177E-2</v>
      </c>
      <c r="Y557" s="8">
        <f t="shared" si="386"/>
        <v>2.4390243902439025E-2</v>
      </c>
      <c r="Z557" s="8">
        <f t="shared" si="387"/>
        <v>0</v>
      </c>
      <c r="AA557" s="8">
        <f t="shared" si="388"/>
        <v>-0.26190476190476192</v>
      </c>
      <c r="AB557" s="8">
        <f t="shared" si="389"/>
        <v>0.25806451612903225</v>
      </c>
      <c r="AC557" s="12">
        <f t="shared" si="390"/>
        <v>-1.5185013487445673E-2</v>
      </c>
      <c r="AD557" s="12">
        <f t="shared" si="391"/>
        <v>-2.1739130434782608E-2</v>
      </c>
      <c r="AE557" s="1">
        <f t="shared" si="392"/>
        <v>-2</v>
      </c>
      <c r="AF557" s="1">
        <f t="shared" si="393"/>
        <v>-3</v>
      </c>
      <c r="AG557" s="1">
        <f t="shared" si="394"/>
        <v>1</v>
      </c>
      <c r="AH557" s="1">
        <f t="shared" si="395"/>
        <v>0</v>
      </c>
      <c r="AI557" s="1">
        <f t="shared" si="396"/>
        <v>-11</v>
      </c>
      <c r="AJ557" s="1">
        <f t="shared" si="397"/>
        <v>8</v>
      </c>
      <c r="AK557" s="17">
        <f t="shared" si="398"/>
        <v>-1.1666666666666667</v>
      </c>
      <c r="AL557" s="17">
        <f t="shared" si="399"/>
        <v>-1</v>
      </c>
      <c r="AM557" s="1">
        <f t="shared" si="400"/>
        <v>-3.8461538461538464E-2</v>
      </c>
      <c r="AN557" s="1">
        <f t="shared" si="401"/>
        <v>-0.4</v>
      </c>
      <c r="AO557" s="1">
        <f t="shared" si="402"/>
        <v>0.13333333333333333</v>
      </c>
      <c r="AP557" s="1">
        <f t="shared" si="403"/>
        <v>0.52941176470588236</v>
      </c>
      <c r="AQ557" s="1">
        <f t="shared" si="404"/>
        <v>-0.42307692307692307</v>
      </c>
      <c r="AR557" s="1">
        <f t="shared" si="405"/>
        <v>0.13333333333333333</v>
      </c>
      <c r="AS557" s="12">
        <f t="shared" si="406"/>
        <v>-1.0910005027652089E-2</v>
      </c>
      <c r="AT557" s="12">
        <f t="shared" si="407"/>
        <v>4.7435897435897434E-2</v>
      </c>
      <c r="AU557" s="1">
        <f t="shared" si="408"/>
        <v>-1</v>
      </c>
      <c r="AV557" s="1">
        <f t="shared" si="409"/>
        <v>-10</v>
      </c>
      <c r="AW557" s="1">
        <f t="shared" si="410"/>
        <v>2</v>
      </c>
      <c r="AX557" s="1">
        <f t="shared" si="411"/>
        <v>9</v>
      </c>
      <c r="AY557" s="1">
        <f t="shared" si="412"/>
        <v>-11</v>
      </c>
      <c r="AZ557" s="1">
        <f t="shared" si="413"/>
        <v>2</v>
      </c>
      <c r="BA557" s="19">
        <f t="shared" si="414"/>
        <v>-1.5</v>
      </c>
      <c r="BB557" s="19">
        <f t="shared" si="415"/>
        <v>0.5</v>
      </c>
      <c r="BC557" s="9">
        <f t="shared" si="416"/>
        <v>-0.05</v>
      </c>
      <c r="BD557" s="9">
        <f t="shared" si="417"/>
        <v>0.36842105263157893</v>
      </c>
      <c r="BE557" s="9">
        <f t="shared" si="418"/>
        <v>-3.8461538461538464E-2</v>
      </c>
      <c r="BF557" s="9">
        <f t="shared" si="419"/>
        <v>-0.36</v>
      </c>
      <c r="BG557" s="9">
        <f t="shared" si="420"/>
        <v>0</v>
      </c>
      <c r="BH557" s="9">
        <f t="shared" si="421"/>
        <v>0.375</v>
      </c>
      <c r="BI557" s="12">
        <f t="shared" si="422"/>
        <v>4.9159919028340084E-2</v>
      </c>
      <c r="BJ557" s="13">
        <f t="shared" si="423"/>
        <v>-1.9230769230769232E-2</v>
      </c>
      <c r="BK557" s="1">
        <f t="shared" si="424"/>
        <v>-1</v>
      </c>
      <c r="BL557" s="1">
        <f t="shared" si="425"/>
        <v>7</v>
      </c>
      <c r="BM557" s="1">
        <f t="shared" si="426"/>
        <v>-1</v>
      </c>
      <c r="BN557" s="1">
        <f t="shared" si="427"/>
        <v>-9</v>
      </c>
      <c r="BO557" s="1">
        <f t="shared" si="428"/>
        <v>0</v>
      </c>
      <c r="BP557" s="1">
        <f t="shared" si="429"/>
        <v>6</v>
      </c>
      <c r="BQ557" s="19">
        <f t="shared" si="430"/>
        <v>0.33333333333333331</v>
      </c>
      <c r="BR557" s="17">
        <f t="shared" si="431"/>
        <v>-0.5</v>
      </c>
    </row>
    <row r="558" spans="1:70" x14ac:dyDescent="0.25">
      <c r="A558" t="s">
        <v>227</v>
      </c>
      <c r="B558">
        <v>25</v>
      </c>
      <c r="C558">
        <v>37</v>
      </c>
      <c r="D558">
        <v>27</v>
      </c>
      <c r="E558">
        <v>18</v>
      </c>
      <c r="F558">
        <v>30</v>
      </c>
      <c r="G558">
        <v>23</v>
      </c>
      <c r="H558">
        <v>18</v>
      </c>
      <c r="I558">
        <v>14</v>
      </c>
      <c r="J558">
        <v>20</v>
      </c>
      <c r="K558">
        <v>18</v>
      </c>
      <c r="L558">
        <v>9</v>
      </c>
      <c r="M558">
        <v>20</v>
      </c>
      <c r="N558">
        <v>14</v>
      </c>
      <c r="O558">
        <v>10</v>
      </c>
      <c r="P558">
        <v>11</v>
      </c>
      <c r="Q558">
        <v>17</v>
      </c>
      <c r="R558">
        <v>9</v>
      </c>
      <c r="S558">
        <v>9</v>
      </c>
      <c r="T558">
        <v>10</v>
      </c>
      <c r="U558">
        <v>9</v>
      </c>
      <c r="V558">
        <v>8</v>
      </c>
      <c r="W558" s="8">
        <f t="shared" si="384"/>
        <v>0.48</v>
      </c>
      <c r="X558" s="8">
        <f t="shared" si="385"/>
        <v>-0.27027027027027029</v>
      </c>
      <c r="Y558" s="8">
        <f t="shared" si="386"/>
        <v>-0.33333333333333331</v>
      </c>
      <c r="Z558" s="8">
        <f t="shared" si="387"/>
        <v>0.66666666666666663</v>
      </c>
      <c r="AA558" s="8">
        <f t="shared" si="388"/>
        <v>-0.23333333333333334</v>
      </c>
      <c r="AB558" s="8">
        <f t="shared" si="389"/>
        <v>-0.21739130434782608</v>
      </c>
      <c r="AC558" s="12">
        <f t="shared" si="390"/>
        <v>1.5389737563650608E-2</v>
      </c>
      <c r="AD558" s="12">
        <f t="shared" si="391"/>
        <v>-0.22536231884057972</v>
      </c>
      <c r="AE558" s="1">
        <f t="shared" si="392"/>
        <v>12</v>
      </c>
      <c r="AF558" s="1">
        <f t="shared" si="393"/>
        <v>-10</v>
      </c>
      <c r="AG558" s="1">
        <f t="shared" si="394"/>
        <v>-9</v>
      </c>
      <c r="AH558" s="1">
        <f t="shared" si="395"/>
        <v>12</v>
      </c>
      <c r="AI558" s="1">
        <f t="shared" si="396"/>
        <v>-7</v>
      </c>
      <c r="AJ558" s="1">
        <f t="shared" si="397"/>
        <v>-5</v>
      </c>
      <c r="AK558" s="17">
        <f t="shared" si="398"/>
        <v>-1.1666666666666667</v>
      </c>
      <c r="AL558" s="17">
        <f t="shared" si="399"/>
        <v>-6</v>
      </c>
      <c r="AM558" s="1">
        <f t="shared" si="400"/>
        <v>0.42857142857142855</v>
      </c>
      <c r="AN558" s="1">
        <f t="shared" si="401"/>
        <v>-0.1</v>
      </c>
      <c r="AO558" s="1">
        <f t="shared" si="402"/>
        <v>-0.5</v>
      </c>
      <c r="AP558" s="1">
        <f t="shared" si="403"/>
        <v>1.2222222222222223</v>
      </c>
      <c r="AQ558" s="1">
        <f t="shared" si="404"/>
        <v>-0.3</v>
      </c>
      <c r="AR558" s="1">
        <f t="shared" si="405"/>
        <v>-0.2857142857142857</v>
      </c>
      <c r="AS558" s="12">
        <f t="shared" si="406"/>
        <v>7.751322751322752E-2</v>
      </c>
      <c r="AT558" s="12">
        <f t="shared" si="407"/>
        <v>-0.19285714285714284</v>
      </c>
      <c r="AU558" s="1">
        <f t="shared" si="408"/>
        <v>6</v>
      </c>
      <c r="AV558" s="1">
        <f t="shared" si="409"/>
        <v>-2</v>
      </c>
      <c r="AW558" s="1">
        <f t="shared" si="410"/>
        <v>-9</v>
      </c>
      <c r="AX558" s="1">
        <f t="shared" si="411"/>
        <v>11</v>
      </c>
      <c r="AY558" s="1">
        <f t="shared" si="412"/>
        <v>-6</v>
      </c>
      <c r="AZ558" s="1">
        <f t="shared" si="413"/>
        <v>-4</v>
      </c>
      <c r="BA558" s="19">
        <f t="shared" si="414"/>
        <v>-0.66666666666666663</v>
      </c>
      <c r="BB558" s="19">
        <f t="shared" si="415"/>
        <v>-3</v>
      </c>
      <c r="BC558" s="9">
        <f t="shared" si="416"/>
        <v>0.54545454545454541</v>
      </c>
      <c r="BD558" s="9">
        <f t="shared" si="417"/>
        <v>-0.47058823529411764</v>
      </c>
      <c r="BE558" s="9">
        <f t="shared" si="418"/>
        <v>0</v>
      </c>
      <c r="BF558" s="9">
        <f t="shared" si="419"/>
        <v>0.1111111111111111</v>
      </c>
      <c r="BG558" s="9">
        <f t="shared" si="420"/>
        <v>-0.1</v>
      </c>
      <c r="BH558" s="9">
        <f t="shared" si="421"/>
        <v>-0.1111111111111111</v>
      </c>
      <c r="BI558" s="12">
        <f t="shared" si="422"/>
        <v>-4.188948306595372E-3</v>
      </c>
      <c r="BJ558" s="13">
        <f t="shared" si="423"/>
        <v>-0.05</v>
      </c>
      <c r="BK558" s="1">
        <f t="shared" si="424"/>
        <v>6</v>
      </c>
      <c r="BL558" s="1">
        <f t="shared" si="425"/>
        <v>-8</v>
      </c>
      <c r="BM558" s="1">
        <f t="shared" si="426"/>
        <v>0</v>
      </c>
      <c r="BN558" s="1">
        <f t="shared" si="427"/>
        <v>1</v>
      </c>
      <c r="BO558" s="1">
        <f t="shared" si="428"/>
        <v>-1</v>
      </c>
      <c r="BP558" s="1">
        <f t="shared" si="429"/>
        <v>-1</v>
      </c>
      <c r="BQ558" s="19">
        <f t="shared" si="430"/>
        <v>-0.5</v>
      </c>
      <c r="BR558" s="17">
        <f t="shared" si="431"/>
        <v>-0.5</v>
      </c>
    </row>
    <row r="559" spans="1:70" x14ac:dyDescent="0.25">
      <c r="A559" t="s">
        <v>233</v>
      </c>
      <c r="B559">
        <v>23</v>
      </c>
      <c r="C559">
        <v>17</v>
      </c>
      <c r="D559">
        <v>21</v>
      </c>
      <c r="E559">
        <v>17</v>
      </c>
      <c r="F559">
        <v>16</v>
      </c>
      <c r="G559">
        <v>16</v>
      </c>
      <c r="H559">
        <v>16</v>
      </c>
      <c r="I559">
        <v>9</v>
      </c>
      <c r="J559">
        <v>3</v>
      </c>
      <c r="K559">
        <v>8</v>
      </c>
      <c r="L559">
        <v>7</v>
      </c>
      <c r="M559">
        <v>3</v>
      </c>
      <c r="N559">
        <v>6</v>
      </c>
      <c r="O559">
        <v>6</v>
      </c>
      <c r="P559">
        <v>14</v>
      </c>
      <c r="Q559">
        <v>14</v>
      </c>
      <c r="R559">
        <v>13</v>
      </c>
      <c r="S559">
        <v>10</v>
      </c>
      <c r="T559">
        <v>13</v>
      </c>
      <c r="U559">
        <v>10</v>
      </c>
      <c r="V559">
        <v>10</v>
      </c>
      <c r="W559" s="8">
        <f t="shared" si="384"/>
        <v>-0.2608695652173913</v>
      </c>
      <c r="X559" s="8">
        <f t="shared" si="385"/>
        <v>0.23529411764705882</v>
      </c>
      <c r="Y559" s="8">
        <f t="shared" si="386"/>
        <v>-0.19047619047619047</v>
      </c>
      <c r="Z559" s="8">
        <f t="shared" si="387"/>
        <v>-5.8823529411764705E-2</v>
      </c>
      <c r="AA559" s="8">
        <f t="shared" si="388"/>
        <v>0</v>
      </c>
      <c r="AB559" s="8">
        <f t="shared" si="389"/>
        <v>0</v>
      </c>
      <c r="AC559" s="12">
        <f t="shared" si="390"/>
        <v>-4.5812527909714608E-2</v>
      </c>
      <c r="AD559" s="12">
        <f t="shared" si="391"/>
        <v>-2.9411764705882353E-2</v>
      </c>
      <c r="AE559" s="1">
        <f t="shared" si="392"/>
        <v>-6</v>
      </c>
      <c r="AF559" s="1">
        <f t="shared" si="393"/>
        <v>4</v>
      </c>
      <c r="AG559" s="1">
        <f t="shared" si="394"/>
        <v>-4</v>
      </c>
      <c r="AH559" s="1">
        <f t="shared" si="395"/>
        <v>-1</v>
      </c>
      <c r="AI559" s="1">
        <f t="shared" si="396"/>
        <v>0</v>
      </c>
      <c r="AJ559" s="1">
        <f t="shared" si="397"/>
        <v>0</v>
      </c>
      <c r="AK559" s="17">
        <f t="shared" si="398"/>
        <v>-1.1666666666666667</v>
      </c>
      <c r="AL559" s="17">
        <f t="shared" si="399"/>
        <v>-0.5</v>
      </c>
      <c r="AM559" s="1">
        <f t="shared" si="400"/>
        <v>-0.66666666666666663</v>
      </c>
      <c r="AN559" s="1">
        <f t="shared" si="401"/>
        <v>1.6666666666666667</v>
      </c>
      <c r="AO559" s="1">
        <f t="shared" si="402"/>
        <v>-0.125</v>
      </c>
      <c r="AP559" s="1">
        <f t="shared" si="403"/>
        <v>-0.5714285714285714</v>
      </c>
      <c r="AQ559" s="1">
        <f t="shared" si="404"/>
        <v>1</v>
      </c>
      <c r="AR559" s="1">
        <f t="shared" si="405"/>
        <v>0</v>
      </c>
      <c r="AS559" s="12">
        <f t="shared" si="406"/>
        <v>0.21726190476190477</v>
      </c>
      <c r="AT559" s="12">
        <f t="shared" si="407"/>
        <v>-6.25E-2</v>
      </c>
      <c r="AU559" s="1">
        <f t="shared" si="408"/>
        <v>-6</v>
      </c>
      <c r="AV559" s="1">
        <f t="shared" si="409"/>
        <v>5</v>
      </c>
      <c r="AW559" s="1">
        <f t="shared" si="410"/>
        <v>-1</v>
      </c>
      <c r="AX559" s="1">
        <f t="shared" si="411"/>
        <v>-4</v>
      </c>
      <c r="AY559" s="1">
        <f t="shared" si="412"/>
        <v>3</v>
      </c>
      <c r="AZ559" s="1">
        <f t="shared" si="413"/>
        <v>0</v>
      </c>
      <c r="BA559" s="19">
        <f t="shared" si="414"/>
        <v>-0.5</v>
      </c>
      <c r="BB559" s="19">
        <f t="shared" si="415"/>
        <v>-0.5</v>
      </c>
      <c r="BC559" s="9">
        <f t="shared" si="416"/>
        <v>0</v>
      </c>
      <c r="BD559" s="9">
        <f t="shared" si="417"/>
        <v>-7.1428571428571425E-2</v>
      </c>
      <c r="BE559" s="9">
        <f t="shared" si="418"/>
        <v>-0.23076923076923078</v>
      </c>
      <c r="BF559" s="9">
        <f t="shared" si="419"/>
        <v>0.3</v>
      </c>
      <c r="BG559" s="9">
        <f t="shared" si="420"/>
        <v>-0.23076923076923078</v>
      </c>
      <c r="BH559" s="9">
        <f t="shared" si="421"/>
        <v>0</v>
      </c>
      <c r="BI559" s="12">
        <f t="shared" si="422"/>
        <v>-3.8827838827838836E-2</v>
      </c>
      <c r="BJ559" s="13">
        <f t="shared" si="423"/>
        <v>-3.5714285714285712E-2</v>
      </c>
      <c r="BK559" s="1">
        <f t="shared" si="424"/>
        <v>0</v>
      </c>
      <c r="BL559" s="1">
        <f t="shared" si="425"/>
        <v>-1</v>
      </c>
      <c r="BM559" s="1">
        <f t="shared" si="426"/>
        <v>-3</v>
      </c>
      <c r="BN559" s="1">
        <f t="shared" si="427"/>
        <v>3</v>
      </c>
      <c r="BO559" s="1">
        <f t="shared" si="428"/>
        <v>-3</v>
      </c>
      <c r="BP559" s="1">
        <f t="shared" si="429"/>
        <v>0</v>
      </c>
      <c r="BQ559" s="19">
        <f t="shared" si="430"/>
        <v>-0.66666666666666663</v>
      </c>
      <c r="BR559" s="17">
        <f t="shared" si="431"/>
        <v>-0.5</v>
      </c>
    </row>
    <row r="560" spans="1:70" x14ac:dyDescent="0.25">
      <c r="A560" t="s">
        <v>254</v>
      </c>
      <c r="B560">
        <v>19</v>
      </c>
      <c r="C560">
        <v>21</v>
      </c>
      <c r="D560">
        <v>22</v>
      </c>
      <c r="E560">
        <v>8</v>
      </c>
      <c r="F560">
        <v>5</v>
      </c>
      <c r="G560">
        <v>14</v>
      </c>
      <c r="H560">
        <v>12</v>
      </c>
      <c r="I560">
        <v>12</v>
      </c>
      <c r="J560">
        <v>14</v>
      </c>
      <c r="K560">
        <v>11</v>
      </c>
      <c r="L560">
        <v>3</v>
      </c>
      <c r="M560">
        <v>2</v>
      </c>
      <c r="N560">
        <v>7</v>
      </c>
      <c r="O560">
        <v>10</v>
      </c>
      <c r="P560">
        <v>7</v>
      </c>
      <c r="Q560">
        <v>7</v>
      </c>
      <c r="R560">
        <v>11</v>
      </c>
      <c r="S560">
        <v>5</v>
      </c>
      <c r="T560">
        <v>3</v>
      </c>
      <c r="U560">
        <v>7</v>
      </c>
      <c r="V560">
        <v>2</v>
      </c>
      <c r="W560" s="8">
        <f t="shared" si="384"/>
        <v>0.10526315789473684</v>
      </c>
      <c r="X560" s="8">
        <f t="shared" si="385"/>
        <v>4.7619047619047616E-2</v>
      </c>
      <c r="Y560" s="8">
        <f t="shared" si="386"/>
        <v>-0.63636363636363635</v>
      </c>
      <c r="Z560" s="8">
        <f t="shared" si="387"/>
        <v>-0.375</v>
      </c>
      <c r="AA560" s="8">
        <f t="shared" si="388"/>
        <v>1.8</v>
      </c>
      <c r="AB560" s="8">
        <f t="shared" si="389"/>
        <v>-0.14285714285714285</v>
      </c>
      <c r="AC560" s="12">
        <f t="shared" si="390"/>
        <v>0.1331102377155009</v>
      </c>
      <c r="AD560" s="12">
        <f t="shared" si="391"/>
        <v>-4.7619047619047616E-2</v>
      </c>
      <c r="AE560" s="1">
        <f t="shared" si="392"/>
        <v>2</v>
      </c>
      <c r="AF560" s="1">
        <f t="shared" si="393"/>
        <v>1</v>
      </c>
      <c r="AG560" s="1">
        <f t="shared" si="394"/>
        <v>-14</v>
      </c>
      <c r="AH560" s="1">
        <f t="shared" si="395"/>
        <v>-3</v>
      </c>
      <c r="AI560" s="1">
        <f t="shared" si="396"/>
        <v>9</v>
      </c>
      <c r="AJ560" s="1">
        <f t="shared" si="397"/>
        <v>-2</v>
      </c>
      <c r="AK560" s="17">
        <f t="shared" si="398"/>
        <v>-1.1666666666666667</v>
      </c>
      <c r="AL560" s="17">
        <f t="shared" si="399"/>
        <v>-0.5</v>
      </c>
      <c r="AM560" s="1">
        <f t="shared" si="400"/>
        <v>0.16666666666666666</v>
      </c>
      <c r="AN560" s="1">
        <f t="shared" si="401"/>
        <v>-0.21428571428571427</v>
      </c>
      <c r="AO560" s="1">
        <f t="shared" si="402"/>
        <v>-0.72727272727272729</v>
      </c>
      <c r="AP560" s="1">
        <f t="shared" si="403"/>
        <v>-0.33333333333333331</v>
      </c>
      <c r="AQ560" s="1">
        <f t="shared" si="404"/>
        <v>2.5</v>
      </c>
      <c r="AR560" s="1">
        <f t="shared" si="405"/>
        <v>0.42857142857142855</v>
      </c>
      <c r="AS560" s="12">
        <f t="shared" si="406"/>
        <v>0.30339105339105338</v>
      </c>
      <c r="AT560" s="12">
        <f t="shared" si="407"/>
        <v>-2.3809523809523808E-2</v>
      </c>
      <c r="AU560" s="1">
        <f t="shared" si="408"/>
        <v>2</v>
      </c>
      <c r="AV560" s="1">
        <f t="shared" si="409"/>
        <v>-3</v>
      </c>
      <c r="AW560" s="1">
        <f t="shared" si="410"/>
        <v>-8</v>
      </c>
      <c r="AX560" s="1">
        <f t="shared" si="411"/>
        <v>-1</v>
      </c>
      <c r="AY560" s="1">
        <f t="shared" si="412"/>
        <v>5</v>
      </c>
      <c r="AZ560" s="1">
        <f t="shared" si="413"/>
        <v>3</v>
      </c>
      <c r="BA560" s="19">
        <f t="shared" si="414"/>
        <v>-0.33333333333333331</v>
      </c>
      <c r="BB560" s="19">
        <f t="shared" si="415"/>
        <v>0.5</v>
      </c>
      <c r="BC560" s="9">
        <f t="shared" si="416"/>
        <v>0</v>
      </c>
      <c r="BD560" s="9">
        <f t="shared" si="417"/>
        <v>0.5714285714285714</v>
      </c>
      <c r="BE560" s="9">
        <f t="shared" si="418"/>
        <v>-0.54545454545454541</v>
      </c>
      <c r="BF560" s="9">
        <f t="shared" si="419"/>
        <v>-0.4</v>
      </c>
      <c r="BG560" s="9">
        <f t="shared" si="420"/>
        <v>1.3333333333333333</v>
      </c>
      <c r="BH560" s="9">
        <f t="shared" si="421"/>
        <v>-0.7142857142857143</v>
      </c>
      <c r="BI560" s="12">
        <f t="shared" si="422"/>
        <v>4.0836940836940817E-2</v>
      </c>
      <c r="BJ560" s="13">
        <f t="shared" si="423"/>
        <v>-0.2</v>
      </c>
      <c r="BK560" s="1">
        <f t="shared" si="424"/>
        <v>0</v>
      </c>
      <c r="BL560" s="1">
        <f t="shared" si="425"/>
        <v>4</v>
      </c>
      <c r="BM560" s="1">
        <f t="shared" si="426"/>
        <v>-6</v>
      </c>
      <c r="BN560" s="1">
        <f t="shared" si="427"/>
        <v>-2</v>
      </c>
      <c r="BO560" s="1">
        <f t="shared" si="428"/>
        <v>4</v>
      </c>
      <c r="BP560" s="1">
        <f t="shared" si="429"/>
        <v>-5</v>
      </c>
      <c r="BQ560" s="19">
        <f t="shared" si="430"/>
        <v>-0.83333333333333337</v>
      </c>
      <c r="BR560" s="17">
        <f t="shared" si="431"/>
        <v>-1</v>
      </c>
    </row>
    <row r="561" spans="1:70" x14ac:dyDescent="0.25">
      <c r="A561" t="s">
        <v>261</v>
      </c>
      <c r="B561">
        <v>17</v>
      </c>
      <c r="C561">
        <v>34</v>
      </c>
      <c r="D561">
        <v>30</v>
      </c>
      <c r="E561">
        <v>21</v>
      </c>
      <c r="F561">
        <v>7</v>
      </c>
      <c r="G561">
        <v>14</v>
      </c>
      <c r="H561">
        <v>10</v>
      </c>
      <c r="I561">
        <v>6</v>
      </c>
      <c r="J561">
        <v>17</v>
      </c>
      <c r="K561">
        <v>15</v>
      </c>
      <c r="L561">
        <v>14</v>
      </c>
      <c r="M561">
        <v>3</v>
      </c>
      <c r="N561">
        <v>7</v>
      </c>
      <c r="O561">
        <v>5</v>
      </c>
      <c r="P561">
        <v>11</v>
      </c>
      <c r="Q561">
        <v>17</v>
      </c>
      <c r="R561">
        <v>15</v>
      </c>
      <c r="S561">
        <v>7</v>
      </c>
      <c r="T561">
        <v>4</v>
      </c>
      <c r="U561">
        <v>7</v>
      </c>
      <c r="V561">
        <v>5</v>
      </c>
      <c r="W561" s="8">
        <f t="shared" si="384"/>
        <v>1</v>
      </c>
      <c r="X561" s="8">
        <f t="shared" si="385"/>
        <v>-0.11764705882352941</v>
      </c>
      <c r="Y561" s="8">
        <f t="shared" si="386"/>
        <v>-0.3</v>
      </c>
      <c r="Z561" s="8">
        <f t="shared" si="387"/>
        <v>-0.66666666666666663</v>
      </c>
      <c r="AA561" s="8">
        <f t="shared" si="388"/>
        <v>1</v>
      </c>
      <c r="AB561" s="8">
        <f t="shared" si="389"/>
        <v>-0.2857142857142857</v>
      </c>
      <c r="AC561" s="12">
        <f t="shared" si="390"/>
        <v>0.1049953314659197</v>
      </c>
      <c r="AD561" s="12">
        <f t="shared" si="391"/>
        <v>-0.20168067226890757</v>
      </c>
      <c r="AE561" s="1">
        <f t="shared" si="392"/>
        <v>17</v>
      </c>
      <c r="AF561" s="1">
        <f t="shared" si="393"/>
        <v>-4</v>
      </c>
      <c r="AG561" s="1">
        <f t="shared" si="394"/>
        <v>-9</v>
      </c>
      <c r="AH561" s="1">
        <f t="shared" si="395"/>
        <v>-14</v>
      </c>
      <c r="AI561" s="1">
        <f t="shared" si="396"/>
        <v>7</v>
      </c>
      <c r="AJ561" s="1">
        <f t="shared" si="397"/>
        <v>-4</v>
      </c>
      <c r="AK561" s="17">
        <f t="shared" si="398"/>
        <v>-1.1666666666666667</v>
      </c>
      <c r="AL561" s="17">
        <f t="shared" si="399"/>
        <v>-4</v>
      </c>
      <c r="AM561" s="1">
        <f t="shared" si="400"/>
        <v>1.8333333333333333</v>
      </c>
      <c r="AN561" s="1">
        <f t="shared" si="401"/>
        <v>-0.11764705882352941</v>
      </c>
      <c r="AO561" s="1">
        <f t="shared" si="402"/>
        <v>-6.6666666666666666E-2</v>
      </c>
      <c r="AP561" s="1">
        <f t="shared" si="403"/>
        <v>-0.7857142857142857</v>
      </c>
      <c r="AQ561" s="1">
        <f t="shared" si="404"/>
        <v>1.3333333333333333</v>
      </c>
      <c r="AR561" s="1">
        <f t="shared" si="405"/>
        <v>-0.2857142857142857</v>
      </c>
      <c r="AS561" s="12">
        <f t="shared" si="406"/>
        <v>0.31848739495798317</v>
      </c>
      <c r="AT561" s="12">
        <f t="shared" si="407"/>
        <v>-9.2156862745098045E-2</v>
      </c>
      <c r="AU561" s="1">
        <f t="shared" si="408"/>
        <v>11</v>
      </c>
      <c r="AV561" s="1">
        <f t="shared" si="409"/>
        <v>-2</v>
      </c>
      <c r="AW561" s="1">
        <f t="shared" si="410"/>
        <v>-1</v>
      </c>
      <c r="AX561" s="1">
        <f t="shared" si="411"/>
        <v>-11</v>
      </c>
      <c r="AY561" s="1">
        <f t="shared" si="412"/>
        <v>4</v>
      </c>
      <c r="AZ561" s="1">
        <f t="shared" si="413"/>
        <v>-2</v>
      </c>
      <c r="BA561" s="19">
        <f t="shared" si="414"/>
        <v>-0.16666666666666666</v>
      </c>
      <c r="BB561" s="19">
        <f t="shared" si="415"/>
        <v>-1.5</v>
      </c>
      <c r="BC561" s="9">
        <f t="shared" si="416"/>
        <v>0.54545454545454541</v>
      </c>
      <c r="BD561" s="9">
        <f t="shared" si="417"/>
        <v>-0.11764705882352941</v>
      </c>
      <c r="BE561" s="9">
        <f t="shared" si="418"/>
        <v>-0.53333333333333333</v>
      </c>
      <c r="BF561" s="9">
        <f t="shared" si="419"/>
        <v>-0.42857142857142855</v>
      </c>
      <c r="BG561" s="9">
        <f t="shared" si="420"/>
        <v>0.75</v>
      </c>
      <c r="BH561" s="9">
        <f t="shared" si="421"/>
        <v>-0.2857142857142857</v>
      </c>
      <c r="BI561" s="12">
        <f t="shared" si="422"/>
        <v>-1.1635260164671923E-2</v>
      </c>
      <c r="BJ561" s="13">
        <f t="shared" si="423"/>
        <v>-0.20168067226890757</v>
      </c>
      <c r="BK561" s="1">
        <f t="shared" si="424"/>
        <v>6</v>
      </c>
      <c r="BL561" s="1">
        <f t="shared" si="425"/>
        <v>-2</v>
      </c>
      <c r="BM561" s="1">
        <f t="shared" si="426"/>
        <v>-8</v>
      </c>
      <c r="BN561" s="1">
        <f t="shared" si="427"/>
        <v>-3</v>
      </c>
      <c r="BO561" s="1">
        <f t="shared" si="428"/>
        <v>3</v>
      </c>
      <c r="BP561" s="1">
        <f t="shared" si="429"/>
        <v>-2</v>
      </c>
      <c r="BQ561" s="19">
        <f t="shared" si="430"/>
        <v>-1</v>
      </c>
      <c r="BR561" s="17">
        <f t="shared" si="431"/>
        <v>-2</v>
      </c>
    </row>
    <row r="562" spans="1:70" x14ac:dyDescent="0.25">
      <c r="A562" t="s">
        <v>277</v>
      </c>
      <c r="B562">
        <v>14</v>
      </c>
      <c r="C562">
        <v>10</v>
      </c>
      <c r="D562">
        <v>7</v>
      </c>
      <c r="E562">
        <v>5</v>
      </c>
      <c r="F562">
        <v>7</v>
      </c>
      <c r="G562">
        <v>7</v>
      </c>
      <c r="H562">
        <v>7</v>
      </c>
      <c r="I562">
        <v>7</v>
      </c>
      <c r="J562">
        <v>4</v>
      </c>
      <c r="K562">
        <v>5</v>
      </c>
      <c r="L562">
        <v>3</v>
      </c>
      <c r="M562">
        <v>5</v>
      </c>
      <c r="N562">
        <v>6</v>
      </c>
      <c r="O562">
        <v>3</v>
      </c>
      <c r="P562">
        <v>7</v>
      </c>
      <c r="Q562">
        <v>6</v>
      </c>
      <c r="R562">
        <v>2</v>
      </c>
      <c r="S562">
        <v>2</v>
      </c>
      <c r="T562">
        <v>2</v>
      </c>
      <c r="U562">
        <v>1</v>
      </c>
      <c r="V562">
        <v>4</v>
      </c>
      <c r="W562" s="8">
        <f t="shared" si="384"/>
        <v>-0.2857142857142857</v>
      </c>
      <c r="X562" s="8">
        <f t="shared" si="385"/>
        <v>-0.3</v>
      </c>
      <c r="Y562" s="8">
        <f t="shared" si="386"/>
        <v>-0.2857142857142857</v>
      </c>
      <c r="Z562" s="8">
        <f t="shared" si="387"/>
        <v>0.4</v>
      </c>
      <c r="AA562" s="8">
        <f t="shared" si="388"/>
        <v>0</v>
      </c>
      <c r="AB562" s="8">
        <f t="shared" si="389"/>
        <v>0</v>
      </c>
      <c r="AC562" s="12">
        <f t="shared" si="390"/>
        <v>-7.8571428571428556E-2</v>
      </c>
      <c r="AD562" s="12">
        <f t="shared" si="391"/>
        <v>-0.14285714285714285</v>
      </c>
      <c r="AE562" s="1">
        <f t="shared" si="392"/>
        <v>-4</v>
      </c>
      <c r="AF562" s="1">
        <f t="shared" si="393"/>
        <v>-3</v>
      </c>
      <c r="AG562" s="1">
        <f t="shared" si="394"/>
        <v>-2</v>
      </c>
      <c r="AH562" s="1">
        <f t="shared" si="395"/>
        <v>2</v>
      </c>
      <c r="AI562" s="1">
        <f t="shared" si="396"/>
        <v>0</v>
      </c>
      <c r="AJ562" s="1">
        <f t="shared" si="397"/>
        <v>0</v>
      </c>
      <c r="AK562" s="17">
        <f t="shared" si="398"/>
        <v>-1.1666666666666667</v>
      </c>
      <c r="AL562" s="17">
        <f t="shared" si="399"/>
        <v>-1</v>
      </c>
      <c r="AM562" s="1">
        <f t="shared" si="400"/>
        <v>-0.42857142857142855</v>
      </c>
      <c r="AN562" s="1">
        <f t="shared" si="401"/>
        <v>0.25</v>
      </c>
      <c r="AO562" s="1">
        <f t="shared" si="402"/>
        <v>-0.4</v>
      </c>
      <c r="AP562" s="1">
        <f t="shared" si="403"/>
        <v>0.66666666666666663</v>
      </c>
      <c r="AQ562" s="1">
        <f t="shared" si="404"/>
        <v>0.2</v>
      </c>
      <c r="AR562" s="1">
        <f t="shared" si="405"/>
        <v>-0.5</v>
      </c>
      <c r="AS562" s="12">
        <f t="shared" si="406"/>
        <v>-3.531746031746031E-2</v>
      </c>
      <c r="AT562" s="12">
        <f t="shared" si="407"/>
        <v>-9.9999999999999978E-2</v>
      </c>
      <c r="AU562" s="1">
        <f t="shared" si="408"/>
        <v>-3</v>
      </c>
      <c r="AV562" s="1">
        <f t="shared" si="409"/>
        <v>1</v>
      </c>
      <c r="AW562" s="1">
        <f t="shared" si="410"/>
        <v>-2</v>
      </c>
      <c r="AX562" s="1">
        <f t="shared" si="411"/>
        <v>2</v>
      </c>
      <c r="AY562" s="1">
        <f t="shared" si="412"/>
        <v>1</v>
      </c>
      <c r="AZ562" s="1">
        <f t="shared" si="413"/>
        <v>-3</v>
      </c>
      <c r="BA562" s="19">
        <f t="shared" si="414"/>
        <v>-0.66666666666666663</v>
      </c>
      <c r="BB562" s="19">
        <f t="shared" si="415"/>
        <v>-0.5</v>
      </c>
      <c r="BC562" s="9">
        <f t="shared" si="416"/>
        <v>-0.14285714285714285</v>
      </c>
      <c r="BD562" s="9">
        <f t="shared" si="417"/>
        <v>-0.66666666666666663</v>
      </c>
      <c r="BE562" s="9">
        <f t="shared" si="418"/>
        <v>0</v>
      </c>
      <c r="BF562" s="9">
        <f t="shared" si="419"/>
        <v>0</v>
      </c>
      <c r="BG562" s="9">
        <f t="shared" si="420"/>
        <v>-0.5</v>
      </c>
      <c r="BH562" s="9">
        <f t="shared" si="421"/>
        <v>3</v>
      </c>
      <c r="BI562" s="12">
        <f t="shared" si="422"/>
        <v>0.28174603174603174</v>
      </c>
      <c r="BJ562" s="13">
        <f t="shared" si="423"/>
        <v>-7.1428571428571425E-2</v>
      </c>
      <c r="BK562" s="1">
        <f t="shared" si="424"/>
        <v>-1</v>
      </c>
      <c r="BL562" s="1">
        <f t="shared" si="425"/>
        <v>-4</v>
      </c>
      <c r="BM562" s="1">
        <f t="shared" si="426"/>
        <v>0</v>
      </c>
      <c r="BN562" s="1">
        <f t="shared" si="427"/>
        <v>0</v>
      </c>
      <c r="BO562" s="1">
        <f t="shared" si="428"/>
        <v>-1</v>
      </c>
      <c r="BP562" s="1">
        <f t="shared" si="429"/>
        <v>3</v>
      </c>
      <c r="BQ562" s="19">
        <f t="shared" si="430"/>
        <v>-0.5</v>
      </c>
      <c r="BR562" s="17">
        <f t="shared" si="431"/>
        <v>-0.5</v>
      </c>
    </row>
    <row r="563" spans="1:70" x14ac:dyDescent="0.25">
      <c r="A563" t="s">
        <v>286</v>
      </c>
      <c r="B563">
        <v>13</v>
      </c>
      <c r="C563">
        <v>11</v>
      </c>
      <c r="D563">
        <v>8</v>
      </c>
      <c r="E563">
        <v>12</v>
      </c>
      <c r="F563">
        <v>9</v>
      </c>
      <c r="G563">
        <v>14</v>
      </c>
      <c r="H563">
        <v>6</v>
      </c>
      <c r="I563">
        <v>7</v>
      </c>
      <c r="J563">
        <v>10</v>
      </c>
      <c r="K563">
        <v>5</v>
      </c>
      <c r="L563">
        <v>4</v>
      </c>
      <c r="M563">
        <v>5</v>
      </c>
      <c r="N563">
        <v>9</v>
      </c>
      <c r="O563">
        <v>2</v>
      </c>
      <c r="P563">
        <v>6</v>
      </c>
      <c r="Q563">
        <v>1</v>
      </c>
      <c r="R563">
        <v>3</v>
      </c>
      <c r="S563">
        <v>8</v>
      </c>
      <c r="T563">
        <v>4</v>
      </c>
      <c r="U563">
        <v>5</v>
      </c>
      <c r="V563">
        <v>4</v>
      </c>
      <c r="W563" s="8">
        <f t="shared" si="384"/>
        <v>-0.15384615384615385</v>
      </c>
      <c r="X563" s="8">
        <f t="shared" si="385"/>
        <v>-0.27272727272727271</v>
      </c>
      <c r="Y563" s="8">
        <f t="shared" si="386"/>
        <v>0.5</v>
      </c>
      <c r="Z563" s="8">
        <f t="shared" si="387"/>
        <v>-0.25</v>
      </c>
      <c r="AA563" s="8">
        <f t="shared" si="388"/>
        <v>0.55555555555555558</v>
      </c>
      <c r="AB563" s="8">
        <f t="shared" si="389"/>
        <v>-0.5714285714285714</v>
      </c>
      <c r="AC563" s="12">
        <f t="shared" si="390"/>
        <v>-3.2074407074407063E-2</v>
      </c>
      <c r="AD563" s="12">
        <f t="shared" si="391"/>
        <v>-0.20192307692307693</v>
      </c>
      <c r="AE563" s="1">
        <f t="shared" si="392"/>
        <v>-2</v>
      </c>
      <c r="AF563" s="1">
        <f t="shared" si="393"/>
        <v>-3</v>
      </c>
      <c r="AG563" s="1">
        <f t="shared" si="394"/>
        <v>4</v>
      </c>
      <c r="AH563" s="1">
        <f t="shared" si="395"/>
        <v>-3</v>
      </c>
      <c r="AI563" s="1">
        <f t="shared" si="396"/>
        <v>5</v>
      </c>
      <c r="AJ563" s="1">
        <f t="shared" si="397"/>
        <v>-8</v>
      </c>
      <c r="AK563" s="17">
        <f t="shared" si="398"/>
        <v>-1.1666666666666667</v>
      </c>
      <c r="AL563" s="17">
        <f t="shared" si="399"/>
        <v>-2.5</v>
      </c>
      <c r="AM563" s="1">
        <f t="shared" si="400"/>
        <v>0.42857142857142855</v>
      </c>
      <c r="AN563" s="1">
        <f t="shared" si="401"/>
        <v>-0.5</v>
      </c>
      <c r="AO563" s="1">
        <f t="shared" si="402"/>
        <v>-0.2</v>
      </c>
      <c r="AP563" s="1">
        <f t="shared" si="403"/>
        <v>0.25</v>
      </c>
      <c r="AQ563" s="1">
        <f t="shared" si="404"/>
        <v>0.8</v>
      </c>
      <c r="AR563" s="1">
        <f t="shared" si="405"/>
        <v>-0.77777777777777779</v>
      </c>
      <c r="AS563" s="12">
        <f t="shared" si="406"/>
        <v>1.322751322751318E-4</v>
      </c>
      <c r="AT563" s="12">
        <f t="shared" si="407"/>
        <v>2.4999999999999994E-2</v>
      </c>
      <c r="AU563" s="1">
        <f t="shared" si="408"/>
        <v>3</v>
      </c>
      <c r="AV563" s="1">
        <f t="shared" si="409"/>
        <v>-5</v>
      </c>
      <c r="AW563" s="1">
        <f t="shared" si="410"/>
        <v>-1</v>
      </c>
      <c r="AX563" s="1">
        <f t="shared" si="411"/>
        <v>1</v>
      </c>
      <c r="AY563" s="1">
        <f t="shared" si="412"/>
        <v>4</v>
      </c>
      <c r="AZ563" s="1">
        <f t="shared" si="413"/>
        <v>-7</v>
      </c>
      <c r="BA563" s="19">
        <f t="shared" si="414"/>
        <v>-0.83333333333333337</v>
      </c>
      <c r="BB563" s="19">
        <f t="shared" si="415"/>
        <v>0</v>
      </c>
      <c r="BC563" s="9">
        <f t="shared" si="416"/>
        <v>-0.83333333333333337</v>
      </c>
      <c r="BD563" s="9">
        <f t="shared" si="417"/>
        <v>2</v>
      </c>
      <c r="BE563" s="9">
        <f t="shared" si="418"/>
        <v>1.6666666666666667</v>
      </c>
      <c r="BF563" s="9">
        <f t="shared" si="419"/>
        <v>-0.5</v>
      </c>
      <c r="BG563" s="9">
        <f t="shared" si="420"/>
        <v>0.25</v>
      </c>
      <c r="BH563" s="9">
        <f t="shared" si="421"/>
        <v>-0.2</v>
      </c>
      <c r="BI563" s="12">
        <f t="shared" si="422"/>
        <v>0.39722222222222214</v>
      </c>
      <c r="BJ563" s="13">
        <f t="shared" si="423"/>
        <v>2.4999999999999994E-2</v>
      </c>
      <c r="BK563" s="1">
        <f t="shared" si="424"/>
        <v>-5</v>
      </c>
      <c r="BL563" s="1">
        <f t="shared" si="425"/>
        <v>2</v>
      </c>
      <c r="BM563" s="1">
        <f t="shared" si="426"/>
        <v>5</v>
      </c>
      <c r="BN563" s="1">
        <f t="shared" si="427"/>
        <v>-4</v>
      </c>
      <c r="BO563" s="1">
        <f t="shared" si="428"/>
        <v>1</v>
      </c>
      <c r="BP563" s="1">
        <f t="shared" si="429"/>
        <v>-1</v>
      </c>
      <c r="BQ563" s="19">
        <f t="shared" si="430"/>
        <v>-0.33333333333333331</v>
      </c>
      <c r="BR563" s="17">
        <f t="shared" si="431"/>
        <v>0</v>
      </c>
    </row>
    <row r="564" spans="1:70" x14ac:dyDescent="0.25">
      <c r="A564" t="s">
        <v>297</v>
      </c>
      <c r="B564">
        <v>11</v>
      </c>
      <c r="C564">
        <v>2</v>
      </c>
      <c r="D564">
        <v>3</v>
      </c>
      <c r="E564">
        <v>3</v>
      </c>
      <c r="F564">
        <v>7</v>
      </c>
      <c r="G564">
        <v>10</v>
      </c>
      <c r="H564">
        <v>4</v>
      </c>
      <c r="I564">
        <v>5</v>
      </c>
      <c r="J564">
        <v>2</v>
      </c>
      <c r="K564">
        <v>2</v>
      </c>
      <c r="M564">
        <v>6</v>
      </c>
      <c r="N564">
        <v>6</v>
      </c>
      <c r="O564">
        <v>3</v>
      </c>
      <c r="P564">
        <v>6</v>
      </c>
      <c r="R564">
        <v>1</v>
      </c>
      <c r="S564">
        <v>3</v>
      </c>
      <c r="T564">
        <v>1</v>
      </c>
      <c r="U564">
        <v>4</v>
      </c>
      <c r="V564">
        <v>1</v>
      </c>
      <c r="W564" s="8">
        <f t="shared" si="384"/>
        <v>-0.81818181818181823</v>
      </c>
      <c r="X564" s="8">
        <f t="shared" si="385"/>
        <v>0.5</v>
      </c>
      <c r="Y564" s="8">
        <f t="shared" si="386"/>
        <v>0</v>
      </c>
      <c r="Z564" s="8">
        <f t="shared" si="387"/>
        <v>1.3333333333333333</v>
      </c>
      <c r="AA564" s="8">
        <f t="shared" si="388"/>
        <v>0.42857142857142855</v>
      </c>
      <c r="AB564" s="8">
        <f t="shared" si="389"/>
        <v>-0.6</v>
      </c>
      <c r="AC564" s="12">
        <f t="shared" si="390"/>
        <v>0.14062049062049062</v>
      </c>
      <c r="AD564" s="12">
        <f t="shared" si="391"/>
        <v>0.21428571428571427</v>
      </c>
      <c r="AE564" s="1">
        <f t="shared" si="392"/>
        <v>-9</v>
      </c>
      <c r="AF564" s="1">
        <f t="shared" si="393"/>
        <v>1</v>
      </c>
      <c r="AG564" s="1">
        <f t="shared" si="394"/>
        <v>0</v>
      </c>
      <c r="AH564" s="1">
        <f t="shared" si="395"/>
        <v>4</v>
      </c>
      <c r="AI564" s="1">
        <f t="shared" si="396"/>
        <v>3</v>
      </c>
      <c r="AJ564" s="1">
        <f t="shared" si="397"/>
        <v>-6</v>
      </c>
      <c r="AK564" s="17">
        <f t="shared" si="398"/>
        <v>-1.1666666666666667</v>
      </c>
      <c r="AL564" s="17">
        <f t="shared" si="399"/>
        <v>0.5</v>
      </c>
      <c r="AM564" s="1">
        <f t="shared" si="400"/>
        <v>-0.6</v>
      </c>
      <c r="AN564" s="1">
        <f t="shared" si="401"/>
        <v>0</v>
      </c>
      <c r="AO564" s="1">
        <f t="shared" si="402"/>
        <v>-1</v>
      </c>
      <c r="AP564" s="1" t="e">
        <f t="shared" si="403"/>
        <v>#DIV/0!</v>
      </c>
      <c r="AQ564" s="1">
        <f t="shared" si="404"/>
        <v>0</v>
      </c>
      <c r="AR564" s="1">
        <f t="shared" si="405"/>
        <v>-0.5</v>
      </c>
      <c r="AS564" s="12" t="e">
        <f t="shared" si="406"/>
        <v>#DIV/0!</v>
      </c>
      <c r="AT564" s="12" t="e">
        <f t="shared" si="407"/>
        <v>#DIV/0!</v>
      </c>
      <c r="AU564" s="1">
        <f t="shared" si="408"/>
        <v>-3</v>
      </c>
      <c r="AV564" s="1">
        <f t="shared" si="409"/>
        <v>0</v>
      </c>
      <c r="AW564" s="1">
        <f t="shared" si="410"/>
        <v>-2</v>
      </c>
      <c r="AX564" s="1">
        <f t="shared" si="411"/>
        <v>6</v>
      </c>
      <c r="AY564" s="1">
        <f t="shared" si="412"/>
        <v>0</v>
      </c>
      <c r="AZ564" s="1">
        <f t="shared" si="413"/>
        <v>-3</v>
      </c>
      <c r="BA564" s="19">
        <f t="shared" si="414"/>
        <v>-0.33333333333333331</v>
      </c>
      <c r="BB564" s="19">
        <f t="shared" si="415"/>
        <v>-1</v>
      </c>
      <c r="BC564" s="9">
        <f t="shared" si="416"/>
        <v>-1</v>
      </c>
      <c r="BD564" s="9" t="e">
        <f t="shared" si="417"/>
        <v>#DIV/0!</v>
      </c>
      <c r="BE564" s="9">
        <f t="shared" si="418"/>
        <v>2</v>
      </c>
      <c r="BF564" s="9">
        <f t="shared" si="419"/>
        <v>-0.66666666666666663</v>
      </c>
      <c r="BG564" s="9">
        <f t="shared" si="420"/>
        <v>3</v>
      </c>
      <c r="BH564" s="9">
        <f t="shared" si="421"/>
        <v>-0.75</v>
      </c>
      <c r="BI564" s="12" t="e">
        <f t="shared" si="422"/>
        <v>#DIV/0!</v>
      </c>
      <c r="BJ564" s="13" t="e">
        <f t="shared" si="423"/>
        <v>#DIV/0!</v>
      </c>
      <c r="BK564" s="1">
        <f t="shared" si="424"/>
        <v>-6</v>
      </c>
      <c r="BL564" s="1">
        <f t="shared" si="425"/>
        <v>1</v>
      </c>
      <c r="BM564" s="1">
        <f t="shared" si="426"/>
        <v>2</v>
      </c>
      <c r="BN564" s="1">
        <f t="shared" si="427"/>
        <v>-2</v>
      </c>
      <c r="BO564" s="1">
        <f t="shared" si="428"/>
        <v>3</v>
      </c>
      <c r="BP564" s="1">
        <f t="shared" si="429"/>
        <v>-3</v>
      </c>
      <c r="BQ564" s="19">
        <f t="shared" si="430"/>
        <v>-0.83333333333333337</v>
      </c>
      <c r="BR564" s="17">
        <f t="shared" si="431"/>
        <v>-0.5</v>
      </c>
    </row>
    <row r="565" spans="1:70" x14ac:dyDescent="0.25">
      <c r="A565" t="s">
        <v>315</v>
      </c>
      <c r="B565">
        <v>10</v>
      </c>
      <c r="C565">
        <v>4</v>
      </c>
      <c r="D565">
        <v>1</v>
      </c>
      <c r="E565">
        <v>4</v>
      </c>
      <c r="F565">
        <v>1</v>
      </c>
      <c r="G565">
        <v>1</v>
      </c>
      <c r="H565">
        <v>3</v>
      </c>
      <c r="I565">
        <v>1</v>
      </c>
      <c r="J565">
        <v>1</v>
      </c>
      <c r="L565">
        <v>2</v>
      </c>
      <c r="P565">
        <v>9</v>
      </c>
      <c r="Q565">
        <v>3</v>
      </c>
      <c r="R565">
        <v>1</v>
      </c>
      <c r="S565">
        <v>2</v>
      </c>
      <c r="T565">
        <v>1</v>
      </c>
      <c r="U565">
        <v>1</v>
      </c>
      <c r="V565">
        <v>3</v>
      </c>
      <c r="W565" s="8">
        <f t="shared" si="384"/>
        <v>-0.6</v>
      </c>
      <c r="X565" s="8">
        <f t="shared" si="385"/>
        <v>-0.75</v>
      </c>
      <c r="Y565" s="8">
        <f t="shared" si="386"/>
        <v>3</v>
      </c>
      <c r="Z565" s="8">
        <f t="shared" si="387"/>
        <v>-0.75</v>
      </c>
      <c r="AA565" s="8">
        <f t="shared" si="388"/>
        <v>0</v>
      </c>
      <c r="AB565" s="8">
        <f t="shared" si="389"/>
        <v>2</v>
      </c>
      <c r="AC565" s="12">
        <f t="shared" si="390"/>
        <v>0.48333333333333334</v>
      </c>
      <c r="AD565" s="12">
        <f t="shared" si="391"/>
        <v>-0.3</v>
      </c>
      <c r="AE565" s="1">
        <f t="shared" si="392"/>
        <v>-6</v>
      </c>
      <c r="AF565" s="1">
        <f t="shared" si="393"/>
        <v>-3</v>
      </c>
      <c r="AG565" s="1">
        <f t="shared" si="394"/>
        <v>3</v>
      </c>
      <c r="AH565" s="1">
        <f t="shared" si="395"/>
        <v>-3</v>
      </c>
      <c r="AI565" s="1">
        <f t="shared" si="396"/>
        <v>0</v>
      </c>
      <c r="AJ565" s="1">
        <f t="shared" si="397"/>
        <v>2</v>
      </c>
      <c r="AK565" s="17">
        <f t="shared" si="398"/>
        <v>-1.1666666666666667</v>
      </c>
      <c r="AL565" s="17">
        <f t="shared" si="399"/>
        <v>-1.5</v>
      </c>
      <c r="AM565" s="1">
        <f t="shared" si="400"/>
        <v>0</v>
      </c>
      <c r="AN565" s="1">
        <f t="shared" si="401"/>
        <v>-1</v>
      </c>
      <c r="AO565" s="1" t="e">
        <f t="shared" si="402"/>
        <v>#DIV/0!</v>
      </c>
      <c r="AP565" s="1">
        <f t="shared" si="403"/>
        <v>-1</v>
      </c>
      <c r="AQ565" s="1" t="e">
        <f t="shared" si="404"/>
        <v>#DIV/0!</v>
      </c>
      <c r="AR565" s="1" t="e">
        <f t="shared" si="405"/>
        <v>#DIV/0!</v>
      </c>
      <c r="AS565" s="12" t="e">
        <f t="shared" si="406"/>
        <v>#DIV/0!</v>
      </c>
      <c r="AT565" s="12" t="e">
        <f t="shared" si="407"/>
        <v>#DIV/0!</v>
      </c>
      <c r="AU565" s="1">
        <f t="shared" si="408"/>
        <v>0</v>
      </c>
      <c r="AV565" s="1">
        <f t="shared" si="409"/>
        <v>-1</v>
      </c>
      <c r="AW565" s="1">
        <f t="shared" si="410"/>
        <v>2</v>
      </c>
      <c r="AX565" s="1">
        <f t="shared" si="411"/>
        <v>-2</v>
      </c>
      <c r="AY565" s="1">
        <f t="shared" si="412"/>
        <v>0</v>
      </c>
      <c r="AZ565" s="1">
        <f t="shared" si="413"/>
        <v>0</v>
      </c>
      <c r="BA565" s="19">
        <f t="shared" si="414"/>
        <v>-0.16666666666666666</v>
      </c>
      <c r="BB565" s="19">
        <f t="shared" si="415"/>
        <v>0</v>
      </c>
      <c r="BC565" s="9">
        <f t="shared" si="416"/>
        <v>-0.66666666666666663</v>
      </c>
      <c r="BD565" s="9">
        <f t="shared" si="417"/>
        <v>-0.66666666666666663</v>
      </c>
      <c r="BE565" s="9">
        <f t="shared" si="418"/>
        <v>1</v>
      </c>
      <c r="BF565" s="9">
        <f t="shared" si="419"/>
        <v>-0.5</v>
      </c>
      <c r="BG565" s="9">
        <f t="shared" si="420"/>
        <v>0</v>
      </c>
      <c r="BH565" s="9">
        <f t="shared" si="421"/>
        <v>2</v>
      </c>
      <c r="BI565" s="12">
        <f t="shared" si="422"/>
        <v>0.19444444444444445</v>
      </c>
      <c r="BJ565" s="13">
        <f t="shared" si="423"/>
        <v>-0.25</v>
      </c>
      <c r="BK565" s="1">
        <f t="shared" si="424"/>
        <v>-6</v>
      </c>
      <c r="BL565" s="1">
        <f t="shared" si="425"/>
        <v>-2</v>
      </c>
      <c r="BM565" s="1">
        <f t="shared" si="426"/>
        <v>1</v>
      </c>
      <c r="BN565" s="1">
        <f t="shared" si="427"/>
        <v>-1</v>
      </c>
      <c r="BO565" s="1">
        <f t="shared" si="428"/>
        <v>0</v>
      </c>
      <c r="BP565" s="1">
        <f t="shared" si="429"/>
        <v>2</v>
      </c>
      <c r="BQ565" s="19">
        <f t="shared" si="430"/>
        <v>-1</v>
      </c>
      <c r="BR565" s="17">
        <f t="shared" si="431"/>
        <v>-0.5</v>
      </c>
    </row>
    <row r="566" spans="1:70" x14ac:dyDescent="0.25">
      <c r="A566" t="s">
        <v>343</v>
      </c>
      <c r="B566">
        <v>7</v>
      </c>
      <c r="C566">
        <v>6</v>
      </c>
      <c r="D566">
        <v>5</v>
      </c>
      <c r="E566">
        <v>1</v>
      </c>
      <c r="F566">
        <v>6</v>
      </c>
      <c r="G566">
        <v>1</v>
      </c>
      <c r="I566">
        <v>4</v>
      </c>
      <c r="J566">
        <v>4</v>
      </c>
      <c r="K566">
        <v>4</v>
      </c>
      <c r="L566">
        <v>1</v>
      </c>
      <c r="M566">
        <v>4</v>
      </c>
      <c r="P566">
        <v>3</v>
      </c>
      <c r="Q566">
        <v>2</v>
      </c>
      <c r="R566">
        <v>1</v>
      </c>
      <c r="T566">
        <v>2</v>
      </c>
      <c r="U566">
        <v>1</v>
      </c>
      <c r="W566" s="8">
        <f t="shared" si="384"/>
        <v>-0.14285714285714285</v>
      </c>
      <c r="X566" s="8">
        <f t="shared" si="385"/>
        <v>-0.16666666666666666</v>
      </c>
      <c r="Y566" s="8">
        <f t="shared" si="386"/>
        <v>-0.8</v>
      </c>
      <c r="Z566" s="8">
        <f t="shared" si="387"/>
        <v>5</v>
      </c>
      <c r="AA566" s="8">
        <f t="shared" si="388"/>
        <v>-0.83333333333333337</v>
      </c>
      <c r="AB566" s="8">
        <f t="shared" si="389"/>
        <v>-1</v>
      </c>
      <c r="AC566" s="12">
        <f t="shared" si="390"/>
        <v>0.3428571428571428</v>
      </c>
      <c r="AD566" s="12">
        <f t="shared" si="391"/>
        <v>-0.48333333333333334</v>
      </c>
      <c r="AE566" s="1">
        <f t="shared" si="392"/>
        <v>-1</v>
      </c>
      <c r="AF566" s="1">
        <f t="shared" si="393"/>
        <v>-1</v>
      </c>
      <c r="AG566" s="1">
        <f t="shared" si="394"/>
        <v>-4</v>
      </c>
      <c r="AH566" s="1">
        <f t="shared" si="395"/>
        <v>5</v>
      </c>
      <c r="AI566" s="1">
        <f t="shared" si="396"/>
        <v>-5</v>
      </c>
      <c r="AJ566" s="1">
        <f t="shared" si="397"/>
        <v>-1</v>
      </c>
      <c r="AK566" s="17">
        <f t="shared" si="398"/>
        <v>-1.1666666666666667</v>
      </c>
      <c r="AL566" s="17">
        <f t="shared" si="399"/>
        <v>-1</v>
      </c>
      <c r="AM566" s="1">
        <f t="shared" si="400"/>
        <v>0</v>
      </c>
      <c r="AN566" s="1">
        <f t="shared" si="401"/>
        <v>0</v>
      </c>
      <c r="AO566" s="1">
        <f t="shared" si="402"/>
        <v>-0.75</v>
      </c>
      <c r="AP566" s="1">
        <f t="shared" si="403"/>
        <v>3</v>
      </c>
      <c r="AQ566" s="1">
        <f t="shared" si="404"/>
        <v>-1</v>
      </c>
      <c r="AR566" s="1" t="e">
        <f t="shared" si="405"/>
        <v>#DIV/0!</v>
      </c>
      <c r="AS566" s="12" t="e">
        <f t="shared" si="406"/>
        <v>#DIV/0!</v>
      </c>
      <c r="AT566" s="12" t="e">
        <f t="shared" si="407"/>
        <v>#DIV/0!</v>
      </c>
      <c r="AU566" s="1">
        <f t="shared" si="408"/>
        <v>0</v>
      </c>
      <c r="AV566" s="1">
        <f t="shared" si="409"/>
        <v>0</v>
      </c>
      <c r="AW566" s="1">
        <f t="shared" si="410"/>
        <v>-3</v>
      </c>
      <c r="AX566" s="1">
        <f t="shared" si="411"/>
        <v>3</v>
      </c>
      <c r="AY566" s="1">
        <f t="shared" si="412"/>
        <v>-4</v>
      </c>
      <c r="AZ566" s="1">
        <f t="shared" si="413"/>
        <v>0</v>
      </c>
      <c r="BA566" s="19">
        <f t="shared" si="414"/>
        <v>-0.66666666666666663</v>
      </c>
      <c r="BB566" s="19">
        <f t="shared" si="415"/>
        <v>0</v>
      </c>
      <c r="BC566" s="9">
        <f t="shared" si="416"/>
        <v>-0.33333333333333331</v>
      </c>
      <c r="BD566" s="9">
        <f t="shared" si="417"/>
        <v>-0.5</v>
      </c>
      <c r="BE566" s="9">
        <f t="shared" si="418"/>
        <v>-1</v>
      </c>
      <c r="BF566" s="9" t="e">
        <f t="shared" si="419"/>
        <v>#DIV/0!</v>
      </c>
      <c r="BG566" s="9">
        <f t="shared" si="420"/>
        <v>-0.5</v>
      </c>
      <c r="BH566" s="9">
        <f t="shared" si="421"/>
        <v>-1</v>
      </c>
      <c r="BI566" s="12" t="e">
        <f t="shared" si="422"/>
        <v>#DIV/0!</v>
      </c>
      <c r="BJ566" s="13" t="e">
        <f t="shared" si="423"/>
        <v>#DIV/0!</v>
      </c>
      <c r="BK566" s="1">
        <f t="shared" si="424"/>
        <v>-1</v>
      </c>
      <c r="BL566" s="1">
        <f t="shared" si="425"/>
        <v>-1</v>
      </c>
      <c r="BM566" s="1">
        <f t="shared" si="426"/>
        <v>-1</v>
      </c>
      <c r="BN566" s="1">
        <f t="shared" si="427"/>
        <v>2</v>
      </c>
      <c r="BO566" s="1">
        <f t="shared" si="428"/>
        <v>-1</v>
      </c>
      <c r="BP566" s="1">
        <f t="shared" si="429"/>
        <v>-1</v>
      </c>
      <c r="BQ566" s="19">
        <f t="shared" si="430"/>
        <v>-0.5</v>
      </c>
      <c r="BR566" s="17">
        <f t="shared" si="431"/>
        <v>-1</v>
      </c>
    </row>
    <row r="567" spans="1:70" x14ac:dyDescent="0.25">
      <c r="A567" t="s">
        <v>187</v>
      </c>
      <c r="B567">
        <v>45</v>
      </c>
      <c r="C567">
        <v>33</v>
      </c>
      <c r="D567">
        <v>30</v>
      </c>
      <c r="E567">
        <v>42</v>
      </c>
      <c r="F567">
        <v>41</v>
      </c>
      <c r="G567">
        <v>36</v>
      </c>
      <c r="H567">
        <v>37</v>
      </c>
      <c r="I567">
        <v>15</v>
      </c>
      <c r="J567">
        <v>13</v>
      </c>
      <c r="K567">
        <v>11</v>
      </c>
      <c r="L567">
        <v>17</v>
      </c>
      <c r="M567">
        <v>10</v>
      </c>
      <c r="N567">
        <v>12</v>
      </c>
      <c r="O567">
        <v>14</v>
      </c>
      <c r="P567">
        <v>30</v>
      </c>
      <c r="Q567">
        <v>20</v>
      </c>
      <c r="R567">
        <v>19</v>
      </c>
      <c r="S567">
        <v>25</v>
      </c>
      <c r="T567">
        <v>31</v>
      </c>
      <c r="U567">
        <v>24</v>
      </c>
      <c r="V567">
        <v>23</v>
      </c>
      <c r="W567" s="8">
        <f t="shared" si="384"/>
        <v>-0.26666666666666666</v>
      </c>
      <c r="X567" s="8">
        <f t="shared" si="385"/>
        <v>-9.0909090909090912E-2</v>
      </c>
      <c r="Y567" s="8">
        <f t="shared" si="386"/>
        <v>0.4</v>
      </c>
      <c r="Z567" s="8">
        <f t="shared" si="387"/>
        <v>-2.3809523809523808E-2</v>
      </c>
      <c r="AA567" s="8">
        <f t="shared" si="388"/>
        <v>-0.12195121951219512</v>
      </c>
      <c r="AB567" s="8">
        <f t="shared" si="389"/>
        <v>2.7777777777777776E-2</v>
      </c>
      <c r="AC567" s="12">
        <f t="shared" si="390"/>
        <v>-1.2593120519949779E-2</v>
      </c>
      <c r="AD567" s="12">
        <f t="shared" si="391"/>
        <v>-5.735930735930736E-2</v>
      </c>
      <c r="AE567" s="1">
        <f t="shared" si="392"/>
        <v>-12</v>
      </c>
      <c r="AF567" s="1">
        <f t="shared" si="393"/>
        <v>-3</v>
      </c>
      <c r="AG567" s="1">
        <f t="shared" si="394"/>
        <v>12</v>
      </c>
      <c r="AH567" s="1">
        <f t="shared" si="395"/>
        <v>-1</v>
      </c>
      <c r="AI567" s="1">
        <f t="shared" si="396"/>
        <v>-5</v>
      </c>
      <c r="AJ567" s="1">
        <f t="shared" si="397"/>
        <v>1</v>
      </c>
      <c r="AK567" s="17">
        <f t="shared" si="398"/>
        <v>-1.3333333333333333</v>
      </c>
      <c r="AL567" s="17">
        <f t="shared" si="399"/>
        <v>-2</v>
      </c>
      <c r="AM567" s="1">
        <f t="shared" si="400"/>
        <v>-0.13333333333333333</v>
      </c>
      <c r="AN567" s="1">
        <f t="shared" si="401"/>
        <v>-0.15384615384615385</v>
      </c>
      <c r="AO567" s="1">
        <f t="shared" si="402"/>
        <v>0.54545454545454541</v>
      </c>
      <c r="AP567" s="1">
        <f t="shared" si="403"/>
        <v>-0.41176470588235292</v>
      </c>
      <c r="AQ567" s="1">
        <f t="shared" si="404"/>
        <v>0.2</v>
      </c>
      <c r="AR567" s="1">
        <f t="shared" si="405"/>
        <v>0.16666666666666666</v>
      </c>
      <c r="AS567" s="12">
        <f t="shared" si="406"/>
        <v>3.5529503176561998E-2</v>
      </c>
      <c r="AT567" s="12">
        <f t="shared" si="407"/>
        <v>1.6666666666666663E-2</v>
      </c>
      <c r="AU567" s="1">
        <f t="shared" si="408"/>
        <v>-2</v>
      </c>
      <c r="AV567" s="1">
        <f t="shared" si="409"/>
        <v>-2</v>
      </c>
      <c r="AW567" s="1">
        <f t="shared" si="410"/>
        <v>6</v>
      </c>
      <c r="AX567" s="1">
        <f t="shared" si="411"/>
        <v>-7</v>
      </c>
      <c r="AY567" s="1">
        <f t="shared" si="412"/>
        <v>2</v>
      </c>
      <c r="AZ567" s="1">
        <f t="shared" si="413"/>
        <v>2</v>
      </c>
      <c r="BA567" s="19">
        <f t="shared" si="414"/>
        <v>-0.16666666666666666</v>
      </c>
      <c r="BB567" s="19">
        <f t="shared" si="415"/>
        <v>0</v>
      </c>
      <c r="BC567" s="9">
        <f t="shared" si="416"/>
        <v>-0.33333333333333331</v>
      </c>
      <c r="BD567" s="9">
        <f t="shared" si="417"/>
        <v>-0.05</v>
      </c>
      <c r="BE567" s="9">
        <f t="shared" si="418"/>
        <v>0.31578947368421051</v>
      </c>
      <c r="BF567" s="9">
        <f t="shared" si="419"/>
        <v>0.24</v>
      </c>
      <c r="BG567" s="9">
        <f t="shared" si="420"/>
        <v>-0.22580645161290322</v>
      </c>
      <c r="BH567" s="9">
        <f t="shared" si="421"/>
        <v>-4.1666666666666664E-2</v>
      </c>
      <c r="BI567" s="12">
        <f t="shared" si="422"/>
        <v>-1.5836162988115448E-2</v>
      </c>
      <c r="BJ567" s="13">
        <f t="shared" si="423"/>
        <v>-4.5833333333333337E-2</v>
      </c>
      <c r="BK567" s="1">
        <f t="shared" si="424"/>
        <v>-10</v>
      </c>
      <c r="BL567" s="1">
        <f t="shared" si="425"/>
        <v>-1</v>
      </c>
      <c r="BM567" s="1">
        <f t="shared" si="426"/>
        <v>6</v>
      </c>
      <c r="BN567" s="1">
        <f t="shared" si="427"/>
        <v>6</v>
      </c>
      <c r="BO567" s="1">
        <f t="shared" si="428"/>
        <v>-7</v>
      </c>
      <c r="BP567" s="1">
        <f t="shared" si="429"/>
        <v>-1</v>
      </c>
      <c r="BQ567" s="19">
        <f t="shared" si="430"/>
        <v>-1.1666666666666667</v>
      </c>
      <c r="BR567" s="17">
        <f t="shared" si="431"/>
        <v>-1</v>
      </c>
    </row>
    <row r="568" spans="1:70" x14ac:dyDescent="0.25">
      <c r="A568" t="s">
        <v>217</v>
      </c>
      <c r="B568">
        <v>27</v>
      </c>
      <c r="C568">
        <v>16</v>
      </c>
      <c r="D568">
        <v>20</v>
      </c>
      <c r="E568">
        <v>10</v>
      </c>
      <c r="F568">
        <v>18</v>
      </c>
      <c r="G568">
        <v>14</v>
      </c>
      <c r="H568">
        <v>19</v>
      </c>
      <c r="I568">
        <v>11</v>
      </c>
      <c r="J568">
        <v>9</v>
      </c>
      <c r="K568">
        <v>14</v>
      </c>
      <c r="L568">
        <v>8</v>
      </c>
      <c r="M568">
        <v>11</v>
      </c>
      <c r="N568">
        <v>10</v>
      </c>
      <c r="O568">
        <v>10</v>
      </c>
      <c r="P568">
        <v>16</v>
      </c>
      <c r="Q568">
        <v>7</v>
      </c>
      <c r="R568">
        <v>6</v>
      </c>
      <c r="S568">
        <v>2</v>
      </c>
      <c r="T568">
        <v>7</v>
      </c>
      <c r="U568">
        <v>4</v>
      </c>
      <c r="V568">
        <v>9</v>
      </c>
      <c r="W568" s="8">
        <f t="shared" si="384"/>
        <v>-0.40740740740740738</v>
      </c>
      <c r="X568" s="8">
        <f t="shared" si="385"/>
        <v>0.25</v>
      </c>
      <c r="Y568" s="8">
        <f t="shared" si="386"/>
        <v>-0.5</v>
      </c>
      <c r="Z568" s="8">
        <f t="shared" si="387"/>
        <v>0.8</v>
      </c>
      <c r="AA568" s="8">
        <f t="shared" si="388"/>
        <v>-0.22222222222222221</v>
      </c>
      <c r="AB568" s="8">
        <f t="shared" si="389"/>
        <v>0.35714285714285715</v>
      </c>
      <c r="AC568" s="12">
        <f t="shared" si="390"/>
        <v>4.6252204585537922E-2</v>
      </c>
      <c r="AD568" s="12">
        <f t="shared" si="391"/>
        <v>1.3888888888888895E-2</v>
      </c>
      <c r="AE568" s="1">
        <f t="shared" si="392"/>
        <v>-11</v>
      </c>
      <c r="AF568" s="1">
        <f t="shared" si="393"/>
        <v>4</v>
      </c>
      <c r="AG568" s="1">
        <f t="shared" si="394"/>
        <v>-10</v>
      </c>
      <c r="AH568" s="1">
        <f t="shared" si="395"/>
        <v>8</v>
      </c>
      <c r="AI568" s="1">
        <f t="shared" si="396"/>
        <v>-4</v>
      </c>
      <c r="AJ568" s="1">
        <f t="shared" si="397"/>
        <v>5</v>
      </c>
      <c r="AK568" s="17">
        <f t="shared" si="398"/>
        <v>-1.3333333333333333</v>
      </c>
      <c r="AL568" s="17">
        <f t="shared" si="399"/>
        <v>0</v>
      </c>
      <c r="AM568" s="1">
        <f t="shared" si="400"/>
        <v>-0.18181818181818182</v>
      </c>
      <c r="AN568" s="1">
        <f t="shared" si="401"/>
        <v>0.55555555555555558</v>
      </c>
      <c r="AO568" s="1">
        <f t="shared" si="402"/>
        <v>-0.42857142857142855</v>
      </c>
      <c r="AP568" s="1">
        <f t="shared" si="403"/>
        <v>0.375</v>
      </c>
      <c r="AQ568" s="1">
        <f t="shared" si="404"/>
        <v>-9.0909090909090912E-2</v>
      </c>
      <c r="AR568" s="1">
        <f t="shared" si="405"/>
        <v>0</v>
      </c>
      <c r="AS568" s="12">
        <f t="shared" si="406"/>
        <v>3.8209475709475714E-2</v>
      </c>
      <c r="AT568" s="12">
        <f t="shared" si="407"/>
        <v>-4.5454545454545456E-2</v>
      </c>
      <c r="AU568" s="1">
        <f t="shared" si="408"/>
        <v>-2</v>
      </c>
      <c r="AV568" s="1">
        <f t="shared" si="409"/>
        <v>5</v>
      </c>
      <c r="AW568" s="1">
        <f t="shared" si="410"/>
        <v>-6</v>
      </c>
      <c r="AX568" s="1">
        <f t="shared" si="411"/>
        <v>3</v>
      </c>
      <c r="AY568" s="1">
        <f t="shared" si="412"/>
        <v>-1</v>
      </c>
      <c r="AZ568" s="1">
        <f t="shared" si="413"/>
        <v>0</v>
      </c>
      <c r="BA568" s="19">
        <f t="shared" si="414"/>
        <v>-0.16666666666666666</v>
      </c>
      <c r="BB568" s="19">
        <f t="shared" si="415"/>
        <v>-0.5</v>
      </c>
      <c r="BC568" s="9">
        <f t="shared" si="416"/>
        <v>-0.5625</v>
      </c>
      <c r="BD568" s="9">
        <f t="shared" si="417"/>
        <v>-0.14285714285714285</v>
      </c>
      <c r="BE568" s="9">
        <f t="shared" si="418"/>
        <v>-0.66666666666666663</v>
      </c>
      <c r="BF568" s="9">
        <f t="shared" si="419"/>
        <v>2.5</v>
      </c>
      <c r="BG568" s="9">
        <f t="shared" si="420"/>
        <v>-0.42857142857142855</v>
      </c>
      <c r="BH568" s="9">
        <f t="shared" si="421"/>
        <v>1.25</v>
      </c>
      <c r="BI568" s="12">
        <f t="shared" si="422"/>
        <v>0.32490079365079366</v>
      </c>
      <c r="BJ568" s="13">
        <f t="shared" si="423"/>
        <v>-0.2857142857142857</v>
      </c>
      <c r="BK568" s="1">
        <f t="shared" si="424"/>
        <v>-9</v>
      </c>
      <c r="BL568" s="1">
        <f t="shared" si="425"/>
        <v>-1</v>
      </c>
      <c r="BM568" s="1">
        <f t="shared" si="426"/>
        <v>-4</v>
      </c>
      <c r="BN568" s="1">
        <f t="shared" si="427"/>
        <v>5</v>
      </c>
      <c r="BO568" s="1">
        <f t="shared" si="428"/>
        <v>-3</v>
      </c>
      <c r="BP568" s="1">
        <f t="shared" si="429"/>
        <v>5</v>
      </c>
      <c r="BQ568" s="19">
        <f t="shared" si="430"/>
        <v>-1.1666666666666667</v>
      </c>
      <c r="BR568" s="17">
        <f t="shared" si="431"/>
        <v>-2</v>
      </c>
    </row>
    <row r="569" spans="1:70" x14ac:dyDescent="0.25">
      <c r="A569" t="s">
        <v>230</v>
      </c>
      <c r="B569">
        <v>24</v>
      </c>
      <c r="C569">
        <v>34</v>
      </c>
      <c r="D569">
        <v>18</v>
      </c>
      <c r="E569">
        <v>17</v>
      </c>
      <c r="F569">
        <v>9</v>
      </c>
      <c r="G569">
        <v>14</v>
      </c>
      <c r="H569">
        <v>16</v>
      </c>
      <c r="I569">
        <v>8</v>
      </c>
      <c r="J569">
        <v>15</v>
      </c>
      <c r="K569">
        <v>11</v>
      </c>
      <c r="L569">
        <v>10</v>
      </c>
      <c r="M569">
        <v>7</v>
      </c>
      <c r="N569">
        <v>10</v>
      </c>
      <c r="O569">
        <v>10</v>
      </c>
      <c r="P569">
        <v>16</v>
      </c>
      <c r="Q569">
        <v>19</v>
      </c>
      <c r="R569">
        <v>7</v>
      </c>
      <c r="S569">
        <v>7</v>
      </c>
      <c r="T569">
        <v>2</v>
      </c>
      <c r="U569">
        <v>4</v>
      </c>
      <c r="V569">
        <v>6</v>
      </c>
      <c r="W569" s="8">
        <f t="shared" si="384"/>
        <v>0.41666666666666669</v>
      </c>
      <c r="X569" s="8">
        <f t="shared" si="385"/>
        <v>-0.47058823529411764</v>
      </c>
      <c r="Y569" s="8">
        <f t="shared" si="386"/>
        <v>-5.5555555555555552E-2</v>
      </c>
      <c r="Z569" s="8">
        <f t="shared" si="387"/>
        <v>-0.47058823529411764</v>
      </c>
      <c r="AA569" s="8">
        <f t="shared" si="388"/>
        <v>0.55555555555555558</v>
      </c>
      <c r="AB569" s="8">
        <f t="shared" si="389"/>
        <v>0.14285714285714285</v>
      </c>
      <c r="AC569" s="12">
        <f t="shared" si="390"/>
        <v>1.9724556489262385E-2</v>
      </c>
      <c r="AD569" s="12">
        <f t="shared" si="391"/>
        <v>4.3650793650793648E-2</v>
      </c>
      <c r="AE569" s="1">
        <f t="shared" si="392"/>
        <v>10</v>
      </c>
      <c r="AF569" s="1">
        <f t="shared" si="393"/>
        <v>-16</v>
      </c>
      <c r="AG569" s="1">
        <f t="shared" si="394"/>
        <v>-1</v>
      </c>
      <c r="AH569" s="1">
        <f t="shared" si="395"/>
        <v>-8</v>
      </c>
      <c r="AI569" s="1">
        <f t="shared" si="396"/>
        <v>5</v>
      </c>
      <c r="AJ569" s="1">
        <f t="shared" si="397"/>
        <v>2</v>
      </c>
      <c r="AK569" s="17">
        <f t="shared" si="398"/>
        <v>-1.3333333333333333</v>
      </c>
      <c r="AL569" s="17">
        <f t="shared" si="399"/>
        <v>0.5</v>
      </c>
      <c r="AM569" s="1">
        <f t="shared" si="400"/>
        <v>0.875</v>
      </c>
      <c r="AN569" s="1">
        <f t="shared" si="401"/>
        <v>-0.26666666666666666</v>
      </c>
      <c r="AO569" s="1">
        <f t="shared" si="402"/>
        <v>-9.0909090909090912E-2</v>
      </c>
      <c r="AP569" s="1">
        <f t="shared" si="403"/>
        <v>-0.3</v>
      </c>
      <c r="AQ569" s="1">
        <f t="shared" si="404"/>
        <v>0.42857142857142855</v>
      </c>
      <c r="AR569" s="1">
        <f t="shared" si="405"/>
        <v>0</v>
      </c>
      <c r="AS569" s="12">
        <f t="shared" si="406"/>
        <v>0.10766594516594517</v>
      </c>
      <c r="AT569" s="12">
        <f t="shared" si="407"/>
        <v>-4.5454545454545456E-2</v>
      </c>
      <c r="AU569" s="1">
        <f t="shared" si="408"/>
        <v>7</v>
      </c>
      <c r="AV569" s="1">
        <f t="shared" si="409"/>
        <v>-4</v>
      </c>
      <c r="AW569" s="1">
        <f t="shared" si="410"/>
        <v>-1</v>
      </c>
      <c r="AX569" s="1">
        <f t="shared" si="411"/>
        <v>-3</v>
      </c>
      <c r="AY569" s="1">
        <f t="shared" si="412"/>
        <v>3</v>
      </c>
      <c r="AZ569" s="1">
        <f t="shared" si="413"/>
        <v>0</v>
      </c>
      <c r="BA569" s="19">
        <f t="shared" si="414"/>
        <v>0.33333333333333331</v>
      </c>
      <c r="BB569" s="19">
        <f t="shared" si="415"/>
        <v>-0.5</v>
      </c>
      <c r="BC569" s="9">
        <f t="shared" si="416"/>
        <v>0.1875</v>
      </c>
      <c r="BD569" s="9">
        <f t="shared" si="417"/>
        <v>-0.63157894736842102</v>
      </c>
      <c r="BE569" s="9">
        <f t="shared" si="418"/>
        <v>0</v>
      </c>
      <c r="BF569" s="9">
        <f t="shared" si="419"/>
        <v>-0.7142857142857143</v>
      </c>
      <c r="BG569" s="9">
        <f t="shared" si="420"/>
        <v>1</v>
      </c>
      <c r="BH569" s="9">
        <f t="shared" si="421"/>
        <v>0.5</v>
      </c>
      <c r="BI569" s="12">
        <f t="shared" si="422"/>
        <v>5.693922305764413E-2</v>
      </c>
      <c r="BJ569" s="13">
        <f t="shared" si="423"/>
        <v>9.375E-2</v>
      </c>
      <c r="BK569" s="1">
        <f t="shared" si="424"/>
        <v>3</v>
      </c>
      <c r="BL569" s="1">
        <f t="shared" si="425"/>
        <v>-12</v>
      </c>
      <c r="BM569" s="1">
        <f t="shared" si="426"/>
        <v>0</v>
      </c>
      <c r="BN569" s="1">
        <f t="shared" si="427"/>
        <v>-5</v>
      </c>
      <c r="BO569" s="1">
        <f t="shared" si="428"/>
        <v>2</v>
      </c>
      <c r="BP569" s="1">
        <f t="shared" si="429"/>
        <v>2</v>
      </c>
      <c r="BQ569" s="19">
        <f t="shared" si="430"/>
        <v>-1.6666666666666667</v>
      </c>
      <c r="BR569" s="17">
        <f t="shared" si="431"/>
        <v>1</v>
      </c>
    </row>
    <row r="570" spans="1:70" x14ac:dyDescent="0.25">
      <c r="A570" t="s">
        <v>281</v>
      </c>
      <c r="B570">
        <v>14</v>
      </c>
      <c r="C570">
        <v>18</v>
      </c>
      <c r="D570">
        <v>11</v>
      </c>
      <c r="E570">
        <v>14</v>
      </c>
      <c r="F570">
        <v>10</v>
      </c>
      <c r="G570">
        <v>9</v>
      </c>
      <c r="H570">
        <v>6</v>
      </c>
      <c r="I570">
        <v>10</v>
      </c>
      <c r="J570">
        <v>13</v>
      </c>
      <c r="K570">
        <v>9</v>
      </c>
      <c r="L570">
        <v>3</v>
      </c>
      <c r="M570">
        <v>5</v>
      </c>
      <c r="N570">
        <v>4</v>
      </c>
      <c r="O570">
        <v>3</v>
      </c>
      <c r="P570">
        <v>4</v>
      </c>
      <c r="Q570">
        <v>5</v>
      </c>
      <c r="R570">
        <v>2</v>
      </c>
      <c r="S570">
        <v>11</v>
      </c>
      <c r="T570">
        <v>5</v>
      </c>
      <c r="U570">
        <v>5</v>
      </c>
      <c r="V570">
        <v>3</v>
      </c>
      <c r="W570" s="8">
        <f t="shared" si="384"/>
        <v>0.2857142857142857</v>
      </c>
      <c r="X570" s="8">
        <f t="shared" si="385"/>
        <v>-0.3888888888888889</v>
      </c>
      <c r="Y570" s="8">
        <f t="shared" si="386"/>
        <v>0.27272727272727271</v>
      </c>
      <c r="Z570" s="8">
        <f t="shared" si="387"/>
        <v>-0.2857142857142857</v>
      </c>
      <c r="AA570" s="8">
        <f t="shared" si="388"/>
        <v>-0.1</v>
      </c>
      <c r="AB570" s="8">
        <f t="shared" si="389"/>
        <v>-0.33333333333333331</v>
      </c>
      <c r="AC570" s="12">
        <f t="shared" si="390"/>
        <v>-9.1582491582491585E-2</v>
      </c>
      <c r="AD570" s="12">
        <f t="shared" si="391"/>
        <v>-0.19285714285714284</v>
      </c>
      <c r="AE570" s="1">
        <f t="shared" si="392"/>
        <v>4</v>
      </c>
      <c r="AF570" s="1">
        <f t="shared" si="393"/>
        <v>-7</v>
      </c>
      <c r="AG570" s="1">
        <f t="shared" si="394"/>
        <v>3</v>
      </c>
      <c r="AH570" s="1">
        <f t="shared" si="395"/>
        <v>-4</v>
      </c>
      <c r="AI570" s="1">
        <f t="shared" si="396"/>
        <v>-1</v>
      </c>
      <c r="AJ570" s="1">
        <f t="shared" si="397"/>
        <v>-3</v>
      </c>
      <c r="AK570" s="17">
        <f t="shared" si="398"/>
        <v>-1.3333333333333333</v>
      </c>
      <c r="AL570" s="17">
        <f t="shared" si="399"/>
        <v>-2</v>
      </c>
      <c r="AM570" s="1">
        <f t="shared" si="400"/>
        <v>0.3</v>
      </c>
      <c r="AN570" s="1">
        <f t="shared" si="401"/>
        <v>-0.30769230769230771</v>
      </c>
      <c r="AO570" s="1">
        <f t="shared" si="402"/>
        <v>-0.66666666666666663</v>
      </c>
      <c r="AP570" s="1">
        <f t="shared" si="403"/>
        <v>0.66666666666666663</v>
      </c>
      <c r="AQ570" s="1">
        <f t="shared" si="404"/>
        <v>-0.2</v>
      </c>
      <c r="AR570" s="1">
        <f t="shared" si="405"/>
        <v>-0.25</v>
      </c>
      <c r="AS570" s="12">
        <f t="shared" si="406"/>
        <v>-7.6282051282051302E-2</v>
      </c>
      <c r="AT570" s="12">
        <f t="shared" si="407"/>
        <v>-0.22500000000000001</v>
      </c>
      <c r="AU570" s="1">
        <f t="shared" si="408"/>
        <v>3</v>
      </c>
      <c r="AV570" s="1">
        <f t="shared" si="409"/>
        <v>-4</v>
      </c>
      <c r="AW570" s="1">
        <f t="shared" si="410"/>
        <v>-6</v>
      </c>
      <c r="AX570" s="1">
        <f t="shared" si="411"/>
        <v>2</v>
      </c>
      <c r="AY570" s="1">
        <f t="shared" si="412"/>
        <v>-1</v>
      </c>
      <c r="AZ570" s="1">
        <f t="shared" si="413"/>
        <v>-1</v>
      </c>
      <c r="BA570" s="19">
        <f t="shared" si="414"/>
        <v>-1.1666666666666667</v>
      </c>
      <c r="BB570" s="19">
        <f t="shared" si="415"/>
        <v>-1</v>
      </c>
      <c r="BC570" s="9">
        <f t="shared" si="416"/>
        <v>0.25</v>
      </c>
      <c r="BD570" s="9">
        <f t="shared" si="417"/>
        <v>-0.6</v>
      </c>
      <c r="BE570" s="9">
        <f t="shared" si="418"/>
        <v>4.5</v>
      </c>
      <c r="BF570" s="9">
        <f t="shared" si="419"/>
        <v>-0.54545454545454541</v>
      </c>
      <c r="BG570" s="9">
        <f t="shared" si="420"/>
        <v>0</v>
      </c>
      <c r="BH570" s="9">
        <f t="shared" si="421"/>
        <v>-0.4</v>
      </c>
      <c r="BI570" s="12">
        <f t="shared" si="422"/>
        <v>0.53409090909090917</v>
      </c>
      <c r="BJ570" s="13">
        <f t="shared" si="423"/>
        <v>-0.2</v>
      </c>
      <c r="BK570" s="1">
        <f t="shared" si="424"/>
        <v>1</v>
      </c>
      <c r="BL570" s="1">
        <f t="shared" si="425"/>
        <v>-3</v>
      </c>
      <c r="BM570" s="1">
        <f t="shared" si="426"/>
        <v>9</v>
      </c>
      <c r="BN570" s="1">
        <f t="shared" si="427"/>
        <v>-6</v>
      </c>
      <c r="BO570" s="1">
        <f t="shared" si="428"/>
        <v>0</v>
      </c>
      <c r="BP570" s="1">
        <f t="shared" si="429"/>
        <v>-2</v>
      </c>
      <c r="BQ570" s="19">
        <f t="shared" si="430"/>
        <v>-0.16666666666666666</v>
      </c>
      <c r="BR570" s="17">
        <f t="shared" si="431"/>
        <v>-1</v>
      </c>
    </row>
    <row r="571" spans="1:70" x14ac:dyDescent="0.25">
      <c r="A571" t="s">
        <v>143</v>
      </c>
      <c r="B571">
        <v>92</v>
      </c>
      <c r="C571">
        <v>88</v>
      </c>
      <c r="D571">
        <v>85</v>
      </c>
      <c r="E571">
        <v>71</v>
      </c>
      <c r="F571">
        <v>115</v>
      </c>
      <c r="G571">
        <v>82</v>
      </c>
      <c r="H571">
        <v>83</v>
      </c>
      <c r="I571">
        <v>48</v>
      </c>
      <c r="J571">
        <v>50</v>
      </c>
      <c r="K571">
        <v>53</v>
      </c>
      <c r="L571">
        <v>45</v>
      </c>
      <c r="M571">
        <v>63</v>
      </c>
      <c r="N571">
        <v>37</v>
      </c>
      <c r="O571">
        <v>49</v>
      </c>
      <c r="P571">
        <v>44</v>
      </c>
      <c r="Q571">
        <v>38</v>
      </c>
      <c r="R571">
        <v>32</v>
      </c>
      <c r="S571">
        <v>26</v>
      </c>
      <c r="T571">
        <v>52</v>
      </c>
      <c r="U571">
        <v>45</v>
      </c>
      <c r="V571">
        <v>34</v>
      </c>
      <c r="W571" s="8">
        <f t="shared" si="384"/>
        <v>-4.3478260869565216E-2</v>
      </c>
      <c r="X571" s="8">
        <f t="shared" si="385"/>
        <v>-3.4090909090909088E-2</v>
      </c>
      <c r="Y571" s="8">
        <f t="shared" si="386"/>
        <v>-0.16470588235294117</v>
      </c>
      <c r="Z571" s="8">
        <f t="shared" si="387"/>
        <v>0.61971830985915488</v>
      </c>
      <c r="AA571" s="8">
        <f t="shared" si="388"/>
        <v>-0.28695652173913044</v>
      </c>
      <c r="AB571" s="8">
        <f t="shared" si="389"/>
        <v>1.2195121951219513E-2</v>
      </c>
      <c r="AC571" s="12">
        <f t="shared" si="390"/>
        <v>1.7113642959638072E-2</v>
      </c>
      <c r="AD571" s="12">
        <f t="shared" si="391"/>
        <v>-3.8784584980237152E-2</v>
      </c>
      <c r="AE571" s="1">
        <f t="shared" si="392"/>
        <v>-4</v>
      </c>
      <c r="AF571" s="1">
        <f t="shared" si="393"/>
        <v>-3</v>
      </c>
      <c r="AG571" s="1">
        <f t="shared" si="394"/>
        <v>-14</v>
      </c>
      <c r="AH571" s="1">
        <f t="shared" si="395"/>
        <v>44</v>
      </c>
      <c r="AI571" s="1">
        <f t="shared" si="396"/>
        <v>-33</v>
      </c>
      <c r="AJ571" s="1">
        <f t="shared" si="397"/>
        <v>1</v>
      </c>
      <c r="AK571" s="17">
        <f t="shared" si="398"/>
        <v>-1.5</v>
      </c>
      <c r="AL571" s="17">
        <f t="shared" si="399"/>
        <v>-3.5</v>
      </c>
      <c r="AM571" s="1">
        <f t="shared" si="400"/>
        <v>4.1666666666666664E-2</v>
      </c>
      <c r="AN571" s="1">
        <f t="shared" si="401"/>
        <v>0.06</v>
      </c>
      <c r="AO571" s="1">
        <f t="shared" si="402"/>
        <v>-0.15094339622641509</v>
      </c>
      <c r="AP571" s="1">
        <f t="shared" si="403"/>
        <v>0.4</v>
      </c>
      <c r="AQ571" s="1">
        <f t="shared" si="404"/>
        <v>-0.41269841269841268</v>
      </c>
      <c r="AR571" s="1">
        <f t="shared" si="405"/>
        <v>0.32432432432432434</v>
      </c>
      <c r="AS571" s="12">
        <f t="shared" si="406"/>
        <v>4.3724863677693876E-2</v>
      </c>
      <c r="AT571" s="12">
        <f t="shared" si="407"/>
        <v>5.0833333333333328E-2</v>
      </c>
      <c r="AU571" s="1">
        <f t="shared" si="408"/>
        <v>2</v>
      </c>
      <c r="AV571" s="1">
        <f t="shared" si="409"/>
        <v>3</v>
      </c>
      <c r="AW571" s="1">
        <f t="shared" si="410"/>
        <v>-8</v>
      </c>
      <c r="AX571" s="1">
        <f t="shared" si="411"/>
        <v>18</v>
      </c>
      <c r="AY571" s="1">
        <f t="shared" si="412"/>
        <v>-26</v>
      </c>
      <c r="AZ571" s="1">
        <f t="shared" si="413"/>
        <v>12</v>
      </c>
      <c r="BA571" s="19">
        <f t="shared" si="414"/>
        <v>0.16666666666666666</v>
      </c>
      <c r="BB571" s="19">
        <f t="shared" si="415"/>
        <v>2.5</v>
      </c>
      <c r="BC571" s="9">
        <f t="shared" si="416"/>
        <v>-0.13636363636363635</v>
      </c>
      <c r="BD571" s="9">
        <f t="shared" si="417"/>
        <v>-0.15789473684210525</v>
      </c>
      <c r="BE571" s="9">
        <f t="shared" si="418"/>
        <v>-0.1875</v>
      </c>
      <c r="BF571" s="9">
        <f t="shared" si="419"/>
        <v>1</v>
      </c>
      <c r="BG571" s="9">
        <f t="shared" si="420"/>
        <v>-0.13461538461538461</v>
      </c>
      <c r="BH571" s="9">
        <f t="shared" si="421"/>
        <v>-0.24444444444444444</v>
      </c>
      <c r="BI571" s="12">
        <f t="shared" si="422"/>
        <v>2.3196966289071572E-2</v>
      </c>
      <c r="BJ571" s="13">
        <f t="shared" si="423"/>
        <v>-0.1471291866028708</v>
      </c>
      <c r="BK571" s="1">
        <f t="shared" si="424"/>
        <v>-6</v>
      </c>
      <c r="BL571" s="1">
        <f t="shared" si="425"/>
        <v>-6</v>
      </c>
      <c r="BM571" s="1">
        <f t="shared" si="426"/>
        <v>-6</v>
      </c>
      <c r="BN571" s="1">
        <f t="shared" si="427"/>
        <v>26</v>
      </c>
      <c r="BO571" s="1">
        <f t="shared" si="428"/>
        <v>-7</v>
      </c>
      <c r="BP571" s="1">
        <f t="shared" si="429"/>
        <v>-11</v>
      </c>
      <c r="BQ571" s="19">
        <f t="shared" si="430"/>
        <v>-1.6666666666666667</v>
      </c>
      <c r="BR571" s="17">
        <f t="shared" si="431"/>
        <v>-6</v>
      </c>
    </row>
    <row r="572" spans="1:70" x14ac:dyDescent="0.25">
      <c r="A572" t="s">
        <v>231</v>
      </c>
      <c r="B572">
        <v>24</v>
      </c>
      <c r="C572">
        <v>27</v>
      </c>
      <c r="D572">
        <v>25</v>
      </c>
      <c r="E572">
        <v>11</v>
      </c>
      <c r="F572">
        <v>17</v>
      </c>
      <c r="G572">
        <v>20</v>
      </c>
      <c r="H572">
        <v>15</v>
      </c>
      <c r="I572">
        <v>16</v>
      </c>
      <c r="J572">
        <v>13</v>
      </c>
      <c r="K572">
        <v>15</v>
      </c>
      <c r="L572">
        <v>8</v>
      </c>
      <c r="M572">
        <v>10</v>
      </c>
      <c r="N572">
        <v>12</v>
      </c>
      <c r="O572">
        <v>8</v>
      </c>
      <c r="P572">
        <v>8</v>
      </c>
      <c r="Q572">
        <v>14</v>
      </c>
      <c r="R572">
        <v>10</v>
      </c>
      <c r="S572">
        <v>3</v>
      </c>
      <c r="T572">
        <v>7</v>
      </c>
      <c r="U572">
        <v>8</v>
      </c>
      <c r="V572">
        <v>7</v>
      </c>
      <c r="W572" s="8">
        <f t="shared" si="384"/>
        <v>0.125</v>
      </c>
      <c r="X572" s="8">
        <f t="shared" si="385"/>
        <v>-7.407407407407407E-2</v>
      </c>
      <c r="Y572" s="8">
        <f t="shared" si="386"/>
        <v>-0.56000000000000005</v>
      </c>
      <c r="Z572" s="8">
        <f t="shared" si="387"/>
        <v>0.54545454545454541</v>
      </c>
      <c r="AA572" s="8">
        <f t="shared" si="388"/>
        <v>0.17647058823529413</v>
      </c>
      <c r="AB572" s="8">
        <f t="shared" si="389"/>
        <v>-0.25</v>
      </c>
      <c r="AC572" s="12">
        <f t="shared" si="390"/>
        <v>-6.191490064039097E-3</v>
      </c>
      <c r="AD572" s="12">
        <f t="shared" si="391"/>
        <v>2.5462962962962965E-2</v>
      </c>
      <c r="AE572" s="1">
        <f t="shared" si="392"/>
        <v>3</v>
      </c>
      <c r="AF572" s="1">
        <f t="shared" si="393"/>
        <v>-2</v>
      </c>
      <c r="AG572" s="1">
        <f t="shared" si="394"/>
        <v>-14</v>
      </c>
      <c r="AH572" s="1">
        <f t="shared" si="395"/>
        <v>6</v>
      </c>
      <c r="AI572" s="1">
        <f t="shared" si="396"/>
        <v>3</v>
      </c>
      <c r="AJ572" s="1">
        <f t="shared" si="397"/>
        <v>-5</v>
      </c>
      <c r="AK572" s="17">
        <f t="shared" si="398"/>
        <v>-1.5</v>
      </c>
      <c r="AL572" s="17">
        <f t="shared" si="399"/>
        <v>0.5</v>
      </c>
      <c r="AM572" s="1">
        <f t="shared" si="400"/>
        <v>-0.1875</v>
      </c>
      <c r="AN572" s="1">
        <f t="shared" si="401"/>
        <v>0.15384615384615385</v>
      </c>
      <c r="AO572" s="1">
        <f t="shared" si="402"/>
        <v>-0.46666666666666667</v>
      </c>
      <c r="AP572" s="1">
        <f t="shared" si="403"/>
        <v>0.25</v>
      </c>
      <c r="AQ572" s="1">
        <f t="shared" si="404"/>
        <v>0.2</v>
      </c>
      <c r="AR572" s="1">
        <f t="shared" si="405"/>
        <v>-0.33333333333333331</v>
      </c>
      <c r="AS572" s="12">
        <f t="shared" si="406"/>
        <v>-6.3942307692307687E-2</v>
      </c>
      <c r="AT572" s="12">
        <f t="shared" si="407"/>
        <v>-1.6826923076923073E-2</v>
      </c>
      <c r="AU572" s="1">
        <f t="shared" si="408"/>
        <v>-3</v>
      </c>
      <c r="AV572" s="1">
        <f t="shared" si="409"/>
        <v>2</v>
      </c>
      <c r="AW572" s="1">
        <f t="shared" si="410"/>
        <v>-7</v>
      </c>
      <c r="AX572" s="1">
        <f t="shared" si="411"/>
        <v>2</v>
      </c>
      <c r="AY572" s="1">
        <f t="shared" si="412"/>
        <v>2</v>
      </c>
      <c r="AZ572" s="1">
        <f t="shared" si="413"/>
        <v>-4</v>
      </c>
      <c r="BA572" s="19">
        <f t="shared" si="414"/>
        <v>-1.3333333333333333</v>
      </c>
      <c r="BB572" s="19">
        <f t="shared" si="415"/>
        <v>-0.5</v>
      </c>
      <c r="BC572" s="9">
        <f t="shared" si="416"/>
        <v>0.75</v>
      </c>
      <c r="BD572" s="9">
        <f t="shared" si="417"/>
        <v>-0.2857142857142857</v>
      </c>
      <c r="BE572" s="9">
        <f t="shared" si="418"/>
        <v>-0.7</v>
      </c>
      <c r="BF572" s="9">
        <f t="shared" si="419"/>
        <v>1.3333333333333333</v>
      </c>
      <c r="BG572" s="9">
        <f t="shared" si="420"/>
        <v>0.14285714285714285</v>
      </c>
      <c r="BH572" s="9">
        <f t="shared" si="421"/>
        <v>-0.125</v>
      </c>
      <c r="BI572" s="12">
        <f t="shared" si="422"/>
        <v>0.18591269841269842</v>
      </c>
      <c r="BJ572" s="13">
        <f t="shared" si="423"/>
        <v>8.9285714285714246E-3</v>
      </c>
      <c r="BK572" s="1">
        <f t="shared" si="424"/>
        <v>6</v>
      </c>
      <c r="BL572" s="1">
        <f t="shared" si="425"/>
        <v>-4</v>
      </c>
      <c r="BM572" s="1">
        <f t="shared" si="426"/>
        <v>-7</v>
      </c>
      <c r="BN572" s="1">
        <f t="shared" si="427"/>
        <v>4</v>
      </c>
      <c r="BO572" s="1">
        <f t="shared" si="428"/>
        <v>1</v>
      </c>
      <c r="BP572" s="1">
        <f t="shared" si="429"/>
        <v>-1</v>
      </c>
      <c r="BQ572" s="19">
        <f t="shared" si="430"/>
        <v>-0.16666666666666666</v>
      </c>
      <c r="BR572" s="17">
        <f t="shared" si="431"/>
        <v>0</v>
      </c>
    </row>
    <row r="573" spans="1:70" x14ac:dyDescent="0.25">
      <c r="A573" t="s">
        <v>245</v>
      </c>
      <c r="B573">
        <v>20</v>
      </c>
      <c r="C573">
        <v>16</v>
      </c>
      <c r="D573">
        <v>26</v>
      </c>
      <c r="E573">
        <v>20</v>
      </c>
      <c r="F573">
        <v>17</v>
      </c>
      <c r="G573">
        <v>13</v>
      </c>
      <c r="H573">
        <v>11</v>
      </c>
      <c r="I573">
        <v>10</v>
      </c>
      <c r="J573">
        <v>9</v>
      </c>
      <c r="K573">
        <v>16</v>
      </c>
      <c r="L573">
        <v>9</v>
      </c>
      <c r="M573">
        <v>6</v>
      </c>
      <c r="N573">
        <v>4</v>
      </c>
      <c r="O573">
        <v>5</v>
      </c>
      <c r="P573">
        <v>10</v>
      </c>
      <c r="Q573">
        <v>7</v>
      </c>
      <c r="R573">
        <v>10</v>
      </c>
      <c r="S573">
        <v>11</v>
      </c>
      <c r="T573">
        <v>11</v>
      </c>
      <c r="U573">
        <v>9</v>
      </c>
      <c r="V573">
        <v>6</v>
      </c>
      <c r="W573" s="8">
        <f t="shared" si="384"/>
        <v>-0.2</v>
      </c>
      <c r="X573" s="8">
        <f t="shared" si="385"/>
        <v>0.625</v>
      </c>
      <c r="Y573" s="8">
        <f t="shared" si="386"/>
        <v>-0.23076923076923078</v>
      </c>
      <c r="Z573" s="8">
        <f t="shared" si="387"/>
        <v>-0.15</v>
      </c>
      <c r="AA573" s="8">
        <f t="shared" si="388"/>
        <v>-0.23529411764705882</v>
      </c>
      <c r="AB573" s="8">
        <f t="shared" si="389"/>
        <v>-0.15384615384615385</v>
      </c>
      <c r="AC573" s="12">
        <f t="shared" si="390"/>
        <v>-5.748491704374057E-2</v>
      </c>
      <c r="AD573" s="12">
        <f t="shared" si="391"/>
        <v>-0.17692307692307693</v>
      </c>
      <c r="AE573" s="1">
        <f t="shared" si="392"/>
        <v>-4</v>
      </c>
      <c r="AF573" s="1">
        <f t="shared" si="393"/>
        <v>10</v>
      </c>
      <c r="AG573" s="1">
        <f t="shared" si="394"/>
        <v>-6</v>
      </c>
      <c r="AH573" s="1">
        <f t="shared" si="395"/>
        <v>-3</v>
      </c>
      <c r="AI573" s="1">
        <f t="shared" si="396"/>
        <v>-4</v>
      </c>
      <c r="AJ573" s="1">
        <f t="shared" si="397"/>
        <v>-2</v>
      </c>
      <c r="AK573" s="17">
        <f t="shared" si="398"/>
        <v>-1.5</v>
      </c>
      <c r="AL573" s="17">
        <f t="shared" si="399"/>
        <v>-3.5</v>
      </c>
      <c r="AM573" s="1">
        <f t="shared" si="400"/>
        <v>-0.1</v>
      </c>
      <c r="AN573" s="1">
        <f t="shared" si="401"/>
        <v>0.77777777777777779</v>
      </c>
      <c r="AO573" s="1">
        <f t="shared" si="402"/>
        <v>-0.4375</v>
      </c>
      <c r="AP573" s="1">
        <f t="shared" si="403"/>
        <v>-0.33333333333333331</v>
      </c>
      <c r="AQ573" s="1">
        <f t="shared" si="404"/>
        <v>-0.33333333333333331</v>
      </c>
      <c r="AR573" s="1">
        <f t="shared" si="405"/>
        <v>0.25</v>
      </c>
      <c r="AS573" s="12">
        <f t="shared" si="406"/>
        <v>-2.9398148148148135E-2</v>
      </c>
      <c r="AT573" s="12">
        <f t="shared" si="407"/>
        <v>-0.21666666666666667</v>
      </c>
      <c r="AU573" s="1">
        <f t="shared" si="408"/>
        <v>-1</v>
      </c>
      <c r="AV573" s="1">
        <f t="shared" si="409"/>
        <v>7</v>
      </c>
      <c r="AW573" s="1">
        <f t="shared" si="410"/>
        <v>-7</v>
      </c>
      <c r="AX573" s="1">
        <f t="shared" si="411"/>
        <v>-3</v>
      </c>
      <c r="AY573" s="1">
        <f t="shared" si="412"/>
        <v>-2</v>
      </c>
      <c r="AZ573" s="1">
        <f t="shared" si="413"/>
        <v>1</v>
      </c>
      <c r="BA573" s="19">
        <f t="shared" si="414"/>
        <v>-0.83333333333333337</v>
      </c>
      <c r="BB573" s="19">
        <f t="shared" si="415"/>
        <v>-1.5</v>
      </c>
      <c r="BC573" s="9">
        <f t="shared" si="416"/>
        <v>-0.3</v>
      </c>
      <c r="BD573" s="9">
        <f t="shared" si="417"/>
        <v>0.42857142857142855</v>
      </c>
      <c r="BE573" s="9">
        <f t="shared" si="418"/>
        <v>0.1</v>
      </c>
      <c r="BF573" s="9">
        <f t="shared" si="419"/>
        <v>0</v>
      </c>
      <c r="BG573" s="9">
        <f t="shared" si="420"/>
        <v>-0.18181818181818182</v>
      </c>
      <c r="BH573" s="9">
        <f t="shared" si="421"/>
        <v>-0.33333333333333331</v>
      </c>
      <c r="BI573" s="12">
        <f t="shared" si="422"/>
        <v>-4.7763347763347765E-2</v>
      </c>
      <c r="BJ573" s="13">
        <f t="shared" si="423"/>
        <v>-9.0909090909090912E-2</v>
      </c>
      <c r="BK573" s="1">
        <f t="shared" si="424"/>
        <v>-3</v>
      </c>
      <c r="BL573" s="1">
        <f t="shared" si="425"/>
        <v>3</v>
      </c>
      <c r="BM573" s="1">
        <f t="shared" si="426"/>
        <v>1</v>
      </c>
      <c r="BN573" s="1">
        <f t="shared" si="427"/>
        <v>0</v>
      </c>
      <c r="BO573" s="1">
        <f t="shared" si="428"/>
        <v>-2</v>
      </c>
      <c r="BP573" s="1">
        <f t="shared" si="429"/>
        <v>-3</v>
      </c>
      <c r="BQ573" s="19">
        <f t="shared" si="430"/>
        <v>-0.66666666666666663</v>
      </c>
      <c r="BR573" s="17">
        <f t="shared" si="431"/>
        <v>-1</v>
      </c>
    </row>
    <row r="574" spans="1:70" x14ac:dyDescent="0.25">
      <c r="A574" t="s">
        <v>206</v>
      </c>
      <c r="B574">
        <v>33</v>
      </c>
      <c r="C574">
        <v>22</v>
      </c>
      <c r="D574">
        <v>22</v>
      </c>
      <c r="E574">
        <v>25</v>
      </c>
      <c r="F574">
        <v>29</v>
      </c>
      <c r="G574">
        <v>28</v>
      </c>
      <c r="H574">
        <v>23</v>
      </c>
      <c r="I574">
        <v>20</v>
      </c>
      <c r="J574">
        <v>11</v>
      </c>
      <c r="K574">
        <v>13</v>
      </c>
      <c r="L574">
        <v>10</v>
      </c>
      <c r="M574">
        <v>11</v>
      </c>
      <c r="N574">
        <v>15</v>
      </c>
      <c r="O574">
        <v>15</v>
      </c>
      <c r="P574">
        <v>13</v>
      </c>
      <c r="Q574">
        <v>11</v>
      </c>
      <c r="R574">
        <v>9</v>
      </c>
      <c r="S574">
        <v>15</v>
      </c>
      <c r="T574">
        <v>18</v>
      </c>
      <c r="U574">
        <v>13</v>
      </c>
      <c r="V574">
        <v>8</v>
      </c>
      <c r="W574" s="8">
        <f t="shared" si="384"/>
        <v>-0.33333333333333331</v>
      </c>
      <c r="X574" s="8">
        <f t="shared" si="385"/>
        <v>0</v>
      </c>
      <c r="Y574" s="8">
        <f t="shared" si="386"/>
        <v>0.13636363636363635</v>
      </c>
      <c r="Z574" s="8">
        <f t="shared" si="387"/>
        <v>0.16</v>
      </c>
      <c r="AA574" s="8">
        <f t="shared" si="388"/>
        <v>-3.4482758620689655E-2</v>
      </c>
      <c r="AB574" s="8">
        <f t="shared" si="389"/>
        <v>-0.17857142857142858</v>
      </c>
      <c r="AC574" s="12">
        <f t="shared" si="390"/>
        <v>-4.1670647360302536E-2</v>
      </c>
      <c r="AD574" s="12">
        <f t="shared" si="391"/>
        <v>-1.7241379310344827E-2</v>
      </c>
      <c r="AE574" s="1">
        <f t="shared" si="392"/>
        <v>-11</v>
      </c>
      <c r="AF574" s="1">
        <f t="shared" si="393"/>
        <v>0</v>
      </c>
      <c r="AG574" s="1">
        <f t="shared" si="394"/>
        <v>3</v>
      </c>
      <c r="AH574" s="1">
        <f t="shared" si="395"/>
        <v>4</v>
      </c>
      <c r="AI574" s="1">
        <f t="shared" si="396"/>
        <v>-1</v>
      </c>
      <c r="AJ574" s="1">
        <f t="shared" si="397"/>
        <v>-5</v>
      </c>
      <c r="AK574" s="17">
        <f t="shared" si="398"/>
        <v>-1.6666666666666667</v>
      </c>
      <c r="AL574" s="17">
        <f t="shared" si="399"/>
        <v>-0.5</v>
      </c>
      <c r="AM574" s="1">
        <f t="shared" si="400"/>
        <v>-0.45</v>
      </c>
      <c r="AN574" s="1">
        <f t="shared" si="401"/>
        <v>0.18181818181818182</v>
      </c>
      <c r="AO574" s="1">
        <f t="shared" si="402"/>
        <v>-0.23076923076923078</v>
      </c>
      <c r="AP574" s="1">
        <f t="shared" si="403"/>
        <v>0.1</v>
      </c>
      <c r="AQ574" s="1">
        <f t="shared" si="404"/>
        <v>0.36363636363636365</v>
      </c>
      <c r="AR574" s="1">
        <f t="shared" si="405"/>
        <v>0</v>
      </c>
      <c r="AS574" s="12">
        <f t="shared" si="406"/>
        <v>-5.885780885780882E-3</v>
      </c>
      <c r="AT574" s="12">
        <f t="shared" si="407"/>
        <v>0.05</v>
      </c>
      <c r="AU574" s="1">
        <f t="shared" si="408"/>
        <v>-9</v>
      </c>
      <c r="AV574" s="1">
        <f t="shared" si="409"/>
        <v>2</v>
      </c>
      <c r="AW574" s="1">
        <f t="shared" si="410"/>
        <v>-3</v>
      </c>
      <c r="AX574" s="1">
        <f t="shared" si="411"/>
        <v>1</v>
      </c>
      <c r="AY574" s="1">
        <f t="shared" si="412"/>
        <v>4</v>
      </c>
      <c r="AZ574" s="1">
        <f t="shared" si="413"/>
        <v>0</v>
      </c>
      <c r="BA574" s="19">
        <f t="shared" si="414"/>
        <v>-0.83333333333333337</v>
      </c>
      <c r="BB574" s="19">
        <f t="shared" si="415"/>
        <v>0.5</v>
      </c>
      <c r="BC574" s="9">
        <f t="shared" si="416"/>
        <v>-0.15384615384615385</v>
      </c>
      <c r="BD574" s="9">
        <f t="shared" si="417"/>
        <v>-0.18181818181818182</v>
      </c>
      <c r="BE574" s="9">
        <f t="shared" si="418"/>
        <v>0.66666666666666663</v>
      </c>
      <c r="BF574" s="9">
        <f t="shared" si="419"/>
        <v>0.2</v>
      </c>
      <c r="BG574" s="9">
        <f t="shared" si="420"/>
        <v>-0.27777777777777779</v>
      </c>
      <c r="BH574" s="9">
        <f t="shared" si="421"/>
        <v>-0.38461538461538464</v>
      </c>
      <c r="BI574" s="12">
        <f t="shared" si="422"/>
        <v>-2.1898471898471911E-2</v>
      </c>
      <c r="BJ574" s="13">
        <f t="shared" si="423"/>
        <v>-0.16783216783216784</v>
      </c>
      <c r="BK574" s="1">
        <f t="shared" si="424"/>
        <v>-2</v>
      </c>
      <c r="BL574" s="1">
        <f t="shared" si="425"/>
        <v>-2</v>
      </c>
      <c r="BM574" s="1">
        <f t="shared" si="426"/>
        <v>6</v>
      </c>
      <c r="BN574" s="1">
        <f t="shared" si="427"/>
        <v>3</v>
      </c>
      <c r="BO574" s="1">
        <f t="shared" si="428"/>
        <v>-5</v>
      </c>
      <c r="BP574" s="1">
        <f t="shared" si="429"/>
        <v>-5</v>
      </c>
      <c r="BQ574" s="19">
        <f t="shared" si="430"/>
        <v>-0.83333333333333337</v>
      </c>
      <c r="BR574" s="17">
        <f t="shared" si="431"/>
        <v>-2</v>
      </c>
    </row>
    <row r="575" spans="1:70" x14ac:dyDescent="0.25">
      <c r="A575" t="s">
        <v>222</v>
      </c>
      <c r="B575">
        <v>26</v>
      </c>
      <c r="C575">
        <v>25</v>
      </c>
      <c r="D575">
        <v>11</v>
      </c>
      <c r="E575">
        <v>17</v>
      </c>
      <c r="F575">
        <v>14</v>
      </c>
      <c r="G575">
        <v>22</v>
      </c>
      <c r="H575">
        <v>16</v>
      </c>
      <c r="I575">
        <v>11</v>
      </c>
      <c r="J575">
        <v>11</v>
      </c>
      <c r="K575">
        <v>4</v>
      </c>
      <c r="L575">
        <v>10</v>
      </c>
      <c r="M575">
        <v>2</v>
      </c>
      <c r="N575">
        <v>10</v>
      </c>
      <c r="O575">
        <v>8</v>
      </c>
      <c r="P575">
        <v>15</v>
      </c>
      <c r="Q575">
        <v>14</v>
      </c>
      <c r="R575">
        <v>7</v>
      </c>
      <c r="S575">
        <v>7</v>
      </c>
      <c r="T575">
        <v>12</v>
      </c>
      <c r="U575">
        <v>12</v>
      </c>
      <c r="V575">
        <v>8</v>
      </c>
      <c r="W575" s="8">
        <f t="shared" si="384"/>
        <v>-3.8461538461538464E-2</v>
      </c>
      <c r="X575" s="8">
        <f t="shared" si="385"/>
        <v>-0.56000000000000005</v>
      </c>
      <c r="Y575" s="8">
        <f t="shared" si="386"/>
        <v>0.54545454545454541</v>
      </c>
      <c r="Z575" s="8">
        <f t="shared" si="387"/>
        <v>-0.17647058823529413</v>
      </c>
      <c r="AA575" s="8">
        <f t="shared" si="388"/>
        <v>0.5714285714285714</v>
      </c>
      <c r="AB575" s="8">
        <f t="shared" si="389"/>
        <v>-0.27272727272727271</v>
      </c>
      <c r="AC575" s="12">
        <f t="shared" si="390"/>
        <v>1.1537286243168576E-2</v>
      </c>
      <c r="AD575" s="12">
        <f t="shared" si="391"/>
        <v>-0.1074660633484163</v>
      </c>
      <c r="AE575" s="1">
        <f t="shared" si="392"/>
        <v>-1</v>
      </c>
      <c r="AF575" s="1">
        <f t="shared" si="393"/>
        <v>-14</v>
      </c>
      <c r="AG575" s="1">
        <f t="shared" si="394"/>
        <v>6</v>
      </c>
      <c r="AH575" s="1">
        <f t="shared" si="395"/>
        <v>-3</v>
      </c>
      <c r="AI575" s="1">
        <f t="shared" si="396"/>
        <v>8</v>
      </c>
      <c r="AJ575" s="1">
        <f t="shared" si="397"/>
        <v>-6</v>
      </c>
      <c r="AK575" s="17">
        <f t="shared" si="398"/>
        <v>-1.6666666666666667</v>
      </c>
      <c r="AL575" s="17">
        <f t="shared" si="399"/>
        <v>-2</v>
      </c>
      <c r="AM575" s="1">
        <f t="shared" si="400"/>
        <v>0</v>
      </c>
      <c r="AN575" s="1">
        <f t="shared" si="401"/>
        <v>-0.63636363636363635</v>
      </c>
      <c r="AO575" s="1">
        <f t="shared" si="402"/>
        <v>1.5</v>
      </c>
      <c r="AP575" s="1">
        <f t="shared" si="403"/>
        <v>-0.8</v>
      </c>
      <c r="AQ575" s="1">
        <f t="shared" si="404"/>
        <v>4</v>
      </c>
      <c r="AR575" s="1">
        <f t="shared" si="405"/>
        <v>-0.2</v>
      </c>
      <c r="AS575" s="12">
        <f t="shared" si="406"/>
        <v>0.64393939393939392</v>
      </c>
      <c r="AT575" s="12">
        <f t="shared" si="407"/>
        <v>-0.1</v>
      </c>
      <c r="AU575" s="1">
        <f t="shared" si="408"/>
        <v>0</v>
      </c>
      <c r="AV575" s="1">
        <f t="shared" si="409"/>
        <v>-7</v>
      </c>
      <c r="AW575" s="1">
        <f t="shared" si="410"/>
        <v>6</v>
      </c>
      <c r="AX575" s="1">
        <f t="shared" si="411"/>
        <v>-8</v>
      </c>
      <c r="AY575" s="1">
        <f t="shared" si="412"/>
        <v>8</v>
      </c>
      <c r="AZ575" s="1">
        <f t="shared" si="413"/>
        <v>-2</v>
      </c>
      <c r="BA575" s="19">
        <f t="shared" si="414"/>
        <v>-0.5</v>
      </c>
      <c r="BB575" s="19">
        <f t="shared" si="415"/>
        <v>-1</v>
      </c>
      <c r="BC575" s="9">
        <f t="shared" si="416"/>
        <v>-6.6666666666666666E-2</v>
      </c>
      <c r="BD575" s="9">
        <f t="shared" si="417"/>
        <v>-0.5</v>
      </c>
      <c r="BE575" s="9">
        <f t="shared" si="418"/>
        <v>0</v>
      </c>
      <c r="BF575" s="9">
        <f t="shared" si="419"/>
        <v>0.7142857142857143</v>
      </c>
      <c r="BG575" s="9">
        <f t="shared" si="420"/>
        <v>0</v>
      </c>
      <c r="BH575" s="9">
        <f t="shared" si="421"/>
        <v>-0.33333333333333331</v>
      </c>
      <c r="BI575" s="12">
        <f t="shared" si="422"/>
        <v>-3.0952380952380943E-2</v>
      </c>
      <c r="BJ575" s="13">
        <f t="shared" si="423"/>
        <v>-3.3333333333333333E-2</v>
      </c>
      <c r="BK575" s="1">
        <f t="shared" si="424"/>
        <v>-1</v>
      </c>
      <c r="BL575" s="1">
        <f t="shared" si="425"/>
        <v>-7</v>
      </c>
      <c r="BM575" s="1">
        <f t="shared" si="426"/>
        <v>0</v>
      </c>
      <c r="BN575" s="1">
        <f t="shared" si="427"/>
        <v>5</v>
      </c>
      <c r="BO575" s="1">
        <f t="shared" si="428"/>
        <v>0</v>
      </c>
      <c r="BP575" s="1">
        <f t="shared" si="429"/>
        <v>-4</v>
      </c>
      <c r="BQ575" s="19">
        <f t="shared" si="430"/>
        <v>-1.1666666666666667</v>
      </c>
      <c r="BR575" s="17">
        <f t="shared" si="431"/>
        <v>-0.5</v>
      </c>
    </row>
    <row r="576" spans="1:70" x14ac:dyDescent="0.25">
      <c r="A576" t="s">
        <v>263</v>
      </c>
      <c r="B576">
        <v>17</v>
      </c>
      <c r="C576">
        <v>13</v>
      </c>
      <c r="D576">
        <v>12</v>
      </c>
      <c r="E576">
        <v>8</v>
      </c>
      <c r="F576">
        <v>9</v>
      </c>
      <c r="G576">
        <v>5</v>
      </c>
      <c r="H576">
        <v>7</v>
      </c>
      <c r="I576">
        <v>3</v>
      </c>
      <c r="J576">
        <v>5</v>
      </c>
      <c r="K576">
        <v>3</v>
      </c>
      <c r="L576">
        <v>4</v>
      </c>
      <c r="M576">
        <v>5</v>
      </c>
      <c r="N576">
        <v>1</v>
      </c>
      <c r="P576">
        <v>14</v>
      </c>
      <c r="Q576">
        <v>8</v>
      </c>
      <c r="R576">
        <v>9</v>
      </c>
      <c r="S576">
        <v>4</v>
      </c>
      <c r="T576">
        <v>4</v>
      </c>
      <c r="U576">
        <v>4</v>
      </c>
      <c r="V576">
        <v>7</v>
      </c>
      <c r="W576" s="8">
        <f t="shared" si="384"/>
        <v>-0.23529411764705882</v>
      </c>
      <c r="X576" s="8">
        <f t="shared" si="385"/>
        <v>-7.6923076923076927E-2</v>
      </c>
      <c r="Y576" s="8">
        <f t="shared" si="386"/>
        <v>-0.33333333333333331</v>
      </c>
      <c r="Z576" s="8">
        <f t="shared" si="387"/>
        <v>0.125</v>
      </c>
      <c r="AA576" s="8">
        <f t="shared" si="388"/>
        <v>-0.44444444444444442</v>
      </c>
      <c r="AB576" s="8">
        <f t="shared" si="389"/>
        <v>0.4</v>
      </c>
      <c r="AC576" s="12">
        <f t="shared" si="390"/>
        <v>-9.4165828724652234E-2</v>
      </c>
      <c r="AD576" s="12">
        <f t="shared" si="391"/>
        <v>-0.15610859728506787</v>
      </c>
      <c r="AE576" s="1">
        <f t="shared" si="392"/>
        <v>-4</v>
      </c>
      <c r="AF576" s="1">
        <f t="shared" si="393"/>
        <v>-1</v>
      </c>
      <c r="AG576" s="1">
        <f t="shared" si="394"/>
        <v>-4</v>
      </c>
      <c r="AH576" s="1">
        <f t="shared" si="395"/>
        <v>1</v>
      </c>
      <c r="AI576" s="1">
        <f t="shared" si="396"/>
        <v>-4</v>
      </c>
      <c r="AJ576" s="1">
        <f t="shared" si="397"/>
        <v>2</v>
      </c>
      <c r="AK576" s="17">
        <f t="shared" si="398"/>
        <v>-1.6666666666666667</v>
      </c>
      <c r="AL576" s="17">
        <f t="shared" si="399"/>
        <v>-2.5</v>
      </c>
      <c r="AM576" s="1">
        <f t="shared" si="400"/>
        <v>0.66666666666666663</v>
      </c>
      <c r="AN576" s="1">
        <f t="shared" si="401"/>
        <v>-0.4</v>
      </c>
      <c r="AO576" s="1">
        <f t="shared" si="402"/>
        <v>0.33333333333333331</v>
      </c>
      <c r="AP576" s="1">
        <f t="shared" si="403"/>
        <v>0.25</v>
      </c>
      <c r="AQ576" s="1">
        <f t="shared" si="404"/>
        <v>-0.8</v>
      </c>
      <c r="AR576" s="1">
        <f t="shared" si="405"/>
        <v>-1</v>
      </c>
      <c r="AS576" s="12">
        <f t="shared" si="406"/>
        <v>-0.15833333333333335</v>
      </c>
      <c r="AT576" s="12">
        <f t="shared" si="407"/>
        <v>-7.5000000000000011E-2</v>
      </c>
      <c r="AU576" s="1">
        <f t="shared" si="408"/>
        <v>2</v>
      </c>
      <c r="AV576" s="1">
        <f t="shared" si="409"/>
        <v>-2</v>
      </c>
      <c r="AW576" s="1">
        <f t="shared" si="410"/>
        <v>1</v>
      </c>
      <c r="AX576" s="1">
        <f t="shared" si="411"/>
        <v>1</v>
      </c>
      <c r="AY576" s="1">
        <f t="shared" si="412"/>
        <v>-4</v>
      </c>
      <c r="AZ576" s="1">
        <f t="shared" si="413"/>
        <v>-1</v>
      </c>
      <c r="BA576" s="19">
        <f t="shared" si="414"/>
        <v>-0.5</v>
      </c>
      <c r="BB576" s="19">
        <f t="shared" si="415"/>
        <v>0</v>
      </c>
      <c r="BC576" s="9">
        <f t="shared" si="416"/>
        <v>-0.42857142857142855</v>
      </c>
      <c r="BD576" s="9">
        <f t="shared" si="417"/>
        <v>0.125</v>
      </c>
      <c r="BE576" s="9">
        <f t="shared" si="418"/>
        <v>-0.55555555555555558</v>
      </c>
      <c r="BF576" s="9">
        <f t="shared" si="419"/>
        <v>0</v>
      </c>
      <c r="BG576" s="9">
        <f t="shared" si="420"/>
        <v>0</v>
      </c>
      <c r="BH576" s="9">
        <f t="shared" si="421"/>
        <v>0.75</v>
      </c>
      <c r="BI576" s="12">
        <f t="shared" si="422"/>
        <v>-1.8187830687830697E-2</v>
      </c>
      <c r="BJ576" s="13">
        <f t="shared" si="423"/>
        <v>0</v>
      </c>
      <c r="BK576" s="1">
        <f t="shared" si="424"/>
        <v>-6</v>
      </c>
      <c r="BL576" s="1">
        <f t="shared" si="425"/>
        <v>1</v>
      </c>
      <c r="BM576" s="1">
        <f t="shared" si="426"/>
        <v>-5</v>
      </c>
      <c r="BN576" s="1">
        <f t="shared" si="427"/>
        <v>0</v>
      </c>
      <c r="BO576" s="1">
        <f t="shared" si="428"/>
        <v>0</v>
      </c>
      <c r="BP576" s="1">
        <f t="shared" si="429"/>
        <v>3</v>
      </c>
      <c r="BQ576" s="19">
        <f t="shared" si="430"/>
        <v>-1.1666666666666667</v>
      </c>
      <c r="BR576" s="17">
        <f t="shared" si="431"/>
        <v>0</v>
      </c>
    </row>
    <row r="577" spans="1:70" x14ac:dyDescent="0.25">
      <c r="A577" t="s">
        <v>265</v>
      </c>
      <c r="B577">
        <v>17</v>
      </c>
      <c r="C577">
        <v>14</v>
      </c>
      <c r="D577">
        <v>12</v>
      </c>
      <c r="E577">
        <v>9</v>
      </c>
      <c r="F577">
        <v>11</v>
      </c>
      <c r="G577">
        <v>9</v>
      </c>
      <c r="H577">
        <v>7</v>
      </c>
      <c r="I577">
        <v>7</v>
      </c>
      <c r="J577">
        <v>6</v>
      </c>
      <c r="K577">
        <v>5</v>
      </c>
      <c r="L577">
        <v>5</v>
      </c>
      <c r="M577">
        <v>3</v>
      </c>
      <c r="N577">
        <v>3</v>
      </c>
      <c r="O577">
        <v>4</v>
      </c>
      <c r="P577">
        <v>10</v>
      </c>
      <c r="Q577">
        <v>8</v>
      </c>
      <c r="R577">
        <v>7</v>
      </c>
      <c r="S577">
        <v>4</v>
      </c>
      <c r="T577">
        <v>8</v>
      </c>
      <c r="U577">
        <v>6</v>
      </c>
      <c r="V577">
        <v>3</v>
      </c>
      <c r="W577" s="8">
        <f t="shared" si="384"/>
        <v>-0.17647058823529413</v>
      </c>
      <c r="X577" s="8">
        <f t="shared" si="385"/>
        <v>-0.14285714285714285</v>
      </c>
      <c r="Y577" s="8">
        <f t="shared" si="386"/>
        <v>-0.25</v>
      </c>
      <c r="Z577" s="8">
        <f t="shared" si="387"/>
        <v>0.22222222222222221</v>
      </c>
      <c r="AA577" s="8">
        <f t="shared" si="388"/>
        <v>-0.18181818181818182</v>
      </c>
      <c r="AB577" s="8">
        <f t="shared" si="389"/>
        <v>-0.22222222222222221</v>
      </c>
      <c r="AC577" s="12">
        <f t="shared" si="390"/>
        <v>-0.12519098548510313</v>
      </c>
      <c r="AD577" s="12">
        <f t="shared" si="391"/>
        <v>-0.17914438502673796</v>
      </c>
      <c r="AE577" s="1">
        <f t="shared" si="392"/>
        <v>-3</v>
      </c>
      <c r="AF577" s="1">
        <f t="shared" si="393"/>
        <v>-2</v>
      </c>
      <c r="AG577" s="1">
        <f t="shared" si="394"/>
        <v>-3</v>
      </c>
      <c r="AH577" s="1">
        <f t="shared" si="395"/>
        <v>2</v>
      </c>
      <c r="AI577" s="1">
        <f t="shared" si="396"/>
        <v>-2</v>
      </c>
      <c r="AJ577" s="1">
        <f t="shared" si="397"/>
        <v>-2</v>
      </c>
      <c r="AK577" s="17">
        <f t="shared" si="398"/>
        <v>-1.6666666666666667</v>
      </c>
      <c r="AL577" s="17">
        <f t="shared" si="399"/>
        <v>-2</v>
      </c>
      <c r="AM577" s="1">
        <f t="shared" si="400"/>
        <v>-0.14285714285714285</v>
      </c>
      <c r="AN577" s="1">
        <f t="shared" si="401"/>
        <v>-0.16666666666666666</v>
      </c>
      <c r="AO577" s="1">
        <f t="shared" si="402"/>
        <v>0</v>
      </c>
      <c r="AP577" s="1">
        <f t="shared" si="403"/>
        <v>-0.4</v>
      </c>
      <c r="AQ577" s="1">
        <f t="shared" si="404"/>
        <v>0</v>
      </c>
      <c r="AR577" s="1">
        <f t="shared" si="405"/>
        <v>0.33333333333333331</v>
      </c>
      <c r="AS577" s="12">
        <f t="shared" si="406"/>
        <v>-6.2698412698412712E-2</v>
      </c>
      <c r="AT577" s="12">
        <f t="shared" si="407"/>
        <v>-7.1428571428571425E-2</v>
      </c>
      <c r="AU577" s="1">
        <f t="shared" si="408"/>
        <v>-1</v>
      </c>
      <c r="AV577" s="1">
        <f t="shared" si="409"/>
        <v>-1</v>
      </c>
      <c r="AW577" s="1">
        <f t="shared" si="410"/>
        <v>0</v>
      </c>
      <c r="AX577" s="1">
        <f t="shared" si="411"/>
        <v>-2</v>
      </c>
      <c r="AY577" s="1">
        <f t="shared" si="412"/>
        <v>0</v>
      </c>
      <c r="AZ577" s="1">
        <f t="shared" si="413"/>
        <v>1</v>
      </c>
      <c r="BA577" s="19">
        <f t="shared" si="414"/>
        <v>-0.5</v>
      </c>
      <c r="BB577" s="19">
        <f t="shared" si="415"/>
        <v>-0.5</v>
      </c>
      <c r="BC577" s="9">
        <f t="shared" si="416"/>
        <v>-0.2</v>
      </c>
      <c r="BD577" s="9">
        <f t="shared" si="417"/>
        <v>-0.125</v>
      </c>
      <c r="BE577" s="9">
        <f t="shared" si="418"/>
        <v>-0.42857142857142855</v>
      </c>
      <c r="BF577" s="9">
        <f t="shared" si="419"/>
        <v>1</v>
      </c>
      <c r="BG577" s="9">
        <f t="shared" si="420"/>
        <v>-0.25</v>
      </c>
      <c r="BH577" s="9">
        <f t="shared" si="421"/>
        <v>-0.5</v>
      </c>
      <c r="BI577" s="12">
        <f t="shared" si="422"/>
        <v>-8.3928571428571422E-2</v>
      </c>
      <c r="BJ577" s="13">
        <f t="shared" si="423"/>
        <v>-0.22500000000000001</v>
      </c>
      <c r="BK577" s="1">
        <f t="shared" si="424"/>
        <v>-2</v>
      </c>
      <c r="BL577" s="1">
        <f t="shared" si="425"/>
        <v>-1</v>
      </c>
      <c r="BM577" s="1">
        <f t="shared" si="426"/>
        <v>-3</v>
      </c>
      <c r="BN577" s="1">
        <f t="shared" si="427"/>
        <v>4</v>
      </c>
      <c r="BO577" s="1">
        <f t="shared" si="428"/>
        <v>-2</v>
      </c>
      <c r="BP577" s="1">
        <f t="shared" si="429"/>
        <v>-3</v>
      </c>
      <c r="BQ577" s="19">
        <f t="shared" si="430"/>
        <v>-1.1666666666666667</v>
      </c>
      <c r="BR577" s="17">
        <f t="shared" si="431"/>
        <v>-2</v>
      </c>
    </row>
    <row r="578" spans="1:70" x14ac:dyDescent="0.25">
      <c r="A578" t="s">
        <v>165</v>
      </c>
      <c r="B578">
        <v>69</v>
      </c>
      <c r="C578">
        <v>91</v>
      </c>
      <c r="D578">
        <v>65</v>
      </c>
      <c r="E578">
        <v>105</v>
      </c>
      <c r="F578">
        <v>90</v>
      </c>
      <c r="G578">
        <v>77</v>
      </c>
      <c r="H578">
        <v>58</v>
      </c>
      <c r="I578">
        <v>31</v>
      </c>
      <c r="J578">
        <v>46</v>
      </c>
      <c r="K578">
        <v>32</v>
      </c>
      <c r="L578">
        <v>54</v>
      </c>
      <c r="M578">
        <v>37</v>
      </c>
      <c r="N578">
        <v>41</v>
      </c>
      <c r="O578">
        <v>27</v>
      </c>
      <c r="P578">
        <v>38</v>
      </c>
      <c r="Q578">
        <v>45</v>
      </c>
      <c r="R578">
        <v>33</v>
      </c>
      <c r="S578">
        <v>51</v>
      </c>
      <c r="T578">
        <v>53</v>
      </c>
      <c r="U578">
        <v>36</v>
      </c>
      <c r="V578">
        <v>31</v>
      </c>
      <c r="W578" s="8">
        <f t="shared" ref="W578:W621" si="432">+(C578-B578)/B578</f>
        <v>0.3188405797101449</v>
      </c>
      <c r="X578" s="8">
        <f t="shared" ref="X578:X621" si="433">+(D578-C578)/C578</f>
        <v>-0.2857142857142857</v>
      </c>
      <c r="Y578" s="8">
        <f t="shared" ref="Y578:Y621" si="434">+(E578-D578)/D578</f>
        <v>0.61538461538461542</v>
      </c>
      <c r="Z578" s="8">
        <f t="shared" ref="Z578:Z621" si="435">+(F578-E578)/E578</f>
        <v>-0.14285714285714285</v>
      </c>
      <c r="AA578" s="8">
        <f t="shared" ref="AA578:AA621" si="436">+(G578-F578)/F578</f>
        <v>-0.14444444444444443</v>
      </c>
      <c r="AB578" s="8">
        <f t="shared" ref="AB578:AB621" si="437">+(H578-G578)/G578</f>
        <v>-0.24675324675324675</v>
      </c>
      <c r="AC578" s="12">
        <f t="shared" ref="AC578:AC621" si="438">+AVERAGE(W578:AB578)</f>
        <v>1.9076012554273439E-2</v>
      </c>
      <c r="AD578" s="12">
        <f t="shared" ref="AD578:AD621" si="439">MEDIAN(W578:AB578)</f>
        <v>-0.14365079365079364</v>
      </c>
      <c r="AE578" s="1">
        <f t="shared" ref="AE578:AE621" si="440">C578-B578</f>
        <v>22</v>
      </c>
      <c r="AF578" s="1">
        <f t="shared" ref="AF578:AF621" si="441">D578-C578</f>
        <v>-26</v>
      </c>
      <c r="AG578" s="1">
        <f t="shared" ref="AG578:AG621" si="442">E578-D578</f>
        <v>40</v>
      </c>
      <c r="AH578" s="1">
        <f t="shared" ref="AH578:AH621" si="443">F578-E578</f>
        <v>-15</v>
      </c>
      <c r="AI578" s="1">
        <f t="shared" ref="AI578:AI621" si="444">G578-F578</f>
        <v>-13</v>
      </c>
      <c r="AJ578" s="1">
        <f t="shared" ref="AJ578:AJ621" si="445">H578-G578</f>
        <v>-19</v>
      </c>
      <c r="AK578" s="17">
        <f t="shared" ref="AK578:AK621" si="446">+AVERAGE(AE578:AJ578)</f>
        <v>-1.8333333333333333</v>
      </c>
      <c r="AL578" s="17">
        <f t="shared" ref="AL578:AL621" si="447">+MEDIAN(AE578:AJ578)</f>
        <v>-14</v>
      </c>
      <c r="AM578" s="1">
        <f t="shared" ref="AM578:AM621" si="448">+(J578-I578)/I578</f>
        <v>0.4838709677419355</v>
      </c>
      <c r="AN578" s="1">
        <f t="shared" ref="AN578:AN621" si="449">+(K578-J578)/J578</f>
        <v>-0.30434782608695654</v>
      </c>
      <c r="AO578" s="1">
        <f t="shared" ref="AO578:AO621" si="450">+(L578-K578)/K578</f>
        <v>0.6875</v>
      </c>
      <c r="AP578" s="1">
        <f t="shared" ref="AP578:AP621" si="451">+(M578-L578)/L578</f>
        <v>-0.31481481481481483</v>
      </c>
      <c r="AQ578" s="1">
        <f t="shared" ref="AQ578:AQ621" si="452">+(N578-M578)/M578</f>
        <v>0.10810810810810811</v>
      </c>
      <c r="AR578" s="1">
        <f t="shared" ref="AR578:AR621" si="453">+(O578-N578)/N578</f>
        <v>-0.34146341463414637</v>
      </c>
      <c r="AS578" s="12">
        <f t="shared" ref="AS578:AS621" si="454">+AVERAGE(AM578:AR578)</f>
        <v>5.3142170052354304E-2</v>
      </c>
      <c r="AT578" s="12">
        <f t="shared" ref="AT578:AT621" si="455">+MEDIAN(AM578:AR578)</f>
        <v>-9.8119858989424213E-2</v>
      </c>
      <c r="AU578" s="1">
        <f t="shared" ref="AU578:AU621" si="456">J578-I578</f>
        <v>15</v>
      </c>
      <c r="AV578" s="1">
        <f t="shared" ref="AV578:AV621" si="457">K578-J578</f>
        <v>-14</v>
      </c>
      <c r="AW578" s="1">
        <f t="shared" ref="AW578:AW621" si="458">L578-K578</f>
        <v>22</v>
      </c>
      <c r="AX578" s="1">
        <f t="shared" ref="AX578:AX621" si="459">M578-L578</f>
        <v>-17</v>
      </c>
      <c r="AY578" s="1">
        <f t="shared" ref="AY578:AY621" si="460">N578-M578</f>
        <v>4</v>
      </c>
      <c r="AZ578" s="1">
        <f t="shared" ref="AZ578:AZ621" si="461">O578-N578</f>
        <v>-14</v>
      </c>
      <c r="BA578" s="19">
        <f t="shared" ref="BA578:BA621" si="462">+AVERAGE(AU578:AZ578)</f>
        <v>-0.66666666666666663</v>
      </c>
      <c r="BB578" s="19">
        <f t="shared" ref="BB578:BB621" si="463">MEDIAN(AU578:AZ578)</f>
        <v>-5</v>
      </c>
      <c r="BC578" s="9">
        <f t="shared" ref="BC578:BC621" si="464">+(Q578-P578)/P578</f>
        <v>0.18421052631578946</v>
      </c>
      <c r="BD578" s="9">
        <f t="shared" ref="BD578:BD621" si="465">+(R578-Q578)/Q578</f>
        <v>-0.26666666666666666</v>
      </c>
      <c r="BE578" s="9">
        <f t="shared" ref="BE578:BE621" si="466">+(S578-R578)/R578</f>
        <v>0.54545454545454541</v>
      </c>
      <c r="BF578" s="9">
        <f t="shared" ref="BF578:BF621" si="467">+(T578-S578)/S578</f>
        <v>3.9215686274509803E-2</v>
      </c>
      <c r="BG578" s="9">
        <f t="shared" ref="BG578:BG621" si="468">+(U578-T578)/T578</f>
        <v>-0.32075471698113206</v>
      </c>
      <c r="BH578" s="9">
        <f t="shared" ref="BH578:BH621" si="469">+(V578-U578)/U578</f>
        <v>-0.1388888888888889</v>
      </c>
      <c r="BI578" s="12">
        <f t="shared" ref="BI578:BI621" si="470">+AVERAGE(BC578:BH578)</f>
        <v>7.0950809180261682E-3</v>
      </c>
      <c r="BJ578" s="13">
        <f t="shared" ref="BJ578:BJ621" si="471">MEDIAN(BC578:BH578)</f>
        <v>-4.9836601307189546E-2</v>
      </c>
      <c r="BK578" s="1">
        <f t="shared" ref="BK578:BK621" si="472">+Q578-P578</f>
        <v>7</v>
      </c>
      <c r="BL578" s="1">
        <f t="shared" ref="BL578:BL621" si="473">+R578-Q578</f>
        <v>-12</v>
      </c>
      <c r="BM578" s="1">
        <f t="shared" ref="BM578:BM621" si="474">+S578-R578</f>
        <v>18</v>
      </c>
      <c r="BN578" s="1">
        <f t="shared" ref="BN578:BN621" si="475">+T578-S578</f>
        <v>2</v>
      </c>
      <c r="BO578" s="1">
        <f t="shared" ref="BO578:BO621" si="476">+U578-T578</f>
        <v>-17</v>
      </c>
      <c r="BP578" s="1">
        <f t="shared" ref="BP578:BP621" si="477">+V578-U578</f>
        <v>-5</v>
      </c>
      <c r="BQ578" s="19">
        <f t="shared" ref="BQ578:BQ621" si="478">+AVERAGE(BK578:BP578)</f>
        <v>-1.1666666666666667</v>
      </c>
      <c r="BR578" s="17">
        <f t="shared" ref="BR578:BR621" si="479">MEDIAN(BK578:BP578)</f>
        <v>-1.5</v>
      </c>
    </row>
    <row r="579" spans="1:70" x14ac:dyDescent="0.25">
      <c r="A579" t="s">
        <v>269</v>
      </c>
      <c r="B579">
        <v>16</v>
      </c>
      <c r="C579">
        <v>9</v>
      </c>
      <c r="D579">
        <v>25</v>
      </c>
      <c r="E579">
        <v>5</v>
      </c>
      <c r="F579">
        <v>9</v>
      </c>
      <c r="G579">
        <v>9</v>
      </c>
      <c r="H579">
        <v>5</v>
      </c>
      <c r="I579">
        <v>13</v>
      </c>
      <c r="J579">
        <v>6</v>
      </c>
      <c r="K579">
        <v>16</v>
      </c>
      <c r="L579">
        <v>3</v>
      </c>
      <c r="M579">
        <v>5</v>
      </c>
      <c r="N579">
        <v>5</v>
      </c>
      <c r="O579">
        <v>2</v>
      </c>
      <c r="P579">
        <v>3</v>
      </c>
      <c r="Q579">
        <v>3</v>
      </c>
      <c r="R579">
        <v>9</v>
      </c>
      <c r="S579">
        <v>2</v>
      </c>
      <c r="T579">
        <v>4</v>
      </c>
      <c r="U579">
        <v>4</v>
      </c>
      <c r="V579">
        <v>3</v>
      </c>
      <c r="W579" s="8">
        <f t="shared" si="432"/>
        <v>-0.4375</v>
      </c>
      <c r="X579" s="8">
        <f t="shared" si="433"/>
        <v>1.7777777777777777</v>
      </c>
      <c r="Y579" s="8">
        <f t="shared" si="434"/>
        <v>-0.8</v>
      </c>
      <c r="Z579" s="8">
        <f t="shared" si="435"/>
        <v>0.8</v>
      </c>
      <c r="AA579" s="8">
        <f t="shared" si="436"/>
        <v>0</v>
      </c>
      <c r="AB579" s="8">
        <f t="shared" si="437"/>
        <v>-0.44444444444444442</v>
      </c>
      <c r="AC579" s="12">
        <f t="shared" si="438"/>
        <v>0.14930555555555555</v>
      </c>
      <c r="AD579" s="12">
        <f t="shared" si="439"/>
        <v>-0.21875</v>
      </c>
      <c r="AE579" s="1">
        <f t="shared" si="440"/>
        <v>-7</v>
      </c>
      <c r="AF579" s="1">
        <f t="shared" si="441"/>
        <v>16</v>
      </c>
      <c r="AG579" s="1">
        <f t="shared" si="442"/>
        <v>-20</v>
      </c>
      <c r="AH579" s="1">
        <f t="shared" si="443"/>
        <v>4</v>
      </c>
      <c r="AI579" s="1">
        <f t="shared" si="444"/>
        <v>0</v>
      </c>
      <c r="AJ579" s="1">
        <f t="shared" si="445"/>
        <v>-4</v>
      </c>
      <c r="AK579" s="17">
        <f t="shared" si="446"/>
        <v>-1.8333333333333333</v>
      </c>
      <c r="AL579" s="17">
        <f t="shared" si="447"/>
        <v>-2</v>
      </c>
      <c r="AM579" s="1">
        <f t="shared" si="448"/>
        <v>-0.53846153846153844</v>
      </c>
      <c r="AN579" s="1">
        <f t="shared" si="449"/>
        <v>1.6666666666666667</v>
      </c>
      <c r="AO579" s="1">
        <f t="shared" si="450"/>
        <v>-0.8125</v>
      </c>
      <c r="AP579" s="1">
        <f t="shared" si="451"/>
        <v>0.66666666666666663</v>
      </c>
      <c r="AQ579" s="1">
        <f t="shared" si="452"/>
        <v>0</v>
      </c>
      <c r="AR579" s="1">
        <f t="shared" si="453"/>
        <v>-0.6</v>
      </c>
      <c r="AS579" s="12">
        <f t="shared" si="454"/>
        <v>6.3728632478632474E-2</v>
      </c>
      <c r="AT579" s="12">
        <f t="shared" si="455"/>
        <v>-0.26923076923076922</v>
      </c>
      <c r="AU579" s="1">
        <f t="shared" si="456"/>
        <v>-7</v>
      </c>
      <c r="AV579" s="1">
        <f t="shared" si="457"/>
        <v>10</v>
      </c>
      <c r="AW579" s="1">
        <f t="shared" si="458"/>
        <v>-13</v>
      </c>
      <c r="AX579" s="1">
        <f t="shared" si="459"/>
        <v>2</v>
      </c>
      <c r="AY579" s="1">
        <f t="shared" si="460"/>
        <v>0</v>
      </c>
      <c r="AZ579" s="1">
        <f t="shared" si="461"/>
        <v>-3</v>
      </c>
      <c r="BA579" s="19">
        <f t="shared" si="462"/>
        <v>-1.8333333333333333</v>
      </c>
      <c r="BB579" s="19">
        <f t="shared" si="463"/>
        <v>-1.5</v>
      </c>
      <c r="BC579" s="9">
        <f t="shared" si="464"/>
        <v>0</v>
      </c>
      <c r="BD579" s="9">
        <f t="shared" si="465"/>
        <v>2</v>
      </c>
      <c r="BE579" s="9">
        <f t="shared" si="466"/>
        <v>-0.77777777777777779</v>
      </c>
      <c r="BF579" s="9">
        <f t="shared" si="467"/>
        <v>1</v>
      </c>
      <c r="BG579" s="9">
        <f t="shared" si="468"/>
        <v>0</v>
      </c>
      <c r="BH579" s="9">
        <f t="shared" si="469"/>
        <v>-0.25</v>
      </c>
      <c r="BI579" s="12">
        <f t="shared" si="470"/>
        <v>0.32870370370370372</v>
      </c>
      <c r="BJ579" s="13">
        <f t="shared" si="471"/>
        <v>0</v>
      </c>
      <c r="BK579" s="1">
        <f t="shared" si="472"/>
        <v>0</v>
      </c>
      <c r="BL579" s="1">
        <f t="shared" si="473"/>
        <v>6</v>
      </c>
      <c r="BM579" s="1">
        <f t="shared" si="474"/>
        <v>-7</v>
      </c>
      <c r="BN579" s="1">
        <f t="shared" si="475"/>
        <v>2</v>
      </c>
      <c r="BO579" s="1">
        <f t="shared" si="476"/>
        <v>0</v>
      </c>
      <c r="BP579" s="1">
        <f t="shared" si="477"/>
        <v>-1</v>
      </c>
      <c r="BQ579" s="19">
        <f t="shared" si="478"/>
        <v>0</v>
      </c>
      <c r="BR579" s="17">
        <f t="shared" si="479"/>
        <v>0</v>
      </c>
    </row>
    <row r="580" spans="1:70" x14ac:dyDescent="0.25">
      <c r="A580" t="s">
        <v>161</v>
      </c>
      <c r="B580">
        <v>71</v>
      </c>
      <c r="C580">
        <v>71</v>
      </c>
      <c r="D580">
        <v>51</v>
      </c>
      <c r="E580">
        <v>63</v>
      </c>
      <c r="F580">
        <v>51</v>
      </c>
      <c r="G580">
        <v>43</v>
      </c>
      <c r="H580">
        <v>59</v>
      </c>
      <c r="I580">
        <v>61</v>
      </c>
      <c r="J580">
        <v>64</v>
      </c>
      <c r="K580">
        <v>39</v>
      </c>
      <c r="L580">
        <v>55</v>
      </c>
      <c r="M580">
        <v>43</v>
      </c>
      <c r="N580">
        <v>38</v>
      </c>
      <c r="O580">
        <v>50</v>
      </c>
      <c r="P580">
        <v>10</v>
      </c>
      <c r="Q580">
        <v>7</v>
      </c>
      <c r="R580">
        <v>12</v>
      </c>
      <c r="S580">
        <v>8</v>
      </c>
      <c r="T580">
        <v>8</v>
      </c>
      <c r="U580">
        <v>5</v>
      </c>
      <c r="V580">
        <v>9</v>
      </c>
      <c r="W580" s="8">
        <f t="shared" si="432"/>
        <v>0</v>
      </c>
      <c r="X580" s="8">
        <f t="shared" si="433"/>
        <v>-0.28169014084507044</v>
      </c>
      <c r="Y580" s="8">
        <f t="shared" si="434"/>
        <v>0.23529411764705882</v>
      </c>
      <c r="Z580" s="8">
        <f t="shared" si="435"/>
        <v>-0.19047619047619047</v>
      </c>
      <c r="AA580" s="8">
        <f t="shared" si="436"/>
        <v>-0.15686274509803921</v>
      </c>
      <c r="AB580" s="8">
        <f t="shared" si="437"/>
        <v>0.37209302325581395</v>
      </c>
      <c r="AC580" s="12">
        <f t="shared" si="438"/>
        <v>-3.6069892527378911E-3</v>
      </c>
      <c r="AD580" s="12">
        <f t="shared" si="439"/>
        <v>-7.8431372549019607E-2</v>
      </c>
      <c r="AE580" s="1">
        <f t="shared" si="440"/>
        <v>0</v>
      </c>
      <c r="AF580" s="1">
        <f t="shared" si="441"/>
        <v>-20</v>
      </c>
      <c r="AG580" s="1">
        <f t="shared" si="442"/>
        <v>12</v>
      </c>
      <c r="AH580" s="1">
        <f t="shared" si="443"/>
        <v>-12</v>
      </c>
      <c r="AI580" s="1">
        <f t="shared" si="444"/>
        <v>-8</v>
      </c>
      <c r="AJ580" s="1">
        <f t="shared" si="445"/>
        <v>16</v>
      </c>
      <c r="AK580" s="17">
        <f t="shared" si="446"/>
        <v>-2</v>
      </c>
      <c r="AL580" s="17">
        <f t="shared" si="447"/>
        <v>-4</v>
      </c>
      <c r="AM580" s="1">
        <f t="shared" si="448"/>
        <v>4.9180327868852458E-2</v>
      </c>
      <c r="AN580" s="1">
        <f t="shared" si="449"/>
        <v>-0.390625</v>
      </c>
      <c r="AO580" s="1">
        <f t="shared" si="450"/>
        <v>0.41025641025641024</v>
      </c>
      <c r="AP580" s="1">
        <f t="shared" si="451"/>
        <v>-0.21818181818181817</v>
      </c>
      <c r="AQ580" s="1">
        <f t="shared" si="452"/>
        <v>-0.11627906976744186</v>
      </c>
      <c r="AR580" s="1">
        <f t="shared" si="453"/>
        <v>0.31578947368421051</v>
      </c>
      <c r="AS580" s="12">
        <f t="shared" si="454"/>
        <v>8.3567206433688614E-3</v>
      </c>
      <c r="AT580" s="12">
        <f t="shared" si="455"/>
        <v>-3.3549370949294707E-2</v>
      </c>
      <c r="AU580" s="1">
        <f t="shared" si="456"/>
        <v>3</v>
      </c>
      <c r="AV580" s="1">
        <f t="shared" si="457"/>
        <v>-25</v>
      </c>
      <c r="AW580" s="1">
        <f t="shared" si="458"/>
        <v>16</v>
      </c>
      <c r="AX580" s="1">
        <f t="shared" si="459"/>
        <v>-12</v>
      </c>
      <c r="AY580" s="1">
        <f t="shared" si="460"/>
        <v>-5</v>
      </c>
      <c r="AZ580" s="1">
        <f t="shared" si="461"/>
        <v>12</v>
      </c>
      <c r="BA580" s="19">
        <f t="shared" si="462"/>
        <v>-1.8333333333333333</v>
      </c>
      <c r="BB580" s="19">
        <f t="shared" si="463"/>
        <v>-1</v>
      </c>
      <c r="BC580" s="9">
        <f t="shared" si="464"/>
        <v>-0.3</v>
      </c>
      <c r="BD580" s="9">
        <f t="shared" si="465"/>
        <v>0.7142857142857143</v>
      </c>
      <c r="BE580" s="9">
        <f t="shared" si="466"/>
        <v>-0.33333333333333331</v>
      </c>
      <c r="BF580" s="9">
        <f t="shared" si="467"/>
        <v>0</v>
      </c>
      <c r="BG580" s="9">
        <f t="shared" si="468"/>
        <v>-0.375</v>
      </c>
      <c r="BH580" s="9">
        <f t="shared" si="469"/>
        <v>0.8</v>
      </c>
      <c r="BI580" s="12">
        <f t="shared" si="470"/>
        <v>8.4325396825396845E-2</v>
      </c>
      <c r="BJ580" s="13">
        <f t="shared" si="471"/>
        <v>-0.15</v>
      </c>
      <c r="BK580" s="1">
        <f t="shared" si="472"/>
        <v>-3</v>
      </c>
      <c r="BL580" s="1">
        <f t="shared" si="473"/>
        <v>5</v>
      </c>
      <c r="BM580" s="1">
        <f t="shared" si="474"/>
        <v>-4</v>
      </c>
      <c r="BN580" s="1">
        <f t="shared" si="475"/>
        <v>0</v>
      </c>
      <c r="BO580" s="1">
        <f t="shared" si="476"/>
        <v>-3</v>
      </c>
      <c r="BP580" s="1">
        <f t="shared" si="477"/>
        <v>4</v>
      </c>
      <c r="BQ580" s="19">
        <f t="shared" si="478"/>
        <v>-0.16666666666666666</v>
      </c>
      <c r="BR580" s="17">
        <f t="shared" si="479"/>
        <v>-1.5</v>
      </c>
    </row>
    <row r="581" spans="1:70" x14ac:dyDescent="0.25">
      <c r="A581" t="s">
        <v>197</v>
      </c>
      <c r="B581">
        <v>38</v>
      </c>
      <c r="C581">
        <v>27</v>
      </c>
      <c r="D581">
        <v>19</v>
      </c>
      <c r="E581">
        <v>47</v>
      </c>
      <c r="F581">
        <v>39</v>
      </c>
      <c r="G581">
        <v>41</v>
      </c>
      <c r="H581">
        <v>26</v>
      </c>
      <c r="I581">
        <v>12</v>
      </c>
      <c r="J581">
        <v>10</v>
      </c>
      <c r="K581">
        <v>6</v>
      </c>
      <c r="L581">
        <v>16</v>
      </c>
      <c r="M581">
        <v>18</v>
      </c>
      <c r="N581">
        <v>15</v>
      </c>
      <c r="O581">
        <v>8</v>
      </c>
      <c r="P581">
        <v>26</v>
      </c>
      <c r="Q581">
        <v>17</v>
      </c>
      <c r="R581">
        <v>13</v>
      </c>
      <c r="S581">
        <v>31</v>
      </c>
      <c r="T581">
        <v>21</v>
      </c>
      <c r="U581">
        <v>26</v>
      </c>
      <c r="V581">
        <v>18</v>
      </c>
      <c r="W581" s="8">
        <f t="shared" si="432"/>
        <v>-0.28947368421052633</v>
      </c>
      <c r="X581" s="8">
        <f t="shared" si="433"/>
        <v>-0.29629629629629628</v>
      </c>
      <c r="Y581" s="8">
        <f t="shared" si="434"/>
        <v>1.4736842105263157</v>
      </c>
      <c r="Z581" s="8">
        <f t="shared" si="435"/>
        <v>-0.1702127659574468</v>
      </c>
      <c r="AA581" s="8">
        <f t="shared" si="436"/>
        <v>5.128205128205128E-2</v>
      </c>
      <c r="AB581" s="8">
        <f t="shared" si="437"/>
        <v>-0.36585365853658536</v>
      </c>
      <c r="AC581" s="12">
        <f t="shared" si="438"/>
        <v>6.7188309467918705E-2</v>
      </c>
      <c r="AD581" s="12">
        <f t="shared" si="439"/>
        <v>-0.22984322508398658</v>
      </c>
      <c r="AE581" s="1">
        <f t="shared" si="440"/>
        <v>-11</v>
      </c>
      <c r="AF581" s="1">
        <f t="shared" si="441"/>
        <v>-8</v>
      </c>
      <c r="AG581" s="1">
        <f t="shared" si="442"/>
        <v>28</v>
      </c>
      <c r="AH581" s="1">
        <f t="shared" si="443"/>
        <v>-8</v>
      </c>
      <c r="AI581" s="1">
        <f t="shared" si="444"/>
        <v>2</v>
      </c>
      <c r="AJ581" s="1">
        <f t="shared" si="445"/>
        <v>-15</v>
      </c>
      <c r="AK581" s="17">
        <f t="shared" si="446"/>
        <v>-2</v>
      </c>
      <c r="AL581" s="17">
        <f t="shared" si="447"/>
        <v>-8</v>
      </c>
      <c r="AM581" s="1">
        <f t="shared" si="448"/>
        <v>-0.16666666666666666</v>
      </c>
      <c r="AN581" s="1">
        <f t="shared" si="449"/>
        <v>-0.4</v>
      </c>
      <c r="AO581" s="1">
        <f t="shared" si="450"/>
        <v>1.6666666666666667</v>
      </c>
      <c r="AP581" s="1">
        <f t="shared" si="451"/>
        <v>0.125</v>
      </c>
      <c r="AQ581" s="1">
        <f t="shared" si="452"/>
        <v>-0.16666666666666666</v>
      </c>
      <c r="AR581" s="1">
        <f t="shared" si="453"/>
        <v>-0.46666666666666667</v>
      </c>
      <c r="AS581" s="12">
        <f t="shared" si="454"/>
        <v>9.8611111111111108E-2</v>
      </c>
      <c r="AT581" s="12">
        <f t="shared" si="455"/>
        <v>-0.16666666666666666</v>
      </c>
      <c r="AU581" s="1">
        <f t="shared" si="456"/>
        <v>-2</v>
      </c>
      <c r="AV581" s="1">
        <f t="shared" si="457"/>
        <v>-4</v>
      </c>
      <c r="AW581" s="1">
        <f t="shared" si="458"/>
        <v>10</v>
      </c>
      <c r="AX581" s="1">
        <f t="shared" si="459"/>
        <v>2</v>
      </c>
      <c r="AY581" s="1">
        <f t="shared" si="460"/>
        <v>-3</v>
      </c>
      <c r="AZ581" s="1">
        <f t="shared" si="461"/>
        <v>-7</v>
      </c>
      <c r="BA581" s="19">
        <f t="shared" si="462"/>
        <v>-0.66666666666666663</v>
      </c>
      <c r="BB581" s="19">
        <f t="shared" si="463"/>
        <v>-2.5</v>
      </c>
      <c r="BC581" s="9">
        <f t="shared" si="464"/>
        <v>-0.34615384615384615</v>
      </c>
      <c r="BD581" s="9">
        <f t="shared" si="465"/>
        <v>-0.23529411764705882</v>
      </c>
      <c r="BE581" s="9">
        <f t="shared" si="466"/>
        <v>1.3846153846153846</v>
      </c>
      <c r="BF581" s="9">
        <f t="shared" si="467"/>
        <v>-0.32258064516129031</v>
      </c>
      <c r="BG581" s="9">
        <f t="shared" si="468"/>
        <v>0.23809523809523808</v>
      </c>
      <c r="BH581" s="9">
        <f t="shared" si="469"/>
        <v>-0.30769230769230771</v>
      </c>
      <c r="BI581" s="12">
        <f t="shared" si="470"/>
        <v>6.8498284342686622E-2</v>
      </c>
      <c r="BJ581" s="13">
        <f t="shared" si="471"/>
        <v>-0.27149321266968329</v>
      </c>
      <c r="BK581" s="1">
        <f t="shared" si="472"/>
        <v>-9</v>
      </c>
      <c r="BL581" s="1">
        <f t="shared" si="473"/>
        <v>-4</v>
      </c>
      <c r="BM581" s="1">
        <f t="shared" si="474"/>
        <v>18</v>
      </c>
      <c r="BN581" s="1">
        <f t="shared" si="475"/>
        <v>-10</v>
      </c>
      <c r="BO581" s="1">
        <f t="shared" si="476"/>
        <v>5</v>
      </c>
      <c r="BP581" s="1">
        <f t="shared" si="477"/>
        <v>-8</v>
      </c>
      <c r="BQ581" s="19">
        <f t="shared" si="478"/>
        <v>-1.3333333333333333</v>
      </c>
      <c r="BR581" s="17">
        <f t="shared" si="479"/>
        <v>-6</v>
      </c>
    </row>
    <row r="582" spans="1:70" x14ac:dyDescent="0.25">
      <c r="A582" t="s">
        <v>199</v>
      </c>
      <c r="B582">
        <v>36</v>
      </c>
      <c r="C582">
        <v>29</v>
      </c>
      <c r="D582">
        <v>20</v>
      </c>
      <c r="E582">
        <v>46</v>
      </c>
      <c r="F582">
        <v>23</v>
      </c>
      <c r="G582">
        <v>26</v>
      </c>
      <c r="H582">
        <v>24</v>
      </c>
      <c r="I582">
        <v>18</v>
      </c>
      <c r="J582">
        <v>8</v>
      </c>
      <c r="K582">
        <v>11</v>
      </c>
      <c r="L582">
        <v>21</v>
      </c>
      <c r="M582">
        <v>16</v>
      </c>
      <c r="N582">
        <v>15</v>
      </c>
      <c r="O582">
        <v>13</v>
      </c>
      <c r="P582">
        <v>18</v>
      </c>
      <c r="Q582">
        <v>21</v>
      </c>
      <c r="R582">
        <v>9</v>
      </c>
      <c r="S582">
        <v>25</v>
      </c>
      <c r="T582">
        <v>7</v>
      </c>
      <c r="U582">
        <v>11</v>
      </c>
      <c r="V582">
        <v>11</v>
      </c>
      <c r="W582" s="8">
        <f t="shared" si="432"/>
        <v>-0.19444444444444445</v>
      </c>
      <c r="X582" s="8">
        <f t="shared" si="433"/>
        <v>-0.31034482758620691</v>
      </c>
      <c r="Y582" s="8">
        <f t="shared" si="434"/>
        <v>1.3</v>
      </c>
      <c r="Z582" s="8">
        <f t="shared" si="435"/>
        <v>-0.5</v>
      </c>
      <c r="AA582" s="8">
        <f t="shared" si="436"/>
        <v>0.13043478260869565</v>
      </c>
      <c r="AB582" s="8">
        <f t="shared" si="437"/>
        <v>-7.6923076923076927E-2</v>
      </c>
      <c r="AC582" s="12">
        <f t="shared" si="438"/>
        <v>5.8120405609161235E-2</v>
      </c>
      <c r="AD582" s="12">
        <f t="shared" si="439"/>
        <v>-0.1356837606837607</v>
      </c>
      <c r="AE582" s="1">
        <f t="shared" si="440"/>
        <v>-7</v>
      </c>
      <c r="AF582" s="1">
        <f t="shared" si="441"/>
        <v>-9</v>
      </c>
      <c r="AG582" s="1">
        <f t="shared" si="442"/>
        <v>26</v>
      </c>
      <c r="AH582" s="1">
        <f t="shared" si="443"/>
        <v>-23</v>
      </c>
      <c r="AI582" s="1">
        <f t="shared" si="444"/>
        <v>3</v>
      </c>
      <c r="AJ582" s="1">
        <f t="shared" si="445"/>
        <v>-2</v>
      </c>
      <c r="AK582" s="17">
        <f t="shared" si="446"/>
        <v>-2</v>
      </c>
      <c r="AL582" s="17">
        <f t="shared" si="447"/>
        <v>-4.5</v>
      </c>
      <c r="AM582" s="1">
        <f t="shared" si="448"/>
        <v>-0.55555555555555558</v>
      </c>
      <c r="AN582" s="1">
        <f t="shared" si="449"/>
        <v>0.375</v>
      </c>
      <c r="AO582" s="1">
        <f t="shared" si="450"/>
        <v>0.90909090909090906</v>
      </c>
      <c r="AP582" s="1">
        <f t="shared" si="451"/>
        <v>-0.23809523809523808</v>
      </c>
      <c r="AQ582" s="1">
        <f t="shared" si="452"/>
        <v>-6.25E-2</v>
      </c>
      <c r="AR582" s="1">
        <f t="shared" si="453"/>
        <v>-0.13333333333333333</v>
      </c>
      <c r="AS582" s="12">
        <f t="shared" si="454"/>
        <v>4.910113035113034E-2</v>
      </c>
      <c r="AT582" s="12">
        <f t="shared" si="455"/>
        <v>-9.7916666666666666E-2</v>
      </c>
      <c r="AU582" s="1">
        <f t="shared" si="456"/>
        <v>-10</v>
      </c>
      <c r="AV582" s="1">
        <f t="shared" si="457"/>
        <v>3</v>
      </c>
      <c r="AW582" s="1">
        <f t="shared" si="458"/>
        <v>10</v>
      </c>
      <c r="AX582" s="1">
        <f t="shared" si="459"/>
        <v>-5</v>
      </c>
      <c r="AY582" s="1">
        <f t="shared" si="460"/>
        <v>-1</v>
      </c>
      <c r="AZ582" s="1">
        <f t="shared" si="461"/>
        <v>-2</v>
      </c>
      <c r="BA582" s="19">
        <f t="shared" si="462"/>
        <v>-0.83333333333333337</v>
      </c>
      <c r="BB582" s="19">
        <f t="shared" si="463"/>
        <v>-1.5</v>
      </c>
      <c r="BC582" s="9">
        <f t="shared" si="464"/>
        <v>0.16666666666666666</v>
      </c>
      <c r="BD582" s="9">
        <f t="shared" si="465"/>
        <v>-0.5714285714285714</v>
      </c>
      <c r="BE582" s="9">
        <f t="shared" si="466"/>
        <v>1.7777777777777777</v>
      </c>
      <c r="BF582" s="9">
        <f t="shared" si="467"/>
        <v>-0.72</v>
      </c>
      <c r="BG582" s="9">
        <f t="shared" si="468"/>
        <v>0.5714285714285714</v>
      </c>
      <c r="BH582" s="9">
        <f t="shared" si="469"/>
        <v>0</v>
      </c>
      <c r="BI582" s="12">
        <f t="shared" si="470"/>
        <v>0.20407407407407407</v>
      </c>
      <c r="BJ582" s="13">
        <f t="shared" si="471"/>
        <v>8.3333333333333329E-2</v>
      </c>
      <c r="BK582" s="1">
        <f t="shared" si="472"/>
        <v>3</v>
      </c>
      <c r="BL582" s="1">
        <f t="shared" si="473"/>
        <v>-12</v>
      </c>
      <c r="BM582" s="1">
        <f t="shared" si="474"/>
        <v>16</v>
      </c>
      <c r="BN582" s="1">
        <f t="shared" si="475"/>
        <v>-18</v>
      </c>
      <c r="BO582" s="1">
        <f t="shared" si="476"/>
        <v>4</v>
      </c>
      <c r="BP582" s="1">
        <f t="shared" si="477"/>
        <v>0</v>
      </c>
      <c r="BQ582" s="19">
        <f t="shared" si="478"/>
        <v>-1.1666666666666667</v>
      </c>
      <c r="BR582" s="17">
        <f t="shared" si="479"/>
        <v>1.5</v>
      </c>
    </row>
    <row r="583" spans="1:70" x14ac:dyDescent="0.25">
      <c r="A583" t="s">
        <v>219</v>
      </c>
      <c r="B583">
        <v>27</v>
      </c>
      <c r="C583">
        <v>26</v>
      </c>
      <c r="D583">
        <v>24</v>
      </c>
      <c r="E583">
        <v>12</v>
      </c>
      <c r="F583">
        <v>13</v>
      </c>
      <c r="G583">
        <v>17</v>
      </c>
      <c r="H583">
        <v>15</v>
      </c>
      <c r="I583">
        <v>13</v>
      </c>
      <c r="J583">
        <v>21</v>
      </c>
      <c r="K583">
        <v>12</v>
      </c>
      <c r="L583">
        <v>9</v>
      </c>
      <c r="M583">
        <v>7</v>
      </c>
      <c r="N583">
        <v>7</v>
      </c>
      <c r="O583">
        <v>8</v>
      </c>
      <c r="P583">
        <v>14</v>
      </c>
      <c r="Q583">
        <v>5</v>
      </c>
      <c r="R583">
        <v>12</v>
      </c>
      <c r="S583">
        <v>3</v>
      </c>
      <c r="T583">
        <v>6</v>
      </c>
      <c r="U583">
        <v>10</v>
      </c>
      <c r="V583">
        <v>7</v>
      </c>
      <c r="W583" s="8">
        <f t="shared" si="432"/>
        <v>-3.7037037037037035E-2</v>
      </c>
      <c r="X583" s="8">
        <f t="shared" si="433"/>
        <v>-7.6923076923076927E-2</v>
      </c>
      <c r="Y583" s="8">
        <f t="shared" si="434"/>
        <v>-0.5</v>
      </c>
      <c r="Z583" s="8">
        <f t="shared" si="435"/>
        <v>8.3333333333333329E-2</v>
      </c>
      <c r="AA583" s="8">
        <f t="shared" si="436"/>
        <v>0.30769230769230771</v>
      </c>
      <c r="AB583" s="8">
        <f t="shared" si="437"/>
        <v>-0.11764705882352941</v>
      </c>
      <c r="AC583" s="12">
        <f t="shared" si="438"/>
        <v>-5.6763588626333718E-2</v>
      </c>
      <c r="AD583" s="12">
        <f t="shared" si="439"/>
        <v>-5.6980056980056981E-2</v>
      </c>
      <c r="AE583" s="1">
        <f t="shared" si="440"/>
        <v>-1</v>
      </c>
      <c r="AF583" s="1">
        <f t="shared" si="441"/>
        <v>-2</v>
      </c>
      <c r="AG583" s="1">
        <f t="shared" si="442"/>
        <v>-12</v>
      </c>
      <c r="AH583" s="1">
        <f t="shared" si="443"/>
        <v>1</v>
      </c>
      <c r="AI583" s="1">
        <f t="shared" si="444"/>
        <v>4</v>
      </c>
      <c r="AJ583" s="1">
        <f t="shared" si="445"/>
        <v>-2</v>
      </c>
      <c r="AK583" s="17">
        <f t="shared" si="446"/>
        <v>-2</v>
      </c>
      <c r="AL583" s="17">
        <f t="shared" si="447"/>
        <v>-1.5</v>
      </c>
      <c r="AM583" s="1">
        <f t="shared" si="448"/>
        <v>0.61538461538461542</v>
      </c>
      <c r="AN583" s="1">
        <f t="shared" si="449"/>
        <v>-0.42857142857142855</v>
      </c>
      <c r="AO583" s="1">
        <f t="shared" si="450"/>
        <v>-0.25</v>
      </c>
      <c r="AP583" s="1">
        <f t="shared" si="451"/>
        <v>-0.22222222222222221</v>
      </c>
      <c r="AQ583" s="1">
        <f t="shared" si="452"/>
        <v>0</v>
      </c>
      <c r="AR583" s="1">
        <f t="shared" si="453"/>
        <v>0.14285714285714285</v>
      </c>
      <c r="AS583" s="12">
        <f t="shared" si="454"/>
        <v>-2.3758648758648748E-2</v>
      </c>
      <c r="AT583" s="12">
        <f t="shared" si="455"/>
        <v>-0.1111111111111111</v>
      </c>
      <c r="AU583" s="1">
        <f t="shared" si="456"/>
        <v>8</v>
      </c>
      <c r="AV583" s="1">
        <f t="shared" si="457"/>
        <v>-9</v>
      </c>
      <c r="AW583" s="1">
        <f t="shared" si="458"/>
        <v>-3</v>
      </c>
      <c r="AX583" s="1">
        <f t="shared" si="459"/>
        <v>-2</v>
      </c>
      <c r="AY583" s="1">
        <f t="shared" si="460"/>
        <v>0</v>
      </c>
      <c r="AZ583" s="1">
        <f t="shared" si="461"/>
        <v>1</v>
      </c>
      <c r="BA583" s="19">
        <f t="shared" si="462"/>
        <v>-0.83333333333333337</v>
      </c>
      <c r="BB583" s="19">
        <f t="shared" si="463"/>
        <v>-1</v>
      </c>
      <c r="BC583" s="9">
        <f t="shared" si="464"/>
        <v>-0.6428571428571429</v>
      </c>
      <c r="BD583" s="9">
        <f t="shared" si="465"/>
        <v>1.4</v>
      </c>
      <c r="BE583" s="9">
        <f t="shared" si="466"/>
        <v>-0.75</v>
      </c>
      <c r="BF583" s="9">
        <f t="shared" si="467"/>
        <v>1</v>
      </c>
      <c r="BG583" s="9">
        <f t="shared" si="468"/>
        <v>0.66666666666666663</v>
      </c>
      <c r="BH583" s="9">
        <f t="shared" si="469"/>
        <v>-0.3</v>
      </c>
      <c r="BI583" s="12">
        <f t="shared" si="470"/>
        <v>0.22896825396825393</v>
      </c>
      <c r="BJ583" s="13">
        <f t="shared" si="471"/>
        <v>0.18333333333333329</v>
      </c>
      <c r="BK583" s="1">
        <f t="shared" si="472"/>
        <v>-9</v>
      </c>
      <c r="BL583" s="1">
        <f t="shared" si="473"/>
        <v>7</v>
      </c>
      <c r="BM583" s="1">
        <f t="shared" si="474"/>
        <v>-9</v>
      </c>
      <c r="BN583" s="1">
        <f t="shared" si="475"/>
        <v>3</v>
      </c>
      <c r="BO583" s="1">
        <f t="shared" si="476"/>
        <v>4</v>
      </c>
      <c r="BP583" s="1">
        <f t="shared" si="477"/>
        <v>-3</v>
      </c>
      <c r="BQ583" s="19">
        <f t="shared" si="478"/>
        <v>-1.1666666666666667</v>
      </c>
      <c r="BR583" s="17">
        <f t="shared" si="479"/>
        <v>0</v>
      </c>
    </row>
    <row r="584" spans="1:70" x14ac:dyDescent="0.25">
      <c r="A584" t="s">
        <v>175</v>
      </c>
      <c r="B584">
        <v>60</v>
      </c>
      <c r="C584">
        <v>72</v>
      </c>
      <c r="D584">
        <v>59</v>
      </c>
      <c r="E584">
        <v>70</v>
      </c>
      <c r="F584">
        <v>63</v>
      </c>
      <c r="G584">
        <v>41</v>
      </c>
      <c r="H584">
        <v>47</v>
      </c>
      <c r="I584">
        <v>22</v>
      </c>
      <c r="J584">
        <v>35</v>
      </c>
      <c r="K584">
        <v>30</v>
      </c>
      <c r="L584">
        <v>39</v>
      </c>
      <c r="M584">
        <v>31</v>
      </c>
      <c r="N584">
        <v>21</v>
      </c>
      <c r="O584">
        <v>22</v>
      </c>
      <c r="P584">
        <v>38</v>
      </c>
      <c r="Q584">
        <v>37</v>
      </c>
      <c r="R584">
        <v>29</v>
      </c>
      <c r="S584">
        <v>31</v>
      </c>
      <c r="T584">
        <v>32</v>
      </c>
      <c r="U584">
        <v>20</v>
      </c>
      <c r="V584">
        <v>25</v>
      </c>
      <c r="W584" s="8">
        <f t="shared" si="432"/>
        <v>0.2</v>
      </c>
      <c r="X584" s="8">
        <f t="shared" si="433"/>
        <v>-0.18055555555555555</v>
      </c>
      <c r="Y584" s="8">
        <f t="shared" si="434"/>
        <v>0.1864406779661017</v>
      </c>
      <c r="Z584" s="8">
        <f t="shared" si="435"/>
        <v>-0.1</v>
      </c>
      <c r="AA584" s="8">
        <f t="shared" si="436"/>
        <v>-0.34920634920634919</v>
      </c>
      <c r="AB584" s="8">
        <f t="shared" si="437"/>
        <v>0.14634146341463414</v>
      </c>
      <c r="AC584" s="12">
        <f t="shared" si="438"/>
        <v>-1.6163293896861483E-2</v>
      </c>
      <c r="AD584" s="12">
        <f t="shared" si="439"/>
        <v>2.3170731707317066E-2</v>
      </c>
      <c r="AE584" s="1">
        <f t="shared" si="440"/>
        <v>12</v>
      </c>
      <c r="AF584" s="1">
        <f t="shared" si="441"/>
        <v>-13</v>
      </c>
      <c r="AG584" s="1">
        <f t="shared" si="442"/>
        <v>11</v>
      </c>
      <c r="AH584" s="1">
        <f t="shared" si="443"/>
        <v>-7</v>
      </c>
      <c r="AI584" s="1">
        <f t="shared" si="444"/>
        <v>-22</v>
      </c>
      <c r="AJ584" s="1">
        <f t="shared" si="445"/>
        <v>6</v>
      </c>
      <c r="AK584" s="17">
        <f t="shared" si="446"/>
        <v>-2.1666666666666665</v>
      </c>
      <c r="AL584" s="17">
        <f t="shared" si="447"/>
        <v>-0.5</v>
      </c>
      <c r="AM584" s="1">
        <f t="shared" si="448"/>
        <v>0.59090909090909094</v>
      </c>
      <c r="AN584" s="1">
        <f t="shared" si="449"/>
        <v>-0.14285714285714285</v>
      </c>
      <c r="AO584" s="1">
        <f t="shared" si="450"/>
        <v>0.3</v>
      </c>
      <c r="AP584" s="1">
        <f t="shared" si="451"/>
        <v>-0.20512820512820512</v>
      </c>
      <c r="AQ584" s="1">
        <f t="shared" si="452"/>
        <v>-0.32258064516129031</v>
      </c>
      <c r="AR584" s="1">
        <f t="shared" si="453"/>
        <v>4.7619047619047616E-2</v>
      </c>
      <c r="AS584" s="12">
        <f t="shared" si="454"/>
        <v>4.4660357563583386E-2</v>
      </c>
      <c r="AT584" s="12">
        <f t="shared" si="455"/>
        <v>-4.7619047619047616E-2</v>
      </c>
      <c r="AU584" s="1">
        <f t="shared" si="456"/>
        <v>13</v>
      </c>
      <c r="AV584" s="1">
        <f t="shared" si="457"/>
        <v>-5</v>
      </c>
      <c r="AW584" s="1">
        <f t="shared" si="458"/>
        <v>9</v>
      </c>
      <c r="AX584" s="1">
        <f t="shared" si="459"/>
        <v>-8</v>
      </c>
      <c r="AY584" s="1">
        <f t="shared" si="460"/>
        <v>-10</v>
      </c>
      <c r="AZ584" s="1">
        <f t="shared" si="461"/>
        <v>1</v>
      </c>
      <c r="BA584" s="19">
        <f t="shared" si="462"/>
        <v>0</v>
      </c>
      <c r="BB584" s="19">
        <f t="shared" si="463"/>
        <v>-2</v>
      </c>
      <c r="BC584" s="9">
        <f t="shared" si="464"/>
        <v>-2.6315789473684209E-2</v>
      </c>
      <c r="BD584" s="9">
        <f t="shared" si="465"/>
        <v>-0.21621621621621623</v>
      </c>
      <c r="BE584" s="9">
        <f t="shared" si="466"/>
        <v>6.8965517241379309E-2</v>
      </c>
      <c r="BF584" s="9">
        <f t="shared" si="467"/>
        <v>3.2258064516129031E-2</v>
      </c>
      <c r="BG584" s="9">
        <f t="shared" si="468"/>
        <v>-0.375</v>
      </c>
      <c r="BH584" s="9">
        <f t="shared" si="469"/>
        <v>0.25</v>
      </c>
      <c r="BI584" s="12">
        <f t="shared" si="470"/>
        <v>-4.4384737322065347E-2</v>
      </c>
      <c r="BJ584" s="13">
        <f t="shared" si="471"/>
        <v>2.9711375212224111E-3</v>
      </c>
      <c r="BK584" s="1">
        <f t="shared" si="472"/>
        <v>-1</v>
      </c>
      <c r="BL584" s="1">
        <f t="shared" si="473"/>
        <v>-8</v>
      </c>
      <c r="BM584" s="1">
        <f t="shared" si="474"/>
        <v>2</v>
      </c>
      <c r="BN584" s="1">
        <f t="shared" si="475"/>
        <v>1</v>
      </c>
      <c r="BO584" s="1">
        <f t="shared" si="476"/>
        <v>-12</v>
      </c>
      <c r="BP584" s="1">
        <f t="shared" si="477"/>
        <v>5</v>
      </c>
      <c r="BQ584" s="19">
        <f t="shared" si="478"/>
        <v>-2.1666666666666665</v>
      </c>
      <c r="BR584" s="17">
        <f t="shared" si="479"/>
        <v>0</v>
      </c>
    </row>
    <row r="585" spans="1:70" x14ac:dyDescent="0.25">
      <c r="A585" t="s">
        <v>200</v>
      </c>
      <c r="B585">
        <v>36</v>
      </c>
      <c r="C585">
        <v>38</v>
      </c>
      <c r="D585">
        <v>39</v>
      </c>
      <c r="E585">
        <v>28</v>
      </c>
      <c r="F585">
        <v>14</v>
      </c>
      <c r="G585">
        <v>31</v>
      </c>
      <c r="H585">
        <v>23</v>
      </c>
      <c r="I585">
        <v>17</v>
      </c>
      <c r="J585">
        <v>20</v>
      </c>
      <c r="K585">
        <v>21</v>
      </c>
      <c r="L585">
        <v>14</v>
      </c>
      <c r="M585">
        <v>9</v>
      </c>
      <c r="N585">
        <v>15</v>
      </c>
      <c r="O585">
        <v>9</v>
      </c>
      <c r="P585">
        <v>19</v>
      </c>
      <c r="Q585">
        <v>18</v>
      </c>
      <c r="R585">
        <v>18</v>
      </c>
      <c r="S585">
        <v>14</v>
      </c>
      <c r="T585">
        <v>5</v>
      </c>
      <c r="U585">
        <v>16</v>
      </c>
      <c r="V585">
        <v>14</v>
      </c>
      <c r="W585" s="8">
        <f t="shared" si="432"/>
        <v>5.5555555555555552E-2</v>
      </c>
      <c r="X585" s="8">
        <f t="shared" si="433"/>
        <v>2.6315789473684209E-2</v>
      </c>
      <c r="Y585" s="8">
        <f t="shared" si="434"/>
        <v>-0.28205128205128205</v>
      </c>
      <c r="Z585" s="8">
        <f t="shared" si="435"/>
        <v>-0.5</v>
      </c>
      <c r="AA585" s="8">
        <f t="shared" si="436"/>
        <v>1.2142857142857142</v>
      </c>
      <c r="AB585" s="8">
        <f t="shared" si="437"/>
        <v>-0.25806451612903225</v>
      </c>
      <c r="AC585" s="12">
        <f t="shared" si="438"/>
        <v>4.267354352243994E-2</v>
      </c>
      <c r="AD585" s="12">
        <f t="shared" si="439"/>
        <v>-0.11587436332767403</v>
      </c>
      <c r="AE585" s="1">
        <f t="shared" si="440"/>
        <v>2</v>
      </c>
      <c r="AF585" s="1">
        <f t="shared" si="441"/>
        <v>1</v>
      </c>
      <c r="AG585" s="1">
        <f t="shared" si="442"/>
        <v>-11</v>
      </c>
      <c r="AH585" s="1">
        <f t="shared" si="443"/>
        <v>-14</v>
      </c>
      <c r="AI585" s="1">
        <f t="shared" si="444"/>
        <v>17</v>
      </c>
      <c r="AJ585" s="1">
        <f t="shared" si="445"/>
        <v>-8</v>
      </c>
      <c r="AK585" s="17">
        <f t="shared" si="446"/>
        <v>-2.1666666666666665</v>
      </c>
      <c r="AL585" s="17">
        <f t="shared" si="447"/>
        <v>-3.5</v>
      </c>
      <c r="AM585" s="1">
        <f t="shared" si="448"/>
        <v>0.17647058823529413</v>
      </c>
      <c r="AN585" s="1">
        <f t="shared" si="449"/>
        <v>0.05</v>
      </c>
      <c r="AO585" s="1">
        <f t="shared" si="450"/>
        <v>-0.33333333333333331</v>
      </c>
      <c r="AP585" s="1">
        <f t="shared" si="451"/>
        <v>-0.35714285714285715</v>
      </c>
      <c r="AQ585" s="1">
        <f t="shared" si="452"/>
        <v>0.66666666666666663</v>
      </c>
      <c r="AR585" s="1">
        <f t="shared" si="453"/>
        <v>-0.4</v>
      </c>
      <c r="AS585" s="12">
        <f t="shared" si="454"/>
        <v>-3.288982259570495E-2</v>
      </c>
      <c r="AT585" s="12">
        <f t="shared" si="455"/>
        <v>-0.14166666666666666</v>
      </c>
      <c r="AU585" s="1">
        <f t="shared" si="456"/>
        <v>3</v>
      </c>
      <c r="AV585" s="1">
        <f t="shared" si="457"/>
        <v>1</v>
      </c>
      <c r="AW585" s="1">
        <f t="shared" si="458"/>
        <v>-7</v>
      </c>
      <c r="AX585" s="1">
        <f t="shared" si="459"/>
        <v>-5</v>
      </c>
      <c r="AY585" s="1">
        <f t="shared" si="460"/>
        <v>6</v>
      </c>
      <c r="AZ585" s="1">
        <f t="shared" si="461"/>
        <v>-6</v>
      </c>
      <c r="BA585" s="19">
        <f t="shared" si="462"/>
        <v>-1.3333333333333333</v>
      </c>
      <c r="BB585" s="19">
        <f t="shared" si="463"/>
        <v>-2</v>
      </c>
      <c r="BC585" s="9">
        <f t="shared" si="464"/>
        <v>-5.2631578947368418E-2</v>
      </c>
      <c r="BD585" s="9">
        <f t="shared" si="465"/>
        <v>0</v>
      </c>
      <c r="BE585" s="9">
        <f t="shared" si="466"/>
        <v>-0.22222222222222221</v>
      </c>
      <c r="BF585" s="9">
        <f t="shared" si="467"/>
        <v>-0.6428571428571429</v>
      </c>
      <c r="BG585" s="9">
        <f t="shared" si="468"/>
        <v>2.2000000000000002</v>
      </c>
      <c r="BH585" s="9">
        <f t="shared" si="469"/>
        <v>-0.125</v>
      </c>
      <c r="BI585" s="12">
        <f t="shared" si="470"/>
        <v>0.19288150932887779</v>
      </c>
      <c r="BJ585" s="13">
        <f t="shared" si="471"/>
        <v>-8.8815789473684209E-2</v>
      </c>
      <c r="BK585" s="1">
        <f t="shared" si="472"/>
        <v>-1</v>
      </c>
      <c r="BL585" s="1">
        <f t="shared" si="473"/>
        <v>0</v>
      </c>
      <c r="BM585" s="1">
        <f t="shared" si="474"/>
        <v>-4</v>
      </c>
      <c r="BN585" s="1">
        <f t="shared" si="475"/>
        <v>-9</v>
      </c>
      <c r="BO585" s="1">
        <f t="shared" si="476"/>
        <v>11</v>
      </c>
      <c r="BP585" s="1">
        <f t="shared" si="477"/>
        <v>-2</v>
      </c>
      <c r="BQ585" s="19">
        <f t="shared" si="478"/>
        <v>-0.83333333333333337</v>
      </c>
      <c r="BR585" s="17">
        <f t="shared" si="479"/>
        <v>-1.5</v>
      </c>
    </row>
    <row r="586" spans="1:70" x14ac:dyDescent="0.25">
      <c r="A586" t="s">
        <v>127</v>
      </c>
      <c r="B586">
        <v>135</v>
      </c>
      <c r="C586">
        <v>104</v>
      </c>
      <c r="D586">
        <v>119</v>
      </c>
      <c r="E586">
        <v>130</v>
      </c>
      <c r="F586">
        <v>124</v>
      </c>
      <c r="G586">
        <v>107</v>
      </c>
      <c r="H586">
        <v>121</v>
      </c>
      <c r="I586">
        <v>112</v>
      </c>
      <c r="J586">
        <v>78</v>
      </c>
      <c r="K586">
        <v>92</v>
      </c>
      <c r="L586">
        <v>97</v>
      </c>
      <c r="M586">
        <v>88</v>
      </c>
      <c r="N586">
        <v>76</v>
      </c>
      <c r="O586">
        <v>94</v>
      </c>
      <c r="P586">
        <v>23</v>
      </c>
      <c r="Q586">
        <v>26</v>
      </c>
      <c r="R586">
        <v>27</v>
      </c>
      <c r="S586">
        <v>33</v>
      </c>
      <c r="T586">
        <v>36</v>
      </c>
      <c r="U586">
        <v>31</v>
      </c>
      <c r="V586">
        <v>27</v>
      </c>
      <c r="W586" s="8">
        <f t="shared" si="432"/>
        <v>-0.22962962962962963</v>
      </c>
      <c r="X586" s="8">
        <f t="shared" si="433"/>
        <v>0.14423076923076922</v>
      </c>
      <c r="Y586" s="8">
        <f t="shared" si="434"/>
        <v>9.2436974789915971E-2</v>
      </c>
      <c r="Z586" s="8">
        <f t="shared" si="435"/>
        <v>-4.6153846153846156E-2</v>
      </c>
      <c r="AA586" s="8">
        <f t="shared" si="436"/>
        <v>-0.13709677419354838</v>
      </c>
      <c r="AB586" s="8">
        <f t="shared" si="437"/>
        <v>0.13084112149532709</v>
      </c>
      <c r="AC586" s="12">
        <f t="shared" si="438"/>
        <v>-7.561897410168647E-3</v>
      </c>
      <c r="AD586" s="12">
        <f t="shared" si="439"/>
        <v>2.3141564318034907E-2</v>
      </c>
      <c r="AE586" s="1">
        <f t="shared" si="440"/>
        <v>-31</v>
      </c>
      <c r="AF586" s="1">
        <f t="shared" si="441"/>
        <v>15</v>
      </c>
      <c r="AG586" s="1">
        <f t="shared" si="442"/>
        <v>11</v>
      </c>
      <c r="AH586" s="1">
        <f t="shared" si="443"/>
        <v>-6</v>
      </c>
      <c r="AI586" s="1">
        <f t="shared" si="444"/>
        <v>-17</v>
      </c>
      <c r="AJ586" s="1">
        <f t="shared" si="445"/>
        <v>14</v>
      </c>
      <c r="AK586" s="17">
        <f t="shared" si="446"/>
        <v>-2.3333333333333335</v>
      </c>
      <c r="AL586" s="17">
        <f t="shared" si="447"/>
        <v>2.5</v>
      </c>
      <c r="AM586" s="1">
        <f t="shared" si="448"/>
        <v>-0.30357142857142855</v>
      </c>
      <c r="AN586" s="1">
        <f t="shared" si="449"/>
        <v>0.17948717948717949</v>
      </c>
      <c r="AO586" s="1">
        <f t="shared" si="450"/>
        <v>5.434782608695652E-2</v>
      </c>
      <c r="AP586" s="1">
        <f t="shared" si="451"/>
        <v>-9.2783505154639179E-2</v>
      </c>
      <c r="AQ586" s="1">
        <f t="shared" si="452"/>
        <v>-0.13636363636363635</v>
      </c>
      <c r="AR586" s="1">
        <f t="shared" si="453"/>
        <v>0.23684210526315788</v>
      </c>
      <c r="AS586" s="12">
        <f t="shared" si="454"/>
        <v>-1.0340243208735033E-2</v>
      </c>
      <c r="AT586" s="12">
        <f t="shared" si="455"/>
        <v>-1.9217839533841333E-2</v>
      </c>
      <c r="AU586" s="1">
        <f t="shared" si="456"/>
        <v>-34</v>
      </c>
      <c r="AV586" s="1">
        <f t="shared" si="457"/>
        <v>14</v>
      </c>
      <c r="AW586" s="1">
        <f t="shared" si="458"/>
        <v>5</v>
      </c>
      <c r="AX586" s="1">
        <f t="shared" si="459"/>
        <v>-9</v>
      </c>
      <c r="AY586" s="1">
        <f t="shared" si="460"/>
        <v>-12</v>
      </c>
      <c r="AZ586" s="1">
        <f t="shared" si="461"/>
        <v>18</v>
      </c>
      <c r="BA586" s="19">
        <f t="shared" si="462"/>
        <v>-3</v>
      </c>
      <c r="BB586" s="19">
        <f t="shared" si="463"/>
        <v>-2</v>
      </c>
      <c r="BC586" s="9">
        <f t="shared" si="464"/>
        <v>0.13043478260869565</v>
      </c>
      <c r="BD586" s="9">
        <f t="shared" si="465"/>
        <v>3.8461538461538464E-2</v>
      </c>
      <c r="BE586" s="9">
        <f t="shared" si="466"/>
        <v>0.22222222222222221</v>
      </c>
      <c r="BF586" s="9">
        <f t="shared" si="467"/>
        <v>9.0909090909090912E-2</v>
      </c>
      <c r="BG586" s="9">
        <f t="shared" si="468"/>
        <v>-0.1388888888888889</v>
      </c>
      <c r="BH586" s="9">
        <f t="shared" si="469"/>
        <v>-0.12903225806451613</v>
      </c>
      <c r="BI586" s="12">
        <f t="shared" si="470"/>
        <v>3.568441454135704E-2</v>
      </c>
      <c r="BJ586" s="13">
        <f t="shared" si="471"/>
        <v>6.4685314685314688E-2</v>
      </c>
      <c r="BK586" s="1">
        <f t="shared" si="472"/>
        <v>3</v>
      </c>
      <c r="BL586" s="1">
        <f t="shared" si="473"/>
        <v>1</v>
      </c>
      <c r="BM586" s="1">
        <f t="shared" si="474"/>
        <v>6</v>
      </c>
      <c r="BN586" s="1">
        <f t="shared" si="475"/>
        <v>3</v>
      </c>
      <c r="BO586" s="1">
        <f t="shared" si="476"/>
        <v>-5</v>
      </c>
      <c r="BP586" s="1">
        <f t="shared" si="477"/>
        <v>-4</v>
      </c>
      <c r="BQ586" s="19">
        <f t="shared" si="478"/>
        <v>0.66666666666666663</v>
      </c>
      <c r="BR586" s="17">
        <f t="shared" si="479"/>
        <v>2</v>
      </c>
    </row>
    <row r="587" spans="1:70" x14ac:dyDescent="0.25">
      <c r="A587" t="s">
        <v>228</v>
      </c>
      <c r="B587">
        <v>24</v>
      </c>
      <c r="C587">
        <v>19</v>
      </c>
      <c r="D587">
        <v>18</v>
      </c>
      <c r="E587">
        <v>13</v>
      </c>
      <c r="F587">
        <v>15</v>
      </c>
      <c r="G587">
        <v>11</v>
      </c>
      <c r="H587">
        <v>10</v>
      </c>
      <c r="I587">
        <v>10</v>
      </c>
      <c r="J587">
        <v>5</v>
      </c>
      <c r="K587">
        <v>10</v>
      </c>
      <c r="L587">
        <v>7</v>
      </c>
      <c r="M587">
        <v>6</v>
      </c>
      <c r="N587">
        <v>4</v>
      </c>
      <c r="O587">
        <v>5</v>
      </c>
      <c r="P587">
        <v>14</v>
      </c>
      <c r="Q587">
        <v>14</v>
      </c>
      <c r="R587">
        <v>8</v>
      </c>
      <c r="S587">
        <v>6</v>
      </c>
      <c r="T587">
        <v>9</v>
      </c>
      <c r="U587">
        <v>7</v>
      </c>
      <c r="V587">
        <v>5</v>
      </c>
      <c r="W587" s="8">
        <f t="shared" si="432"/>
        <v>-0.20833333333333334</v>
      </c>
      <c r="X587" s="8">
        <f t="shared" si="433"/>
        <v>-5.2631578947368418E-2</v>
      </c>
      <c r="Y587" s="8">
        <f t="shared" si="434"/>
        <v>-0.27777777777777779</v>
      </c>
      <c r="Z587" s="8">
        <f t="shared" si="435"/>
        <v>0.15384615384615385</v>
      </c>
      <c r="AA587" s="8">
        <f t="shared" si="436"/>
        <v>-0.26666666666666666</v>
      </c>
      <c r="AB587" s="8">
        <f t="shared" si="437"/>
        <v>-9.0909090909090912E-2</v>
      </c>
      <c r="AC587" s="12">
        <f t="shared" si="438"/>
        <v>-0.12374538229801389</v>
      </c>
      <c r="AD587" s="12">
        <f t="shared" si="439"/>
        <v>-0.14962121212121213</v>
      </c>
      <c r="AE587" s="1">
        <f t="shared" si="440"/>
        <v>-5</v>
      </c>
      <c r="AF587" s="1">
        <f t="shared" si="441"/>
        <v>-1</v>
      </c>
      <c r="AG587" s="1">
        <f t="shared" si="442"/>
        <v>-5</v>
      </c>
      <c r="AH587" s="1">
        <f t="shared" si="443"/>
        <v>2</v>
      </c>
      <c r="AI587" s="1">
        <f t="shared" si="444"/>
        <v>-4</v>
      </c>
      <c r="AJ587" s="1">
        <f t="shared" si="445"/>
        <v>-1</v>
      </c>
      <c r="AK587" s="17">
        <f t="shared" si="446"/>
        <v>-2.3333333333333335</v>
      </c>
      <c r="AL587" s="17">
        <f t="shared" si="447"/>
        <v>-2.5</v>
      </c>
      <c r="AM587" s="1">
        <f t="shared" si="448"/>
        <v>-0.5</v>
      </c>
      <c r="AN587" s="1">
        <f t="shared" si="449"/>
        <v>1</v>
      </c>
      <c r="AO587" s="1">
        <f t="shared" si="450"/>
        <v>-0.3</v>
      </c>
      <c r="AP587" s="1">
        <f t="shared" si="451"/>
        <v>-0.14285714285714285</v>
      </c>
      <c r="AQ587" s="1">
        <f t="shared" si="452"/>
        <v>-0.33333333333333331</v>
      </c>
      <c r="AR587" s="1">
        <f t="shared" si="453"/>
        <v>0.25</v>
      </c>
      <c r="AS587" s="12">
        <f t="shared" si="454"/>
        <v>-4.3650793650793591E-3</v>
      </c>
      <c r="AT587" s="12">
        <f t="shared" si="455"/>
        <v>-0.22142857142857142</v>
      </c>
      <c r="AU587" s="1">
        <f t="shared" si="456"/>
        <v>-5</v>
      </c>
      <c r="AV587" s="1">
        <f t="shared" si="457"/>
        <v>5</v>
      </c>
      <c r="AW587" s="1">
        <f t="shared" si="458"/>
        <v>-3</v>
      </c>
      <c r="AX587" s="1">
        <f t="shared" si="459"/>
        <v>-1</v>
      </c>
      <c r="AY587" s="1">
        <f t="shared" si="460"/>
        <v>-2</v>
      </c>
      <c r="AZ587" s="1">
        <f t="shared" si="461"/>
        <v>1</v>
      </c>
      <c r="BA587" s="19">
        <f t="shared" si="462"/>
        <v>-0.83333333333333337</v>
      </c>
      <c r="BB587" s="19">
        <f t="shared" si="463"/>
        <v>-1.5</v>
      </c>
      <c r="BC587" s="9">
        <f t="shared" si="464"/>
        <v>0</v>
      </c>
      <c r="BD587" s="9">
        <f t="shared" si="465"/>
        <v>-0.42857142857142855</v>
      </c>
      <c r="BE587" s="9">
        <f t="shared" si="466"/>
        <v>-0.25</v>
      </c>
      <c r="BF587" s="9">
        <f t="shared" si="467"/>
        <v>0.5</v>
      </c>
      <c r="BG587" s="9">
        <f t="shared" si="468"/>
        <v>-0.22222222222222221</v>
      </c>
      <c r="BH587" s="9">
        <f t="shared" si="469"/>
        <v>-0.2857142857142857</v>
      </c>
      <c r="BI587" s="12">
        <f t="shared" si="470"/>
        <v>-0.11441798941798942</v>
      </c>
      <c r="BJ587" s="13">
        <f t="shared" si="471"/>
        <v>-0.2361111111111111</v>
      </c>
      <c r="BK587" s="1">
        <f t="shared" si="472"/>
        <v>0</v>
      </c>
      <c r="BL587" s="1">
        <f t="shared" si="473"/>
        <v>-6</v>
      </c>
      <c r="BM587" s="1">
        <f t="shared" si="474"/>
        <v>-2</v>
      </c>
      <c r="BN587" s="1">
        <f t="shared" si="475"/>
        <v>3</v>
      </c>
      <c r="BO587" s="1">
        <f t="shared" si="476"/>
        <v>-2</v>
      </c>
      <c r="BP587" s="1">
        <f t="shared" si="477"/>
        <v>-2</v>
      </c>
      <c r="BQ587" s="19">
        <f t="shared" si="478"/>
        <v>-1.5</v>
      </c>
      <c r="BR587" s="17">
        <f t="shared" si="479"/>
        <v>-2</v>
      </c>
    </row>
    <row r="588" spans="1:70" x14ac:dyDescent="0.25">
      <c r="A588" t="s">
        <v>94</v>
      </c>
      <c r="B588">
        <v>293</v>
      </c>
      <c r="C588">
        <v>305</v>
      </c>
      <c r="D588">
        <v>350</v>
      </c>
      <c r="E588">
        <v>251</v>
      </c>
      <c r="F588">
        <v>276</v>
      </c>
      <c r="G588">
        <v>282</v>
      </c>
      <c r="H588">
        <v>278</v>
      </c>
      <c r="I588">
        <v>147</v>
      </c>
      <c r="J588">
        <v>159</v>
      </c>
      <c r="K588">
        <v>188</v>
      </c>
      <c r="L588">
        <v>131</v>
      </c>
      <c r="M588">
        <v>162</v>
      </c>
      <c r="N588">
        <v>157</v>
      </c>
      <c r="O588">
        <v>150</v>
      </c>
      <c r="P588">
        <v>146</v>
      </c>
      <c r="Q588">
        <v>146</v>
      </c>
      <c r="R588">
        <v>162</v>
      </c>
      <c r="S588">
        <v>120</v>
      </c>
      <c r="T588">
        <v>114</v>
      </c>
      <c r="U588">
        <v>125</v>
      </c>
      <c r="V588">
        <v>128</v>
      </c>
      <c r="W588" s="8">
        <f t="shared" si="432"/>
        <v>4.0955631399317405E-2</v>
      </c>
      <c r="X588" s="8">
        <f t="shared" si="433"/>
        <v>0.14754098360655737</v>
      </c>
      <c r="Y588" s="8">
        <f t="shared" si="434"/>
        <v>-0.28285714285714286</v>
      </c>
      <c r="Z588" s="8">
        <f t="shared" si="435"/>
        <v>9.9601593625498003E-2</v>
      </c>
      <c r="AA588" s="8">
        <f t="shared" si="436"/>
        <v>2.1739130434782608E-2</v>
      </c>
      <c r="AB588" s="8">
        <f t="shared" si="437"/>
        <v>-1.4184397163120567E-2</v>
      </c>
      <c r="AC588" s="12">
        <f t="shared" si="438"/>
        <v>2.1326331743153266E-3</v>
      </c>
      <c r="AD588" s="12">
        <f t="shared" si="439"/>
        <v>3.1347380917050006E-2</v>
      </c>
      <c r="AE588" s="1">
        <f t="shared" si="440"/>
        <v>12</v>
      </c>
      <c r="AF588" s="1">
        <f t="shared" si="441"/>
        <v>45</v>
      </c>
      <c r="AG588" s="1">
        <f t="shared" si="442"/>
        <v>-99</v>
      </c>
      <c r="AH588" s="1">
        <f t="shared" si="443"/>
        <v>25</v>
      </c>
      <c r="AI588" s="1">
        <f t="shared" si="444"/>
        <v>6</v>
      </c>
      <c r="AJ588" s="1">
        <f t="shared" si="445"/>
        <v>-4</v>
      </c>
      <c r="AK588" s="17">
        <f t="shared" si="446"/>
        <v>-2.5</v>
      </c>
      <c r="AL588" s="17">
        <f t="shared" si="447"/>
        <v>9</v>
      </c>
      <c r="AM588" s="1">
        <f t="shared" si="448"/>
        <v>8.1632653061224483E-2</v>
      </c>
      <c r="AN588" s="1">
        <f t="shared" si="449"/>
        <v>0.18238993710691823</v>
      </c>
      <c r="AO588" s="1">
        <f t="shared" si="450"/>
        <v>-0.30319148936170215</v>
      </c>
      <c r="AP588" s="1">
        <f t="shared" si="451"/>
        <v>0.23664122137404581</v>
      </c>
      <c r="AQ588" s="1">
        <f t="shared" si="452"/>
        <v>-3.0864197530864196E-2</v>
      </c>
      <c r="AR588" s="1">
        <f t="shared" si="453"/>
        <v>-4.4585987261146494E-2</v>
      </c>
      <c r="AS588" s="12">
        <f t="shared" si="454"/>
        <v>2.0337022898079284E-2</v>
      </c>
      <c r="AT588" s="12">
        <f t="shared" si="455"/>
        <v>2.5384227765180144E-2</v>
      </c>
      <c r="AU588" s="1">
        <f t="shared" si="456"/>
        <v>12</v>
      </c>
      <c r="AV588" s="1">
        <f t="shared" si="457"/>
        <v>29</v>
      </c>
      <c r="AW588" s="1">
        <f t="shared" si="458"/>
        <v>-57</v>
      </c>
      <c r="AX588" s="1">
        <f t="shared" si="459"/>
        <v>31</v>
      </c>
      <c r="AY588" s="1">
        <f t="shared" si="460"/>
        <v>-5</v>
      </c>
      <c r="AZ588" s="1">
        <f t="shared" si="461"/>
        <v>-7</v>
      </c>
      <c r="BA588" s="19">
        <f t="shared" si="462"/>
        <v>0.5</v>
      </c>
      <c r="BB588" s="19">
        <f t="shared" si="463"/>
        <v>3.5</v>
      </c>
      <c r="BC588" s="9">
        <f t="shared" si="464"/>
        <v>0</v>
      </c>
      <c r="BD588" s="9">
        <f t="shared" si="465"/>
        <v>0.1095890410958904</v>
      </c>
      <c r="BE588" s="9">
        <f t="shared" si="466"/>
        <v>-0.25925925925925924</v>
      </c>
      <c r="BF588" s="9">
        <f t="shared" si="467"/>
        <v>-0.05</v>
      </c>
      <c r="BG588" s="9">
        <f t="shared" si="468"/>
        <v>9.6491228070175433E-2</v>
      </c>
      <c r="BH588" s="9">
        <f t="shared" si="469"/>
        <v>2.4E-2</v>
      </c>
      <c r="BI588" s="12">
        <f t="shared" si="470"/>
        <v>-1.3196498348865568E-2</v>
      </c>
      <c r="BJ588" s="13">
        <f t="shared" si="471"/>
        <v>1.2E-2</v>
      </c>
      <c r="BK588" s="1">
        <f t="shared" si="472"/>
        <v>0</v>
      </c>
      <c r="BL588" s="1">
        <f t="shared" si="473"/>
        <v>16</v>
      </c>
      <c r="BM588" s="1">
        <f t="shared" si="474"/>
        <v>-42</v>
      </c>
      <c r="BN588" s="1">
        <f t="shared" si="475"/>
        <v>-6</v>
      </c>
      <c r="BO588" s="1">
        <f t="shared" si="476"/>
        <v>11</v>
      </c>
      <c r="BP588" s="1">
        <f t="shared" si="477"/>
        <v>3</v>
      </c>
      <c r="BQ588" s="19">
        <f t="shared" si="478"/>
        <v>-3</v>
      </c>
      <c r="BR588" s="17">
        <f t="shared" si="479"/>
        <v>1.5</v>
      </c>
    </row>
    <row r="589" spans="1:70" x14ac:dyDescent="0.25">
      <c r="A589" t="s">
        <v>103</v>
      </c>
      <c r="B589">
        <v>233</v>
      </c>
      <c r="C589">
        <v>207</v>
      </c>
      <c r="D589">
        <v>239</v>
      </c>
      <c r="E589">
        <v>233</v>
      </c>
      <c r="F589">
        <v>182</v>
      </c>
      <c r="G589">
        <v>248</v>
      </c>
      <c r="H589">
        <v>218</v>
      </c>
      <c r="I589">
        <v>120</v>
      </c>
      <c r="J589">
        <v>119</v>
      </c>
      <c r="K589">
        <v>128</v>
      </c>
      <c r="L589">
        <v>124</v>
      </c>
      <c r="M589">
        <v>96</v>
      </c>
      <c r="N589">
        <v>130</v>
      </c>
      <c r="O589">
        <v>114</v>
      </c>
      <c r="P589">
        <v>113</v>
      </c>
      <c r="Q589">
        <v>88</v>
      </c>
      <c r="R589">
        <v>111</v>
      </c>
      <c r="S589">
        <v>109</v>
      </c>
      <c r="T589">
        <v>86</v>
      </c>
      <c r="U589">
        <v>118</v>
      </c>
      <c r="V589">
        <v>104</v>
      </c>
      <c r="W589" s="8">
        <f t="shared" si="432"/>
        <v>-0.11158798283261803</v>
      </c>
      <c r="X589" s="8">
        <f t="shared" si="433"/>
        <v>0.15458937198067632</v>
      </c>
      <c r="Y589" s="8">
        <f t="shared" si="434"/>
        <v>-2.5104602510460251E-2</v>
      </c>
      <c r="Z589" s="8">
        <f t="shared" si="435"/>
        <v>-0.21888412017167383</v>
      </c>
      <c r="AA589" s="8">
        <f t="shared" si="436"/>
        <v>0.36263736263736263</v>
      </c>
      <c r="AB589" s="8">
        <f t="shared" si="437"/>
        <v>-0.12096774193548387</v>
      </c>
      <c r="AC589" s="12">
        <f t="shared" si="438"/>
        <v>6.7803811946338249E-3</v>
      </c>
      <c r="AD589" s="12">
        <f t="shared" si="439"/>
        <v>-6.8346292671539133E-2</v>
      </c>
      <c r="AE589" s="1">
        <f t="shared" si="440"/>
        <v>-26</v>
      </c>
      <c r="AF589" s="1">
        <f t="shared" si="441"/>
        <v>32</v>
      </c>
      <c r="AG589" s="1">
        <f t="shared" si="442"/>
        <v>-6</v>
      </c>
      <c r="AH589" s="1">
        <f t="shared" si="443"/>
        <v>-51</v>
      </c>
      <c r="AI589" s="1">
        <f t="shared" si="444"/>
        <v>66</v>
      </c>
      <c r="AJ589" s="1">
        <f t="shared" si="445"/>
        <v>-30</v>
      </c>
      <c r="AK589" s="17">
        <f t="shared" si="446"/>
        <v>-2.5</v>
      </c>
      <c r="AL589" s="17">
        <f t="shared" si="447"/>
        <v>-16</v>
      </c>
      <c r="AM589" s="1">
        <f t="shared" si="448"/>
        <v>-8.3333333333333332E-3</v>
      </c>
      <c r="AN589" s="1">
        <f t="shared" si="449"/>
        <v>7.5630252100840331E-2</v>
      </c>
      <c r="AO589" s="1">
        <f t="shared" si="450"/>
        <v>-3.125E-2</v>
      </c>
      <c r="AP589" s="1">
        <f t="shared" si="451"/>
        <v>-0.22580645161290322</v>
      </c>
      <c r="AQ589" s="1">
        <f t="shared" si="452"/>
        <v>0.35416666666666669</v>
      </c>
      <c r="AR589" s="1">
        <f t="shared" si="453"/>
        <v>-0.12307692307692308</v>
      </c>
      <c r="AS589" s="12">
        <f t="shared" si="454"/>
        <v>6.8883684573912323E-3</v>
      </c>
      <c r="AT589" s="12">
        <f t="shared" si="455"/>
        <v>-1.9791666666666666E-2</v>
      </c>
      <c r="AU589" s="1">
        <f t="shared" si="456"/>
        <v>-1</v>
      </c>
      <c r="AV589" s="1">
        <f t="shared" si="457"/>
        <v>9</v>
      </c>
      <c r="AW589" s="1">
        <f t="shared" si="458"/>
        <v>-4</v>
      </c>
      <c r="AX589" s="1">
        <f t="shared" si="459"/>
        <v>-28</v>
      </c>
      <c r="AY589" s="1">
        <f t="shared" si="460"/>
        <v>34</v>
      </c>
      <c r="AZ589" s="1">
        <f t="shared" si="461"/>
        <v>-16</v>
      </c>
      <c r="BA589" s="19">
        <f t="shared" si="462"/>
        <v>-1</v>
      </c>
      <c r="BB589" s="19">
        <f t="shared" si="463"/>
        <v>-2.5</v>
      </c>
      <c r="BC589" s="9">
        <f t="shared" si="464"/>
        <v>-0.22123893805309736</v>
      </c>
      <c r="BD589" s="9">
        <f t="shared" si="465"/>
        <v>0.26136363636363635</v>
      </c>
      <c r="BE589" s="9">
        <f t="shared" si="466"/>
        <v>-1.8018018018018018E-2</v>
      </c>
      <c r="BF589" s="9">
        <f t="shared" si="467"/>
        <v>-0.21100917431192662</v>
      </c>
      <c r="BG589" s="9">
        <f t="shared" si="468"/>
        <v>0.37209302325581395</v>
      </c>
      <c r="BH589" s="9">
        <f t="shared" si="469"/>
        <v>-0.11864406779661017</v>
      </c>
      <c r="BI589" s="12">
        <f t="shared" si="470"/>
        <v>1.0757743573299687E-2</v>
      </c>
      <c r="BJ589" s="13">
        <f t="shared" si="471"/>
        <v>-6.8331042907314093E-2</v>
      </c>
      <c r="BK589" s="1">
        <f t="shared" si="472"/>
        <v>-25</v>
      </c>
      <c r="BL589" s="1">
        <f t="shared" si="473"/>
        <v>23</v>
      </c>
      <c r="BM589" s="1">
        <f t="shared" si="474"/>
        <v>-2</v>
      </c>
      <c r="BN589" s="1">
        <f t="shared" si="475"/>
        <v>-23</v>
      </c>
      <c r="BO589" s="1">
        <f t="shared" si="476"/>
        <v>32</v>
      </c>
      <c r="BP589" s="1">
        <f t="shared" si="477"/>
        <v>-14</v>
      </c>
      <c r="BQ589" s="19">
        <f t="shared" si="478"/>
        <v>-1.5</v>
      </c>
      <c r="BR589" s="17">
        <f t="shared" si="479"/>
        <v>-8</v>
      </c>
    </row>
    <row r="590" spans="1:70" x14ac:dyDescent="0.25">
      <c r="A590" t="s">
        <v>181</v>
      </c>
      <c r="B590">
        <v>52</v>
      </c>
      <c r="C590">
        <v>39</v>
      </c>
      <c r="D590">
        <v>51</v>
      </c>
      <c r="E590">
        <v>49</v>
      </c>
      <c r="F590">
        <v>75</v>
      </c>
      <c r="G590">
        <v>47</v>
      </c>
      <c r="H590">
        <v>37</v>
      </c>
      <c r="I590">
        <v>30</v>
      </c>
      <c r="J590">
        <v>18</v>
      </c>
      <c r="K590">
        <v>24</v>
      </c>
      <c r="L590">
        <v>27</v>
      </c>
      <c r="M590">
        <v>38</v>
      </c>
      <c r="N590">
        <v>28</v>
      </c>
      <c r="O590">
        <v>20</v>
      </c>
      <c r="P590">
        <v>22</v>
      </c>
      <c r="Q590">
        <v>21</v>
      </c>
      <c r="R590">
        <v>27</v>
      </c>
      <c r="S590">
        <v>22</v>
      </c>
      <c r="T590">
        <v>37</v>
      </c>
      <c r="U590">
        <v>19</v>
      </c>
      <c r="V590">
        <v>17</v>
      </c>
      <c r="W590" s="8">
        <f t="shared" si="432"/>
        <v>-0.25</v>
      </c>
      <c r="X590" s="8">
        <f t="shared" si="433"/>
        <v>0.30769230769230771</v>
      </c>
      <c r="Y590" s="8">
        <f t="shared" si="434"/>
        <v>-3.9215686274509803E-2</v>
      </c>
      <c r="Z590" s="8">
        <f t="shared" si="435"/>
        <v>0.53061224489795922</v>
      </c>
      <c r="AA590" s="8">
        <f t="shared" si="436"/>
        <v>-0.37333333333333335</v>
      </c>
      <c r="AB590" s="8">
        <f t="shared" si="437"/>
        <v>-0.21276595744680851</v>
      </c>
      <c r="AC590" s="12">
        <f t="shared" si="438"/>
        <v>-6.1684040773974519E-3</v>
      </c>
      <c r="AD590" s="12">
        <f t="shared" si="439"/>
        <v>-0.12599082186065916</v>
      </c>
      <c r="AE590" s="1">
        <f t="shared" si="440"/>
        <v>-13</v>
      </c>
      <c r="AF590" s="1">
        <f t="shared" si="441"/>
        <v>12</v>
      </c>
      <c r="AG590" s="1">
        <f t="shared" si="442"/>
        <v>-2</v>
      </c>
      <c r="AH590" s="1">
        <f t="shared" si="443"/>
        <v>26</v>
      </c>
      <c r="AI590" s="1">
        <f t="shared" si="444"/>
        <v>-28</v>
      </c>
      <c r="AJ590" s="1">
        <f t="shared" si="445"/>
        <v>-10</v>
      </c>
      <c r="AK590" s="17">
        <f t="shared" si="446"/>
        <v>-2.5</v>
      </c>
      <c r="AL590" s="17">
        <f t="shared" si="447"/>
        <v>-6</v>
      </c>
      <c r="AM590" s="1">
        <f t="shared" si="448"/>
        <v>-0.4</v>
      </c>
      <c r="AN590" s="1">
        <f t="shared" si="449"/>
        <v>0.33333333333333331</v>
      </c>
      <c r="AO590" s="1">
        <f t="shared" si="450"/>
        <v>0.125</v>
      </c>
      <c r="AP590" s="1">
        <f t="shared" si="451"/>
        <v>0.40740740740740738</v>
      </c>
      <c r="AQ590" s="1">
        <f t="shared" si="452"/>
        <v>-0.26315789473684209</v>
      </c>
      <c r="AR590" s="1">
        <f t="shared" si="453"/>
        <v>-0.2857142857142857</v>
      </c>
      <c r="AS590" s="12">
        <f t="shared" si="454"/>
        <v>-1.3855239951731185E-2</v>
      </c>
      <c r="AT590" s="12">
        <f t="shared" si="455"/>
        <v>-6.9078947368421045E-2</v>
      </c>
      <c r="AU590" s="1">
        <f t="shared" si="456"/>
        <v>-12</v>
      </c>
      <c r="AV590" s="1">
        <f t="shared" si="457"/>
        <v>6</v>
      </c>
      <c r="AW590" s="1">
        <f t="shared" si="458"/>
        <v>3</v>
      </c>
      <c r="AX590" s="1">
        <f t="shared" si="459"/>
        <v>11</v>
      </c>
      <c r="AY590" s="1">
        <f t="shared" si="460"/>
        <v>-10</v>
      </c>
      <c r="AZ590" s="1">
        <f t="shared" si="461"/>
        <v>-8</v>
      </c>
      <c r="BA590" s="19">
        <f t="shared" si="462"/>
        <v>-1.6666666666666667</v>
      </c>
      <c r="BB590" s="19">
        <f t="shared" si="463"/>
        <v>-2.5</v>
      </c>
      <c r="BC590" s="9">
        <f t="shared" si="464"/>
        <v>-4.5454545454545456E-2</v>
      </c>
      <c r="BD590" s="9">
        <f t="shared" si="465"/>
        <v>0.2857142857142857</v>
      </c>
      <c r="BE590" s="9">
        <f t="shared" si="466"/>
        <v>-0.18518518518518517</v>
      </c>
      <c r="BF590" s="9">
        <f t="shared" si="467"/>
        <v>0.68181818181818177</v>
      </c>
      <c r="BG590" s="9">
        <f t="shared" si="468"/>
        <v>-0.48648648648648651</v>
      </c>
      <c r="BH590" s="9">
        <f t="shared" si="469"/>
        <v>-0.10526315789473684</v>
      </c>
      <c r="BI590" s="12">
        <f t="shared" si="470"/>
        <v>2.4190515418585579E-2</v>
      </c>
      <c r="BJ590" s="13">
        <f t="shared" si="471"/>
        <v>-7.5358851674641153E-2</v>
      </c>
      <c r="BK590" s="1">
        <f t="shared" si="472"/>
        <v>-1</v>
      </c>
      <c r="BL590" s="1">
        <f t="shared" si="473"/>
        <v>6</v>
      </c>
      <c r="BM590" s="1">
        <f t="shared" si="474"/>
        <v>-5</v>
      </c>
      <c r="BN590" s="1">
        <f t="shared" si="475"/>
        <v>15</v>
      </c>
      <c r="BO590" s="1">
        <f t="shared" si="476"/>
        <v>-18</v>
      </c>
      <c r="BP590" s="1">
        <f t="shared" si="477"/>
        <v>-2</v>
      </c>
      <c r="BQ590" s="19">
        <f t="shared" si="478"/>
        <v>-0.83333333333333337</v>
      </c>
      <c r="BR590" s="17">
        <f t="shared" si="479"/>
        <v>-1.5</v>
      </c>
    </row>
    <row r="591" spans="1:70" x14ac:dyDescent="0.25">
      <c r="A591" t="s">
        <v>172</v>
      </c>
      <c r="B591">
        <v>62</v>
      </c>
      <c r="C591">
        <v>60</v>
      </c>
      <c r="D591">
        <v>51</v>
      </c>
      <c r="E591">
        <v>60</v>
      </c>
      <c r="F591">
        <v>60</v>
      </c>
      <c r="G591">
        <v>49</v>
      </c>
      <c r="H591">
        <v>46</v>
      </c>
      <c r="I591">
        <v>39</v>
      </c>
      <c r="J591">
        <v>34</v>
      </c>
      <c r="K591">
        <v>26</v>
      </c>
      <c r="L591">
        <v>34</v>
      </c>
      <c r="M591">
        <v>34</v>
      </c>
      <c r="N591">
        <v>23</v>
      </c>
      <c r="O591">
        <v>30</v>
      </c>
      <c r="P591">
        <v>23</v>
      </c>
      <c r="Q591">
        <v>26</v>
      </c>
      <c r="R591">
        <v>25</v>
      </c>
      <c r="S591">
        <v>26</v>
      </c>
      <c r="T591">
        <v>26</v>
      </c>
      <c r="U591">
        <v>26</v>
      </c>
      <c r="V591">
        <v>16</v>
      </c>
      <c r="W591" s="8">
        <f t="shared" si="432"/>
        <v>-3.2258064516129031E-2</v>
      </c>
      <c r="X591" s="8">
        <f t="shared" si="433"/>
        <v>-0.15</v>
      </c>
      <c r="Y591" s="8">
        <f t="shared" si="434"/>
        <v>0.17647058823529413</v>
      </c>
      <c r="Z591" s="8">
        <f t="shared" si="435"/>
        <v>0</v>
      </c>
      <c r="AA591" s="8">
        <f t="shared" si="436"/>
        <v>-0.18333333333333332</v>
      </c>
      <c r="AB591" s="8">
        <f t="shared" si="437"/>
        <v>-6.1224489795918366E-2</v>
      </c>
      <c r="AC591" s="12">
        <f t="shared" si="438"/>
        <v>-4.1724216568347766E-2</v>
      </c>
      <c r="AD591" s="12">
        <f t="shared" si="439"/>
        <v>-4.6741277156023699E-2</v>
      </c>
      <c r="AE591" s="1">
        <f t="shared" si="440"/>
        <v>-2</v>
      </c>
      <c r="AF591" s="1">
        <f t="shared" si="441"/>
        <v>-9</v>
      </c>
      <c r="AG591" s="1">
        <f t="shared" si="442"/>
        <v>9</v>
      </c>
      <c r="AH591" s="1">
        <f t="shared" si="443"/>
        <v>0</v>
      </c>
      <c r="AI591" s="1">
        <f t="shared" si="444"/>
        <v>-11</v>
      </c>
      <c r="AJ591" s="1">
        <f t="shared" si="445"/>
        <v>-3</v>
      </c>
      <c r="AK591" s="17">
        <f t="shared" si="446"/>
        <v>-2.6666666666666665</v>
      </c>
      <c r="AL591" s="17">
        <f t="shared" si="447"/>
        <v>-2.5</v>
      </c>
      <c r="AM591" s="1">
        <f t="shared" si="448"/>
        <v>-0.12820512820512819</v>
      </c>
      <c r="AN591" s="1">
        <f t="shared" si="449"/>
        <v>-0.23529411764705882</v>
      </c>
      <c r="AO591" s="1">
        <f t="shared" si="450"/>
        <v>0.30769230769230771</v>
      </c>
      <c r="AP591" s="1">
        <f t="shared" si="451"/>
        <v>0</v>
      </c>
      <c r="AQ591" s="1">
        <f t="shared" si="452"/>
        <v>-0.3235294117647059</v>
      </c>
      <c r="AR591" s="1">
        <f t="shared" si="453"/>
        <v>0.30434782608695654</v>
      </c>
      <c r="AS591" s="12">
        <f t="shared" si="454"/>
        <v>-1.2498087306271444E-2</v>
      </c>
      <c r="AT591" s="12">
        <f t="shared" si="455"/>
        <v>-6.4102564102564097E-2</v>
      </c>
      <c r="AU591" s="1">
        <f t="shared" si="456"/>
        <v>-5</v>
      </c>
      <c r="AV591" s="1">
        <f t="shared" si="457"/>
        <v>-8</v>
      </c>
      <c r="AW591" s="1">
        <f t="shared" si="458"/>
        <v>8</v>
      </c>
      <c r="AX591" s="1">
        <f t="shared" si="459"/>
        <v>0</v>
      </c>
      <c r="AY591" s="1">
        <f t="shared" si="460"/>
        <v>-11</v>
      </c>
      <c r="AZ591" s="1">
        <f t="shared" si="461"/>
        <v>7</v>
      </c>
      <c r="BA591" s="19">
        <f t="shared" si="462"/>
        <v>-1.5</v>
      </c>
      <c r="BB591" s="19">
        <f t="shared" si="463"/>
        <v>-2.5</v>
      </c>
      <c r="BC591" s="9">
        <f t="shared" si="464"/>
        <v>0.13043478260869565</v>
      </c>
      <c r="BD591" s="9">
        <f t="shared" si="465"/>
        <v>-3.8461538461538464E-2</v>
      </c>
      <c r="BE591" s="9">
        <f t="shared" si="466"/>
        <v>0.04</v>
      </c>
      <c r="BF591" s="9">
        <f t="shared" si="467"/>
        <v>0</v>
      </c>
      <c r="BG591" s="9">
        <f t="shared" si="468"/>
        <v>0</v>
      </c>
      <c r="BH591" s="9">
        <f t="shared" si="469"/>
        <v>-0.38461538461538464</v>
      </c>
      <c r="BI591" s="12">
        <f t="shared" si="470"/>
        <v>-4.2107023411371236E-2</v>
      </c>
      <c r="BJ591" s="13">
        <f t="shared" si="471"/>
        <v>0</v>
      </c>
      <c r="BK591" s="1">
        <f t="shared" si="472"/>
        <v>3</v>
      </c>
      <c r="BL591" s="1">
        <f t="shared" si="473"/>
        <v>-1</v>
      </c>
      <c r="BM591" s="1">
        <f t="shared" si="474"/>
        <v>1</v>
      </c>
      <c r="BN591" s="1">
        <f t="shared" si="475"/>
        <v>0</v>
      </c>
      <c r="BO591" s="1">
        <f t="shared" si="476"/>
        <v>0</v>
      </c>
      <c r="BP591" s="1">
        <f t="shared" si="477"/>
        <v>-10</v>
      </c>
      <c r="BQ591" s="19">
        <f t="shared" si="478"/>
        <v>-1.1666666666666667</v>
      </c>
      <c r="BR591" s="17">
        <f t="shared" si="479"/>
        <v>0</v>
      </c>
    </row>
    <row r="592" spans="1:70" x14ac:dyDescent="0.25">
      <c r="A592" t="s">
        <v>203</v>
      </c>
      <c r="B592">
        <v>33</v>
      </c>
      <c r="C592">
        <v>29</v>
      </c>
      <c r="D592">
        <v>21</v>
      </c>
      <c r="E592">
        <v>28</v>
      </c>
      <c r="F592">
        <v>37</v>
      </c>
      <c r="G592">
        <v>35</v>
      </c>
      <c r="H592">
        <v>17</v>
      </c>
      <c r="I592">
        <v>21</v>
      </c>
      <c r="J592">
        <v>16</v>
      </c>
      <c r="K592">
        <v>16</v>
      </c>
      <c r="L592">
        <v>18</v>
      </c>
      <c r="M592">
        <v>19</v>
      </c>
      <c r="N592">
        <v>18</v>
      </c>
      <c r="O592">
        <v>7</v>
      </c>
      <c r="P592">
        <v>12</v>
      </c>
      <c r="Q592">
        <v>13</v>
      </c>
      <c r="R592">
        <v>5</v>
      </c>
      <c r="S592">
        <v>10</v>
      </c>
      <c r="T592">
        <v>18</v>
      </c>
      <c r="U592">
        <v>17</v>
      </c>
      <c r="V592">
        <v>10</v>
      </c>
      <c r="W592" s="8">
        <f t="shared" si="432"/>
        <v>-0.12121212121212122</v>
      </c>
      <c r="X592" s="8">
        <f t="shared" si="433"/>
        <v>-0.27586206896551724</v>
      </c>
      <c r="Y592" s="8">
        <f t="shared" si="434"/>
        <v>0.33333333333333331</v>
      </c>
      <c r="Z592" s="8">
        <f t="shared" si="435"/>
        <v>0.32142857142857145</v>
      </c>
      <c r="AA592" s="8">
        <f t="shared" si="436"/>
        <v>-5.4054054054054057E-2</v>
      </c>
      <c r="AB592" s="8">
        <f t="shared" si="437"/>
        <v>-0.51428571428571423</v>
      </c>
      <c r="AC592" s="12">
        <f t="shared" si="438"/>
        <v>-5.1775342292583661E-2</v>
      </c>
      <c r="AD592" s="12">
        <f t="shared" si="439"/>
        <v>-8.7633087633087636E-2</v>
      </c>
      <c r="AE592" s="1">
        <f t="shared" si="440"/>
        <v>-4</v>
      </c>
      <c r="AF592" s="1">
        <f t="shared" si="441"/>
        <v>-8</v>
      </c>
      <c r="AG592" s="1">
        <f t="shared" si="442"/>
        <v>7</v>
      </c>
      <c r="AH592" s="1">
        <f t="shared" si="443"/>
        <v>9</v>
      </c>
      <c r="AI592" s="1">
        <f t="shared" si="444"/>
        <v>-2</v>
      </c>
      <c r="AJ592" s="1">
        <f t="shared" si="445"/>
        <v>-18</v>
      </c>
      <c r="AK592" s="17">
        <f t="shared" si="446"/>
        <v>-2.6666666666666665</v>
      </c>
      <c r="AL592" s="17">
        <f t="shared" si="447"/>
        <v>-3</v>
      </c>
      <c r="AM592" s="1">
        <f t="shared" si="448"/>
        <v>-0.23809523809523808</v>
      </c>
      <c r="AN592" s="1">
        <f t="shared" si="449"/>
        <v>0</v>
      </c>
      <c r="AO592" s="1">
        <f t="shared" si="450"/>
        <v>0.125</v>
      </c>
      <c r="AP592" s="1">
        <f t="shared" si="451"/>
        <v>5.5555555555555552E-2</v>
      </c>
      <c r="AQ592" s="1">
        <f t="shared" si="452"/>
        <v>-5.2631578947368418E-2</v>
      </c>
      <c r="AR592" s="1">
        <f t="shared" si="453"/>
        <v>-0.61111111111111116</v>
      </c>
      <c r="AS592" s="12">
        <f t="shared" si="454"/>
        <v>-0.12021372876636034</v>
      </c>
      <c r="AT592" s="12">
        <f t="shared" si="455"/>
        <v>-2.6315789473684209E-2</v>
      </c>
      <c r="AU592" s="1">
        <f t="shared" si="456"/>
        <v>-5</v>
      </c>
      <c r="AV592" s="1">
        <f t="shared" si="457"/>
        <v>0</v>
      </c>
      <c r="AW592" s="1">
        <f t="shared" si="458"/>
        <v>2</v>
      </c>
      <c r="AX592" s="1">
        <f t="shared" si="459"/>
        <v>1</v>
      </c>
      <c r="AY592" s="1">
        <f t="shared" si="460"/>
        <v>-1</v>
      </c>
      <c r="AZ592" s="1">
        <f t="shared" si="461"/>
        <v>-11</v>
      </c>
      <c r="BA592" s="19">
        <f t="shared" si="462"/>
        <v>-2.3333333333333335</v>
      </c>
      <c r="BB592" s="19">
        <f t="shared" si="463"/>
        <v>-0.5</v>
      </c>
      <c r="BC592" s="9">
        <f t="shared" si="464"/>
        <v>8.3333333333333329E-2</v>
      </c>
      <c r="BD592" s="9">
        <f t="shared" si="465"/>
        <v>-0.61538461538461542</v>
      </c>
      <c r="BE592" s="9">
        <f t="shared" si="466"/>
        <v>1</v>
      </c>
      <c r="BF592" s="9">
        <f t="shared" si="467"/>
        <v>0.8</v>
      </c>
      <c r="BG592" s="9">
        <f t="shared" si="468"/>
        <v>-5.5555555555555552E-2</v>
      </c>
      <c r="BH592" s="9">
        <f t="shared" si="469"/>
        <v>-0.41176470588235292</v>
      </c>
      <c r="BI592" s="12">
        <f t="shared" si="470"/>
        <v>0.13343807608513489</v>
      </c>
      <c r="BJ592" s="13">
        <f t="shared" si="471"/>
        <v>1.3888888888888895E-2</v>
      </c>
      <c r="BK592" s="1">
        <f t="shared" si="472"/>
        <v>1</v>
      </c>
      <c r="BL592" s="1">
        <f t="shared" si="473"/>
        <v>-8</v>
      </c>
      <c r="BM592" s="1">
        <f t="shared" si="474"/>
        <v>5</v>
      </c>
      <c r="BN592" s="1">
        <f t="shared" si="475"/>
        <v>8</v>
      </c>
      <c r="BO592" s="1">
        <f t="shared" si="476"/>
        <v>-1</v>
      </c>
      <c r="BP592" s="1">
        <f t="shared" si="477"/>
        <v>-7</v>
      </c>
      <c r="BQ592" s="19">
        <f t="shared" si="478"/>
        <v>-0.33333333333333331</v>
      </c>
      <c r="BR592" s="17">
        <f t="shared" si="479"/>
        <v>0</v>
      </c>
    </row>
    <row r="593" spans="1:70" x14ac:dyDescent="0.25">
      <c r="A593" t="s">
        <v>115</v>
      </c>
      <c r="B593">
        <v>169</v>
      </c>
      <c r="C593">
        <v>129</v>
      </c>
      <c r="D593">
        <v>157</v>
      </c>
      <c r="E593">
        <v>197</v>
      </c>
      <c r="F593">
        <v>173</v>
      </c>
      <c r="G593">
        <v>162</v>
      </c>
      <c r="H593">
        <v>152</v>
      </c>
      <c r="I593">
        <v>82</v>
      </c>
      <c r="J593">
        <v>58</v>
      </c>
      <c r="K593">
        <v>71</v>
      </c>
      <c r="L593">
        <v>90</v>
      </c>
      <c r="M593">
        <v>82</v>
      </c>
      <c r="N593">
        <v>83</v>
      </c>
      <c r="O593">
        <v>73</v>
      </c>
      <c r="P593">
        <v>87</v>
      </c>
      <c r="Q593">
        <v>71</v>
      </c>
      <c r="R593">
        <v>86</v>
      </c>
      <c r="S593">
        <v>107</v>
      </c>
      <c r="T593">
        <v>91</v>
      </c>
      <c r="U593">
        <v>79</v>
      </c>
      <c r="V593">
        <v>79</v>
      </c>
      <c r="W593" s="8">
        <f t="shared" si="432"/>
        <v>-0.23668639053254437</v>
      </c>
      <c r="X593" s="8">
        <f t="shared" si="433"/>
        <v>0.21705426356589147</v>
      </c>
      <c r="Y593" s="8">
        <f t="shared" si="434"/>
        <v>0.25477707006369427</v>
      </c>
      <c r="Z593" s="8">
        <f t="shared" si="435"/>
        <v>-0.12182741116751269</v>
      </c>
      <c r="AA593" s="8">
        <f t="shared" si="436"/>
        <v>-6.358381502890173E-2</v>
      </c>
      <c r="AB593" s="8">
        <f t="shared" si="437"/>
        <v>-6.1728395061728392E-2</v>
      </c>
      <c r="AC593" s="12">
        <f t="shared" si="438"/>
        <v>-1.9991130268502411E-3</v>
      </c>
      <c r="AD593" s="12">
        <f t="shared" si="439"/>
        <v>-6.2656105045315061E-2</v>
      </c>
      <c r="AE593" s="1">
        <f t="shared" si="440"/>
        <v>-40</v>
      </c>
      <c r="AF593" s="1">
        <f t="shared" si="441"/>
        <v>28</v>
      </c>
      <c r="AG593" s="1">
        <f t="shared" si="442"/>
        <v>40</v>
      </c>
      <c r="AH593" s="1">
        <f t="shared" si="443"/>
        <v>-24</v>
      </c>
      <c r="AI593" s="1">
        <f t="shared" si="444"/>
        <v>-11</v>
      </c>
      <c r="AJ593" s="1">
        <f t="shared" si="445"/>
        <v>-10</v>
      </c>
      <c r="AK593" s="17">
        <f t="shared" si="446"/>
        <v>-2.8333333333333335</v>
      </c>
      <c r="AL593" s="17">
        <f t="shared" si="447"/>
        <v>-10.5</v>
      </c>
      <c r="AM593" s="1">
        <f t="shared" si="448"/>
        <v>-0.29268292682926828</v>
      </c>
      <c r="AN593" s="1">
        <f t="shared" si="449"/>
        <v>0.22413793103448276</v>
      </c>
      <c r="AO593" s="1">
        <f t="shared" si="450"/>
        <v>0.26760563380281688</v>
      </c>
      <c r="AP593" s="1">
        <f t="shared" si="451"/>
        <v>-8.8888888888888892E-2</v>
      </c>
      <c r="AQ593" s="1">
        <f t="shared" si="452"/>
        <v>1.2195121951219513E-2</v>
      </c>
      <c r="AR593" s="1">
        <f t="shared" si="453"/>
        <v>-0.12048192771084337</v>
      </c>
      <c r="AS593" s="12">
        <f t="shared" si="454"/>
        <v>3.1415722658643491E-4</v>
      </c>
      <c r="AT593" s="12">
        <f t="shared" si="455"/>
        <v>-3.8346883468834692E-2</v>
      </c>
      <c r="AU593" s="1">
        <f t="shared" si="456"/>
        <v>-24</v>
      </c>
      <c r="AV593" s="1">
        <f t="shared" si="457"/>
        <v>13</v>
      </c>
      <c r="AW593" s="1">
        <f t="shared" si="458"/>
        <v>19</v>
      </c>
      <c r="AX593" s="1">
        <f t="shared" si="459"/>
        <v>-8</v>
      </c>
      <c r="AY593" s="1">
        <f t="shared" si="460"/>
        <v>1</v>
      </c>
      <c r="AZ593" s="1">
        <f t="shared" si="461"/>
        <v>-10</v>
      </c>
      <c r="BA593" s="19">
        <f t="shared" si="462"/>
        <v>-1.5</v>
      </c>
      <c r="BB593" s="19">
        <f t="shared" si="463"/>
        <v>-3.5</v>
      </c>
      <c r="BC593" s="9">
        <f t="shared" si="464"/>
        <v>-0.18390804597701149</v>
      </c>
      <c r="BD593" s="9">
        <f t="shared" si="465"/>
        <v>0.21126760563380281</v>
      </c>
      <c r="BE593" s="9">
        <f t="shared" si="466"/>
        <v>0.2441860465116279</v>
      </c>
      <c r="BF593" s="9">
        <f t="shared" si="467"/>
        <v>-0.14953271028037382</v>
      </c>
      <c r="BG593" s="9">
        <f t="shared" si="468"/>
        <v>-0.13186813186813187</v>
      </c>
      <c r="BH593" s="9">
        <f t="shared" si="469"/>
        <v>0</v>
      </c>
      <c r="BI593" s="12">
        <f t="shared" si="470"/>
        <v>-1.6425393300144124E-3</v>
      </c>
      <c r="BJ593" s="13">
        <f t="shared" si="471"/>
        <v>-6.5934065934065936E-2</v>
      </c>
      <c r="BK593" s="1">
        <f t="shared" si="472"/>
        <v>-16</v>
      </c>
      <c r="BL593" s="1">
        <f t="shared" si="473"/>
        <v>15</v>
      </c>
      <c r="BM593" s="1">
        <f t="shared" si="474"/>
        <v>21</v>
      </c>
      <c r="BN593" s="1">
        <f t="shared" si="475"/>
        <v>-16</v>
      </c>
      <c r="BO593" s="1">
        <f t="shared" si="476"/>
        <v>-12</v>
      </c>
      <c r="BP593" s="1">
        <f t="shared" si="477"/>
        <v>0</v>
      </c>
      <c r="BQ593" s="19">
        <f t="shared" si="478"/>
        <v>-1.3333333333333333</v>
      </c>
      <c r="BR593" s="17">
        <f t="shared" si="479"/>
        <v>-6</v>
      </c>
    </row>
    <row r="594" spans="1:70" x14ac:dyDescent="0.25">
      <c r="A594" t="s">
        <v>196</v>
      </c>
      <c r="B594">
        <v>38</v>
      </c>
      <c r="C594">
        <v>19</v>
      </c>
      <c r="D594">
        <v>41</v>
      </c>
      <c r="E594">
        <v>39</v>
      </c>
      <c r="F594">
        <v>21</v>
      </c>
      <c r="G594">
        <v>31</v>
      </c>
      <c r="H594">
        <v>21</v>
      </c>
      <c r="I594">
        <v>15</v>
      </c>
      <c r="J594">
        <v>6</v>
      </c>
      <c r="K594">
        <v>17</v>
      </c>
      <c r="L594">
        <v>17</v>
      </c>
      <c r="M594">
        <v>10</v>
      </c>
      <c r="N594">
        <v>11</v>
      </c>
      <c r="O594">
        <v>17</v>
      </c>
      <c r="P594">
        <v>23</v>
      </c>
      <c r="Q594">
        <v>13</v>
      </c>
      <c r="R594">
        <v>24</v>
      </c>
      <c r="S594">
        <v>22</v>
      </c>
      <c r="T594">
        <v>11</v>
      </c>
      <c r="U594">
        <v>20</v>
      </c>
      <c r="V594">
        <v>4</v>
      </c>
      <c r="W594" s="8">
        <f t="shared" si="432"/>
        <v>-0.5</v>
      </c>
      <c r="X594" s="8">
        <f t="shared" si="433"/>
        <v>1.1578947368421053</v>
      </c>
      <c r="Y594" s="8">
        <f t="shared" si="434"/>
        <v>-4.878048780487805E-2</v>
      </c>
      <c r="Z594" s="8">
        <f t="shared" si="435"/>
        <v>-0.46153846153846156</v>
      </c>
      <c r="AA594" s="8">
        <f t="shared" si="436"/>
        <v>0.47619047619047616</v>
      </c>
      <c r="AB594" s="8">
        <f t="shared" si="437"/>
        <v>-0.32258064516129031</v>
      </c>
      <c r="AC594" s="12">
        <f t="shared" si="438"/>
        <v>5.019760308799192E-2</v>
      </c>
      <c r="AD594" s="12">
        <f t="shared" si="439"/>
        <v>-0.18568056648308418</v>
      </c>
      <c r="AE594" s="1">
        <f t="shared" si="440"/>
        <v>-19</v>
      </c>
      <c r="AF594" s="1">
        <f t="shared" si="441"/>
        <v>22</v>
      </c>
      <c r="AG594" s="1">
        <f t="shared" si="442"/>
        <v>-2</v>
      </c>
      <c r="AH594" s="1">
        <f t="shared" si="443"/>
        <v>-18</v>
      </c>
      <c r="AI594" s="1">
        <f t="shared" si="444"/>
        <v>10</v>
      </c>
      <c r="AJ594" s="1">
        <f t="shared" si="445"/>
        <v>-10</v>
      </c>
      <c r="AK594" s="17">
        <f t="shared" si="446"/>
        <v>-2.8333333333333335</v>
      </c>
      <c r="AL594" s="17">
        <f t="shared" si="447"/>
        <v>-6</v>
      </c>
      <c r="AM594" s="1">
        <f t="shared" si="448"/>
        <v>-0.6</v>
      </c>
      <c r="AN594" s="1">
        <f t="shared" si="449"/>
        <v>1.8333333333333333</v>
      </c>
      <c r="AO594" s="1">
        <f t="shared" si="450"/>
        <v>0</v>
      </c>
      <c r="AP594" s="1">
        <f t="shared" si="451"/>
        <v>-0.41176470588235292</v>
      </c>
      <c r="AQ594" s="1">
        <f t="shared" si="452"/>
        <v>0.1</v>
      </c>
      <c r="AR594" s="1">
        <f t="shared" si="453"/>
        <v>0.54545454545454541</v>
      </c>
      <c r="AS594" s="12">
        <f t="shared" si="454"/>
        <v>0.24450386215092099</v>
      </c>
      <c r="AT594" s="12">
        <f t="shared" si="455"/>
        <v>0.05</v>
      </c>
      <c r="AU594" s="1">
        <f t="shared" si="456"/>
        <v>-9</v>
      </c>
      <c r="AV594" s="1">
        <f t="shared" si="457"/>
        <v>11</v>
      </c>
      <c r="AW594" s="1">
        <f t="shared" si="458"/>
        <v>0</v>
      </c>
      <c r="AX594" s="1">
        <f t="shared" si="459"/>
        <v>-7</v>
      </c>
      <c r="AY594" s="1">
        <f t="shared" si="460"/>
        <v>1</v>
      </c>
      <c r="AZ594" s="1">
        <f t="shared" si="461"/>
        <v>6</v>
      </c>
      <c r="BA594" s="19">
        <f t="shared" si="462"/>
        <v>0.33333333333333331</v>
      </c>
      <c r="BB594" s="19">
        <f t="shared" si="463"/>
        <v>0.5</v>
      </c>
      <c r="BC594" s="9">
        <f t="shared" si="464"/>
        <v>-0.43478260869565216</v>
      </c>
      <c r="BD594" s="9">
        <f t="shared" si="465"/>
        <v>0.84615384615384615</v>
      </c>
      <c r="BE594" s="9">
        <f t="shared" si="466"/>
        <v>-8.3333333333333329E-2</v>
      </c>
      <c r="BF594" s="9">
        <f t="shared" si="467"/>
        <v>-0.5</v>
      </c>
      <c r="BG594" s="9">
        <f t="shared" si="468"/>
        <v>0.81818181818181823</v>
      </c>
      <c r="BH594" s="9">
        <f t="shared" si="469"/>
        <v>-0.8</v>
      </c>
      <c r="BI594" s="12">
        <f t="shared" si="470"/>
        <v>-2.5630046282220192E-2</v>
      </c>
      <c r="BJ594" s="13">
        <f t="shared" si="471"/>
        <v>-0.25905797101449274</v>
      </c>
      <c r="BK594" s="1">
        <f t="shared" si="472"/>
        <v>-10</v>
      </c>
      <c r="BL594" s="1">
        <f t="shared" si="473"/>
        <v>11</v>
      </c>
      <c r="BM594" s="1">
        <f t="shared" si="474"/>
        <v>-2</v>
      </c>
      <c r="BN594" s="1">
        <f t="shared" si="475"/>
        <v>-11</v>
      </c>
      <c r="BO594" s="1">
        <f t="shared" si="476"/>
        <v>9</v>
      </c>
      <c r="BP594" s="1">
        <f t="shared" si="477"/>
        <v>-16</v>
      </c>
      <c r="BQ594" s="19">
        <f t="shared" si="478"/>
        <v>-3.1666666666666665</v>
      </c>
      <c r="BR594" s="17">
        <f t="shared" si="479"/>
        <v>-6</v>
      </c>
    </row>
    <row r="595" spans="1:70" x14ac:dyDescent="0.25">
      <c r="A595" t="s">
        <v>176</v>
      </c>
      <c r="B595">
        <v>59</v>
      </c>
      <c r="C595">
        <v>50</v>
      </c>
      <c r="D595">
        <v>53</v>
      </c>
      <c r="E595">
        <v>56</v>
      </c>
      <c r="F595">
        <v>61</v>
      </c>
      <c r="G595">
        <v>54</v>
      </c>
      <c r="H595">
        <v>40</v>
      </c>
      <c r="I595">
        <v>39</v>
      </c>
      <c r="J595">
        <v>32</v>
      </c>
      <c r="K595">
        <v>36</v>
      </c>
      <c r="L595">
        <v>40</v>
      </c>
      <c r="M595">
        <v>45</v>
      </c>
      <c r="N595">
        <v>38</v>
      </c>
      <c r="O595">
        <v>21</v>
      </c>
      <c r="P595">
        <v>20</v>
      </c>
      <c r="Q595">
        <v>18</v>
      </c>
      <c r="R595">
        <v>17</v>
      </c>
      <c r="S595">
        <v>16</v>
      </c>
      <c r="T595">
        <v>16</v>
      </c>
      <c r="U595">
        <v>16</v>
      </c>
      <c r="V595">
        <v>19</v>
      </c>
      <c r="W595" s="8">
        <f t="shared" si="432"/>
        <v>-0.15254237288135594</v>
      </c>
      <c r="X595" s="8">
        <f t="shared" si="433"/>
        <v>0.06</v>
      </c>
      <c r="Y595" s="8">
        <f t="shared" si="434"/>
        <v>5.6603773584905662E-2</v>
      </c>
      <c r="Z595" s="8">
        <f t="shared" si="435"/>
        <v>8.9285714285714288E-2</v>
      </c>
      <c r="AA595" s="8">
        <f t="shared" si="436"/>
        <v>-0.11475409836065574</v>
      </c>
      <c r="AB595" s="8">
        <f t="shared" si="437"/>
        <v>-0.25925925925925924</v>
      </c>
      <c r="AC595" s="12">
        <f t="shared" si="438"/>
        <v>-5.3444373771775161E-2</v>
      </c>
      <c r="AD595" s="12">
        <f t="shared" si="439"/>
        <v>-2.9075162387875039E-2</v>
      </c>
      <c r="AE595" s="1">
        <f t="shared" si="440"/>
        <v>-9</v>
      </c>
      <c r="AF595" s="1">
        <f t="shared" si="441"/>
        <v>3</v>
      </c>
      <c r="AG595" s="1">
        <f t="shared" si="442"/>
        <v>3</v>
      </c>
      <c r="AH595" s="1">
        <f t="shared" si="443"/>
        <v>5</v>
      </c>
      <c r="AI595" s="1">
        <f t="shared" si="444"/>
        <v>-7</v>
      </c>
      <c r="AJ595" s="1">
        <f t="shared" si="445"/>
        <v>-14</v>
      </c>
      <c r="AK595" s="17">
        <f t="shared" si="446"/>
        <v>-3.1666666666666665</v>
      </c>
      <c r="AL595" s="17">
        <f t="shared" si="447"/>
        <v>-2</v>
      </c>
      <c r="AM595" s="1">
        <f t="shared" si="448"/>
        <v>-0.17948717948717949</v>
      </c>
      <c r="AN595" s="1">
        <f t="shared" si="449"/>
        <v>0.125</v>
      </c>
      <c r="AO595" s="1">
        <f t="shared" si="450"/>
        <v>0.1111111111111111</v>
      </c>
      <c r="AP595" s="1">
        <f t="shared" si="451"/>
        <v>0.125</v>
      </c>
      <c r="AQ595" s="1">
        <f t="shared" si="452"/>
        <v>-0.15555555555555556</v>
      </c>
      <c r="AR595" s="1">
        <f t="shared" si="453"/>
        <v>-0.44736842105263158</v>
      </c>
      <c r="AS595" s="12">
        <f t="shared" si="454"/>
        <v>-7.0216674164042592E-2</v>
      </c>
      <c r="AT595" s="12">
        <f t="shared" si="455"/>
        <v>-2.2222222222222227E-2</v>
      </c>
      <c r="AU595" s="1">
        <f t="shared" si="456"/>
        <v>-7</v>
      </c>
      <c r="AV595" s="1">
        <f t="shared" si="457"/>
        <v>4</v>
      </c>
      <c r="AW595" s="1">
        <f t="shared" si="458"/>
        <v>4</v>
      </c>
      <c r="AX595" s="1">
        <f t="shared" si="459"/>
        <v>5</v>
      </c>
      <c r="AY595" s="1">
        <f t="shared" si="460"/>
        <v>-7</v>
      </c>
      <c r="AZ595" s="1">
        <f t="shared" si="461"/>
        <v>-17</v>
      </c>
      <c r="BA595" s="19">
        <f t="shared" si="462"/>
        <v>-3</v>
      </c>
      <c r="BB595" s="19">
        <f t="shared" si="463"/>
        <v>-1.5</v>
      </c>
      <c r="BC595" s="9">
        <f t="shared" si="464"/>
        <v>-0.1</v>
      </c>
      <c r="BD595" s="9">
        <f t="shared" si="465"/>
        <v>-5.5555555555555552E-2</v>
      </c>
      <c r="BE595" s="9">
        <f t="shared" si="466"/>
        <v>-5.8823529411764705E-2</v>
      </c>
      <c r="BF595" s="9">
        <f t="shared" si="467"/>
        <v>0</v>
      </c>
      <c r="BG595" s="9">
        <f t="shared" si="468"/>
        <v>0</v>
      </c>
      <c r="BH595" s="9">
        <f t="shared" si="469"/>
        <v>0.1875</v>
      </c>
      <c r="BI595" s="12">
        <f t="shared" si="470"/>
        <v>-4.4798474945533795E-3</v>
      </c>
      <c r="BJ595" s="13">
        <f t="shared" si="471"/>
        <v>-2.7777777777777776E-2</v>
      </c>
      <c r="BK595" s="1">
        <f t="shared" si="472"/>
        <v>-2</v>
      </c>
      <c r="BL595" s="1">
        <f t="shared" si="473"/>
        <v>-1</v>
      </c>
      <c r="BM595" s="1">
        <f t="shared" si="474"/>
        <v>-1</v>
      </c>
      <c r="BN595" s="1">
        <f t="shared" si="475"/>
        <v>0</v>
      </c>
      <c r="BO595" s="1">
        <f t="shared" si="476"/>
        <v>0</v>
      </c>
      <c r="BP595" s="1">
        <f t="shared" si="477"/>
        <v>3</v>
      </c>
      <c r="BQ595" s="19">
        <f t="shared" si="478"/>
        <v>-0.16666666666666666</v>
      </c>
      <c r="BR595" s="17">
        <f t="shared" si="479"/>
        <v>-0.5</v>
      </c>
    </row>
    <row r="596" spans="1:70" x14ac:dyDescent="0.25">
      <c r="A596" t="s">
        <v>75</v>
      </c>
      <c r="B596">
        <v>818</v>
      </c>
      <c r="C596">
        <v>771</v>
      </c>
      <c r="D596">
        <v>906</v>
      </c>
      <c r="E596">
        <v>746</v>
      </c>
      <c r="F596">
        <v>662</v>
      </c>
      <c r="G596">
        <v>776</v>
      </c>
      <c r="H596">
        <v>798</v>
      </c>
      <c r="I596">
        <v>434</v>
      </c>
      <c r="J596">
        <v>439</v>
      </c>
      <c r="K596">
        <v>518</v>
      </c>
      <c r="L596">
        <v>406</v>
      </c>
      <c r="M596">
        <v>358</v>
      </c>
      <c r="N596">
        <v>394</v>
      </c>
      <c r="O596">
        <v>419</v>
      </c>
      <c r="P596">
        <v>384</v>
      </c>
      <c r="Q596">
        <v>332</v>
      </c>
      <c r="R596">
        <v>388</v>
      </c>
      <c r="S596">
        <v>340</v>
      </c>
      <c r="T596">
        <v>304</v>
      </c>
      <c r="U596">
        <v>382</v>
      </c>
      <c r="V596">
        <v>379</v>
      </c>
      <c r="W596" s="8">
        <f t="shared" si="432"/>
        <v>-5.7457212713936431E-2</v>
      </c>
      <c r="X596" s="8">
        <f t="shared" si="433"/>
        <v>0.17509727626459143</v>
      </c>
      <c r="Y596" s="8">
        <f t="shared" si="434"/>
        <v>-0.17660044150110377</v>
      </c>
      <c r="Z596" s="8">
        <f t="shared" si="435"/>
        <v>-0.1126005361930295</v>
      </c>
      <c r="AA596" s="8">
        <f t="shared" si="436"/>
        <v>0.17220543806646527</v>
      </c>
      <c r="AB596" s="8">
        <f t="shared" si="437"/>
        <v>2.8350515463917526E-2</v>
      </c>
      <c r="AC596" s="12">
        <f t="shared" si="438"/>
        <v>4.8325065644840874E-3</v>
      </c>
      <c r="AD596" s="12">
        <f t="shared" si="439"/>
        <v>-1.4553348625009455E-2</v>
      </c>
      <c r="AE596" s="1">
        <f t="shared" si="440"/>
        <v>-47</v>
      </c>
      <c r="AF596" s="1">
        <f t="shared" si="441"/>
        <v>135</v>
      </c>
      <c r="AG596" s="1">
        <f t="shared" si="442"/>
        <v>-160</v>
      </c>
      <c r="AH596" s="1">
        <f t="shared" si="443"/>
        <v>-84</v>
      </c>
      <c r="AI596" s="1">
        <f t="shared" si="444"/>
        <v>114</v>
      </c>
      <c r="AJ596" s="1">
        <f t="shared" si="445"/>
        <v>22</v>
      </c>
      <c r="AK596" s="17">
        <f t="shared" si="446"/>
        <v>-3.3333333333333335</v>
      </c>
      <c r="AL596" s="17">
        <f t="shared" si="447"/>
        <v>-12.5</v>
      </c>
      <c r="AM596" s="1">
        <f t="shared" si="448"/>
        <v>1.1520737327188941E-2</v>
      </c>
      <c r="AN596" s="1">
        <f t="shared" si="449"/>
        <v>0.17995444191343962</v>
      </c>
      <c r="AO596" s="1">
        <f t="shared" si="450"/>
        <v>-0.21621621621621623</v>
      </c>
      <c r="AP596" s="1">
        <f t="shared" si="451"/>
        <v>-0.11822660098522167</v>
      </c>
      <c r="AQ596" s="1">
        <f t="shared" si="452"/>
        <v>0.1005586592178771</v>
      </c>
      <c r="AR596" s="1">
        <f t="shared" si="453"/>
        <v>6.3451776649746189E-2</v>
      </c>
      <c r="AS596" s="12">
        <f t="shared" si="454"/>
        <v>3.5071329844689933E-3</v>
      </c>
      <c r="AT596" s="12">
        <f t="shared" si="455"/>
        <v>3.7486256988467567E-2</v>
      </c>
      <c r="AU596" s="1">
        <f t="shared" si="456"/>
        <v>5</v>
      </c>
      <c r="AV596" s="1">
        <f t="shared" si="457"/>
        <v>79</v>
      </c>
      <c r="AW596" s="1">
        <f t="shared" si="458"/>
        <v>-112</v>
      </c>
      <c r="AX596" s="1">
        <f t="shared" si="459"/>
        <v>-48</v>
      </c>
      <c r="AY596" s="1">
        <f t="shared" si="460"/>
        <v>36</v>
      </c>
      <c r="AZ596" s="1">
        <f t="shared" si="461"/>
        <v>25</v>
      </c>
      <c r="BA596" s="19">
        <f t="shared" si="462"/>
        <v>-2.5</v>
      </c>
      <c r="BB596" s="19">
        <f t="shared" si="463"/>
        <v>15</v>
      </c>
      <c r="BC596" s="9">
        <f t="shared" si="464"/>
        <v>-0.13541666666666666</v>
      </c>
      <c r="BD596" s="9">
        <f t="shared" si="465"/>
        <v>0.16867469879518071</v>
      </c>
      <c r="BE596" s="9">
        <f t="shared" si="466"/>
        <v>-0.12371134020618557</v>
      </c>
      <c r="BF596" s="9">
        <f t="shared" si="467"/>
        <v>-0.10588235294117647</v>
      </c>
      <c r="BG596" s="9">
        <f t="shared" si="468"/>
        <v>0.25657894736842107</v>
      </c>
      <c r="BH596" s="9">
        <f t="shared" si="469"/>
        <v>-7.8534031413612562E-3</v>
      </c>
      <c r="BI596" s="12">
        <f t="shared" si="470"/>
        <v>8.7316472013686409E-3</v>
      </c>
      <c r="BJ596" s="13">
        <f t="shared" si="471"/>
        <v>-5.686787804126886E-2</v>
      </c>
      <c r="BK596" s="1">
        <f t="shared" si="472"/>
        <v>-52</v>
      </c>
      <c r="BL596" s="1">
        <f t="shared" si="473"/>
        <v>56</v>
      </c>
      <c r="BM596" s="1">
        <f t="shared" si="474"/>
        <v>-48</v>
      </c>
      <c r="BN596" s="1">
        <f t="shared" si="475"/>
        <v>-36</v>
      </c>
      <c r="BO596" s="1">
        <f t="shared" si="476"/>
        <v>78</v>
      </c>
      <c r="BP596" s="1">
        <f t="shared" si="477"/>
        <v>-3</v>
      </c>
      <c r="BQ596" s="19">
        <f t="shared" si="478"/>
        <v>-0.83333333333333337</v>
      </c>
      <c r="BR596" s="17">
        <f t="shared" si="479"/>
        <v>-19.5</v>
      </c>
    </row>
    <row r="597" spans="1:70" x14ac:dyDescent="0.25">
      <c r="A597" t="s">
        <v>177</v>
      </c>
      <c r="B597">
        <v>58</v>
      </c>
      <c r="C597">
        <v>36</v>
      </c>
      <c r="D597">
        <v>50</v>
      </c>
      <c r="E597">
        <v>73</v>
      </c>
      <c r="F597">
        <v>62</v>
      </c>
      <c r="G597">
        <v>63</v>
      </c>
      <c r="H597">
        <v>38</v>
      </c>
      <c r="I597">
        <v>26</v>
      </c>
      <c r="J597">
        <v>16</v>
      </c>
      <c r="K597">
        <v>18</v>
      </c>
      <c r="L597">
        <v>33</v>
      </c>
      <c r="M597">
        <v>19</v>
      </c>
      <c r="N597">
        <v>27</v>
      </c>
      <c r="O597">
        <v>15</v>
      </c>
      <c r="P597">
        <v>32</v>
      </c>
      <c r="Q597">
        <v>20</v>
      </c>
      <c r="R597">
        <v>32</v>
      </c>
      <c r="S597">
        <v>40</v>
      </c>
      <c r="T597">
        <v>43</v>
      </c>
      <c r="U597">
        <v>36</v>
      </c>
      <c r="V597">
        <v>23</v>
      </c>
      <c r="W597" s="8">
        <f t="shared" si="432"/>
        <v>-0.37931034482758619</v>
      </c>
      <c r="X597" s="8">
        <f t="shared" si="433"/>
        <v>0.3888888888888889</v>
      </c>
      <c r="Y597" s="8">
        <f t="shared" si="434"/>
        <v>0.46</v>
      </c>
      <c r="Z597" s="8">
        <f t="shared" si="435"/>
        <v>-0.15068493150684931</v>
      </c>
      <c r="AA597" s="8">
        <f t="shared" si="436"/>
        <v>1.6129032258064516E-2</v>
      </c>
      <c r="AB597" s="8">
        <f t="shared" si="437"/>
        <v>-0.3968253968253968</v>
      </c>
      <c r="AC597" s="12">
        <f t="shared" si="438"/>
        <v>-1.0300458668813147E-2</v>
      </c>
      <c r="AD597" s="12">
        <f t="shared" si="439"/>
        <v>-6.7277949624392402E-2</v>
      </c>
      <c r="AE597" s="1">
        <f t="shared" si="440"/>
        <v>-22</v>
      </c>
      <c r="AF597" s="1">
        <f t="shared" si="441"/>
        <v>14</v>
      </c>
      <c r="AG597" s="1">
        <f t="shared" si="442"/>
        <v>23</v>
      </c>
      <c r="AH597" s="1">
        <f t="shared" si="443"/>
        <v>-11</v>
      </c>
      <c r="AI597" s="1">
        <f t="shared" si="444"/>
        <v>1</v>
      </c>
      <c r="AJ597" s="1">
        <f t="shared" si="445"/>
        <v>-25</v>
      </c>
      <c r="AK597" s="17">
        <f t="shared" si="446"/>
        <v>-3.3333333333333335</v>
      </c>
      <c r="AL597" s="17">
        <f t="shared" si="447"/>
        <v>-5</v>
      </c>
      <c r="AM597" s="1">
        <f t="shared" si="448"/>
        <v>-0.38461538461538464</v>
      </c>
      <c r="AN597" s="1">
        <f t="shared" si="449"/>
        <v>0.125</v>
      </c>
      <c r="AO597" s="1">
        <f t="shared" si="450"/>
        <v>0.83333333333333337</v>
      </c>
      <c r="AP597" s="1">
        <f t="shared" si="451"/>
        <v>-0.42424242424242425</v>
      </c>
      <c r="AQ597" s="1">
        <f t="shared" si="452"/>
        <v>0.42105263157894735</v>
      </c>
      <c r="AR597" s="1">
        <f t="shared" si="453"/>
        <v>-0.44444444444444442</v>
      </c>
      <c r="AS597" s="12">
        <f t="shared" si="454"/>
        <v>2.1013951935004549E-2</v>
      </c>
      <c r="AT597" s="12">
        <f t="shared" si="455"/>
        <v>-0.12980769230769235</v>
      </c>
      <c r="AU597" s="1">
        <f t="shared" si="456"/>
        <v>-10</v>
      </c>
      <c r="AV597" s="1">
        <f t="shared" si="457"/>
        <v>2</v>
      </c>
      <c r="AW597" s="1">
        <f t="shared" si="458"/>
        <v>15</v>
      </c>
      <c r="AX597" s="1">
        <f t="shared" si="459"/>
        <v>-14</v>
      </c>
      <c r="AY597" s="1">
        <f t="shared" si="460"/>
        <v>8</v>
      </c>
      <c r="AZ597" s="1">
        <f t="shared" si="461"/>
        <v>-12</v>
      </c>
      <c r="BA597" s="19">
        <f t="shared" si="462"/>
        <v>-1.8333333333333333</v>
      </c>
      <c r="BB597" s="19">
        <f t="shared" si="463"/>
        <v>-4</v>
      </c>
      <c r="BC597" s="9">
        <f t="shared" si="464"/>
        <v>-0.375</v>
      </c>
      <c r="BD597" s="9">
        <f t="shared" si="465"/>
        <v>0.6</v>
      </c>
      <c r="BE597" s="9">
        <f t="shared" si="466"/>
        <v>0.25</v>
      </c>
      <c r="BF597" s="9">
        <f t="shared" si="467"/>
        <v>7.4999999999999997E-2</v>
      </c>
      <c r="BG597" s="9">
        <f t="shared" si="468"/>
        <v>-0.16279069767441862</v>
      </c>
      <c r="BH597" s="9">
        <f t="shared" si="469"/>
        <v>-0.3611111111111111</v>
      </c>
      <c r="BI597" s="12">
        <f t="shared" si="470"/>
        <v>4.3496985357450351E-3</v>
      </c>
      <c r="BJ597" s="13">
        <f t="shared" si="471"/>
        <v>-4.3895348837209303E-2</v>
      </c>
      <c r="BK597" s="1">
        <f t="shared" si="472"/>
        <v>-12</v>
      </c>
      <c r="BL597" s="1">
        <f t="shared" si="473"/>
        <v>12</v>
      </c>
      <c r="BM597" s="1">
        <f t="shared" si="474"/>
        <v>8</v>
      </c>
      <c r="BN597" s="1">
        <f t="shared" si="475"/>
        <v>3</v>
      </c>
      <c r="BO597" s="1">
        <f t="shared" si="476"/>
        <v>-7</v>
      </c>
      <c r="BP597" s="1">
        <f t="shared" si="477"/>
        <v>-13</v>
      </c>
      <c r="BQ597" s="19">
        <f t="shared" si="478"/>
        <v>-1.5</v>
      </c>
      <c r="BR597" s="17">
        <f t="shared" si="479"/>
        <v>-2</v>
      </c>
    </row>
    <row r="598" spans="1:70" x14ac:dyDescent="0.25">
      <c r="A598" t="s">
        <v>215</v>
      </c>
      <c r="B598">
        <v>28</v>
      </c>
      <c r="C598">
        <v>29</v>
      </c>
      <c r="D598">
        <v>31</v>
      </c>
      <c r="E598">
        <v>7</v>
      </c>
      <c r="F598">
        <v>7</v>
      </c>
      <c r="G598">
        <v>8</v>
      </c>
      <c r="H598">
        <v>7</v>
      </c>
      <c r="I598">
        <v>16</v>
      </c>
      <c r="J598">
        <v>18</v>
      </c>
      <c r="K598">
        <v>11</v>
      </c>
      <c r="L598">
        <v>3</v>
      </c>
      <c r="M598">
        <v>4</v>
      </c>
      <c r="N598">
        <v>4</v>
      </c>
      <c r="O598">
        <v>4</v>
      </c>
      <c r="P598">
        <v>12</v>
      </c>
      <c r="Q598">
        <v>11</v>
      </c>
      <c r="R598">
        <v>20</v>
      </c>
      <c r="S598">
        <v>4</v>
      </c>
      <c r="T598">
        <v>3</v>
      </c>
      <c r="U598">
        <v>4</v>
      </c>
      <c r="V598">
        <v>3</v>
      </c>
      <c r="W598" s="8">
        <f t="shared" si="432"/>
        <v>3.5714285714285712E-2</v>
      </c>
      <c r="X598" s="8">
        <f t="shared" si="433"/>
        <v>6.8965517241379309E-2</v>
      </c>
      <c r="Y598" s="8">
        <f t="shared" si="434"/>
        <v>-0.77419354838709675</v>
      </c>
      <c r="Z598" s="8">
        <f t="shared" si="435"/>
        <v>0</v>
      </c>
      <c r="AA598" s="8">
        <f t="shared" si="436"/>
        <v>0.14285714285714285</v>
      </c>
      <c r="AB598" s="8">
        <f t="shared" si="437"/>
        <v>-0.125</v>
      </c>
      <c r="AC598" s="12">
        <f t="shared" si="438"/>
        <v>-0.10860943376238148</v>
      </c>
      <c r="AD598" s="12">
        <f t="shared" si="439"/>
        <v>1.7857142857142856E-2</v>
      </c>
      <c r="AE598" s="1">
        <f t="shared" si="440"/>
        <v>1</v>
      </c>
      <c r="AF598" s="1">
        <f t="shared" si="441"/>
        <v>2</v>
      </c>
      <c r="AG598" s="1">
        <f t="shared" si="442"/>
        <v>-24</v>
      </c>
      <c r="AH598" s="1">
        <f t="shared" si="443"/>
        <v>0</v>
      </c>
      <c r="AI598" s="1">
        <f t="shared" si="444"/>
        <v>1</v>
      </c>
      <c r="AJ598" s="1">
        <f t="shared" si="445"/>
        <v>-1</v>
      </c>
      <c r="AK598" s="17">
        <f t="shared" si="446"/>
        <v>-3.5</v>
      </c>
      <c r="AL598" s="17">
        <f t="shared" si="447"/>
        <v>0.5</v>
      </c>
      <c r="AM598" s="1">
        <f t="shared" si="448"/>
        <v>0.125</v>
      </c>
      <c r="AN598" s="1">
        <f t="shared" si="449"/>
        <v>-0.3888888888888889</v>
      </c>
      <c r="AO598" s="1">
        <f t="shared" si="450"/>
        <v>-0.72727272727272729</v>
      </c>
      <c r="AP598" s="1">
        <f t="shared" si="451"/>
        <v>0.33333333333333331</v>
      </c>
      <c r="AQ598" s="1">
        <f t="shared" si="452"/>
        <v>0</v>
      </c>
      <c r="AR598" s="1">
        <f t="shared" si="453"/>
        <v>0</v>
      </c>
      <c r="AS598" s="12">
        <f t="shared" si="454"/>
        <v>-0.10963804713804715</v>
      </c>
      <c r="AT598" s="12">
        <f t="shared" si="455"/>
        <v>0</v>
      </c>
      <c r="AU598" s="1">
        <f t="shared" si="456"/>
        <v>2</v>
      </c>
      <c r="AV598" s="1">
        <f t="shared" si="457"/>
        <v>-7</v>
      </c>
      <c r="AW598" s="1">
        <f t="shared" si="458"/>
        <v>-8</v>
      </c>
      <c r="AX598" s="1">
        <f t="shared" si="459"/>
        <v>1</v>
      </c>
      <c r="AY598" s="1">
        <f t="shared" si="460"/>
        <v>0</v>
      </c>
      <c r="AZ598" s="1">
        <f t="shared" si="461"/>
        <v>0</v>
      </c>
      <c r="BA598" s="19">
        <f t="shared" si="462"/>
        <v>-2</v>
      </c>
      <c r="BB598" s="19">
        <f t="shared" si="463"/>
        <v>0</v>
      </c>
      <c r="BC598" s="9">
        <f t="shared" si="464"/>
        <v>-8.3333333333333329E-2</v>
      </c>
      <c r="BD598" s="9">
        <f t="shared" si="465"/>
        <v>0.81818181818181823</v>
      </c>
      <c r="BE598" s="9">
        <f t="shared" si="466"/>
        <v>-0.8</v>
      </c>
      <c r="BF598" s="9">
        <f t="shared" si="467"/>
        <v>-0.25</v>
      </c>
      <c r="BG598" s="9">
        <f t="shared" si="468"/>
        <v>0.33333333333333331</v>
      </c>
      <c r="BH598" s="9">
        <f t="shared" si="469"/>
        <v>-0.25</v>
      </c>
      <c r="BI598" s="12">
        <f t="shared" si="470"/>
        <v>-3.8636363636363642E-2</v>
      </c>
      <c r="BJ598" s="13">
        <f t="shared" si="471"/>
        <v>-0.16666666666666666</v>
      </c>
      <c r="BK598" s="1">
        <f t="shared" si="472"/>
        <v>-1</v>
      </c>
      <c r="BL598" s="1">
        <f t="shared" si="473"/>
        <v>9</v>
      </c>
      <c r="BM598" s="1">
        <f t="shared" si="474"/>
        <v>-16</v>
      </c>
      <c r="BN598" s="1">
        <f t="shared" si="475"/>
        <v>-1</v>
      </c>
      <c r="BO598" s="1">
        <f t="shared" si="476"/>
        <v>1</v>
      </c>
      <c r="BP598" s="1">
        <f t="shared" si="477"/>
        <v>-1</v>
      </c>
      <c r="BQ598" s="19">
        <f t="shared" si="478"/>
        <v>-1.5</v>
      </c>
      <c r="BR598" s="17">
        <f t="shared" si="479"/>
        <v>-1</v>
      </c>
    </row>
    <row r="599" spans="1:70" x14ac:dyDescent="0.25">
      <c r="A599" t="s">
        <v>145</v>
      </c>
      <c r="B599">
        <v>90</v>
      </c>
      <c r="C599">
        <v>90</v>
      </c>
      <c r="D599">
        <v>87</v>
      </c>
      <c r="E599">
        <v>58</v>
      </c>
      <c r="F599">
        <v>66</v>
      </c>
      <c r="G599">
        <v>84</v>
      </c>
      <c r="H599">
        <v>68</v>
      </c>
      <c r="I599">
        <v>37</v>
      </c>
      <c r="J599">
        <v>35</v>
      </c>
      <c r="K599">
        <v>36</v>
      </c>
      <c r="L599">
        <v>30</v>
      </c>
      <c r="M599">
        <v>41</v>
      </c>
      <c r="N599">
        <v>34</v>
      </c>
      <c r="O599">
        <v>23</v>
      </c>
      <c r="P599">
        <v>53</v>
      </c>
      <c r="Q599">
        <v>55</v>
      </c>
      <c r="R599">
        <v>51</v>
      </c>
      <c r="S599">
        <v>28</v>
      </c>
      <c r="T599">
        <v>25</v>
      </c>
      <c r="U599">
        <v>50</v>
      </c>
      <c r="V599">
        <v>45</v>
      </c>
      <c r="W599" s="8">
        <f t="shared" si="432"/>
        <v>0</v>
      </c>
      <c r="X599" s="8">
        <f t="shared" si="433"/>
        <v>-3.3333333333333333E-2</v>
      </c>
      <c r="Y599" s="8">
        <f t="shared" si="434"/>
        <v>-0.33333333333333331</v>
      </c>
      <c r="Z599" s="8">
        <f t="shared" si="435"/>
        <v>0.13793103448275862</v>
      </c>
      <c r="AA599" s="8">
        <f t="shared" si="436"/>
        <v>0.27272727272727271</v>
      </c>
      <c r="AB599" s="8">
        <f t="shared" si="437"/>
        <v>-0.19047619047619047</v>
      </c>
      <c r="AC599" s="12">
        <f t="shared" si="438"/>
        <v>-2.4414091655470965E-2</v>
      </c>
      <c r="AD599" s="12">
        <f t="shared" si="439"/>
        <v>-1.6666666666666666E-2</v>
      </c>
      <c r="AE599" s="1">
        <f t="shared" si="440"/>
        <v>0</v>
      </c>
      <c r="AF599" s="1">
        <f t="shared" si="441"/>
        <v>-3</v>
      </c>
      <c r="AG599" s="1">
        <f t="shared" si="442"/>
        <v>-29</v>
      </c>
      <c r="AH599" s="1">
        <f t="shared" si="443"/>
        <v>8</v>
      </c>
      <c r="AI599" s="1">
        <f t="shared" si="444"/>
        <v>18</v>
      </c>
      <c r="AJ599" s="1">
        <f t="shared" si="445"/>
        <v>-16</v>
      </c>
      <c r="AK599" s="17">
        <f t="shared" si="446"/>
        <v>-3.6666666666666665</v>
      </c>
      <c r="AL599" s="17">
        <f t="shared" si="447"/>
        <v>-1.5</v>
      </c>
      <c r="AM599" s="1">
        <f t="shared" si="448"/>
        <v>-5.4054054054054057E-2</v>
      </c>
      <c r="AN599" s="1">
        <f t="shared" si="449"/>
        <v>2.8571428571428571E-2</v>
      </c>
      <c r="AO599" s="1">
        <f t="shared" si="450"/>
        <v>-0.16666666666666666</v>
      </c>
      <c r="AP599" s="1">
        <f t="shared" si="451"/>
        <v>0.36666666666666664</v>
      </c>
      <c r="AQ599" s="1">
        <f t="shared" si="452"/>
        <v>-0.17073170731707318</v>
      </c>
      <c r="AR599" s="1">
        <f t="shared" si="453"/>
        <v>-0.3235294117647059</v>
      </c>
      <c r="AS599" s="12">
        <f t="shared" si="454"/>
        <v>-5.3290624094067429E-2</v>
      </c>
      <c r="AT599" s="12">
        <f t="shared" si="455"/>
        <v>-0.11036036036036036</v>
      </c>
      <c r="AU599" s="1">
        <f t="shared" si="456"/>
        <v>-2</v>
      </c>
      <c r="AV599" s="1">
        <f t="shared" si="457"/>
        <v>1</v>
      </c>
      <c r="AW599" s="1">
        <f t="shared" si="458"/>
        <v>-6</v>
      </c>
      <c r="AX599" s="1">
        <f t="shared" si="459"/>
        <v>11</v>
      </c>
      <c r="AY599" s="1">
        <f t="shared" si="460"/>
        <v>-7</v>
      </c>
      <c r="AZ599" s="1">
        <f t="shared" si="461"/>
        <v>-11</v>
      </c>
      <c r="BA599" s="19">
        <f t="shared" si="462"/>
        <v>-2.3333333333333335</v>
      </c>
      <c r="BB599" s="19">
        <f t="shared" si="463"/>
        <v>-4</v>
      </c>
      <c r="BC599" s="9">
        <f t="shared" si="464"/>
        <v>3.7735849056603772E-2</v>
      </c>
      <c r="BD599" s="9">
        <f t="shared" si="465"/>
        <v>-7.2727272727272724E-2</v>
      </c>
      <c r="BE599" s="9">
        <f t="shared" si="466"/>
        <v>-0.45098039215686275</v>
      </c>
      <c r="BF599" s="9">
        <f t="shared" si="467"/>
        <v>-0.10714285714285714</v>
      </c>
      <c r="BG599" s="9">
        <f t="shared" si="468"/>
        <v>1</v>
      </c>
      <c r="BH599" s="9">
        <f t="shared" si="469"/>
        <v>-0.1</v>
      </c>
      <c r="BI599" s="12">
        <f t="shared" si="470"/>
        <v>5.114755450493521E-2</v>
      </c>
      <c r="BJ599" s="13">
        <f t="shared" si="471"/>
        <v>-8.6363636363636365E-2</v>
      </c>
      <c r="BK599" s="1">
        <f t="shared" si="472"/>
        <v>2</v>
      </c>
      <c r="BL599" s="1">
        <f t="shared" si="473"/>
        <v>-4</v>
      </c>
      <c r="BM599" s="1">
        <f t="shared" si="474"/>
        <v>-23</v>
      </c>
      <c r="BN599" s="1">
        <f t="shared" si="475"/>
        <v>-3</v>
      </c>
      <c r="BO599" s="1">
        <f t="shared" si="476"/>
        <v>25</v>
      </c>
      <c r="BP599" s="1">
        <f t="shared" si="477"/>
        <v>-5</v>
      </c>
      <c r="BQ599" s="19">
        <f t="shared" si="478"/>
        <v>-1.3333333333333333</v>
      </c>
      <c r="BR599" s="17">
        <f t="shared" si="479"/>
        <v>-3.5</v>
      </c>
    </row>
    <row r="600" spans="1:70" x14ac:dyDescent="0.25">
      <c r="A600" t="s">
        <v>185</v>
      </c>
      <c r="B600">
        <v>46</v>
      </c>
      <c r="C600">
        <v>32</v>
      </c>
      <c r="D600">
        <v>25</v>
      </c>
      <c r="E600">
        <v>19</v>
      </c>
      <c r="F600">
        <v>11</v>
      </c>
      <c r="G600">
        <v>12</v>
      </c>
      <c r="H600">
        <v>24</v>
      </c>
      <c r="I600">
        <v>23</v>
      </c>
      <c r="J600">
        <v>18</v>
      </c>
      <c r="K600">
        <v>12</v>
      </c>
      <c r="L600">
        <v>8</v>
      </c>
      <c r="M600">
        <v>8</v>
      </c>
      <c r="N600">
        <v>5</v>
      </c>
      <c r="O600">
        <v>12</v>
      </c>
      <c r="P600">
        <v>23</v>
      </c>
      <c r="Q600">
        <v>14</v>
      </c>
      <c r="R600">
        <v>13</v>
      </c>
      <c r="S600">
        <v>11</v>
      </c>
      <c r="T600">
        <v>3</v>
      </c>
      <c r="U600">
        <v>7</v>
      </c>
      <c r="V600">
        <v>12</v>
      </c>
      <c r="W600" s="8">
        <f t="shared" si="432"/>
        <v>-0.30434782608695654</v>
      </c>
      <c r="X600" s="8">
        <f t="shared" si="433"/>
        <v>-0.21875</v>
      </c>
      <c r="Y600" s="8">
        <f t="shared" si="434"/>
        <v>-0.24</v>
      </c>
      <c r="Z600" s="8">
        <f t="shared" si="435"/>
        <v>-0.42105263157894735</v>
      </c>
      <c r="AA600" s="8">
        <f t="shared" si="436"/>
        <v>9.0909090909090912E-2</v>
      </c>
      <c r="AB600" s="8">
        <f t="shared" si="437"/>
        <v>1</v>
      </c>
      <c r="AC600" s="12">
        <f t="shared" si="438"/>
        <v>-1.5540227792802175E-2</v>
      </c>
      <c r="AD600" s="12">
        <f t="shared" si="439"/>
        <v>-0.229375</v>
      </c>
      <c r="AE600" s="1">
        <f t="shared" si="440"/>
        <v>-14</v>
      </c>
      <c r="AF600" s="1">
        <f t="shared" si="441"/>
        <v>-7</v>
      </c>
      <c r="AG600" s="1">
        <f t="shared" si="442"/>
        <v>-6</v>
      </c>
      <c r="AH600" s="1">
        <f t="shared" si="443"/>
        <v>-8</v>
      </c>
      <c r="AI600" s="1">
        <f t="shared" si="444"/>
        <v>1</v>
      </c>
      <c r="AJ600" s="1">
        <f t="shared" si="445"/>
        <v>12</v>
      </c>
      <c r="AK600" s="17">
        <f t="shared" si="446"/>
        <v>-3.6666666666666665</v>
      </c>
      <c r="AL600" s="17">
        <f t="shared" si="447"/>
        <v>-6.5</v>
      </c>
      <c r="AM600" s="1">
        <f t="shared" si="448"/>
        <v>-0.21739130434782608</v>
      </c>
      <c r="AN600" s="1">
        <f t="shared" si="449"/>
        <v>-0.33333333333333331</v>
      </c>
      <c r="AO600" s="1">
        <f t="shared" si="450"/>
        <v>-0.33333333333333331</v>
      </c>
      <c r="AP600" s="1">
        <f t="shared" si="451"/>
        <v>0</v>
      </c>
      <c r="AQ600" s="1">
        <f t="shared" si="452"/>
        <v>-0.375</v>
      </c>
      <c r="AR600" s="1">
        <f t="shared" si="453"/>
        <v>1.4</v>
      </c>
      <c r="AS600" s="12">
        <f t="shared" si="454"/>
        <v>2.3490338164251206E-2</v>
      </c>
      <c r="AT600" s="12">
        <f t="shared" si="455"/>
        <v>-0.27536231884057971</v>
      </c>
      <c r="AU600" s="1">
        <f t="shared" si="456"/>
        <v>-5</v>
      </c>
      <c r="AV600" s="1">
        <f t="shared" si="457"/>
        <v>-6</v>
      </c>
      <c r="AW600" s="1">
        <f t="shared" si="458"/>
        <v>-4</v>
      </c>
      <c r="AX600" s="1">
        <f t="shared" si="459"/>
        <v>0</v>
      </c>
      <c r="AY600" s="1">
        <f t="shared" si="460"/>
        <v>-3</v>
      </c>
      <c r="AZ600" s="1">
        <f t="shared" si="461"/>
        <v>7</v>
      </c>
      <c r="BA600" s="19">
        <f t="shared" si="462"/>
        <v>-1.8333333333333333</v>
      </c>
      <c r="BB600" s="19">
        <f t="shared" si="463"/>
        <v>-3.5</v>
      </c>
      <c r="BC600" s="9">
        <f t="shared" si="464"/>
        <v>-0.39130434782608697</v>
      </c>
      <c r="BD600" s="9">
        <f t="shared" si="465"/>
        <v>-7.1428571428571425E-2</v>
      </c>
      <c r="BE600" s="9">
        <f t="shared" si="466"/>
        <v>-0.15384615384615385</v>
      </c>
      <c r="BF600" s="9">
        <f t="shared" si="467"/>
        <v>-0.72727272727272729</v>
      </c>
      <c r="BG600" s="9">
        <f t="shared" si="468"/>
        <v>1.3333333333333333</v>
      </c>
      <c r="BH600" s="9">
        <f t="shared" si="469"/>
        <v>0.7142857142857143</v>
      </c>
      <c r="BI600" s="12">
        <f t="shared" si="470"/>
        <v>0.11729454120758466</v>
      </c>
      <c r="BJ600" s="13">
        <f t="shared" si="471"/>
        <v>-0.11263736263736264</v>
      </c>
      <c r="BK600" s="1">
        <f t="shared" si="472"/>
        <v>-9</v>
      </c>
      <c r="BL600" s="1">
        <f t="shared" si="473"/>
        <v>-1</v>
      </c>
      <c r="BM600" s="1">
        <f t="shared" si="474"/>
        <v>-2</v>
      </c>
      <c r="BN600" s="1">
        <f t="shared" si="475"/>
        <v>-8</v>
      </c>
      <c r="BO600" s="1">
        <f t="shared" si="476"/>
        <v>4</v>
      </c>
      <c r="BP600" s="1">
        <f t="shared" si="477"/>
        <v>5</v>
      </c>
      <c r="BQ600" s="19">
        <f t="shared" si="478"/>
        <v>-1.8333333333333333</v>
      </c>
      <c r="BR600" s="17">
        <f t="shared" si="479"/>
        <v>-1.5</v>
      </c>
    </row>
    <row r="601" spans="1:70" x14ac:dyDescent="0.25">
      <c r="A601" t="s">
        <v>135</v>
      </c>
      <c r="B601">
        <v>110</v>
      </c>
      <c r="C601">
        <v>128</v>
      </c>
      <c r="D601">
        <v>118</v>
      </c>
      <c r="E601">
        <v>86</v>
      </c>
      <c r="F601">
        <v>97</v>
      </c>
      <c r="G601">
        <v>82</v>
      </c>
      <c r="H601">
        <v>83</v>
      </c>
      <c r="I601">
        <v>28</v>
      </c>
      <c r="J601">
        <v>28</v>
      </c>
      <c r="K601">
        <v>39</v>
      </c>
      <c r="L601">
        <v>24</v>
      </c>
      <c r="M601">
        <v>32</v>
      </c>
      <c r="N601">
        <v>25</v>
      </c>
      <c r="O601">
        <v>23</v>
      </c>
      <c r="P601">
        <v>82</v>
      </c>
      <c r="Q601">
        <v>100</v>
      </c>
      <c r="R601">
        <v>79</v>
      </c>
      <c r="S601">
        <v>62</v>
      </c>
      <c r="T601">
        <v>65</v>
      </c>
      <c r="U601">
        <v>57</v>
      </c>
      <c r="V601">
        <v>60</v>
      </c>
      <c r="W601" s="8">
        <f t="shared" si="432"/>
        <v>0.16363636363636364</v>
      </c>
      <c r="X601" s="8">
        <f t="shared" si="433"/>
        <v>-7.8125E-2</v>
      </c>
      <c r="Y601" s="8">
        <f t="shared" si="434"/>
        <v>-0.2711864406779661</v>
      </c>
      <c r="Z601" s="8">
        <f t="shared" si="435"/>
        <v>0.12790697674418605</v>
      </c>
      <c r="AA601" s="8">
        <f t="shared" si="436"/>
        <v>-0.15463917525773196</v>
      </c>
      <c r="AB601" s="8">
        <f t="shared" si="437"/>
        <v>1.2195121951219513E-2</v>
      </c>
      <c r="AC601" s="12">
        <f t="shared" si="438"/>
        <v>-3.3368692267321476E-2</v>
      </c>
      <c r="AD601" s="12">
        <f t="shared" si="439"/>
        <v>-3.2964939024390245E-2</v>
      </c>
      <c r="AE601" s="1">
        <f t="shared" si="440"/>
        <v>18</v>
      </c>
      <c r="AF601" s="1">
        <f t="shared" si="441"/>
        <v>-10</v>
      </c>
      <c r="AG601" s="1">
        <f t="shared" si="442"/>
        <v>-32</v>
      </c>
      <c r="AH601" s="1">
        <f t="shared" si="443"/>
        <v>11</v>
      </c>
      <c r="AI601" s="1">
        <f t="shared" si="444"/>
        <v>-15</v>
      </c>
      <c r="AJ601" s="1">
        <f t="shared" si="445"/>
        <v>1</v>
      </c>
      <c r="AK601" s="17">
        <f t="shared" si="446"/>
        <v>-4.5</v>
      </c>
      <c r="AL601" s="17">
        <f t="shared" si="447"/>
        <v>-4.5</v>
      </c>
      <c r="AM601" s="1">
        <f t="shared" si="448"/>
        <v>0</v>
      </c>
      <c r="AN601" s="1">
        <f t="shared" si="449"/>
        <v>0.39285714285714285</v>
      </c>
      <c r="AO601" s="1">
        <f t="shared" si="450"/>
        <v>-0.38461538461538464</v>
      </c>
      <c r="AP601" s="1">
        <f t="shared" si="451"/>
        <v>0.33333333333333331</v>
      </c>
      <c r="AQ601" s="1">
        <f t="shared" si="452"/>
        <v>-0.21875</v>
      </c>
      <c r="AR601" s="1">
        <f t="shared" si="453"/>
        <v>-0.08</v>
      </c>
      <c r="AS601" s="12">
        <f t="shared" si="454"/>
        <v>7.137515262515254E-3</v>
      </c>
      <c r="AT601" s="12">
        <f t="shared" si="455"/>
        <v>-0.04</v>
      </c>
      <c r="AU601" s="1">
        <f t="shared" si="456"/>
        <v>0</v>
      </c>
      <c r="AV601" s="1">
        <f t="shared" si="457"/>
        <v>11</v>
      </c>
      <c r="AW601" s="1">
        <f t="shared" si="458"/>
        <v>-15</v>
      </c>
      <c r="AX601" s="1">
        <f t="shared" si="459"/>
        <v>8</v>
      </c>
      <c r="AY601" s="1">
        <f t="shared" si="460"/>
        <v>-7</v>
      </c>
      <c r="AZ601" s="1">
        <f t="shared" si="461"/>
        <v>-2</v>
      </c>
      <c r="BA601" s="19">
        <f t="shared" si="462"/>
        <v>-0.83333333333333337</v>
      </c>
      <c r="BB601" s="19">
        <f t="shared" si="463"/>
        <v>-1</v>
      </c>
      <c r="BC601" s="9">
        <f t="shared" si="464"/>
        <v>0.21951219512195122</v>
      </c>
      <c r="BD601" s="9">
        <f t="shared" si="465"/>
        <v>-0.21</v>
      </c>
      <c r="BE601" s="9">
        <f t="shared" si="466"/>
        <v>-0.21518987341772153</v>
      </c>
      <c r="BF601" s="9">
        <f t="shared" si="467"/>
        <v>4.8387096774193547E-2</v>
      </c>
      <c r="BG601" s="9">
        <f t="shared" si="468"/>
        <v>-0.12307692307692308</v>
      </c>
      <c r="BH601" s="9">
        <f t="shared" si="469"/>
        <v>5.2631578947368418E-2</v>
      </c>
      <c r="BI601" s="12">
        <f t="shared" si="470"/>
        <v>-3.7955987608521903E-2</v>
      </c>
      <c r="BJ601" s="13">
        <f t="shared" si="471"/>
        <v>-3.7344913151364761E-2</v>
      </c>
      <c r="BK601" s="1">
        <f t="shared" si="472"/>
        <v>18</v>
      </c>
      <c r="BL601" s="1">
        <f t="shared" si="473"/>
        <v>-21</v>
      </c>
      <c r="BM601" s="1">
        <f t="shared" si="474"/>
        <v>-17</v>
      </c>
      <c r="BN601" s="1">
        <f t="shared" si="475"/>
        <v>3</v>
      </c>
      <c r="BO601" s="1">
        <f t="shared" si="476"/>
        <v>-8</v>
      </c>
      <c r="BP601" s="1">
        <f t="shared" si="477"/>
        <v>3</v>
      </c>
      <c r="BQ601" s="19">
        <f t="shared" si="478"/>
        <v>-3.6666666666666665</v>
      </c>
      <c r="BR601" s="17">
        <f t="shared" si="479"/>
        <v>-2.5</v>
      </c>
    </row>
    <row r="602" spans="1:70" x14ac:dyDescent="0.25">
      <c r="A602" t="s">
        <v>171</v>
      </c>
      <c r="B602">
        <v>65</v>
      </c>
      <c r="C602">
        <v>72</v>
      </c>
      <c r="D602">
        <v>66</v>
      </c>
      <c r="E602">
        <v>43</v>
      </c>
      <c r="F602">
        <v>40</v>
      </c>
      <c r="G602">
        <v>44</v>
      </c>
      <c r="H602">
        <v>36</v>
      </c>
      <c r="I602">
        <v>35</v>
      </c>
      <c r="J602">
        <v>38</v>
      </c>
      <c r="K602">
        <v>36</v>
      </c>
      <c r="L602">
        <v>26</v>
      </c>
      <c r="M602">
        <v>23</v>
      </c>
      <c r="N602">
        <v>23</v>
      </c>
      <c r="O602">
        <v>19</v>
      </c>
      <c r="P602">
        <v>30</v>
      </c>
      <c r="Q602">
        <v>34</v>
      </c>
      <c r="R602">
        <v>30</v>
      </c>
      <c r="S602">
        <v>17</v>
      </c>
      <c r="T602">
        <v>17</v>
      </c>
      <c r="U602">
        <v>21</v>
      </c>
      <c r="V602">
        <v>17</v>
      </c>
      <c r="W602" s="8">
        <f t="shared" si="432"/>
        <v>0.1076923076923077</v>
      </c>
      <c r="X602" s="8">
        <f t="shared" si="433"/>
        <v>-8.3333333333333329E-2</v>
      </c>
      <c r="Y602" s="8">
        <f t="shared" si="434"/>
        <v>-0.34848484848484851</v>
      </c>
      <c r="Z602" s="8">
        <f t="shared" si="435"/>
        <v>-6.9767441860465115E-2</v>
      </c>
      <c r="AA602" s="8">
        <f t="shared" si="436"/>
        <v>0.1</v>
      </c>
      <c r="AB602" s="8">
        <f t="shared" si="437"/>
        <v>-0.18181818181818182</v>
      </c>
      <c r="AC602" s="12">
        <f t="shared" si="438"/>
        <v>-7.9285249634086855E-2</v>
      </c>
      <c r="AD602" s="12">
        <f t="shared" si="439"/>
        <v>-7.6550387596899222E-2</v>
      </c>
      <c r="AE602" s="1">
        <f t="shared" si="440"/>
        <v>7</v>
      </c>
      <c r="AF602" s="1">
        <f t="shared" si="441"/>
        <v>-6</v>
      </c>
      <c r="AG602" s="1">
        <f t="shared" si="442"/>
        <v>-23</v>
      </c>
      <c r="AH602" s="1">
        <f t="shared" si="443"/>
        <v>-3</v>
      </c>
      <c r="AI602" s="1">
        <f t="shared" si="444"/>
        <v>4</v>
      </c>
      <c r="AJ602" s="1">
        <f t="shared" si="445"/>
        <v>-8</v>
      </c>
      <c r="AK602" s="17">
        <f t="shared" si="446"/>
        <v>-4.833333333333333</v>
      </c>
      <c r="AL602" s="17">
        <f t="shared" si="447"/>
        <v>-4.5</v>
      </c>
      <c r="AM602" s="1">
        <f t="shared" si="448"/>
        <v>8.5714285714285715E-2</v>
      </c>
      <c r="AN602" s="1">
        <f t="shared" si="449"/>
        <v>-5.2631578947368418E-2</v>
      </c>
      <c r="AO602" s="1">
        <f t="shared" si="450"/>
        <v>-0.27777777777777779</v>
      </c>
      <c r="AP602" s="1">
        <f t="shared" si="451"/>
        <v>-0.11538461538461539</v>
      </c>
      <c r="AQ602" s="1">
        <f t="shared" si="452"/>
        <v>0</v>
      </c>
      <c r="AR602" s="1">
        <f t="shared" si="453"/>
        <v>-0.17391304347826086</v>
      </c>
      <c r="AS602" s="12">
        <f t="shared" si="454"/>
        <v>-8.8998788312289467E-2</v>
      </c>
      <c r="AT602" s="12">
        <f t="shared" si="455"/>
        <v>-8.4008097165991905E-2</v>
      </c>
      <c r="AU602" s="1">
        <f t="shared" si="456"/>
        <v>3</v>
      </c>
      <c r="AV602" s="1">
        <f t="shared" si="457"/>
        <v>-2</v>
      </c>
      <c r="AW602" s="1">
        <f t="shared" si="458"/>
        <v>-10</v>
      </c>
      <c r="AX602" s="1">
        <f t="shared" si="459"/>
        <v>-3</v>
      </c>
      <c r="AY602" s="1">
        <f t="shared" si="460"/>
        <v>0</v>
      </c>
      <c r="AZ602" s="1">
        <f t="shared" si="461"/>
        <v>-4</v>
      </c>
      <c r="BA602" s="19">
        <f t="shared" si="462"/>
        <v>-2.6666666666666665</v>
      </c>
      <c r="BB602" s="19">
        <f t="shared" si="463"/>
        <v>-2.5</v>
      </c>
      <c r="BC602" s="9">
        <f t="shared" si="464"/>
        <v>0.13333333333333333</v>
      </c>
      <c r="BD602" s="9">
        <f t="shared" si="465"/>
        <v>-0.11764705882352941</v>
      </c>
      <c r="BE602" s="9">
        <f t="shared" si="466"/>
        <v>-0.43333333333333335</v>
      </c>
      <c r="BF602" s="9">
        <f t="shared" si="467"/>
        <v>0</v>
      </c>
      <c r="BG602" s="9">
        <f t="shared" si="468"/>
        <v>0.23529411764705882</v>
      </c>
      <c r="BH602" s="9">
        <f t="shared" si="469"/>
        <v>-0.19047619047619047</v>
      </c>
      <c r="BI602" s="12">
        <f t="shared" si="470"/>
        <v>-6.2138188608776845E-2</v>
      </c>
      <c r="BJ602" s="13">
        <f t="shared" si="471"/>
        <v>-5.8823529411764705E-2</v>
      </c>
      <c r="BK602" s="1">
        <f t="shared" si="472"/>
        <v>4</v>
      </c>
      <c r="BL602" s="1">
        <f t="shared" si="473"/>
        <v>-4</v>
      </c>
      <c r="BM602" s="1">
        <f t="shared" si="474"/>
        <v>-13</v>
      </c>
      <c r="BN602" s="1">
        <f t="shared" si="475"/>
        <v>0</v>
      </c>
      <c r="BO602" s="1">
        <f t="shared" si="476"/>
        <v>4</v>
      </c>
      <c r="BP602" s="1">
        <f t="shared" si="477"/>
        <v>-4</v>
      </c>
      <c r="BQ602" s="19">
        <f t="shared" si="478"/>
        <v>-2.1666666666666665</v>
      </c>
      <c r="BR602" s="17">
        <f t="shared" si="479"/>
        <v>-2</v>
      </c>
    </row>
    <row r="603" spans="1:70" x14ac:dyDescent="0.25">
      <c r="A603" t="s">
        <v>132</v>
      </c>
      <c r="B603">
        <v>129</v>
      </c>
      <c r="C603">
        <v>154</v>
      </c>
      <c r="D603">
        <v>126</v>
      </c>
      <c r="E603">
        <v>436</v>
      </c>
      <c r="F603">
        <v>270</v>
      </c>
      <c r="G603">
        <v>129</v>
      </c>
      <c r="H603">
        <v>99</v>
      </c>
      <c r="I603">
        <v>75</v>
      </c>
      <c r="J603">
        <v>84</v>
      </c>
      <c r="K603">
        <v>71</v>
      </c>
      <c r="L603">
        <v>292</v>
      </c>
      <c r="M603">
        <v>169</v>
      </c>
      <c r="N603">
        <v>75</v>
      </c>
      <c r="O603">
        <v>57</v>
      </c>
      <c r="P603">
        <v>54</v>
      </c>
      <c r="Q603">
        <v>70</v>
      </c>
      <c r="R603">
        <v>55</v>
      </c>
      <c r="S603">
        <v>144</v>
      </c>
      <c r="T603">
        <v>101</v>
      </c>
      <c r="U603">
        <v>54</v>
      </c>
      <c r="V603">
        <v>42</v>
      </c>
      <c r="W603" s="8">
        <f t="shared" si="432"/>
        <v>0.19379844961240311</v>
      </c>
      <c r="X603" s="8">
        <f t="shared" si="433"/>
        <v>-0.18181818181818182</v>
      </c>
      <c r="Y603" s="8">
        <f t="shared" si="434"/>
        <v>2.4603174603174605</v>
      </c>
      <c r="Z603" s="8">
        <f t="shared" si="435"/>
        <v>-0.38073394495412843</v>
      </c>
      <c r="AA603" s="8">
        <f t="shared" si="436"/>
        <v>-0.52222222222222225</v>
      </c>
      <c r="AB603" s="8">
        <f t="shared" si="437"/>
        <v>-0.23255813953488372</v>
      </c>
      <c r="AC603" s="12">
        <f t="shared" si="438"/>
        <v>0.22279723690007458</v>
      </c>
      <c r="AD603" s="12">
        <f t="shared" si="439"/>
        <v>-0.20718816067653278</v>
      </c>
      <c r="AE603" s="1">
        <f t="shared" si="440"/>
        <v>25</v>
      </c>
      <c r="AF603" s="1">
        <f t="shared" si="441"/>
        <v>-28</v>
      </c>
      <c r="AG603" s="1">
        <f t="shared" si="442"/>
        <v>310</v>
      </c>
      <c r="AH603" s="1">
        <f t="shared" si="443"/>
        <v>-166</v>
      </c>
      <c r="AI603" s="1">
        <f t="shared" si="444"/>
        <v>-141</v>
      </c>
      <c r="AJ603" s="1">
        <f t="shared" si="445"/>
        <v>-30</v>
      </c>
      <c r="AK603" s="17">
        <f t="shared" si="446"/>
        <v>-5</v>
      </c>
      <c r="AL603" s="17">
        <f t="shared" si="447"/>
        <v>-29</v>
      </c>
      <c r="AM603" s="1">
        <f t="shared" si="448"/>
        <v>0.12</v>
      </c>
      <c r="AN603" s="1">
        <f t="shared" si="449"/>
        <v>-0.15476190476190477</v>
      </c>
      <c r="AO603" s="1">
        <f t="shared" si="450"/>
        <v>3.112676056338028</v>
      </c>
      <c r="AP603" s="1">
        <f t="shared" si="451"/>
        <v>-0.42123287671232879</v>
      </c>
      <c r="AQ603" s="1">
        <f t="shared" si="452"/>
        <v>-0.55621301775147924</v>
      </c>
      <c r="AR603" s="1">
        <f t="shared" si="453"/>
        <v>-0.24</v>
      </c>
      <c r="AS603" s="12">
        <f t="shared" si="454"/>
        <v>0.31007804285205248</v>
      </c>
      <c r="AT603" s="12">
        <f t="shared" si="455"/>
        <v>-0.19738095238095238</v>
      </c>
      <c r="AU603" s="1">
        <f t="shared" si="456"/>
        <v>9</v>
      </c>
      <c r="AV603" s="1">
        <f t="shared" si="457"/>
        <v>-13</v>
      </c>
      <c r="AW603" s="1">
        <f t="shared" si="458"/>
        <v>221</v>
      </c>
      <c r="AX603" s="1">
        <f t="shared" si="459"/>
        <v>-123</v>
      </c>
      <c r="AY603" s="1">
        <f t="shared" si="460"/>
        <v>-94</v>
      </c>
      <c r="AZ603" s="1">
        <f t="shared" si="461"/>
        <v>-18</v>
      </c>
      <c r="BA603" s="19">
        <f t="shared" si="462"/>
        <v>-3</v>
      </c>
      <c r="BB603" s="19">
        <f t="shared" si="463"/>
        <v>-15.5</v>
      </c>
      <c r="BC603" s="9">
        <f t="shared" si="464"/>
        <v>0.29629629629629628</v>
      </c>
      <c r="BD603" s="9">
        <f t="shared" si="465"/>
        <v>-0.21428571428571427</v>
      </c>
      <c r="BE603" s="9">
        <f t="shared" si="466"/>
        <v>1.6181818181818182</v>
      </c>
      <c r="BF603" s="9">
        <f t="shared" si="467"/>
        <v>-0.2986111111111111</v>
      </c>
      <c r="BG603" s="9">
        <f t="shared" si="468"/>
        <v>-0.46534653465346537</v>
      </c>
      <c r="BH603" s="9">
        <f t="shared" si="469"/>
        <v>-0.22222222222222221</v>
      </c>
      <c r="BI603" s="12">
        <f t="shared" si="470"/>
        <v>0.11900208870093359</v>
      </c>
      <c r="BJ603" s="13">
        <f t="shared" si="471"/>
        <v>-0.21825396825396826</v>
      </c>
      <c r="BK603" s="1">
        <f t="shared" si="472"/>
        <v>16</v>
      </c>
      <c r="BL603" s="1">
        <f t="shared" si="473"/>
        <v>-15</v>
      </c>
      <c r="BM603" s="1">
        <f t="shared" si="474"/>
        <v>89</v>
      </c>
      <c r="BN603" s="1">
        <f t="shared" si="475"/>
        <v>-43</v>
      </c>
      <c r="BO603" s="1">
        <f t="shared" si="476"/>
        <v>-47</v>
      </c>
      <c r="BP603" s="1">
        <f t="shared" si="477"/>
        <v>-12</v>
      </c>
      <c r="BQ603" s="19">
        <f t="shared" si="478"/>
        <v>-2</v>
      </c>
      <c r="BR603" s="17">
        <f t="shared" si="479"/>
        <v>-13.5</v>
      </c>
    </row>
    <row r="604" spans="1:70" x14ac:dyDescent="0.25">
      <c r="A604" t="s">
        <v>157</v>
      </c>
      <c r="B604">
        <v>76</v>
      </c>
      <c r="C604">
        <v>94</v>
      </c>
      <c r="D604">
        <v>89</v>
      </c>
      <c r="E604">
        <v>57</v>
      </c>
      <c r="F604">
        <v>55</v>
      </c>
      <c r="G604">
        <v>39</v>
      </c>
      <c r="H604">
        <v>44</v>
      </c>
      <c r="I604">
        <v>42</v>
      </c>
      <c r="J604">
        <v>53</v>
      </c>
      <c r="K604">
        <v>49</v>
      </c>
      <c r="L604">
        <v>27</v>
      </c>
      <c r="M604">
        <v>32</v>
      </c>
      <c r="N604">
        <v>26</v>
      </c>
      <c r="O604">
        <v>29</v>
      </c>
      <c r="P604">
        <v>34</v>
      </c>
      <c r="Q604">
        <v>41</v>
      </c>
      <c r="R604">
        <v>40</v>
      </c>
      <c r="S604">
        <v>30</v>
      </c>
      <c r="T604">
        <v>23</v>
      </c>
      <c r="U604">
        <v>13</v>
      </c>
      <c r="V604">
        <v>15</v>
      </c>
      <c r="W604" s="8">
        <f t="shared" si="432"/>
        <v>0.23684210526315788</v>
      </c>
      <c r="X604" s="8">
        <f t="shared" si="433"/>
        <v>-5.3191489361702128E-2</v>
      </c>
      <c r="Y604" s="8">
        <f t="shared" si="434"/>
        <v>-0.3595505617977528</v>
      </c>
      <c r="Z604" s="8">
        <f t="shared" si="435"/>
        <v>-3.5087719298245612E-2</v>
      </c>
      <c r="AA604" s="8">
        <f t="shared" si="436"/>
        <v>-0.29090909090909089</v>
      </c>
      <c r="AB604" s="8">
        <f t="shared" si="437"/>
        <v>0.12820512820512819</v>
      </c>
      <c r="AC604" s="12">
        <f t="shared" si="438"/>
        <v>-6.2281937983084235E-2</v>
      </c>
      <c r="AD604" s="12">
        <f t="shared" si="439"/>
        <v>-4.4139604329973867E-2</v>
      </c>
      <c r="AE604" s="1">
        <f t="shared" si="440"/>
        <v>18</v>
      </c>
      <c r="AF604" s="1">
        <f t="shared" si="441"/>
        <v>-5</v>
      </c>
      <c r="AG604" s="1">
        <f t="shared" si="442"/>
        <v>-32</v>
      </c>
      <c r="AH604" s="1">
        <f t="shared" si="443"/>
        <v>-2</v>
      </c>
      <c r="AI604" s="1">
        <f t="shared" si="444"/>
        <v>-16</v>
      </c>
      <c r="AJ604" s="1">
        <f t="shared" si="445"/>
        <v>5</v>
      </c>
      <c r="AK604" s="17">
        <f t="shared" si="446"/>
        <v>-5.333333333333333</v>
      </c>
      <c r="AL604" s="17">
        <f t="shared" si="447"/>
        <v>-3.5</v>
      </c>
      <c r="AM604" s="1">
        <f t="shared" si="448"/>
        <v>0.26190476190476192</v>
      </c>
      <c r="AN604" s="1">
        <f t="shared" si="449"/>
        <v>-7.5471698113207544E-2</v>
      </c>
      <c r="AO604" s="1">
        <f t="shared" si="450"/>
        <v>-0.44897959183673469</v>
      </c>
      <c r="AP604" s="1">
        <f t="shared" si="451"/>
        <v>0.18518518518518517</v>
      </c>
      <c r="AQ604" s="1">
        <f t="shared" si="452"/>
        <v>-0.1875</v>
      </c>
      <c r="AR604" s="1">
        <f t="shared" si="453"/>
        <v>0.11538461538461539</v>
      </c>
      <c r="AS604" s="12">
        <f t="shared" si="454"/>
        <v>-2.4912787912563291E-2</v>
      </c>
      <c r="AT604" s="12">
        <f t="shared" si="455"/>
        <v>1.995645863570393E-2</v>
      </c>
      <c r="AU604" s="1">
        <f t="shared" si="456"/>
        <v>11</v>
      </c>
      <c r="AV604" s="1">
        <f t="shared" si="457"/>
        <v>-4</v>
      </c>
      <c r="AW604" s="1">
        <f t="shared" si="458"/>
        <v>-22</v>
      </c>
      <c r="AX604" s="1">
        <f t="shared" si="459"/>
        <v>5</v>
      </c>
      <c r="AY604" s="1">
        <f t="shared" si="460"/>
        <v>-6</v>
      </c>
      <c r="AZ604" s="1">
        <f t="shared" si="461"/>
        <v>3</v>
      </c>
      <c r="BA604" s="19">
        <f t="shared" si="462"/>
        <v>-2.1666666666666665</v>
      </c>
      <c r="BB604" s="19">
        <f t="shared" si="463"/>
        <v>-0.5</v>
      </c>
      <c r="BC604" s="9">
        <f t="shared" si="464"/>
        <v>0.20588235294117646</v>
      </c>
      <c r="BD604" s="9">
        <f t="shared" si="465"/>
        <v>-2.4390243902439025E-2</v>
      </c>
      <c r="BE604" s="9">
        <f t="shared" si="466"/>
        <v>-0.25</v>
      </c>
      <c r="BF604" s="9">
        <f t="shared" si="467"/>
        <v>-0.23333333333333334</v>
      </c>
      <c r="BG604" s="9">
        <f t="shared" si="468"/>
        <v>-0.43478260869565216</v>
      </c>
      <c r="BH604" s="9">
        <f t="shared" si="469"/>
        <v>0.15384615384615385</v>
      </c>
      <c r="BI604" s="12">
        <f t="shared" si="470"/>
        <v>-9.7129613190682376E-2</v>
      </c>
      <c r="BJ604" s="13">
        <f t="shared" si="471"/>
        <v>-0.12886178861788616</v>
      </c>
      <c r="BK604" s="1">
        <f t="shared" si="472"/>
        <v>7</v>
      </c>
      <c r="BL604" s="1">
        <f t="shared" si="473"/>
        <v>-1</v>
      </c>
      <c r="BM604" s="1">
        <f t="shared" si="474"/>
        <v>-10</v>
      </c>
      <c r="BN604" s="1">
        <f t="shared" si="475"/>
        <v>-7</v>
      </c>
      <c r="BO604" s="1">
        <f t="shared" si="476"/>
        <v>-10</v>
      </c>
      <c r="BP604" s="1">
        <f t="shared" si="477"/>
        <v>2</v>
      </c>
      <c r="BQ604" s="19">
        <f t="shared" si="478"/>
        <v>-3.1666666666666665</v>
      </c>
      <c r="BR604" s="17">
        <f t="shared" si="479"/>
        <v>-4</v>
      </c>
    </row>
    <row r="605" spans="1:70" x14ac:dyDescent="0.25">
      <c r="A605" t="s">
        <v>144</v>
      </c>
      <c r="B605">
        <v>90</v>
      </c>
      <c r="C605">
        <v>69</v>
      </c>
      <c r="D605">
        <v>83</v>
      </c>
      <c r="E605">
        <v>91</v>
      </c>
      <c r="F605">
        <v>85</v>
      </c>
      <c r="G605">
        <v>102</v>
      </c>
      <c r="H605">
        <v>57</v>
      </c>
      <c r="I605">
        <v>63</v>
      </c>
      <c r="J605">
        <v>43</v>
      </c>
      <c r="K605">
        <v>45</v>
      </c>
      <c r="L605">
        <v>44</v>
      </c>
      <c r="M605">
        <v>52</v>
      </c>
      <c r="N605">
        <v>61</v>
      </c>
      <c r="O605">
        <v>33</v>
      </c>
      <c r="P605">
        <v>27</v>
      </c>
      <c r="Q605">
        <v>26</v>
      </c>
      <c r="R605">
        <v>38</v>
      </c>
      <c r="S605">
        <v>47</v>
      </c>
      <c r="T605">
        <v>33</v>
      </c>
      <c r="U605">
        <v>41</v>
      </c>
      <c r="V605">
        <v>24</v>
      </c>
      <c r="W605" s="8">
        <f t="shared" si="432"/>
        <v>-0.23333333333333334</v>
      </c>
      <c r="X605" s="8">
        <f t="shared" si="433"/>
        <v>0.20289855072463769</v>
      </c>
      <c r="Y605" s="8">
        <f t="shared" si="434"/>
        <v>9.6385542168674704E-2</v>
      </c>
      <c r="Z605" s="8">
        <f t="shared" si="435"/>
        <v>-6.5934065934065936E-2</v>
      </c>
      <c r="AA605" s="8">
        <f t="shared" si="436"/>
        <v>0.2</v>
      </c>
      <c r="AB605" s="8">
        <f t="shared" si="437"/>
        <v>-0.44117647058823528</v>
      </c>
      <c r="AC605" s="12">
        <f t="shared" si="438"/>
        <v>-4.0193296160387026E-2</v>
      </c>
      <c r="AD605" s="12">
        <f t="shared" si="439"/>
        <v>1.5225738117304391E-2</v>
      </c>
      <c r="AE605" s="1">
        <f t="shared" si="440"/>
        <v>-21</v>
      </c>
      <c r="AF605" s="1">
        <f t="shared" si="441"/>
        <v>14</v>
      </c>
      <c r="AG605" s="1">
        <f t="shared" si="442"/>
        <v>8</v>
      </c>
      <c r="AH605" s="1">
        <f t="shared" si="443"/>
        <v>-6</v>
      </c>
      <c r="AI605" s="1">
        <f t="shared" si="444"/>
        <v>17</v>
      </c>
      <c r="AJ605" s="1">
        <f t="shared" si="445"/>
        <v>-45</v>
      </c>
      <c r="AK605" s="17">
        <f t="shared" si="446"/>
        <v>-5.5</v>
      </c>
      <c r="AL605" s="17">
        <f t="shared" si="447"/>
        <v>1</v>
      </c>
      <c r="AM605" s="1">
        <f t="shared" si="448"/>
        <v>-0.31746031746031744</v>
      </c>
      <c r="AN605" s="1">
        <f t="shared" si="449"/>
        <v>4.6511627906976744E-2</v>
      </c>
      <c r="AO605" s="1">
        <f t="shared" si="450"/>
        <v>-2.2222222222222223E-2</v>
      </c>
      <c r="AP605" s="1">
        <f t="shared" si="451"/>
        <v>0.18181818181818182</v>
      </c>
      <c r="AQ605" s="1">
        <f t="shared" si="452"/>
        <v>0.17307692307692307</v>
      </c>
      <c r="AR605" s="1">
        <f t="shared" si="453"/>
        <v>-0.45901639344262296</v>
      </c>
      <c r="AS605" s="12">
        <f t="shared" si="454"/>
        <v>-6.6215366720513494E-2</v>
      </c>
      <c r="AT605" s="12">
        <f t="shared" si="455"/>
        <v>1.2144702842377262E-2</v>
      </c>
      <c r="AU605" s="1">
        <f t="shared" si="456"/>
        <v>-20</v>
      </c>
      <c r="AV605" s="1">
        <f t="shared" si="457"/>
        <v>2</v>
      </c>
      <c r="AW605" s="1">
        <f t="shared" si="458"/>
        <v>-1</v>
      </c>
      <c r="AX605" s="1">
        <f t="shared" si="459"/>
        <v>8</v>
      </c>
      <c r="AY605" s="1">
        <f t="shared" si="460"/>
        <v>9</v>
      </c>
      <c r="AZ605" s="1">
        <f t="shared" si="461"/>
        <v>-28</v>
      </c>
      <c r="BA605" s="19">
        <f t="shared" si="462"/>
        <v>-5</v>
      </c>
      <c r="BB605" s="19">
        <f t="shared" si="463"/>
        <v>0.5</v>
      </c>
      <c r="BC605" s="9">
        <f t="shared" si="464"/>
        <v>-3.7037037037037035E-2</v>
      </c>
      <c r="BD605" s="9">
        <f t="shared" si="465"/>
        <v>0.46153846153846156</v>
      </c>
      <c r="BE605" s="9">
        <f t="shared" si="466"/>
        <v>0.23684210526315788</v>
      </c>
      <c r="BF605" s="9">
        <f t="shared" si="467"/>
        <v>-0.2978723404255319</v>
      </c>
      <c r="BG605" s="9">
        <f t="shared" si="468"/>
        <v>0.24242424242424243</v>
      </c>
      <c r="BH605" s="9">
        <f t="shared" si="469"/>
        <v>-0.41463414634146339</v>
      </c>
      <c r="BI605" s="12">
        <f t="shared" si="470"/>
        <v>3.1876880903638265E-2</v>
      </c>
      <c r="BJ605" s="13">
        <f t="shared" si="471"/>
        <v>9.9902534113060437E-2</v>
      </c>
      <c r="BK605" s="1">
        <f t="shared" si="472"/>
        <v>-1</v>
      </c>
      <c r="BL605" s="1">
        <f t="shared" si="473"/>
        <v>12</v>
      </c>
      <c r="BM605" s="1">
        <f t="shared" si="474"/>
        <v>9</v>
      </c>
      <c r="BN605" s="1">
        <f t="shared" si="475"/>
        <v>-14</v>
      </c>
      <c r="BO605" s="1">
        <f t="shared" si="476"/>
        <v>8</v>
      </c>
      <c r="BP605" s="1">
        <f t="shared" si="477"/>
        <v>-17</v>
      </c>
      <c r="BQ605" s="19">
        <f t="shared" si="478"/>
        <v>-0.5</v>
      </c>
      <c r="BR605" s="17">
        <f t="shared" si="479"/>
        <v>3.5</v>
      </c>
    </row>
    <row r="606" spans="1:70" x14ac:dyDescent="0.25">
      <c r="A606" t="s">
        <v>138</v>
      </c>
      <c r="B606">
        <v>106</v>
      </c>
      <c r="C606">
        <v>115</v>
      </c>
      <c r="D606">
        <v>100</v>
      </c>
      <c r="E606">
        <v>57</v>
      </c>
      <c r="F606">
        <v>72</v>
      </c>
      <c r="G606">
        <v>73</v>
      </c>
      <c r="H606">
        <v>71</v>
      </c>
      <c r="I606">
        <v>56</v>
      </c>
      <c r="J606">
        <v>57</v>
      </c>
      <c r="K606">
        <v>55</v>
      </c>
      <c r="L606">
        <v>39</v>
      </c>
      <c r="M606">
        <v>28</v>
      </c>
      <c r="N606">
        <v>34</v>
      </c>
      <c r="O606">
        <v>33</v>
      </c>
      <c r="P606">
        <v>50</v>
      </c>
      <c r="Q606">
        <v>58</v>
      </c>
      <c r="R606">
        <v>45</v>
      </c>
      <c r="S606">
        <v>18</v>
      </c>
      <c r="T606">
        <v>44</v>
      </c>
      <c r="U606">
        <v>39</v>
      </c>
      <c r="V606">
        <v>38</v>
      </c>
      <c r="W606" s="8">
        <f t="shared" si="432"/>
        <v>8.4905660377358486E-2</v>
      </c>
      <c r="X606" s="8">
        <f t="shared" si="433"/>
        <v>-0.13043478260869565</v>
      </c>
      <c r="Y606" s="8">
        <f t="shared" si="434"/>
        <v>-0.43</v>
      </c>
      <c r="Z606" s="8">
        <f t="shared" si="435"/>
        <v>0.26315789473684209</v>
      </c>
      <c r="AA606" s="8">
        <f t="shared" si="436"/>
        <v>1.3888888888888888E-2</v>
      </c>
      <c r="AB606" s="8">
        <f t="shared" si="437"/>
        <v>-2.7397260273972601E-2</v>
      </c>
      <c r="AC606" s="12">
        <f t="shared" si="438"/>
        <v>-3.7646599813263126E-2</v>
      </c>
      <c r="AD606" s="12">
        <f t="shared" si="439"/>
        <v>-6.7541856925418566E-3</v>
      </c>
      <c r="AE606" s="1">
        <f t="shared" si="440"/>
        <v>9</v>
      </c>
      <c r="AF606" s="1">
        <f t="shared" si="441"/>
        <v>-15</v>
      </c>
      <c r="AG606" s="1">
        <f t="shared" si="442"/>
        <v>-43</v>
      </c>
      <c r="AH606" s="1">
        <f t="shared" si="443"/>
        <v>15</v>
      </c>
      <c r="AI606" s="1">
        <f t="shared" si="444"/>
        <v>1</v>
      </c>
      <c r="AJ606" s="1">
        <f t="shared" si="445"/>
        <v>-2</v>
      </c>
      <c r="AK606" s="17">
        <f t="shared" si="446"/>
        <v>-5.833333333333333</v>
      </c>
      <c r="AL606" s="17">
        <f t="shared" si="447"/>
        <v>-0.5</v>
      </c>
      <c r="AM606" s="1">
        <f t="shared" si="448"/>
        <v>1.7857142857142856E-2</v>
      </c>
      <c r="AN606" s="1">
        <f t="shared" si="449"/>
        <v>-3.5087719298245612E-2</v>
      </c>
      <c r="AO606" s="1">
        <f t="shared" si="450"/>
        <v>-0.29090909090909089</v>
      </c>
      <c r="AP606" s="1">
        <f t="shared" si="451"/>
        <v>-0.28205128205128205</v>
      </c>
      <c r="AQ606" s="1">
        <f t="shared" si="452"/>
        <v>0.21428571428571427</v>
      </c>
      <c r="AR606" s="1">
        <f t="shared" si="453"/>
        <v>-2.9411764705882353E-2</v>
      </c>
      <c r="AS606" s="12">
        <f t="shared" si="454"/>
        <v>-6.7552833303607285E-2</v>
      </c>
      <c r="AT606" s="12">
        <f t="shared" si="455"/>
        <v>-3.2249742002063986E-2</v>
      </c>
      <c r="AU606" s="1">
        <f t="shared" si="456"/>
        <v>1</v>
      </c>
      <c r="AV606" s="1">
        <f t="shared" si="457"/>
        <v>-2</v>
      </c>
      <c r="AW606" s="1">
        <f t="shared" si="458"/>
        <v>-16</v>
      </c>
      <c r="AX606" s="1">
        <f t="shared" si="459"/>
        <v>-11</v>
      </c>
      <c r="AY606" s="1">
        <f t="shared" si="460"/>
        <v>6</v>
      </c>
      <c r="AZ606" s="1">
        <f t="shared" si="461"/>
        <v>-1</v>
      </c>
      <c r="BA606" s="19">
        <f t="shared" si="462"/>
        <v>-3.8333333333333335</v>
      </c>
      <c r="BB606" s="19">
        <f t="shared" si="463"/>
        <v>-1.5</v>
      </c>
      <c r="BC606" s="9">
        <f t="shared" si="464"/>
        <v>0.16</v>
      </c>
      <c r="BD606" s="9">
        <f t="shared" si="465"/>
        <v>-0.22413793103448276</v>
      </c>
      <c r="BE606" s="9">
        <f t="shared" si="466"/>
        <v>-0.6</v>
      </c>
      <c r="BF606" s="9">
        <f t="shared" si="467"/>
        <v>1.4444444444444444</v>
      </c>
      <c r="BG606" s="9">
        <f t="shared" si="468"/>
        <v>-0.11363636363636363</v>
      </c>
      <c r="BH606" s="9">
        <f t="shared" si="469"/>
        <v>-2.564102564102564E-2</v>
      </c>
      <c r="BI606" s="12">
        <f t="shared" si="470"/>
        <v>0.10683818735542873</v>
      </c>
      <c r="BJ606" s="13">
        <f t="shared" si="471"/>
        <v>-6.963869463869464E-2</v>
      </c>
      <c r="BK606" s="1">
        <f t="shared" si="472"/>
        <v>8</v>
      </c>
      <c r="BL606" s="1">
        <f t="shared" si="473"/>
        <v>-13</v>
      </c>
      <c r="BM606" s="1">
        <f t="shared" si="474"/>
        <v>-27</v>
      </c>
      <c r="BN606" s="1">
        <f t="shared" si="475"/>
        <v>26</v>
      </c>
      <c r="BO606" s="1">
        <f t="shared" si="476"/>
        <v>-5</v>
      </c>
      <c r="BP606" s="1">
        <f t="shared" si="477"/>
        <v>-1</v>
      </c>
      <c r="BQ606" s="19">
        <f t="shared" si="478"/>
        <v>-2</v>
      </c>
      <c r="BR606" s="17">
        <f t="shared" si="479"/>
        <v>-3</v>
      </c>
    </row>
    <row r="607" spans="1:70" x14ac:dyDescent="0.25">
      <c r="A607" t="s">
        <v>146</v>
      </c>
      <c r="B607">
        <v>90</v>
      </c>
      <c r="C607">
        <v>95</v>
      </c>
      <c r="D607">
        <v>80</v>
      </c>
      <c r="E607">
        <v>57</v>
      </c>
      <c r="F607">
        <v>54</v>
      </c>
      <c r="G607">
        <v>77</v>
      </c>
      <c r="H607">
        <v>55</v>
      </c>
      <c r="I607">
        <v>87</v>
      </c>
      <c r="J607">
        <v>91</v>
      </c>
      <c r="K607">
        <v>74</v>
      </c>
      <c r="L607">
        <v>53</v>
      </c>
      <c r="M607">
        <v>48</v>
      </c>
      <c r="N607">
        <v>67</v>
      </c>
      <c r="O607">
        <v>54</v>
      </c>
      <c r="P607">
        <v>3</v>
      </c>
      <c r="Q607">
        <v>4</v>
      </c>
      <c r="R607">
        <v>6</v>
      </c>
      <c r="S607">
        <v>4</v>
      </c>
      <c r="T607">
        <v>6</v>
      </c>
      <c r="U607">
        <v>10</v>
      </c>
      <c r="V607">
        <v>1</v>
      </c>
      <c r="W607" s="8">
        <f t="shared" si="432"/>
        <v>5.5555555555555552E-2</v>
      </c>
      <c r="X607" s="8">
        <f t="shared" si="433"/>
        <v>-0.15789473684210525</v>
      </c>
      <c r="Y607" s="8">
        <f t="shared" si="434"/>
        <v>-0.28749999999999998</v>
      </c>
      <c r="Z607" s="8">
        <f t="shared" si="435"/>
        <v>-5.2631578947368418E-2</v>
      </c>
      <c r="AA607" s="8">
        <f t="shared" si="436"/>
        <v>0.42592592592592593</v>
      </c>
      <c r="AB607" s="8">
        <f t="shared" si="437"/>
        <v>-0.2857142857142857</v>
      </c>
      <c r="AC607" s="12">
        <f t="shared" si="438"/>
        <v>-5.0376520003712982E-2</v>
      </c>
      <c r="AD607" s="12">
        <f t="shared" si="439"/>
        <v>-0.10526315789473684</v>
      </c>
      <c r="AE607" s="1">
        <f t="shared" si="440"/>
        <v>5</v>
      </c>
      <c r="AF607" s="1">
        <f t="shared" si="441"/>
        <v>-15</v>
      </c>
      <c r="AG607" s="1">
        <f t="shared" si="442"/>
        <v>-23</v>
      </c>
      <c r="AH607" s="1">
        <f t="shared" si="443"/>
        <v>-3</v>
      </c>
      <c r="AI607" s="1">
        <f t="shared" si="444"/>
        <v>23</v>
      </c>
      <c r="AJ607" s="1">
        <f t="shared" si="445"/>
        <v>-22</v>
      </c>
      <c r="AK607" s="17">
        <f t="shared" si="446"/>
        <v>-5.833333333333333</v>
      </c>
      <c r="AL607" s="17">
        <f t="shared" si="447"/>
        <v>-9</v>
      </c>
      <c r="AM607" s="1">
        <f t="shared" si="448"/>
        <v>4.5977011494252873E-2</v>
      </c>
      <c r="AN607" s="1">
        <f t="shared" si="449"/>
        <v>-0.18681318681318682</v>
      </c>
      <c r="AO607" s="1">
        <f t="shared" si="450"/>
        <v>-0.28378378378378377</v>
      </c>
      <c r="AP607" s="1">
        <f t="shared" si="451"/>
        <v>-9.4339622641509441E-2</v>
      </c>
      <c r="AQ607" s="1">
        <f t="shared" si="452"/>
        <v>0.39583333333333331</v>
      </c>
      <c r="AR607" s="1">
        <f t="shared" si="453"/>
        <v>-0.19402985074626866</v>
      </c>
      <c r="AS607" s="12">
        <f t="shared" si="454"/>
        <v>-5.2859349859527088E-2</v>
      </c>
      <c r="AT607" s="12">
        <f t="shared" si="455"/>
        <v>-0.14057640472734811</v>
      </c>
      <c r="AU607" s="1">
        <f t="shared" si="456"/>
        <v>4</v>
      </c>
      <c r="AV607" s="1">
        <f t="shared" si="457"/>
        <v>-17</v>
      </c>
      <c r="AW607" s="1">
        <f t="shared" si="458"/>
        <v>-21</v>
      </c>
      <c r="AX607" s="1">
        <f t="shared" si="459"/>
        <v>-5</v>
      </c>
      <c r="AY607" s="1">
        <f t="shared" si="460"/>
        <v>19</v>
      </c>
      <c r="AZ607" s="1">
        <f t="shared" si="461"/>
        <v>-13</v>
      </c>
      <c r="BA607" s="19">
        <f t="shared" si="462"/>
        <v>-5.5</v>
      </c>
      <c r="BB607" s="19">
        <f t="shared" si="463"/>
        <v>-9</v>
      </c>
      <c r="BC607" s="9">
        <f t="shared" si="464"/>
        <v>0.33333333333333331</v>
      </c>
      <c r="BD607" s="9">
        <f t="shared" si="465"/>
        <v>0.5</v>
      </c>
      <c r="BE607" s="9">
        <f t="shared" si="466"/>
        <v>-0.33333333333333331</v>
      </c>
      <c r="BF607" s="9">
        <f t="shared" si="467"/>
        <v>0.5</v>
      </c>
      <c r="BG607" s="9">
        <f t="shared" si="468"/>
        <v>0.66666666666666663</v>
      </c>
      <c r="BH607" s="9">
        <f t="shared" si="469"/>
        <v>-0.9</v>
      </c>
      <c r="BI607" s="12">
        <f t="shared" si="470"/>
        <v>0.12777777777777774</v>
      </c>
      <c r="BJ607" s="13">
        <f t="shared" si="471"/>
        <v>0.41666666666666663</v>
      </c>
      <c r="BK607" s="1">
        <f t="shared" si="472"/>
        <v>1</v>
      </c>
      <c r="BL607" s="1">
        <f t="shared" si="473"/>
        <v>2</v>
      </c>
      <c r="BM607" s="1">
        <f t="shared" si="474"/>
        <v>-2</v>
      </c>
      <c r="BN607" s="1">
        <f t="shared" si="475"/>
        <v>2</v>
      </c>
      <c r="BO607" s="1">
        <f t="shared" si="476"/>
        <v>4</v>
      </c>
      <c r="BP607" s="1">
        <f t="shared" si="477"/>
        <v>-9</v>
      </c>
      <c r="BQ607" s="19">
        <f t="shared" si="478"/>
        <v>-0.33333333333333331</v>
      </c>
      <c r="BR607" s="17">
        <f t="shared" si="479"/>
        <v>1.5</v>
      </c>
    </row>
    <row r="608" spans="1:70" x14ac:dyDescent="0.25">
      <c r="A608" t="s">
        <v>169</v>
      </c>
      <c r="B608">
        <v>65</v>
      </c>
      <c r="C608">
        <v>47</v>
      </c>
      <c r="D608">
        <v>50</v>
      </c>
      <c r="E608">
        <v>93</v>
      </c>
      <c r="F608">
        <v>56</v>
      </c>
      <c r="G608">
        <v>104</v>
      </c>
      <c r="H608">
        <v>28</v>
      </c>
      <c r="I608">
        <v>36</v>
      </c>
      <c r="J608">
        <v>33</v>
      </c>
      <c r="K608">
        <v>28</v>
      </c>
      <c r="L608">
        <v>56</v>
      </c>
      <c r="M608">
        <v>30</v>
      </c>
      <c r="N608">
        <v>64</v>
      </c>
      <c r="O608">
        <v>16</v>
      </c>
      <c r="P608">
        <v>29</v>
      </c>
      <c r="Q608">
        <v>14</v>
      </c>
      <c r="R608">
        <v>22</v>
      </c>
      <c r="S608">
        <v>37</v>
      </c>
      <c r="T608">
        <v>26</v>
      </c>
      <c r="U608">
        <v>40</v>
      </c>
      <c r="V608">
        <v>12</v>
      </c>
      <c r="W608" s="8">
        <f t="shared" si="432"/>
        <v>-0.27692307692307694</v>
      </c>
      <c r="X608" s="8">
        <f t="shared" si="433"/>
        <v>6.3829787234042548E-2</v>
      </c>
      <c r="Y608" s="8">
        <f t="shared" si="434"/>
        <v>0.86</v>
      </c>
      <c r="Z608" s="8">
        <f t="shared" si="435"/>
        <v>-0.39784946236559138</v>
      </c>
      <c r="AA608" s="8">
        <f t="shared" si="436"/>
        <v>0.8571428571428571</v>
      </c>
      <c r="AB608" s="8">
        <f t="shared" si="437"/>
        <v>-0.73076923076923073</v>
      </c>
      <c r="AC608" s="12">
        <f t="shared" si="438"/>
        <v>6.25718123865001E-2</v>
      </c>
      <c r="AD608" s="12">
        <f t="shared" si="439"/>
        <v>-0.1065466448445172</v>
      </c>
      <c r="AE608" s="1">
        <f t="shared" si="440"/>
        <v>-18</v>
      </c>
      <c r="AF608" s="1">
        <f t="shared" si="441"/>
        <v>3</v>
      </c>
      <c r="AG608" s="1">
        <f t="shared" si="442"/>
        <v>43</v>
      </c>
      <c r="AH608" s="1">
        <f t="shared" si="443"/>
        <v>-37</v>
      </c>
      <c r="AI608" s="1">
        <f t="shared" si="444"/>
        <v>48</v>
      </c>
      <c r="AJ608" s="1">
        <f t="shared" si="445"/>
        <v>-76</v>
      </c>
      <c r="AK608" s="17">
        <f t="shared" si="446"/>
        <v>-6.166666666666667</v>
      </c>
      <c r="AL608" s="17">
        <f t="shared" si="447"/>
        <v>-7.5</v>
      </c>
      <c r="AM608" s="1">
        <f t="shared" si="448"/>
        <v>-8.3333333333333329E-2</v>
      </c>
      <c r="AN608" s="1">
        <f t="shared" si="449"/>
        <v>-0.15151515151515152</v>
      </c>
      <c r="AO608" s="1">
        <f t="shared" si="450"/>
        <v>1</v>
      </c>
      <c r="AP608" s="1">
        <f t="shared" si="451"/>
        <v>-0.4642857142857143</v>
      </c>
      <c r="AQ608" s="1">
        <f t="shared" si="452"/>
        <v>1.1333333333333333</v>
      </c>
      <c r="AR608" s="1">
        <f t="shared" si="453"/>
        <v>-0.75</v>
      </c>
      <c r="AS608" s="12">
        <f t="shared" si="454"/>
        <v>0.114033189033189</v>
      </c>
      <c r="AT608" s="12">
        <f t="shared" si="455"/>
        <v>-0.11742424242424243</v>
      </c>
      <c r="AU608" s="1">
        <f t="shared" si="456"/>
        <v>-3</v>
      </c>
      <c r="AV608" s="1">
        <f t="shared" si="457"/>
        <v>-5</v>
      </c>
      <c r="AW608" s="1">
        <f t="shared" si="458"/>
        <v>28</v>
      </c>
      <c r="AX608" s="1">
        <f t="shared" si="459"/>
        <v>-26</v>
      </c>
      <c r="AY608" s="1">
        <f t="shared" si="460"/>
        <v>34</v>
      </c>
      <c r="AZ608" s="1">
        <f t="shared" si="461"/>
        <v>-48</v>
      </c>
      <c r="BA608" s="19">
        <f t="shared" si="462"/>
        <v>-3.3333333333333335</v>
      </c>
      <c r="BB608" s="19">
        <f t="shared" si="463"/>
        <v>-4</v>
      </c>
      <c r="BC608" s="9">
        <f t="shared" si="464"/>
        <v>-0.51724137931034486</v>
      </c>
      <c r="BD608" s="9">
        <f t="shared" si="465"/>
        <v>0.5714285714285714</v>
      </c>
      <c r="BE608" s="9">
        <f t="shared" si="466"/>
        <v>0.68181818181818177</v>
      </c>
      <c r="BF608" s="9">
        <f t="shared" si="467"/>
        <v>-0.29729729729729731</v>
      </c>
      <c r="BG608" s="9">
        <f t="shared" si="468"/>
        <v>0.53846153846153844</v>
      </c>
      <c r="BH608" s="9">
        <f t="shared" si="469"/>
        <v>-0.7</v>
      </c>
      <c r="BI608" s="12">
        <f t="shared" si="470"/>
        <v>4.6194935850108254E-2</v>
      </c>
      <c r="BJ608" s="13">
        <f t="shared" si="471"/>
        <v>0.12058212058212053</v>
      </c>
      <c r="BK608" s="1">
        <f t="shared" si="472"/>
        <v>-15</v>
      </c>
      <c r="BL608" s="1">
        <f t="shared" si="473"/>
        <v>8</v>
      </c>
      <c r="BM608" s="1">
        <f t="shared" si="474"/>
        <v>15</v>
      </c>
      <c r="BN608" s="1">
        <f t="shared" si="475"/>
        <v>-11</v>
      </c>
      <c r="BO608" s="1">
        <f t="shared" si="476"/>
        <v>14</v>
      </c>
      <c r="BP608" s="1">
        <f t="shared" si="477"/>
        <v>-28</v>
      </c>
      <c r="BQ608" s="19">
        <f t="shared" si="478"/>
        <v>-2.8333333333333335</v>
      </c>
      <c r="BR608" s="17">
        <f t="shared" si="479"/>
        <v>-1.5</v>
      </c>
    </row>
    <row r="609" spans="1:70" x14ac:dyDescent="0.25">
      <c r="A609" t="s">
        <v>170</v>
      </c>
      <c r="B609">
        <v>65</v>
      </c>
      <c r="C609">
        <v>36</v>
      </c>
      <c r="D609">
        <v>45</v>
      </c>
      <c r="E609">
        <v>59</v>
      </c>
      <c r="F609">
        <v>20</v>
      </c>
      <c r="G609">
        <v>26</v>
      </c>
      <c r="H609">
        <v>19</v>
      </c>
      <c r="I609">
        <v>26</v>
      </c>
      <c r="J609">
        <v>21</v>
      </c>
      <c r="K609">
        <v>22</v>
      </c>
      <c r="L609">
        <v>30</v>
      </c>
      <c r="M609">
        <v>8</v>
      </c>
      <c r="N609">
        <v>13</v>
      </c>
      <c r="O609">
        <v>9</v>
      </c>
      <c r="P609">
        <v>39</v>
      </c>
      <c r="Q609">
        <v>15</v>
      </c>
      <c r="R609">
        <v>23</v>
      </c>
      <c r="S609">
        <v>29</v>
      </c>
      <c r="T609">
        <v>12</v>
      </c>
      <c r="U609">
        <v>13</v>
      </c>
      <c r="V609">
        <v>10</v>
      </c>
      <c r="W609" s="8">
        <f t="shared" si="432"/>
        <v>-0.44615384615384618</v>
      </c>
      <c r="X609" s="8">
        <f t="shared" si="433"/>
        <v>0.25</v>
      </c>
      <c r="Y609" s="8">
        <f t="shared" si="434"/>
        <v>0.31111111111111112</v>
      </c>
      <c r="Z609" s="8">
        <f t="shared" si="435"/>
        <v>-0.66101694915254239</v>
      </c>
      <c r="AA609" s="8">
        <f t="shared" si="436"/>
        <v>0.3</v>
      </c>
      <c r="AB609" s="8">
        <f t="shared" si="437"/>
        <v>-0.26923076923076922</v>
      </c>
      <c r="AC609" s="12">
        <f t="shared" si="438"/>
        <v>-8.5881742237674433E-2</v>
      </c>
      <c r="AD609" s="12">
        <f t="shared" si="439"/>
        <v>-9.6153846153846367E-3</v>
      </c>
      <c r="AE609" s="1">
        <f t="shared" si="440"/>
        <v>-29</v>
      </c>
      <c r="AF609" s="1">
        <f t="shared" si="441"/>
        <v>9</v>
      </c>
      <c r="AG609" s="1">
        <f t="shared" si="442"/>
        <v>14</v>
      </c>
      <c r="AH609" s="1">
        <f t="shared" si="443"/>
        <v>-39</v>
      </c>
      <c r="AI609" s="1">
        <f t="shared" si="444"/>
        <v>6</v>
      </c>
      <c r="AJ609" s="1">
        <f t="shared" si="445"/>
        <v>-7</v>
      </c>
      <c r="AK609" s="17">
        <f t="shared" si="446"/>
        <v>-7.666666666666667</v>
      </c>
      <c r="AL609" s="17">
        <f t="shared" si="447"/>
        <v>-0.5</v>
      </c>
      <c r="AM609" s="1">
        <f t="shared" si="448"/>
        <v>-0.19230769230769232</v>
      </c>
      <c r="AN609" s="1">
        <f t="shared" si="449"/>
        <v>4.7619047619047616E-2</v>
      </c>
      <c r="AO609" s="1">
        <f t="shared" si="450"/>
        <v>0.36363636363636365</v>
      </c>
      <c r="AP609" s="1">
        <f t="shared" si="451"/>
        <v>-0.73333333333333328</v>
      </c>
      <c r="AQ609" s="1">
        <f t="shared" si="452"/>
        <v>0.625</v>
      </c>
      <c r="AR609" s="1">
        <f t="shared" si="453"/>
        <v>-0.30769230769230771</v>
      </c>
      <c r="AS609" s="12">
        <f t="shared" si="454"/>
        <v>-3.2846320346320346E-2</v>
      </c>
      <c r="AT609" s="12">
        <f t="shared" si="455"/>
        <v>-7.2344322344322351E-2</v>
      </c>
      <c r="AU609" s="1">
        <f t="shared" si="456"/>
        <v>-5</v>
      </c>
      <c r="AV609" s="1">
        <f t="shared" si="457"/>
        <v>1</v>
      </c>
      <c r="AW609" s="1">
        <f t="shared" si="458"/>
        <v>8</v>
      </c>
      <c r="AX609" s="1">
        <f t="shared" si="459"/>
        <v>-22</v>
      </c>
      <c r="AY609" s="1">
        <f t="shared" si="460"/>
        <v>5</v>
      </c>
      <c r="AZ609" s="1">
        <f t="shared" si="461"/>
        <v>-4</v>
      </c>
      <c r="BA609" s="19">
        <f t="shared" si="462"/>
        <v>-2.8333333333333335</v>
      </c>
      <c r="BB609" s="19">
        <f t="shared" si="463"/>
        <v>-1.5</v>
      </c>
      <c r="BC609" s="9">
        <f t="shared" si="464"/>
        <v>-0.61538461538461542</v>
      </c>
      <c r="BD609" s="9">
        <f t="shared" si="465"/>
        <v>0.53333333333333333</v>
      </c>
      <c r="BE609" s="9">
        <f t="shared" si="466"/>
        <v>0.2608695652173913</v>
      </c>
      <c r="BF609" s="9">
        <f t="shared" si="467"/>
        <v>-0.58620689655172409</v>
      </c>
      <c r="BG609" s="9">
        <f t="shared" si="468"/>
        <v>8.3333333333333329E-2</v>
      </c>
      <c r="BH609" s="9">
        <f t="shared" si="469"/>
        <v>-0.23076923076923078</v>
      </c>
      <c r="BI609" s="12">
        <f t="shared" si="470"/>
        <v>-9.2470751803585396E-2</v>
      </c>
      <c r="BJ609" s="13">
        <f t="shared" si="471"/>
        <v>-7.3717948717948734E-2</v>
      </c>
      <c r="BK609" s="1">
        <f t="shared" si="472"/>
        <v>-24</v>
      </c>
      <c r="BL609" s="1">
        <f t="shared" si="473"/>
        <v>8</v>
      </c>
      <c r="BM609" s="1">
        <f t="shared" si="474"/>
        <v>6</v>
      </c>
      <c r="BN609" s="1">
        <f t="shared" si="475"/>
        <v>-17</v>
      </c>
      <c r="BO609" s="1">
        <f t="shared" si="476"/>
        <v>1</v>
      </c>
      <c r="BP609" s="1">
        <f t="shared" si="477"/>
        <v>-3</v>
      </c>
      <c r="BQ609" s="19">
        <f t="shared" si="478"/>
        <v>-4.833333333333333</v>
      </c>
      <c r="BR609" s="17">
        <f t="shared" si="479"/>
        <v>-1</v>
      </c>
    </row>
    <row r="610" spans="1:70" x14ac:dyDescent="0.25">
      <c r="A610" t="s">
        <v>125</v>
      </c>
      <c r="B610">
        <v>146</v>
      </c>
      <c r="C610">
        <v>132</v>
      </c>
      <c r="D610">
        <v>115</v>
      </c>
      <c r="E610">
        <v>142</v>
      </c>
      <c r="F610">
        <v>122</v>
      </c>
      <c r="G610">
        <v>125</v>
      </c>
      <c r="H610">
        <v>98</v>
      </c>
      <c r="I610">
        <v>78</v>
      </c>
      <c r="J610">
        <v>71</v>
      </c>
      <c r="K610">
        <v>66</v>
      </c>
      <c r="L610">
        <v>85</v>
      </c>
      <c r="M610">
        <v>72</v>
      </c>
      <c r="N610">
        <v>73</v>
      </c>
      <c r="O610">
        <v>53</v>
      </c>
      <c r="P610">
        <v>68</v>
      </c>
      <c r="Q610">
        <v>61</v>
      </c>
      <c r="R610">
        <v>49</v>
      </c>
      <c r="S610">
        <v>57</v>
      </c>
      <c r="T610">
        <v>50</v>
      </c>
      <c r="U610">
        <v>52</v>
      </c>
      <c r="V610">
        <v>45</v>
      </c>
      <c r="W610" s="8">
        <f t="shared" si="432"/>
        <v>-9.5890410958904104E-2</v>
      </c>
      <c r="X610" s="8">
        <f t="shared" si="433"/>
        <v>-0.12878787878787878</v>
      </c>
      <c r="Y610" s="8">
        <f t="shared" si="434"/>
        <v>0.23478260869565218</v>
      </c>
      <c r="Z610" s="8">
        <f t="shared" si="435"/>
        <v>-0.14084507042253522</v>
      </c>
      <c r="AA610" s="8">
        <f t="shared" si="436"/>
        <v>2.4590163934426229E-2</v>
      </c>
      <c r="AB610" s="8">
        <f t="shared" si="437"/>
        <v>-0.216</v>
      </c>
      <c r="AC610" s="12">
        <f t="shared" si="438"/>
        <v>-5.3691764589873285E-2</v>
      </c>
      <c r="AD610" s="12">
        <f t="shared" si="439"/>
        <v>-0.11233914487339144</v>
      </c>
      <c r="AE610" s="1">
        <f t="shared" si="440"/>
        <v>-14</v>
      </c>
      <c r="AF610" s="1">
        <f t="shared" si="441"/>
        <v>-17</v>
      </c>
      <c r="AG610" s="1">
        <f t="shared" si="442"/>
        <v>27</v>
      </c>
      <c r="AH610" s="1">
        <f t="shared" si="443"/>
        <v>-20</v>
      </c>
      <c r="AI610" s="1">
        <f t="shared" si="444"/>
        <v>3</v>
      </c>
      <c r="AJ610" s="1">
        <f t="shared" si="445"/>
        <v>-27</v>
      </c>
      <c r="AK610" s="17">
        <f t="shared" si="446"/>
        <v>-8</v>
      </c>
      <c r="AL610" s="17">
        <f t="shared" si="447"/>
        <v>-15.5</v>
      </c>
      <c r="AM610" s="1">
        <f t="shared" si="448"/>
        <v>-8.9743589743589744E-2</v>
      </c>
      <c r="AN610" s="1">
        <f t="shared" si="449"/>
        <v>-7.0422535211267609E-2</v>
      </c>
      <c r="AO610" s="1">
        <f t="shared" si="450"/>
        <v>0.2878787878787879</v>
      </c>
      <c r="AP610" s="1">
        <f t="shared" si="451"/>
        <v>-0.15294117647058825</v>
      </c>
      <c r="AQ610" s="1">
        <f t="shared" si="452"/>
        <v>1.3888888888888888E-2</v>
      </c>
      <c r="AR610" s="1">
        <f t="shared" si="453"/>
        <v>-0.27397260273972601</v>
      </c>
      <c r="AS610" s="12">
        <f t="shared" si="454"/>
        <v>-4.7552037899582476E-2</v>
      </c>
      <c r="AT610" s="12">
        <f t="shared" si="455"/>
        <v>-8.0083062477428676E-2</v>
      </c>
      <c r="AU610" s="1">
        <f t="shared" si="456"/>
        <v>-7</v>
      </c>
      <c r="AV610" s="1">
        <f t="shared" si="457"/>
        <v>-5</v>
      </c>
      <c r="AW610" s="1">
        <f t="shared" si="458"/>
        <v>19</v>
      </c>
      <c r="AX610" s="1">
        <f t="shared" si="459"/>
        <v>-13</v>
      </c>
      <c r="AY610" s="1">
        <f t="shared" si="460"/>
        <v>1</v>
      </c>
      <c r="AZ610" s="1">
        <f t="shared" si="461"/>
        <v>-20</v>
      </c>
      <c r="BA610" s="19">
        <f t="shared" si="462"/>
        <v>-4.166666666666667</v>
      </c>
      <c r="BB610" s="19">
        <f t="shared" si="463"/>
        <v>-6</v>
      </c>
      <c r="BC610" s="9">
        <f t="shared" si="464"/>
        <v>-0.10294117647058823</v>
      </c>
      <c r="BD610" s="9">
        <f t="shared" si="465"/>
        <v>-0.19672131147540983</v>
      </c>
      <c r="BE610" s="9">
        <f t="shared" si="466"/>
        <v>0.16326530612244897</v>
      </c>
      <c r="BF610" s="9">
        <f t="shared" si="467"/>
        <v>-0.12280701754385964</v>
      </c>
      <c r="BG610" s="9">
        <f t="shared" si="468"/>
        <v>0.04</v>
      </c>
      <c r="BH610" s="9">
        <f t="shared" si="469"/>
        <v>-0.13461538461538461</v>
      </c>
      <c r="BI610" s="12">
        <f t="shared" si="470"/>
        <v>-5.8969930663798881E-2</v>
      </c>
      <c r="BJ610" s="13">
        <f t="shared" si="471"/>
        <v>-0.11287409700722394</v>
      </c>
      <c r="BK610" s="1">
        <f t="shared" si="472"/>
        <v>-7</v>
      </c>
      <c r="BL610" s="1">
        <f t="shared" si="473"/>
        <v>-12</v>
      </c>
      <c r="BM610" s="1">
        <f t="shared" si="474"/>
        <v>8</v>
      </c>
      <c r="BN610" s="1">
        <f t="shared" si="475"/>
        <v>-7</v>
      </c>
      <c r="BO610" s="1">
        <f t="shared" si="476"/>
        <v>2</v>
      </c>
      <c r="BP610" s="1">
        <f t="shared" si="477"/>
        <v>-7</v>
      </c>
      <c r="BQ610" s="19">
        <f t="shared" si="478"/>
        <v>-3.8333333333333335</v>
      </c>
      <c r="BR610" s="17">
        <f t="shared" si="479"/>
        <v>-7</v>
      </c>
    </row>
    <row r="611" spans="1:70" x14ac:dyDescent="0.25">
      <c r="A611" t="s">
        <v>112</v>
      </c>
      <c r="B611">
        <v>192</v>
      </c>
      <c r="C611">
        <v>147</v>
      </c>
      <c r="D611">
        <v>182</v>
      </c>
      <c r="E611">
        <v>157</v>
      </c>
      <c r="F611">
        <v>139</v>
      </c>
      <c r="G611">
        <v>153</v>
      </c>
      <c r="H611">
        <v>141</v>
      </c>
      <c r="I611">
        <v>112</v>
      </c>
      <c r="J611">
        <v>81</v>
      </c>
      <c r="K611">
        <v>101</v>
      </c>
      <c r="L611">
        <v>83</v>
      </c>
      <c r="M611">
        <v>79</v>
      </c>
      <c r="N611">
        <v>85</v>
      </c>
      <c r="O611">
        <v>79</v>
      </c>
      <c r="P611">
        <v>80</v>
      </c>
      <c r="Q611">
        <v>66</v>
      </c>
      <c r="R611">
        <v>81</v>
      </c>
      <c r="S611">
        <v>74</v>
      </c>
      <c r="T611">
        <v>60</v>
      </c>
      <c r="U611">
        <v>68</v>
      </c>
      <c r="V611">
        <v>62</v>
      </c>
      <c r="W611" s="8">
        <f t="shared" si="432"/>
        <v>-0.234375</v>
      </c>
      <c r="X611" s="8">
        <f t="shared" si="433"/>
        <v>0.23809523809523808</v>
      </c>
      <c r="Y611" s="8">
        <f t="shared" si="434"/>
        <v>-0.13736263736263737</v>
      </c>
      <c r="Z611" s="8">
        <f t="shared" si="435"/>
        <v>-0.11464968152866242</v>
      </c>
      <c r="AA611" s="8">
        <f t="shared" si="436"/>
        <v>0.10071942446043165</v>
      </c>
      <c r="AB611" s="8">
        <f t="shared" si="437"/>
        <v>-7.8431372549019607E-2</v>
      </c>
      <c r="AC611" s="12">
        <f t="shared" si="438"/>
        <v>-3.7667338147441609E-2</v>
      </c>
      <c r="AD611" s="12">
        <f t="shared" si="439"/>
        <v>-9.6540527038841015E-2</v>
      </c>
      <c r="AE611" s="1">
        <f t="shared" si="440"/>
        <v>-45</v>
      </c>
      <c r="AF611" s="1">
        <f t="shared" si="441"/>
        <v>35</v>
      </c>
      <c r="AG611" s="1">
        <f t="shared" si="442"/>
        <v>-25</v>
      </c>
      <c r="AH611" s="1">
        <f t="shared" si="443"/>
        <v>-18</v>
      </c>
      <c r="AI611" s="1">
        <f t="shared" si="444"/>
        <v>14</v>
      </c>
      <c r="AJ611" s="1">
        <f t="shared" si="445"/>
        <v>-12</v>
      </c>
      <c r="AK611" s="17">
        <f t="shared" si="446"/>
        <v>-8.5</v>
      </c>
      <c r="AL611" s="17">
        <f t="shared" si="447"/>
        <v>-15</v>
      </c>
      <c r="AM611" s="1">
        <f t="shared" si="448"/>
        <v>-0.2767857142857143</v>
      </c>
      <c r="AN611" s="1">
        <f t="shared" si="449"/>
        <v>0.24691358024691357</v>
      </c>
      <c r="AO611" s="1">
        <f t="shared" si="450"/>
        <v>-0.17821782178217821</v>
      </c>
      <c r="AP611" s="1">
        <f t="shared" si="451"/>
        <v>-4.8192771084337352E-2</v>
      </c>
      <c r="AQ611" s="1">
        <f t="shared" si="452"/>
        <v>7.5949367088607597E-2</v>
      </c>
      <c r="AR611" s="1">
        <f t="shared" si="453"/>
        <v>-7.0588235294117646E-2</v>
      </c>
      <c r="AS611" s="12">
        <f t="shared" si="454"/>
        <v>-4.1820265851804393E-2</v>
      </c>
      <c r="AT611" s="12">
        <f t="shared" si="455"/>
        <v>-5.9390503189227499E-2</v>
      </c>
      <c r="AU611" s="1">
        <f t="shared" si="456"/>
        <v>-31</v>
      </c>
      <c r="AV611" s="1">
        <f t="shared" si="457"/>
        <v>20</v>
      </c>
      <c r="AW611" s="1">
        <f t="shared" si="458"/>
        <v>-18</v>
      </c>
      <c r="AX611" s="1">
        <f t="shared" si="459"/>
        <v>-4</v>
      </c>
      <c r="AY611" s="1">
        <f t="shared" si="460"/>
        <v>6</v>
      </c>
      <c r="AZ611" s="1">
        <f t="shared" si="461"/>
        <v>-6</v>
      </c>
      <c r="BA611" s="19">
        <f t="shared" si="462"/>
        <v>-5.5</v>
      </c>
      <c r="BB611" s="19">
        <f t="shared" si="463"/>
        <v>-5</v>
      </c>
      <c r="BC611" s="9">
        <f t="shared" si="464"/>
        <v>-0.17499999999999999</v>
      </c>
      <c r="BD611" s="9">
        <f t="shared" si="465"/>
        <v>0.22727272727272727</v>
      </c>
      <c r="BE611" s="9">
        <f t="shared" si="466"/>
        <v>-8.6419753086419748E-2</v>
      </c>
      <c r="BF611" s="9">
        <f t="shared" si="467"/>
        <v>-0.1891891891891892</v>
      </c>
      <c r="BG611" s="9">
        <f t="shared" si="468"/>
        <v>0.13333333333333333</v>
      </c>
      <c r="BH611" s="9">
        <f t="shared" si="469"/>
        <v>-8.8235294117647065E-2</v>
      </c>
      <c r="BI611" s="12">
        <f t="shared" si="470"/>
        <v>-2.9706362631199235E-2</v>
      </c>
      <c r="BJ611" s="13">
        <f t="shared" si="471"/>
        <v>-8.7327523602033413E-2</v>
      </c>
      <c r="BK611" s="1">
        <f t="shared" si="472"/>
        <v>-14</v>
      </c>
      <c r="BL611" s="1">
        <f t="shared" si="473"/>
        <v>15</v>
      </c>
      <c r="BM611" s="1">
        <f t="shared" si="474"/>
        <v>-7</v>
      </c>
      <c r="BN611" s="1">
        <f t="shared" si="475"/>
        <v>-14</v>
      </c>
      <c r="BO611" s="1">
        <f t="shared" si="476"/>
        <v>8</v>
      </c>
      <c r="BP611" s="1">
        <f t="shared" si="477"/>
        <v>-6</v>
      </c>
      <c r="BQ611" s="19">
        <f t="shared" si="478"/>
        <v>-3</v>
      </c>
      <c r="BR611" s="17">
        <f t="shared" si="479"/>
        <v>-6.5</v>
      </c>
    </row>
    <row r="612" spans="1:70" x14ac:dyDescent="0.25">
      <c r="A612" t="s">
        <v>152</v>
      </c>
      <c r="B612">
        <v>82</v>
      </c>
      <c r="C612">
        <v>48</v>
      </c>
      <c r="D612">
        <v>55</v>
      </c>
      <c r="E612">
        <v>49</v>
      </c>
      <c r="F612">
        <v>57</v>
      </c>
      <c r="G612">
        <v>38</v>
      </c>
      <c r="H612">
        <v>25</v>
      </c>
      <c r="I612">
        <v>49</v>
      </c>
      <c r="J612">
        <v>33</v>
      </c>
      <c r="K612">
        <v>31</v>
      </c>
      <c r="L612">
        <v>25</v>
      </c>
      <c r="M612">
        <v>32</v>
      </c>
      <c r="N612">
        <v>17</v>
      </c>
      <c r="O612">
        <v>15</v>
      </c>
      <c r="P612">
        <v>33</v>
      </c>
      <c r="Q612">
        <v>15</v>
      </c>
      <c r="R612">
        <v>24</v>
      </c>
      <c r="S612">
        <v>24</v>
      </c>
      <c r="T612">
        <v>25</v>
      </c>
      <c r="U612">
        <v>21</v>
      </c>
      <c r="V612">
        <v>10</v>
      </c>
      <c r="W612" s="8">
        <f t="shared" si="432"/>
        <v>-0.41463414634146339</v>
      </c>
      <c r="X612" s="8">
        <f t="shared" si="433"/>
        <v>0.14583333333333334</v>
      </c>
      <c r="Y612" s="8">
        <f t="shared" si="434"/>
        <v>-0.10909090909090909</v>
      </c>
      <c r="Z612" s="8">
        <f t="shared" si="435"/>
        <v>0.16326530612244897</v>
      </c>
      <c r="AA612" s="8">
        <f t="shared" si="436"/>
        <v>-0.33333333333333331</v>
      </c>
      <c r="AB612" s="8">
        <f t="shared" si="437"/>
        <v>-0.34210526315789475</v>
      </c>
      <c r="AC612" s="12">
        <f t="shared" si="438"/>
        <v>-0.14834416874463638</v>
      </c>
      <c r="AD612" s="12">
        <f t="shared" si="439"/>
        <v>-0.22121212121212119</v>
      </c>
      <c r="AE612" s="1">
        <f t="shared" si="440"/>
        <v>-34</v>
      </c>
      <c r="AF612" s="1">
        <f t="shared" si="441"/>
        <v>7</v>
      </c>
      <c r="AG612" s="1">
        <f t="shared" si="442"/>
        <v>-6</v>
      </c>
      <c r="AH612" s="1">
        <f t="shared" si="443"/>
        <v>8</v>
      </c>
      <c r="AI612" s="1">
        <f t="shared" si="444"/>
        <v>-19</v>
      </c>
      <c r="AJ612" s="1">
        <f t="shared" si="445"/>
        <v>-13</v>
      </c>
      <c r="AK612" s="17">
        <f t="shared" si="446"/>
        <v>-9.5</v>
      </c>
      <c r="AL612" s="17">
        <f t="shared" si="447"/>
        <v>-9.5</v>
      </c>
      <c r="AM612" s="1">
        <f t="shared" si="448"/>
        <v>-0.32653061224489793</v>
      </c>
      <c r="AN612" s="1">
        <f t="shared" si="449"/>
        <v>-6.0606060606060608E-2</v>
      </c>
      <c r="AO612" s="1">
        <f t="shared" si="450"/>
        <v>-0.19354838709677419</v>
      </c>
      <c r="AP612" s="1">
        <f t="shared" si="451"/>
        <v>0.28000000000000003</v>
      </c>
      <c r="AQ612" s="1">
        <f t="shared" si="452"/>
        <v>-0.46875</v>
      </c>
      <c r="AR612" s="1">
        <f t="shared" si="453"/>
        <v>-0.11764705882352941</v>
      </c>
      <c r="AS612" s="12">
        <f t="shared" si="454"/>
        <v>-0.14784701979521034</v>
      </c>
      <c r="AT612" s="12">
        <f t="shared" si="455"/>
        <v>-0.15559772296015179</v>
      </c>
      <c r="AU612" s="1">
        <f t="shared" si="456"/>
        <v>-16</v>
      </c>
      <c r="AV612" s="1">
        <f t="shared" si="457"/>
        <v>-2</v>
      </c>
      <c r="AW612" s="1">
        <f t="shared" si="458"/>
        <v>-6</v>
      </c>
      <c r="AX612" s="1">
        <f t="shared" si="459"/>
        <v>7</v>
      </c>
      <c r="AY612" s="1">
        <f t="shared" si="460"/>
        <v>-15</v>
      </c>
      <c r="AZ612" s="1">
        <f t="shared" si="461"/>
        <v>-2</v>
      </c>
      <c r="BA612" s="19">
        <f t="shared" si="462"/>
        <v>-5.666666666666667</v>
      </c>
      <c r="BB612" s="19">
        <f t="shared" si="463"/>
        <v>-4</v>
      </c>
      <c r="BC612" s="9">
        <f t="shared" si="464"/>
        <v>-0.54545454545454541</v>
      </c>
      <c r="BD612" s="9">
        <f t="shared" si="465"/>
        <v>0.6</v>
      </c>
      <c r="BE612" s="9">
        <f t="shared" si="466"/>
        <v>0</v>
      </c>
      <c r="BF612" s="9">
        <f t="shared" si="467"/>
        <v>4.1666666666666664E-2</v>
      </c>
      <c r="BG612" s="9">
        <f t="shared" si="468"/>
        <v>-0.16</v>
      </c>
      <c r="BH612" s="9">
        <f t="shared" si="469"/>
        <v>-0.52380952380952384</v>
      </c>
      <c r="BI612" s="12">
        <f t="shared" si="470"/>
        <v>-9.7932900432900441E-2</v>
      </c>
      <c r="BJ612" s="13">
        <f t="shared" si="471"/>
        <v>-0.08</v>
      </c>
      <c r="BK612" s="1">
        <f t="shared" si="472"/>
        <v>-18</v>
      </c>
      <c r="BL612" s="1">
        <f t="shared" si="473"/>
        <v>9</v>
      </c>
      <c r="BM612" s="1">
        <f t="shared" si="474"/>
        <v>0</v>
      </c>
      <c r="BN612" s="1">
        <f t="shared" si="475"/>
        <v>1</v>
      </c>
      <c r="BO612" s="1">
        <f t="shared" si="476"/>
        <v>-4</v>
      </c>
      <c r="BP612" s="1">
        <f t="shared" si="477"/>
        <v>-11</v>
      </c>
      <c r="BQ612" s="19">
        <f t="shared" si="478"/>
        <v>-3.8333333333333335</v>
      </c>
      <c r="BR612" s="17">
        <f t="shared" si="479"/>
        <v>-2</v>
      </c>
    </row>
    <row r="613" spans="1:70" x14ac:dyDescent="0.25">
      <c r="A613" t="s">
        <v>84</v>
      </c>
      <c r="B613">
        <v>589</v>
      </c>
      <c r="C613">
        <v>634</v>
      </c>
      <c r="D613">
        <v>585</v>
      </c>
      <c r="E613">
        <v>685</v>
      </c>
      <c r="F613">
        <v>484</v>
      </c>
      <c r="G613">
        <v>538</v>
      </c>
      <c r="H613">
        <v>531</v>
      </c>
      <c r="I613">
        <v>320</v>
      </c>
      <c r="J613">
        <v>345</v>
      </c>
      <c r="K613">
        <v>352</v>
      </c>
      <c r="L613">
        <v>409</v>
      </c>
      <c r="M613">
        <v>264</v>
      </c>
      <c r="N613">
        <v>291</v>
      </c>
      <c r="O613">
        <v>291</v>
      </c>
      <c r="P613">
        <v>269</v>
      </c>
      <c r="Q613">
        <v>289</v>
      </c>
      <c r="R613">
        <v>233</v>
      </c>
      <c r="S613">
        <v>276</v>
      </c>
      <c r="T613">
        <v>220</v>
      </c>
      <c r="U613">
        <v>247</v>
      </c>
      <c r="V613">
        <v>240</v>
      </c>
      <c r="W613" s="8">
        <f t="shared" si="432"/>
        <v>7.6400679117147707E-2</v>
      </c>
      <c r="X613" s="8">
        <f t="shared" si="433"/>
        <v>-7.7287066246056788E-2</v>
      </c>
      <c r="Y613" s="8">
        <f t="shared" si="434"/>
        <v>0.17094017094017094</v>
      </c>
      <c r="Z613" s="8">
        <f t="shared" si="435"/>
        <v>-0.29343065693430659</v>
      </c>
      <c r="AA613" s="8">
        <f t="shared" si="436"/>
        <v>0.1115702479338843</v>
      </c>
      <c r="AB613" s="8">
        <f t="shared" si="437"/>
        <v>-1.3011152416356878E-2</v>
      </c>
      <c r="AC613" s="12">
        <f t="shared" si="438"/>
        <v>-4.1362962675862191E-3</v>
      </c>
      <c r="AD613" s="12">
        <f t="shared" si="439"/>
        <v>3.1694763350395415E-2</v>
      </c>
      <c r="AE613" s="1">
        <f t="shared" si="440"/>
        <v>45</v>
      </c>
      <c r="AF613" s="1">
        <f t="shared" si="441"/>
        <v>-49</v>
      </c>
      <c r="AG613" s="1">
        <f t="shared" si="442"/>
        <v>100</v>
      </c>
      <c r="AH613" s="1">
        <f t="shared" si="443"/>
        <v>-201</v>
      </c>
      <c r="AI613" s="1">
        <f t="shared" si="444"/>
        <v>54</v>
      </c>
      <c r="AJ613" s="1">
        <f t="shared" si="445"/>
        <v>-7</v>
      </c>
      <c r="AK613" s="17">
        <f t="shared" si="446"/>
        <v>-9.6666666666666661</v>
      </c>
      <c r="AL613" s="17">
        <f t="shared" si="447"/>
        <v>19</v>
      </c>
      <c r="AM613" s="1">
        <f t="shared" si="448"/>
        <v>7.8125E-2</v>
      </c>
      <c r="AN613" s="1">
        <f t="shared" si="449"/>
        <v>2.0289855072463767E-2</v>
      </c>
      <c r="AO613" s="1">
        <f t="shared" si="450"/>
        <v>0.16193181818181818</v>
      </c>
      <c r="AP613" s="1">
        <f t="shared" si="451"/>
        <v>-0.3545232273838631</v>
      </c>
      <c r="AQ613" s="1">
        <f t="shared" si="452"/>
        <v>0.10227272727272728</v>
      </c>
      <c r="AR613" s="1">
        <f t="shared" si="453"/>
        <v>0</v>
      </c>
      <c r="AS613" s="12">
        <f t="shared" si="454"/>
        <v>1.3493621905243554E-3</v>
      </c>
      <c r="AT613" s="12">
        <f t="shared" si="455"/>
        <v>4.9207427536231883E-2</v>
      </c>
      <c r="AU613" s="1">
        <f t="shared" si="456"/>
        <v>25</v>
      </c>
      <c r="AV613" s="1">
        <f t="shared" si="457"/>
        <v>7</v>
      </c>
      <c r="AW613" s="1">
        <f t="shared" si="458"/>
        <v>57</v>
      </c>
      <c r="AX613" s="1">
        <f t="shared" si="459"/>
        <v>-145</v>
      </c>
      <c r="AY613" s="1">
        <f t="shared" si="460"/>
        <v>27</v>
      </c>
      <c r="AZ613" s="1">
        <f t="shared" si="461"/>
        <v>0</v>
      </c>
      <c r="BA613" s="19">
        <f t="shared" si="462"/>
        <v>-4.833333333333333</v>
      </c>
      <c r="BB613" s="19">
        <f t="shared" si="463"/>
        <v>16</v>
      </c>
      <c r="BC613" s="9">
        <f t="shared" si="464"/>
        <v>7.434944237918216E-2</v>
      </c>
      <c r="BD613" s="9">
        <f t="shared" si="465"/>
        <v>-0.19377162629757785</v>
      </c>
      <c r="BE613" s="9">
        <f t="shared" si="466"/>
        <v>0.18454935622317598</v>
      </c>
      <c r="BF613" s="9">
        <f t="shared" si="467"/>
        <v>-0.20289855072463769</v>
      </c>
      <c r="BG613" s="9">
        <f t="shared" si="468"/>
        <v>0.12272727272727273</v>
      </c>
      <c r="BH613" s="9">
        <f t="shared" si="469"/>
        <v>-2.8340080971659919E-2</v>
      </c>
      <c r="BI613" s="12">
        <f t="shared" si="470"/>
        <v>-7.2306977773741038E-3</v>
      </c>
      <c r="BJ613" s="13">
        <f t="shared" si="471"/>
        <v>2.3004680703761122E-2</v>
      </c>
      <c r="BK613" s="1">
        <f t="shared" si="472"/>
        <v>20</v>
      </c>
      <c r="BL613" s="1">
        <f t="shared" si="473"/>
        <v>-56</v>
      </c>
      <c r="BM613" s="1">
        <f t="shared" si="474"/>
        <v>43</v>
      </c>
      <c r="BN613" s="1">
        <f t="shared" si="475"/>
        <v>-56</v>
      </c>
      <c r="BO613" s="1">
        <f t="shared" si="476"/>
        <v>27</v>
      </c>
      <c r="BP613" s="1">
        <f t="shared" si="477"/>
        <v>-7</v>
      </c>
      <c r="BQ613" s="19">
        <f t="shared" si="478"/>
        <v>-4.833333333333333</v>
      </c>
      <c r="BR613" s="17">
        <f t="shared" si="479"/>
        <v>6.5</v>
      </c>
    </row>
    <row r="614" spans="1:70" x14ac:dyDescent="0.25">
      <c r="A614" t="s">
        <v>110</v>
      </c>
      <c r="B614">
        <v>201</v>
      </c>
      <c r="C614">
        <v>151</v>
      </c>
      <c r="D614">
        <v>184</v>
      </c>
      <c r="E614">
        <v>161</v>
      </c>
      <c r="F614">
        <v>237</v>
      </c>
      <c r="G614">
        <v>171</v>
      </c>
      <c r="H614">
        <v>139</v>
      </c>
      <c r="I614">
        <v>129</v>
      </c>
      <c r="J614">
        <v>89</v>
      </c>
      <c r="K614">
        <v>133</v>
      </c>
      <c r="L614">
        <v>104</v>
      </c>
      <c r="M614">
        <v>151</v>
      </c>
      <c r="N614">
        <v>121</v>
      </c>
      <c r="O614">
        <v>100</v>
      </c>
      <c r="P614">
        <v>72</v>
      </c>
      <c r="Q614">
        <v>62</v>
      </c>
      <c r="R614">
        <v>51</v>
      </c>
      <c r="S614">
        <v>57</v>
      </c>
      <c r="T614">
        <v>86</v>
      </c>
      <c r="U614">
        <v>50</v>
      </c>
      <c r="V614">
        <v>39</v>
      </c>
      <c r="W614" s="8">
        <f t="shared" si="432"/>
        <v>-0.24875621890547264</v>
      </c>
      <c r="X614" s="8">
        <f t="shared" si="433"/>
        <v>0.2185430463576159</v>
      </c>
      <c r="Y614" s="8">
        <f t="shared" si="434"/>
        <v>-0.125</v>
      </c>
      <c r="Z614" s="8">
        <f t="shared" si="435"/>
        <v>0.47204968944099379</v>
      </c>
      <c r="AA614" s="8">
        <f t="shared" si="436"/>
        <v>-0.27848101265822783</v>
      </c>
      <c r="AB614" s="8">
        <f t="shared" si="437"/>
        <v>-0.1871345029239766</v>
      </c>
      <c r="AC614" s="12">
        <f t="shared" si="438"/>
        <v>-2.4796499781511227E-2</v>
      </c>
      <c r="AD614" s="12">
        <f t="shared" si="439"/>
        <v>-0.1560672514619883</v>
      </c>
      <c r="AE614" s="1">
        <f t="shared" si="440"/>
        <v>-50</v>
      </c>
      <c r="AF614" s="1">
        <f t="shared" si="441"/>
        <v>33</v>
      </c>
      <c r="AG614" s="1">
        <f t="shared" si="442"/>
        <v>-23</v>
      </c>
      <c r="AH614" s="1">
        <f t="shared" si="443"/>
        <v>76</v>
      </c>
      <c r="AI614" s="1">
        <f t="shared" si="444"/>
        <v>-66</v>
      </c>
      <c r="AJ614" s="1">
        <f t="shared" si="445"/>
        <v>-32</v>
      </c>
      <c r="AK614" s="17">
        <f t="shared" si="446"/>
        <v>-10.333333333333334</v>
      </c>
      <c r="AL614" s="17">
        <f t="shared" si="447"/>
        <v>-27.5</v>
      </c>
      <c r="AM614" s="1">
        <f t="shared" si="448"/>
        <v>-0.31007751937984496</v>
      </c>
      <c r="AN614" s="1">
        <f t="shared" si="449"/>
        <v>0.4943820224719101</v>
      </c>
      <c r="AO614" s="1">
        <f t="shared" si="450"/>
        <v>-0.21804511278195488</v>
      </c>
      <c r="AP614" s="1">
        <f t="shared" si="451"/>
        <v>0.45192307692307693</v>
      </c>
      <c r="AQ614" s="1">
        <f t="shared" si="452"/>
        <v>-0.19867549668874171</v>
      </c>
      <c r="AR614" s="1">
        <f t="shared" si="453"/>
        <v>-0.17355371900826447</v>
      </c>
      <c r="AS614" s="12">
        <f t="shared" si="454"/>
        <v>7.6588752560301692E-3</v>
      </c>
      <c r="AT614" s="12">
        <f t="shared" si="455"/>
        <v>-0.18611460784850309</v>
      </c>
      <c r="AU614" s="1">
        <f t="shared" si="456"/>
        <v>-40</v>
      </c>
      <c r="AV614" s="1">
        <f t="shared" si="457"/>
        <v>44</v>
      </c>
      <c r="AW614" s="1">
        <f t="shared" si="458"/>
        <v>-29</v>
      </c>
      <c r="AX614" s="1">
        <f t="shared" si="459"/>
        <v>47</v>
      </c>
      <c r="AY614" s="1">
        <f t="shared" si="460"/>
        <v>-30</v>
      </c>
      <c r="AZ614" s="1">
        <f t="shared" si="461"/>
        <v>-21</v>
      </c>
      <c r="BA614" s="19">
        <f t="shared" si="462"/>
        <v>-4.833333333333333</v>
      </c>
      <c r="BB614" s="19">
        <f t="shared" si="463"/>
        <v>-25</v>
      </c>
      <c r="BC614" s="9">
        <f t="shared" si="464"/>
        <v>-0.1388888888888889</v>
      </c>
      <c r="BD614" s="9">
        <f t="shared" si="465"/>
        <v>-0.17741935483870969</v>
      </c>
      <c r="BE614" s="9">
        <f t="shared" si="466"/>
        <v>0.11764705882352941</v>
      </c>
      <c r="BF614" s="9">
        <f t="shared" si="467"/>
        <v>0.50877192982456143</v>
      </c>
      <c r="BG614" s="9">
        <f t="shared" si="468"/>
        <v>-0.41860465116279072</v>
      </c>
      <c r="BH614" s="9">
        <f t="shared" si="469"/>
        <v>-0.22</v>
      </c>
      <c r="BI614" s="12">
        <f t="shared" si="470"/>
        <v>-5.4748984373716413E-2</v>
      </c>
      <c r="BJ614" s="13">
        <f t="shared" si="471"/>
        <v>-0.15815412186379929</v>
      </c>
      <c r="BK614" s="1">
        <f t="shared" si="472"/>
        <v>-10</v>
      </c>
      <c r="BL614" s="1">
        <f t="shared" si="473"/>
        <v>-11</v>
      </c>
      <c r="BM614" s="1">
        <f t="shared" si="474"/>
        <v>6</v>
      </c>
      <c r="BN614" s="1">
        <f t="shared" si="475"/>
        <v>29</v>
      </c>
      <c r="BO614" s="1">
        <f t="shared" si="476"/>
        <v>-36</v>
      </c>
      <c r="BP614" s="1">
        <f t="shared" si="477"/>
        <v>-11</v>
      </c>
      <c r="BQ614" s="19">
        <f t="shared" si="478"/>
        <v>-5.5</v>
      </c>
      <c r="BR614" s="17">
        <f t="shared" si="479"/>
        <v>-10.5</v>
      </c>
    </row>
    <row r="615" spans="1:70" x14ac:dyDescent="0.25">
      <c r="A615" t="s">
        <v>76</v>
      </c>
      <c r="B615">
        <v>807</v>
      </c>
      <c r="C615">
        <v>886</v>
      </c>
      <c r="D615">
        <v>813</v>
      </c>
      <c r="E615">
        <v>689</v>
      </c>
      <c r="F615">
        <v>737</v>
      </c>
      <c r="G615">
        <v>813</v>
      </c>
      <c r="H615">
        <v>730</v>
      </c>
      <c r="I615">
        <v>393</v>
      </c>
      <c r="J615">
        <v>441</v>
      </c>
      <c r="K615">
        <v>408</v>
      </c>
      <c r="L615">
        <v>366</v>
      </c>
      <c r="M615">
        <v>389</v>
      </c>
      <c r="N615">
        <v>400</v>
      </c>
      <c r="O615">
        <v>362</v>
      </c>
      <c r="P615">
        <v>414</v>
      </c>
      <c r="Q615">
        <v>445</v>
      </c>
      <c r="R615">
        <v>405</v>
      </c>
      <c r="S615">
        <v>323</v>
      </c>
      <c r="T615">
        <v>348</v>
      </c>
      <c r="U615">
        <v>413</v>
      </c>
      <c r="V615">
        <v>368</v>
      </c>
      <c r="W615" s="8">
        <f t="shared" si="432"/>
        <v>9.7893432465923177E-2</v>
      </c>
      <c r="X615" s="8">
        <f t="shared" si="433"/>
        <v>-8.2392776523702027E-2</v>
      </c>
      <c r="Y615" s="8">
        <f t="shared" si="434"/>
        <v>-0.15252152521525214</v>
      </c>
      <c r="Z615" s="8">
        <f t="shared" si="435"/>
        <v>6.966618287373004E-2</v>
      </c>
      <c r="AA615" s="8">
        <f t="shared" si="436"/>
        <v>0.10312075983717775</v>
      </c>
      <c r="AB615" s="8">
        <f t="shared" si="437"/>
        <v>-0.10209102091020911</v>
      </c>
      <c r="AC615" s="12">
        <f t="shared" si="438"/>
        <v>-1.1054157912055383E-2</v>
      </c>
      <c r="AD615" s="12">
        <f t="shared" si="439"/>
        <v>-6.3632968249859867E-3</v>
      </c>
      <c r="AE615" s="1">
        <f t="shared" si="440"/>
        <v>79</v>
      </c>
      <c r="AF615" s="1">
        <f t="shared" si="441"/>
        <v>-73</v>
      </c>
      <c r="AG615" s="1">
        <f t="shared" si="442"/>
        <v>-124</v>
      </c>
      <c r="AH615" s="1">
        <f t="shared" si="443"/>
        <v>48</v>
      </c>
      <c r="AI615" s="1">
        <f t="shared" si="444"/>
        <v>76</v>
      </c>
      <c r="AJ615" s="1">
        <f t="shared" si="445"/>
        <v>-83</v>
      </c>
      <c r="AK615" s="17">
        <f t="shared" si="446"/>
        <v>-12.833333333333334</v>
      </c>
      <c r="AL615" s="17">
        <f t="shared" si="447"/>
        <v>-12.5</v>
      </c>
      <c r="AM615" s="1">
        <f t="shared" si="448"/>
        <v>0.12213740458015267</v>
      </c>
      <c r="AN615" s="1">
        <f t="shared" si="449"/>
        <v>-7.4829931972789115E-2</v>
      </c>
      <c r="AO615" s="1">
        <f t="shared" si="450"/>
        <v>-0.10294117647058823</v>
      </c>
      <c r="AP615" s="1">
        <f t="shared" si="451"/>
        <v>6.2841530054644809E-2</v>
      </c>
      <c r="AQ615" s="1">
        <f t="shared" si="452"/>
        <v>2.8277634961439587E-2</v>
      </c>
      <c r="AR615" s="1">
        <f t="shared" si="453"/>
        <v>-9.5000000000000001E-2</v>
      </c>
      <c r="AS615" s="12">
        <f t="shared" si="454"/>
        <v>-9.9190898078567128E-3</v>
      </c>
      <c r="AT615" s="12">
        <f t="shared" si="455"/>
        <v>-2.3276148505674762E-2</v>
      </c>
      <c r="AU615" s="1">
        <f t="shared" si="456"/>
        <v>48</v>
      </c>
      <c r="AV615" s="1">
        <f t="shared" si="457"/>
        <v>-33</v>
      </c>
      <c r="AW615" s="1">
        <f t="shared" si="458"/>
        <v>-42</v>
      </c>
      <c r="AX615" s="1">
        <f t="shared" si="459"/>
        <v>23</v>
      </c>
      <c r="AY615" s="1">
        <f t="shared" si="460"/>
        <v>11</v>
      </c>
      <c r="AZ615" s="1">
        <f t="shared" si="461"/>
        <v>-38</v>
      </c>
      <c r="BA615" s="19">
        <f t="shared" si="462"/>
        <v>-5.166666666666667</v>
      </c>
      <c r="BB615" s="19">
        <f t="shared" si="463"/>
        <v>-11</v>
      </c>
      <c r="BC615" s="9">
        <f t="shared" si="464"/>
        <v>7.4879227053140096E-2</v>
      </c>
      <c r="BD615" s="9">
        <f t="shared" si="465"/>
        <v>-8.98876404494382E-2</v>
      </c>
      <c r="BE615" s="9">
        <f t="shared" si="466"/>
        <v>-0.20246913580246914</v>
      </c>
      <c r="BF615" s="9">
        <f t="shared" si="467"/>
        <v>7.7399380804953566E-2</v>
      </c>
      <c r="BG615" s="9">
        <f t="shared" si="468"/>
        <v>0.18678160919540229</v>
      </c>
      <c r="BH615" s="9">
        <f t="shared" si="469"/>
        <v>-0.10895883777239709</v>
      </c>
      <c r="BI615" s="12">
        <f t="shared" si="470"/>
        <v>-1.0375899495134747E-2</v>
      </c>
      <c r="BJ615" s="13">
        <f t="shared" si="471"/>
        <v>-7.5042066981490518E-3</v>
      </c>
      <c r="BK615" s="1">
        <f t="shared" si="472"/>
        <v>31</v>
      </c>
      <c r="BL615" s="1">
        <f t="shared" si="473"/>
        <v>-40</v>
      </c>
      <c r="BM615" s="1">
        <f t="shared" si="474"/>
        <v>-82</v>
      </c>
      <c r="BN615" s="1">
        <f t="shared" si="475"/>
        <v>25</v>
      </c>
      <c r="BO615" s="1">
        <f t="shared" si="476"/>
        <v>65</v>
      </c>
      <c r="BP615" s="1">
        <f t="shared" si="477"/>
        <v>-45</v>
      </c>
      <c r="BQ615" s="19">
        <f t="shared" si="478"/>
        <v>-7.666666666666667</v>
      </c>
      <c r="BR615" s="17">
        <f t="shared" si="479"/>
        <v>-7.5</v>
      </c>
    </row>
    <row r="616" spans="1:70" x14ac:dyDescent="0.25">
      <c r="A616" t="s">
        <v>111</v>
      </c>
      <c r="B616">
        <v>197</v>
      </c>
      <c r="C616">
        <v>137</v>
      </c>
      <c r="D616">
        <v>120</v>
      </c>
      <c r="E616">
        <v>124</v>
      </c>
      <c r="F616">
        <v>77</v>
      </c>
      <c r="G616">
        <v>74</v>
      </c>
      <c r="H616">
        <v>64</v>
      </c>
      <c r="I616">
        <v>95</v>
      </c>
      <c r="J616">
        <v>68</v>
      </c>
      <c r="K616">
        <v>62</v>
      </c>
      <c r="L616">
        <v>74</v>
      </c>
      <c r="M616">
        <v>47</v>
      </c>
      <c r="N616">
        <v>33</v>
      </c>
      <c r="O616">
        <v>33</v>
      </c>
      <c r="P616">
        <v>102</v>
      </c>
      <c r="Q616">
        <v>69</v>
      </c>
      <c r="R616">
        <v>58</v>
      </c>
      <c r="S616">
        <v>50</v>
      </c>
      <c r="T616">
        <v>30</v>
      </c>
      <c r="U616">
        <v>41</v>
      </c>
      <c r="V616">
        <v>31</v>
      </c>
      <c r="W616" s="8">
        <f t="shared" si="432"/>
        <v>-0.30456852791878175</v>
      </c>
      <c r="X616" s="8">
        <f t="shared" si="433"/>
        <v>-0.12408759124087591</v>
      </c>
      <c r="Y616" s="8">
        <f t="shared" si="434"/>
        <v>3.3333333333333333E-2</v>
      </c>
      <c r="Z616" s="8">
        <f t="shared" si="435"/>
        <v>-0.37903225806451613</v>
      </c>
      <c r="AA616" s="8">
        <f t="shared" si="436"/>
        <v>-3.896103896103896E-2</v>
      </c>
      <c r="AB616" s="8">
        <f t="shared" si="437"/>
        <v>-0.13513513513513514</v>
      </c>
      <c r="AC616" s="12">
        <f t="shared" si="438"/>
        <v>-0.15807520299783576</v>
      </c>
      <c r="AD616" s="12">
        <f t="shared" si="439"/>
        <v>-0.12961136318800554</v>
      </c>
      <c r="AE616" s="1">
        <f t="shared" si="440"/>
        <v>-60</v>
      </c>
      <c r="AF616" s="1">
        <f t="shared" si="441"/>
        <v>-17</v>
      </c>
      <c r="AG616" s="1">
        <f t="shared" si="442"/>
        <v>4</v>
      </c>
      <c r="AH616" s="1">
        <f t="shared" si="443"/>
        <v>-47</v>
      </c>
      <c r="AI616" s="1">
        <f t="shared" si="444"/>
        <v>-3</v>
      </c>
      <c r="AJ616" s="1">
        <f t="shared" si="445"/>
        <v>-10</v>
      </c>
      <c r="AK616" s="17">
        <f t="shared" si="446"/>
        <v>-22.166666666666668</v>
      </c>
      <c r="AL616" s="17">
        <f t="shared" si="447"/>
        <v>-13.5</v>
      </c>
      <c r="AM616" s="1">
        <f t="shared" si="448"/>
        <v>-0.28421052631578947</v>
      </c>
      <c r="AN616" s="1">
        <f t="shared" si="449"/>
        <v>-8.8235294117647065E-2</v>
      </c>
      <c r="AO616" s="1">
        <f t="shared" si="450"/>
        <v>0.19354838709677419</v>
      </c>
      <c r="AP616" s="1">
        <f t="shared" si="451"/>
        <v>-0.36486486486486486</v>
      </c>
      <c r="AQ616" s="1">
        <f t="shared" si="452"/>
        <v>-0.2978723404255319</v>
      </c>
      <c r="AR616" s="1">
        <f t="shared" si="453"/>
        <v>0</v>
      </c>
      <c r="AS616" s="12">
        <f t="shared" si="454"/>
        <v>-0.14027243977117651</v>
      </c>
      <c r="AT616" s="12">
        <f t="shared" si="455"/>
        <v>-0.18622291021671827</v>
      </c>
      <c r="AU616" s="1">
        <f t="shared" si="456"/>
        <v>-27</v>
      </c>
      <c r="AV616" s="1">
        <f t="shared" si="457"/>
        <v>-6</v>
      </c>
      <c r="AW616" s="1">
        <f t="shared" si="458"/>
        <v>12</v>
      </c>
      <c r="AX616" s="1">
        <f t="shared" si="459"/>
        <v>-27</v>
      </c>
      <c r="AY616" s="1">
        <f t="shared" si="460"/>
        <v>-14</v>
      </c>
      <c r="AZ616" s="1">
        <f t="shared" si="461"/>
        <v>0</v>
      </c>
      <c r="BA616" s="19">
        <f t="shared" si="462"/>
        <v>-10.333333333333334</v>
      </c>
      <c r="BB616" s="19">
        <f t="shared" si="463"/>
        <v>-10</v>
      </c>
      <c r="BC616" s="9">
        <f t="shared" si="464"/>
        <v>-0.3235294117647059</v>
      </c>
      <c r="BD616" s="9">
        <f t="shared" si="465"/>
        <v>-0.15942028985507245</v>
      </c>
      <c r="BE616" s="9">
        <f t="shared" si="466"/>
        <v>-0.13793103448275862</v>
      </c>
      <c r="BF616" s="9">
        <f t="shared" si="467"/>
        <v>-0.4</v>
      </c>
      <c r="BG616" s="9">
        <f t="shared" si="468"/>
        <v>0.36666666666666664</v>
      </c>
      <c r="BH616" s="9">
        <f t="shared" si="469"/>
        <v>-0.24390243902439024</v>
      </c>
      <c r="BI616" s="12">
        <f t="shared" si="470"/>
        <v>-0.14968608474337677</v>
      </c>
      <c r="BJ616" s="13">
        <f t="shared" si="471"/>
        <v>-0.20166136443973134</v>
      </c>
      <c r="BK616" s="1">
        <f t="shared" si="472"/>
        <v>-33</v>
      </c>
      <c r="BL616" s="1">
        <f t="shared" si="473"/>
        <v>-11</v>
      </c>
      <c r="BM616" s="1">
        <f t="shared" si="474"/>
        <v>-8</v>
      </c>
      <c r="BN616" s="1">
        <f t="shared" si="475"/>
        <v>-20</v>
      </c>
      <c r="BO616" s="1">
        <f t="shared" si="476"/>
        <v>11</v>
      </c>
      <c r="BP616" s="1">
        <f t="shared" si="477"/>
        <v>-10</v>
      </c>
      <c r="BQ616" s="19">
        <f t="shared" si="478"/>
        <v>-11.833333333333334</v>
      </c>
      <c r="BR616" s="17">
        <f t="shared" si="479"/>
        <v>-10.5</v>
      </c>
    </row>
    <row r="617" spans="1:70" x14ac:dyDescent="0.25">
      <c r="A617" t="s">
        <v>64</v>
      </c>
      <c r="B617">
        <v>2310</v>
      </c>
      <c r="C617">
        <v>2236</v>
      </c>
      <c r="D617">
        <v>2286</v>
      </c>
      <c r="E617">
        <v>3709</v>
      </c>
      <c r="F617">
        <v>2659</v>
      </c>
      <c r="G617">
        <v>2322</v>
      </c>
      <c r="H617">
        <v>2167</v>
      </c>
      <c r="I617">
        <v>1080</v>
      </c>
      <c r="J617">
        <v>992</v>
      </c>
      <c r="K617">
        <v>1084</v>
      </c>
      <c r="L617">
        <v>1895</v>
      </c>
      <c r="M617">
        <v>1211</v>
      </c>
      <c r="N617">
        <v>1075</v>
      </c>
      <c r="O617">
        <v>1020</v>
      </c>
      <c r="P617">
        <v>1230</v>
      </c>
      <c r="Q617">
        <v>1244</v>
      </c>
      <c r="R617">
        <v>1202</v>
      </c>
      <c r="S617">
        <v>1814</v>
      </c>
      <c r="T617">
        <v>1448</v>
      </c>
      <c r="U617">
        <v>1247</v>
      </c>
      <c r="V617">
        <v>1147</v>
      </c>
      <c r="W617" s="8">
        <f t="shared" si="432"/>
        <v>-3.2034632034632034E-2</v>
      </c>
      <c r="X617" s="8">
        <f t="shared" si="433"/>
        <v>2.2361359570661897E-2</v>
      </c>
      <c r="Y617" s="8">
        <f t="shared" si="434"/>
        <v>0.62248468941382329</v>
      </c>
      <c r="Z617" s="8">
        <f t="shared" si="435"/>
        <v>-0.28309517390132111</v>
      </c>
      <c r="AA617" s="8">
        <f t="shared" si="436"/>
        <v>-0.12673937570515231</v>
      </c>
      <c r="AB617" s="8">
        <f t="shared" si="437"/>
        <v>-6.6752799310938846E-2</v>
      </c>
      <c r="AC617" s="12">
        <f t="shared" si="438"/>
        <v>2.2704011338740154E-2</v>
      </c>
      <c r="AD617" s="12">
        <f t="shared" si="439"/>
        <v>-4.9393715672785443E-2</v>
      </c>
      <c r="AE617" s="1">
        <f t="shared" si="440"/>
        <v>-74</v>
      </c>
      <c r="AF617" s="1">
        <f t="shared" si="441"/>
        <v>50</v>
      </c>
      <c r="AG617" s="1">
        <f t="shared" si="442"/>
        <v>1423</v>
      </c>
      <c r="AH617" s="1">
        <f t="shared" si="443"/>
        <v>-1050</v>
      </c>
      <c r="AI617" s="1">
        <f t="shared" si="444"/>
        <v>-337</v>
      </c>
      <c r="AJ617" s="1">
        <f t="shared" si="445"/>
        <v>-155</v>
      </c>
      <c r="AK617" s="17">
        <f t="shared" si="446"/>
        <v>-23.833333333333332</v>
      </c>
      <c r="AL617" s="17">
        <f t="shared" si="447"/>
        <v>-114.5</v>
      </c>
      <c r="AM617" s="1">
        <f t="shared" si="448"/>
        <v>-8.1481481481481488E-2</v>
      </c>
      <c r="AN617" s="1">
        <f t="shared" si="449"/>
        <v>9.2741935483870969E-2</v>
      </c>
      <c r="AO617" s="1">
        <f t="shared" si="450"/>
        <v>0.74815498154981552</v>
      </c>
      <c r="AP617" s="1">
        <f t="shared" si="451"/>
        <v>-0.36094986807387863</v>
      </c>
      <c r="AQ617" s="1">
        <f t="shared" si="452"/>
        <v>-0.11230388109000826</v>
      </c>
      <c r="AR617" s="1">
        <f t="shared" si="453"/>
        <v>-5.1162790697674418E-2</v>
      </c>
      <c r="AS617" s="12">
        <f t="shared" si="454"/>
        <v>3.916648261510728E-2</v>
      </c>
      <c r="AT617" s="12">
        <f t="shared" si="455"/>
        <v>-6.632213608957796E-2</v>
      </c>
      <c r="AU617" s="1">
        <f t="shared" si="456"/>
        <v>-88</v>
      </c>
      <c r="AV617" s="1">
        <f t="shared" si="457"/>
        <v>92</v>
      </c>
      <c r="AW617" s="1">
        <f t="shared" si="458"/>
        <v>811</v>
      </c>
      <c r="AX617" s="1">
        <f t="shared" si="459"/>
        <v>-684</v>
      </c>
      <c r="AY617" s="1">
        <f t="shared" si="460"/>
        <v>-136</v>
      </c>
      <c r="AZ617" s="1">
        <f t="shared" si="461"/>
        <v>-55</v>
      </c>
      <c r="BA617" s="19">
        <f t="shared" si="462"/>
        <v>-10</v>
      </c>
      <c r="BB617" s="19">
        <f t="shared" si="463"/>
        <v>-71.5</v>
      </c>
      <c r="BC617" s="9">
        <f t="shared" si="464"/>
        <v>1.1382113821138212E-2</v>
      </c>
      <c r="BD617" s="9">
        <f t="shared" si="465"/>
        <v>-3.3762057877813507E-2</v>
      </c>
      <c r="BE617" s="9">
        <f t="shared" si="466"/>
        <v>0.50915141430948418</v>
      </c>
      <c r="BF617" s="9">
        <f t="shared" si="467"/>
        <v>-0.20176405733186328</v>
      </c>
      <c r="BG617" s="9">
        <f t="shared" si="468"/>
        <v>-0.13881215469613259</v>
      </c>
      <c r="BH617" s="9">
        <f t="shared" si="469"/>
        <v>-8.0192461908580592E-2</v>
      </c>
      <c r="BI617" s="12">
        <f t="shared" si="470"/>
        <v>1.1000466052705396E-2</v>
      </c>
      <c r="BJ617" s="13">
        <f t="shared" si="471"/>
        <v>-5.6977259893197046E-2</v>
      </c>
      <c r="BK617" s="1">
        <f t="shared" si="472"/>
        <v>14</v>
      </c>
      <c r="BL617" s="1">
        <f t="shared" si="473"/>
        <v>-42</v>
      </c>
      <c r="BM617" s="1">
        <f t="shared" si="474"/>
        <v>612</v>
      </c>
      <c r="BN617" s="1">
        <f t="shared" si="475"/>
        <v>-366</v>
      </c>
      <c r="BO617" s="1">
        <f t="shared" si="476"/>
        <v>-201</v>
      </c>
      <c r="BP617" s="1">
        <f t="shared" si="477"/>
        <v>-100</v>
      </c>
      <c r="BQ617" s="19">
        <f t="shared" si="478"/>
        <v>-13.833333333333334</v>
      </c>
      <c r="BR617" s="17">
        <f t="shared" si="479"/>
        <v>-71</v>
      </c>
    </row>
    <row r="618" spans="1:70" x14ac:dyDescent="0.25">
      <c r="A618" t="s">
        <v>73</v>
      </c>
      <c r="B618">
        <v>973</v>
      </c>
      <c r="C618">
        <v>859</v>
      </c>
      <c r="D618">
        <v>796</v>
      </c>
      <c r="E618">
        <v>1116</v>
      </c>
      <c r="F618">
        <v>920</v>
      </c>
      <c r="G618">
        <v>847</v>
      </c>
      <c r="H618">
        <v>789</v>
      </c>
      <c r="I618">
        <v>485</v>
      </c>
      <c r="J618">
        <v>441</v>
      </c>
      <c r="K618">
        <v>377</v>
      </c>
      <c r="L618">
        <v>583</v>
      </c>
      <c r="M618">
        <v>453</v>
      </c>
      <c r="N618">
        <v>457</v>
      </c>
      <c r="O618">
        <v>396</v>
      </c>
      <c r="P618">
        <v>488</v>
      </c>
      <c r="Q618">
        <v>418</v>
      </c>
      <c r="R618">
        <v>419</v>
      </c>
      <c r="S618">
        <v>533</v>
      </c>
      <c r="T618">
        <v>467</v>
      </c>
      <c r="U618">
        <v>390</v>
      </c>
      <c r="V618">
        <v>393</v>
      </c>
      <c r="W618" s="8">
        <f t="shared" si="432"/>
        <v>-0.1171634121274409</v>
      </c>
      <c r="X618" s="8">
        <f t="shared" si="433"/>
        <v>-7.334109429569266E-2</v>
      </c>
      <c r="Y618" s="8">
        <f t="shared" si="434"/>
        <v>0.4020100502512563</v>
      </c>
      <c r="Z618" s="8">
        <f t="shared" si="435"/>
        <v>-0.17562724014336917</v>
      </c>
      <c r="AA618" s="8">
        <f t="shared" si="436"/>
        <v>-7.9347826086956522E-2</v>
      </c>
      <c r="AB618" s="8">
        <f t="shared" si="437"/>
        <v>-6.8476977567886663E-2</v>
      </c>
      <c r="AC618" s="12">
        <f t="shared" si="438"/>
        <v>-1.8657749995014933E-2</v>
      </c>
      <c r="AD618" s="12">
        <f t="shared" si="439"/>
        <v>-7.6344460191324598E-2</v>
      </c>
      <c r="AE618" s="1">
        <f t="shared" si="440"/>
        <v>-114</v>
      </c>
      <c r="AF618" s="1">
        <f t="shared" si="441"/>
        <v>-63</v>
      </c>
      <c r="AG618" s="1">
        <f t="shared" si="442"/>
        <v>320</v>
      </c>
      <c r="AH618" s="1">
        <f t="shared" si="443"/>
        <v>-196</v>
      </c>
      <c r="AI618" s="1">
        <f t="shared" si="444"/>
        <v>-73</v>
      </c>
      <c r="AJ618" s="1">
        <f t="shared" si="445"/>
        <v>-58</v>
      </c>
      <c r="AK618" s="17">
        <f t="shared" si="446"/>
        <v>-30.666666666666668</v>
      </c>
      <c r="AL618" s="17">
        <f t="shared" si="447"/>
        <v>-68</v>
      </c>
      <c r="AM618" s="1">
        <f t="shared" si="448"/>
        <v>-9.0721649484536079E-2</v>
      </c>
      <c r="AN618" s="1">
        <f t="shared" si="449"/>
        <v>-0.14512471655328799</v>
      </c>
      <c r="AO618" s="1">
        <f t="shared" si="450"/>
        <v>0.54641909814323608</v>
      </c>
      <c r="AP618" s="1">
        <f t="shared" si="451"/>
        <v>-0.22298456260720412</v>
      </c>
      <c r="AQ618" s="1">
        <f t="shared" si="452"/>
        <v>8.8300220750551876E-3</v>
      </c>
      <c r="AR618" s="1">
        <f t="shared" si="453"/>
        <v>-0.13347921225382933</v>
      </c>
      <c r="AS618" s="12">
        <f t="shared" si="454"/>
        <v>-6.1768367800943717E-3</v>
      </c>
      <c r="AT618" s="12">
        <f t="shared" si="455"/>
        <v>-0.1121004308691827</v>
      </c>
      <c r="AU618" s="1">
        <f t="shared" si="456"/>
        <v>-44</v>
      </c>
      <c r="AV618" s="1">
        <f t="shared" si="457"/>
        <v>-64</v>
      </c>
      <c r="AW618" s="1">
        <f t="shared" si="458"/>
        <v>206</v>
      </c>
      <c r="AX618" s="1">
        <f t="shared" si="459"/>
        <v>-130</v>
      </c>
      <c r="AY618" s="1">
        <f t="shared" si="460"/>
        <v>4</v>
      </c>
      <c r="AZ618" s="1">
        <f t="shared" si="461"/>
        <v>-61</v>
      </c>
      <c r="BA618" s="19">
        <f t="shared" si="462"/>
        <v>-14.833333333333334</v>
      </c>
      <c r="BB618" s="19">
        <f t="shared" si="463"/>
        <v>-52.5</v>
      </c>
      <c r="BC618" s="9">
        <f t="shared" si="464"/>
        <v>-0.14344262295081966</v>
      </c>
      <c r="BD618" s="9">
        <f t="shared" si="465"/>
        <v>2.3923444976076554E-3</v>
      </c>
      <c r="BE618" s="9">
        <f t="shared" si="466"/>
        <v>0.27207637231503579</v>
      </c>
      <c r="BF618" s="9">
        <f t="shared" si="467"/>
        <v>-0.12382739212007504</v>
      </c>
      <c r="BG618" s="9">
        <f t="shared" si="468"/>
        <v>-0.16488222698072805</v>
      </c>
      <c r="BH618" s="9">
        <f t="shared" si="469"/>
        <v>7.6923076923076927E-3</v>
      </c>
      <c r="BI618" s="12">
        <f t="shared" si="470"/>
        <v>-2.4998536257778602E-2</v>
      </c>
      <c r="BJ618" s="13">
        <f t="shared" si="471"/>
        <v>-6.0717523811233687E-2</v>
      </c>
      <c r="BK618" s="1">
        <f t="shared" si="472"/>
        <v>-70</v>
      </c>
      <c r="BL618" s="1">
        <f t="shared" si="473"/>
        <v>1</v>
      </c>
      <c r="BM618" s="1">
        <f t="shared" si="474"/>
        <v>114</v>
      </c>
      <c r="BN618" s="1">
        <f t="shared" si="475"/>
        <v>-66</v>
      </c>
      <c r="BO618" s="1">
        <f t="shared" si="476"/>
        <v>-77</v>
      </c>
      <c r="BP618" s="1">
        <f t="shared" si="477"/>
        <v>3</v>
      </c>
      <c r="BQ618" s="19">
        <f t="shared" si="478"/>
        <v>-15.833333333333334</v>
      </c>
      <c r="BR618" s="17">
        <f t="shared" si="479"/>
        <v>-32.5</v>
      </c>
    </row>
    <row r="619" spans="1:70" x14ac:dyDescent="0.25">
      <c r="A619" t="s">
        <v>63</v>
      </c>
      <c r="B619">
        <v>3069</v>
      </c>
      <c r="C619">
        <v>3232</v>
      </c>
      <c r="D619">
        <v>3268</v>
      </c>
      <c r="E619">
        <v>3760</v>
      </c>
      <c r="F619">
        <v>2635</v>
      </c>
      <c r="G619">
        <v>2867</v>
      </c>
      <c r="H619">
        <v>2839</v>
      </c>
      <c r="I619">
        <v>1582</v>
      </c>
      <c r="J619">
        <v>1659</v>
      </c>
      <c r="K619">
        <v>1638</v>
      </c>
      <c r="L619">
        <v>2272</v>
      </c>
      <c r="M619">
        <v>1492</v>
      </c>
      <c r="N619">
        <v>1504</v>
      </c>
      <c r="O619">
        <v>1463</v>
      </c>
      <c r="P619">
        <v>1487</v>
      </c>
      <c r="Q619">
        <v>1573</v>
      </c>
      <c r="R619">
        <v>1630</v>
      </c>
      <c r="S619">
        <v>1488</v>
      </c>
      <c r="T619">
        <v>1143</v>
      </c>
      <c r="U619">
        <v>1363</v>
      </c>
      <c r="V619">
        <v>1376</v>
      </c>
      <c r="W619" s="8">
        <f t="shared" si="432"/>
        <v>5.3111762789182143E-2</v>
      </c>
      <c r="X619" s="8">
        <f t="shared" si="433"/>
        <v>1.1138613861386138E-2</v>
      </c>
      <c r="Y619" s="8">
        <f t="shared" si="434"/>
        <v>0.15055079559363524</v>
      </c>
      <c r="Z619" s="8">
        <f t="shared" si="435"/>
        <v>-0.29920212765957449</v>
      </c>
      <c r="AA619" s="8">
        <f t="shared" si="436"/>
        <v>8.8045540796963945E-2</v>
      </c>
      <c r="AB619" s="8">
        <f t="shared" si="437"/>
        <v>-9.7663062434600635E-3</v>
      </c>
      <c r="AC619" s="12">
        <f t="shared" si="438"/>
        <v>-1.0202868103111797E-3</v>
      </c>
      <c r="AD619" s="12">
        <f t="shared" si="439"/>
        <v>3.2125188325284146E-2</v>
      </c>
      <c r="AE619" s="1">
        <f t="shared" si="440"/>
        <v>163</v>
      </c>
      <c r="AF619" s="1">
        <f t="shared" si="441"/>
        <v>36</v>
      </c>
      <c r="AG619" s="1">
        <f t="shared" si="442"/>
        <v>492</v>
      </c>
      <c r="AH619" s="1">
        <f t="shared" si="443"/>
        <v>-1125</v>
      </c>
      <c r="AI619" s="1">
        <f t="shared" si="444"/>
        <v>232</v>
      </c>
      <c r="AJ619" s="1">
        <f t="shared" si="445"/>
        <v>-28</v>
      </c>
      <c r="AK619" s="17">
        <f t="shared" si="446"/>
        <v>-38.333333333333336</v>
      </c>
      <c r="AL619" s="17">
        <f t="shared" si="447"/>
        <v>99.5</v>
      </c>
      <c r="AM619" s="1">
        <f t="shared" si="448"/>
        <v>4.8672566371681415E-2</v>
      </c>
      <c r="AN619" s="1">
        <f t="shared" si="449"/>
        <v>-1.2658227848101266E-2</v>
      </c>
      <c r="AO619" s="1">
        <f t="shared" si="450"/>
        <v>0.38705738705738707</v>
      </c>
      <c r="AP619" s="1">
        <f t="shared" si="451"/>
        <v>-0.34330985915492956</v>
      </c>
      <c r="AQ619" s="1">
        <f t="shared" si="452"/>
        <v>8.0428954423592495E-3</v>
      </c>
      <c r="AR619" s="1">
        <f t="shared" si="453"/>
        <v>-2.7260638297872342E-2</v>
      </c>
      <c r="AS619" s="12">
        <f t="shared" si="454"/>
        <v>1.0090687261754097E-2</v>
      </c>
      <c r="AT619" s="12">
        <f t="shared" si="455"/>
        <v>-2.3076662028710081E-3</v>
      </c>
      <c r="AU619" s="1">
        <f t="shared" si="456"/>
        <v>77</v>
      </c>
      <c r="AV619" s="1">
        <f t="shared" si="457"/>
        <v>-21</v>
      </c>
      <c r="AW619" s="1">
        <f t="shared" si="458"/>
        <v>634</v>
      </c>
      <c r="AX619" s="1">
        <f t="shared" si="459"/>
        <v>-780</v>
      </c>
      <c r="AY619" s="1">
        <f t="shared" si="460"/>
        <v>12</v>
      </c>
      <c r="AZ619" s="1">
        <f t="shared" si="461"/>
        <v>-41</v>
      </c>
      <c r="BA619" s="19">
        <f t="shared" si="462"/>
        <v>-19.833333333333332</v>
      </c>
      <c r="BB619" s="19">
        <f t="shared" si="463"/>
        <v>-4.5</v>
      </c>
      <c r="BC619" s="9">
        <f t="shared" si="464"/>
        <v>5.7834566240753192E-2</v>
      </c>
      <c r="BD619" s="9">
        <f t="shared" si="465"/>
        <v>3.6236490781945324E-2</v>
      </c>
      <c r="BE619" s="9">
        <f t="shared" si="466"/>
        <v>-8.7116564417177911E-2</v>
      </c>
      <c r="BF619" s="9">
        <f t="shared" si="467"/>
        <v>-0.23185483870967741</v>
      </c>
      <c r="BG619" s="9">
        <f t="shared" si="468"/>
        <v>0.19247594050743658</v>
      </c>
      <c r="BH619" s="9">
        <f t="shared" si="469"/>
        <v>9.5377842993396925E-3</v>
      </c>
      <c r="BI619" s="12">
        <f t="shared" si="470"/>
        <v>-3.8144368828967544E-3</v>
      </c>
      <c r="BJ619" s="13">
        <f t="shared" si="471"/>
        <v>2.2887137540642508E-2</v>
      </c>
      <c r="BK619" s="1">
        <f t="shared" si="472"/>
        <v>86</v>
      </c>
      <c r="BL619" s="1">
        <f t="shared" si="473"/>
        <v>57</v>
      </c>
      <c r="BM619" s="1">
        <f t="shared" si="474"/>
        <v>-142</v>
      </c>
      <c r="BN619" s="1">
        <f t="shared" si="475"/>
        <v>-345</v>
      </c>
      <c r="BO619" s="1">
        <f t="shared" si="476"/>
        <v>220</v>
      </c>
      <c r="BP619" s="1">
        <f t="shared" si="477"/>
        <v>13</v>
      </c>
      <c r="BQ619" s="19">
        <f t="shared" si="478"/>
        <v>-18.5</v>
      </c>
      <c r="BR619" s="17">
        <f t="shared" si="479"/>
        <v>35</v>
      </c>
    </row>
    <row r="620" spans="1:70" x14ac:dyDescent="0.25">
      <c r="A620" t="s">
        <v>68</v>
      </c>
      <c r="B620">
        <v>1561</v>
      </c>
      <c r="C620">
        <v>1494</v>
      </c>
      <c r="D620">
        <v>1313</v>
      </c>
      <c r="E620">
        <v>1840</v>
      </c>
      <c r="F620">
        <v>1495</v>
      </c>
      <c r="G620">
        <v>1489</v>
      </c>
      <c r="H620">
        <v>1267</v>
      </c>
      <c r="I620">
        <v>698</v>
      </c>
      <c r="J620">
        <v>681</v>
      </c>
      <c r="K620">
        <v>590</v>
      </c>
      <c r="L620">
        <v>897</v>
      </c>
      <c r="M620">
        <v>667</v>
      </c>
      <c r="N620">
        <v>679</v>
      </c>
      <c r="O620">
        <v>511</v>
      </c>
      <c r="P620">
        <v>863</v>
      </c>
      <c r="Q620">
        <v>813</v>
      </c>
      <c r="R620">
        <v>723</v>
      </c>
      <c r="S620">
        <v>943</v>
      </c>
      <c r="T620">
        <v>828</v>
      </c>
      <c r="U620">
        <v>810</v>
      </c>
      <c r="V620">
        <v>756</v>
      </c>
      <c r="W620" s="8">
        <f t="shared" si="432"/>
        <v>-4.2921204356181936E-2</v>
      </c>
      <c r="X620" s="8">
        <f t="shared" si="433"/>
        <v>-0.12115127175368139</v>
      </c>
      <c r="Y620" s="8">
        <f t="shared" si="434"/>
        <v>0.40137090632140138</v>
      </c>
      <c r="Z620" s="8">
        <f t="shared" si="435"/>
        <v>-0.1875</v>
      </c>
      <c r="AA620" s="8">
        <f t="shared" si="436"/>
        <v>-4.0133779264214043E-3</v>
      </c>
      <c r="AB620" s="8">
        <f t="shared" si="437"/>
        <v>-0.14909335124244461</v>
      </c>
      <c r="AC620" s="12">
        <f t="shared" si="438"/>
        <v>-1.7218049826221323E-2</v>
      </c>
      <c r="AD620" s="12">
        <f t="shared" si="439"/>
        <v>-8.2036238054931654E-2</v>
      </c>
      <c r="AE620" s="1">
        <f t="shared" si="440"/>
        <v>-67</v>
      </c>
      <c r="AF620" s="1">
        <f t="shared" si="441"/>
        <v>-181</v>
      </c>
      <c r="AG620" s="1">
        <f t="shared" si="442"/>
        <v>527</v>
      </c>
      <c r="AH620" s="1">
        <f t="shared" si="443"/>
        <v>-345</v>
      </c>
      <c r="AI620" s="1">
        <f t="shared" si="444"/>
        <v>-6</v>
      </c>
      <c r="AJ620" s="1">
        <f t="shared" si="445"/>
        <v>-222</v>
      </c>
      <c r="AK620" s="17">
        <f t="shared" si="446"/>
        <v>-49</v>
      </c>
      <c r="AL620" s="17">
        <f t="shared" si="447"/>
        <v>-124</v>
      </c>
      <c r="AM620" s="1">
        <f t="shared" si="448"/>
        <v>-2.4355300859598854E-2</v>
      </c>
      <c r="AN620" s="1">
        <f t="shared" si="449"/>
        <v>-0.13362701908957417</v>
      </c>
      <c r="AO620" s="1">
        <f t="shared" si="450"/>
        <v>0.52033898305084747</v>
      </c>
      <c r="AP620" s="1">
        <f t="shared" si="451"/>
        <v>-0.25641025641025639</v>
      </c>
      <c r="AQ620" s="1">
        <f t="shared" si="452"/>
        <v>1.7991004497751123E-2</v>
      </c>
      <c r="AR620" s="1">
        <f t="shared" si="453"/>
        <v>-0.24742268041237114</v>
      </c>
      <c r="AS620" s="12">
        <f t="shared" si="454"/>
        <v>-2.058087820386699E-2</v>
      </c>
      <c r="AT620" s="12">
        <f t="shared" si="455"/>
        <v>-7.8991159974586514E-2</v>
      </c>
      <c r="AU620" s="1">
        <f t="shared" si="456"/>
        <v>-17</v>
      </c>
      <c r="AV620" s="1">
        <f t="shared" si="457"/>
        <v>-91</v>
      </c>
      <c r="AW620" s="1">
        <f t="shared" si="458"/>
        <v>307</v>
      </c>
      <c r="AX620" s="1">
        <f t="shared" si="459"/>
        <v>-230</v>
      </c>
      <c r="AY620" s="1">
        <f t="shared" si="460"/>
        <v>12</v>
      </c>
      <c r="AZ620" s="1">
        <f t="shared" si="461"/>
        <v>-168</v>
      </c>
      <c r="BA620" s="19">
        <f t="shared" si="462"/>
        <v>-31.166666666666668</v>
      </c>
      <c r="BB620" s="19">
        <f t="shared" si="463"/>
        <v>-54</v>
      </c>
      <c r="BC620" s="9">
        <f t="shared" si="464"/>
        <v>-5.7937427578215531E-2</v>
      </c>
      <c r="BD620" s="9">
        <f t="shared" si="465"/>
        <v>-0.11070110701107011</v>
      </c>
      <c r="BE620" s="9">
        <f t="shared" si="466"/>
        <v>0.30428769017980634</v>
      </c>
      <c r="BF620" s="9">
        <f t="shared" si="467"/>
        <v>-0.12195121951219512</v>
      </c>
      <c r="BG620" s="9">
        <f t="shared" si="468"/>
        <v>-2.1739130434782608E-2</v>
      </c>
      <c r="BH620" s="9">
        <f t="shared" si="469"/>
        <v>-6.6666666666666666E-2</v>
      </c>
      <c r="BI620" s="12">
        <f t="shared" si="470"/>
        <v>-1.2451310170520613E-2</v>
      </c>
      <c r="BJ620" s="13">
        <f t="shared" si="471"/>
        <v>-6.2302047122441098E-2</v>
      </c>
      <c r="BK620" s="1">
        <f t="shared" si="472"/>
        <v>-50</v>
      </c>
      <c r="BL620" s="1">
        <f t="shared" si="473"/>
        <v>-90</v>
      </c>
      <c r="BM620" s="1">
        <f t="shared" si="474"/>
        <v>220</v>
      </c>
      <c r="BN620" s="1">
        <f t="shared" si="475"/>
        <v>-115</v>
      </c>
      <c r="BO620" s="1">
        <f t="shared" si="476"/>
        <v>-18</v>
      </c>
      <c r="BP620" s="1">
        <f t="shared" si="477"/>
        <v>-54</v>
      </c>
      <c r="BQ620" s="19">
        <f t="shared" si="478"/>
        <v>-17.833333333333332</v>
      </c>
      <c r="BR620" s="17">
        <f t="shared" si="479"/>
        <v>-52</v>
      </c>
    </row>
    <row r="621" spans="1:70" x14ac:dyDescent="0.25">
      <c r="A621" t="s">
        <v>65</v>
      </c>
      <c r="B621">
        <v>2263</v>
      </c>
      <c r="C621">
        <v>2121</v>
      </c>
      <c r="D621">
        <v>2207</v>
      </c>
      <c r="E621">
        <v>3561</v>
      </c>
      <c r="F621">
        <v>2328</v>
      </c>
      <c r="G621">
        <v>2243</v>
      </c>
      <c r="H621">
        <v>1845</v>
      </c>
      <c r="I621">
        <v>1054</v>
      </c>
      <c r="J621">
        <v>948</v>
      </c>
      <c r="K621">
        <v>1048</v>
      </c>
      <c r="L621">
        <v>1853</v>
      </c>
      <c r="M621">
        <v>1131</v>
      </c>
      <c r="N621">
        <v>1032</v>
      </c>
      <c r="O621">
        <v>853</v>
      </c>
      <c r="P621">
        <v>1209</v>
      </c>
      <c r="Q621">
        <v>1173</v>
      </c>
      <c r="R621">
        <v>1159</v>
      </c>
      <c r="S621">
        <v>1708</v>
      </c>
      <c r="T621">
        <v>1197</v>
      </c>
      <c r="U621">
        <v>1211</v>
      </c>
      <c r="V621">
        <v>992</v>
      </c>
      <c r="W621" s="8">
        <f t="shared" si="432"/>
        <v>-6.2748563853292097E-2</v>
      </c>
      <c r="X621" s="8">
        <f t="shared" si="433"/>
        <v>4.054691183404055E-2</v>
      </c>
      <c r="Y621" s="8">
        <f t="shared" si="434"/>
        <v>0.61350249207068419</v>
      </c>
      <c r="Z621" s="8">
        <f t="shared" si="435"/>
        <v>-0.34625105307497894</v>
      </c>
      <c r="AA621" s="8">
        <f t="shared" si="436"/>
        <v>-3.6512027491408937E-2</v>
      </c>
      <c r="AB621" s="8">
        <f t="shared" si="437"/>
        <v>-0.17744092732946945</v>
      </c>
      <c r="AC621" s="12">
        <f t="shared" si="438"/>
        <v>5.1828053592625585E-3</v>
      </c>
      <c r="AD621" s="12">
        <f t="shared" si="439"/>
        <v>-4.9630295672350513E-2</v>
      </c>
      <c r="AE621" s="1">
        <f t="shared" si="440"/>
        <v>-142</v>
      </c>
      <c r="AF621" s="1">
        <f t="shared" si="441"/>
        <v>86</v>
      </c>
      <c r="AG621" s="1">
        <f t="shared" si="442"/>
        <v>1354</v>
      </c>
      <c r="AH621" s="1">
        <f t="shared" si="443"/>
        <v>-1233</v>
      </c>
      <c r="AI621" s="1">
        <f t="shared" si="444"/>
        <v>-85</v>
      </c>
      <c r="AJ621" s="1">
        <f t="shared" si="445"/>
        <v>-398</v>
      </c>
      <c r="AK621" s="17">
        <f t="shared" si="446"/>
        <v>-69.666666666666671</v>
      </c>
      <c r="AL621" s="17">
        <f t="shared" si="447"/>
        <v>-113.5</v>
      </c>
      <c r="AM621" s="1">
        <f t="shared" si="448"/>
        <v>-0.10056925996204934</v>
      </c>
      <c r="AN621" s="1">
        <f t="shared" si="449"/>
        <v>0.10548523206751055</v>
      </c>
      <c r="AO621" s="1">
        <f t="shared" si="450"/>
        <v>0.76812977099236646</v>
      </c>
      <c r="AP621" s="1">
        <f t="shared" si="451"/>
        <v>-0.38963842417701028</v>
      </c>
      <c r="AQ621" s="1">
        <f t="shared" si="452"/>
        <v>-8.7533156498673742E-2</v>
      </c>
      <c r="AR621" s="1">
        <f t="shared" si="453"/>
        <v>-0.17344961240310078</v>
      </c>
      <c r="AS621" s="12">
        <f t="shared" si="454"/>
        <v>2.0404091669840488E-2</v>
      </c>
      <c r="AT621" s="12">
        <f t="shared" si="455"/>
        <v>-9.4051208230361533E-2</v>
      </c>
      <c r="AU621" s="1">
        <f t="shared" si="456"/>
        <v>-106</v>
      </c>
      <c r="AV621" s="1">
        <f t="shared" si="457"/>
        <v>100</v>
      </c>
      <c r="AW621" s="1">
        <f t="shared" si="458"/>
        <v>805</v>
      </c>
      <c r="AX621" s="1">
        <f t="shared" si="459"/>
        <v>-722</v>
      </c>
      <c r="AY621" s="1">
        <f t="shared" si="460"/>
        <v>-99</v>
      </c>
      <c r="AZ621" s="1">
        <f t="shared" si="461"/>
        <v>-179</v>
      </c>
      <c r="BA621" s="19">
        <f t="shared" si="462"/>
        <v>-33.5</v>
      </c>
      <c r="BB621" s="19">
        <f t="shared" si="463"/>
        <v>-102.5</v>
      </c>
      <c r="BC621" s="9">
        <f t="shared" si="464"/>
        <v>-2.9776674937965261E-2</v>
      </c>
      <c r="BD621" s="9">
        <f t="shared" si="465"/>
        <v>-1.1935208866155157E-2</v>
      </c>
      <c r="BE621" s="9">
        <f t="shared" si="466"/>
        <v>0.47368421052631576</v>
      </c>
      <c r="BF621" s="9">
        <f t="shared" si="467"/>
        <v>-0.29918032786885246</v>
      </c>
      <c r="BG621" s="9">
        <f t="shared" si="468"/>
        <v>1.1695906432748537E-2</v>
      </c>
      <c r="BH621" s="9">
        <f t="shared" si="469"/>
        <v>-0.18084227910817507</v>
      </c>
      <c r="BI621" s="12">
        <f t="shared" si="470"/>
        <v>-6.0590623036806124E-3</v>
      </c>
      <c r="BJ621" s="13">
        <f t="shared" si="471"/>
        <v>-2.0855941902060207E-2</v>
      </c>
      <c r="BK621" s="1">
        <f t="shared" si="472"/>
        <v>-36</v>
      </c>
      <c r="BL621" s="1">
        <f t="shared" si="473"/>
        <v>-14</v>
      </c>
      <c r="BM621" s="1">
        <f t="shared" si="474"/>
        <v>549</v>
      </c>
      <c r="BN621" s="1">
        <f t="shared" si="475"/>
        <v>-511</v>
      </c>
      <c r="BO621" s="1">
        <f t="shared" si="476"/>
        <v>14</v>
      </c>
      <c r="BP621" s="1">
        <f t="shared" si="477"/>
        <v>-219</v>
      </c>
      <c r="BQ621" s="19">
        <f t="shared" si="478"/>
        <v>-36.166666666666664</v>
      </c>
      <c r="BR621" s="17">
        <f t="shared" si="479"/>
        <v>-25</v>
      </c>
    </row>
    <row r="622" spans="1:70" x14ac:dyDescent="0.25">
      <c r="B622">
        <f>SUBTOTAL(109,Tabla7[2017])</f>
        <v>51750</v>
      </c>
      <c r="C622">
        <f>SUBTOTAL(109,Tabla7[2018])</f>
        <v>53044</v>
      </c>
      <c r="D622">
        <f>SUBTOTAL(109,Tabla7[2019])</f>
        <v>55469</v>
      </c>
      <c r="E622">
        <f>SUBTOTAL(109,Tabla7[2020])</f>
        <v>73732</v>
      </c>
      <c r="F622">
        <f>SUBTOTAL(109,Tabla7[2021])</f>
        <v>64945</v>
      </c>
      <c r="G622">
        <f>SUBTOTAL(109,Tabla7[2022])</f>
        <v>65325</v>
      </c>
      <c r="H622">
        <f>SUBTOTAL(109,Tabla7[2023])</f>
        <v>63161</v>
      </c>
      <c r="AS622" s="32"/>
      <c r="AT622" s="32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BE15-51BE-445F-9C4C-788E864EC2F8}">
  <dimension ref="A1:O3"/>
  <sheetViews>
    <sheetView topLeftCell="E1" workbookViewId="0">
      <selection activeCell="O8" sqref="O8"/>
    </sheetView>
  </sheetViews>
  <sheetFormatPr baseColWidth="10" defaultRowHeight="15" x14ac:dyDescent="0.25"/>
  <cols>
    <col min="9" max="9" width="15.7109375" customWidth="1"/>
  </cols>
  <sheetData>
    <row r="1" spans="1:15" x14ac:dyDescent="0.25">
      <c r="A1" t="s">
        <v>875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16</v>
      </c>
      <c r="H1" t="s">
        <v>19</v>
      </c>
      <c r="I1" s="4" t="s">
        <v>777</v>
      </c>
      <c r="J1" s="4" t="s">
        <v>778</v>
      </c>
      <c r="K1" s="4" t="s">
        <v>779</v>
      </c>
      <c r="L1" s="4" t="s">
        <v>780</v>
      </c>
      <c r="M1" s="4" t="s">
        <v>781</v>
      </c>
      <c r="N1" s="4" t="s">
        <v>782</v>
      </c>
      <c r="O1" s="47" t="s">
        <v>876</v>
      </c>
    </row>
    <row r="2" spans="1:15" x14ac:dyDescent="0.25">
      <c r="A2">
        <v>1</v>
      </c>
      <c r="B2">
        <v>25093</v>
      </c>
      <c r="C2">
        <v>25538</v>
      </c>
      <c r="D2">
        <v>26957</v>
      </c>
      <c r="E2">
        <v>38011</v>
      </c>
      <c r="F2">
        <v>32520</v>
      </c>
      <c r="G2">
        <v>32079</v>
      </c>
      <c r="H2">
        <v>31050</v>
      </c>
      <c r="I2" s="45">
        <f>(C2-B2)/B2</f>
        <v>1.7734029410592596E-2</v>
      </c>
      <c r="J2" s="45">
        <f>(D2-C2)/C2</f>
        <v>5.5564257185370822E-2</v>
      </c>
      <c r="K2" s="45">
        <f t="shared" ref="K2:N3" si="0">(E2-D2)/D2</f>
        <v>0.41006046666913976</v>
      </c>
      <c r="L2" s="45">
        <f t="shared" si="0"/>
        <v>-0.14445818315750703</v>
      </c>
      <c r="M2" s="45">
        <f t="shared" si="0"/>
        <v>-1.3560885608856089E-2</v>
      </c>
      <c r="N2" s="45">
        <f t="shared" si="0"/>
        <v>-3.2077059758720661E-2</v>
      </c>
      <c r="O2" s="48">
        <f>MEDIAN(I2:N2)</f>
        <v>2.0865719008682539E-3</v>
      </c>
    </row>
    <row r="3" spans="1:15" x14ac:dyDescent="0.25">
      <c r="A3">
        <v>2</v>
      </c>
      <c r="B3">
        <v>23588</v>
      </c>
      <c r="C3">
        <v>24274</v>
      </c>
      <c r="D3">
        <v>25244</v>
      </c>
      <c r="E3">
        <v>31961</v>
      </c>
      <c r="F3">
        <v>29790</v>
      </c>
      <c r="G3">
        <v>30379</v>
      </c>
      <c r="H3">
        <v>29272</v>
      </c>
      <c r="I3" s="46">
        <f>(C3-B3)/B3</f>
        <v>2.9082584364931319E-2</v>
      </c>
      <c r="J3" s="46">
        <f>(D3-C3)/C3</f>
        <v>3.9960451511905741E-2</v>
      </c>
      <c r="K3" s="46">
        <f t="shared" si="0"/>
        <v>0.26608302963080338</v>
      </c>
      <c r="L3" s="46">
        <f t="shared" si="0"/>
        <v>-6.7926535465098095E-2</v>
      </c>
      <c r="M3" s="46">
        <f t="shared" si="0"/>
        <v>1.9771735481705272E-2</v>
      </c>
      <c r="N3" s="46">
        <f t="shared" si="0"/>
        <v>-3.6439645807959449E-2</v>
      </c>
      <c r="O3" s="48">
        <f>MEDIAN(I3:N3)</f>
        <v>2.4427159923318294E-2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Edad2</vt:lpstr>
      <vt:lpstr>TDEDAD</vt:lpstr>
      <vt:lpstr>provincia</vt:lpstr>
      <vt:lpstr>TDPRVINCIAS</vt:lpstr>
      <vt:lpstr>Nivel de intrucción</vt:lpstr>
      <vt:lpstr>TDNIVEL_INSTRUCCIÓN</vt:lpstr>
      <vt:lpstr>Hoja1</vt:lpstr>
      <vt:lpstr>etnia</vt:lpstr>
      <vt:lpstr>TDETNIA</vt:lpstr>
      <vt:lpstr>BDENFERMEDAD</vt:lpstr>
      <vt:lpstr>SEXO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Secretario</dc:creator>
  <cp:lastModifiedBy>Alexis Alexander Nuñez Lopez</cp:lastModifiedBy>
  <dcterms:created xsi:type="dcterms:W3CDTF">2024-12-26T20:30:35Z</dcterms:created>
  <dcterms:modified xsi:type="dcterms:W3CDTF">2026-04-21T22:47:07Z</dcterms:modified>
</cp:coreProperties>
</file>